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bfe60f887924e43" /></Relationships>
</file>

<file path=xl/workbook.xml><?xml version="1.0" encoding="utf-8"?>
<x:workbook xmlns:x="http://schemas.openxmlformats.org/spreadsheetml/2006/main">
  <x:sheets>
    <x:sheet xmlns:r="http://schemas.openxmlformats.org/officeDocument/2006/relationships" name="00 Start Here" sheetId="1" r:id="R5511d13d7bd141cb"/>
    <x:sheet xmlns:r="http://schemas.openxmlformats.org/officeDocument/2006/relationships" name="01 Dashboard" sheetId="2" r:id="Rb46653c91d0545ac"/>
    <x:sheet xmlns:r="http://schemas.openxmlformats.org/officeDocument/2006/relationships" name="02 Master Plan" sheetId="3" r:id="R73ca3613c0be4beb"/>
    <x:sheet xmlns:r="http://schemas.openxmlformats.org/officeDocument/2006/relationships" name="03 W1 Control Foundation" sheetId="4" r:id="Rd179033be08c4455"/>
    <x:sheet xmlns:r="http://schemas.openxmlformats.org/officeDocument/2006/relationships" name="04 W2 Local Retrieval" sheetId="5" r:id="Ra714e844a496486f"/>
    <x:sheet xmlns:r="http://schemas.openxmlformats.org/officeDocument/2006/relationships" name="05 W3 Cited RAG" sheetId="6" r:id="R7602214304b24f14"/>
    <x:sheet xmlns:r="http://schemas.openxmlformats.org/officeDocument/2006/relationships" name="06 W4 API and Agent" sheetId="7" r:id="R838642c490ed4312"/>
    <x:sheet xmlns:r="http://schemas.openxmlformats.org/officeDocument/2006/relationships" name="07 W5 AWS Lifecycle" sheetId="8" r:id="R55f21b09fe8443ab"/>
    <x:sheet xmlns:r="http://schemas.openxmlformats.org/officeDocument/2006/relationships" name="08 W6 EKS and SRE" sheetId="9" r:id="R0ab3d34175864dd5"/>
    <x:sheet xmlns:r="http://schemas.openxmlformats.org/officeDocument/2006/relationships" name="09 Architecture Map" sheetId="10" r:id="R14e649c03a604b16"/>
    <x:sheet xmlns:r="http://schemas.openxmlformats.org/officeDocument/2006/relationships" name="10 Codex Prompts" sheetId="11" r:id="Radf7d3c4288c43a9"/>
    <x:sheet xmlns:r="http://schemas.openxmlformats.org/officeDocument/2006/relationships" name="11 Test Evidence" sheetId="12" r:id="R487b678c5746426d"/>
    <x:sheet xmlns:r="http://schemas.openxmlformats.org/officeDocument/2006/relationships" name="12 Decision Log" sheetId="13" r:id="R214f9868f27049ff"/>
    <x:sheet xmlns:r="http://schemas.openxmlformats.org/officeDocument/2006/relationships" name="13 Owner TODOs" sheetId="14" r:id="R2f3d3f2b49304c55"/>
    <x:sheet xmlns:r="http://schemas.openxmlformats.org/officeDocument/2006/relationships" name="14 Lifecycle" sheetId="15" r:id="Re59dc1eb246940da"/>
    <x:sheet xmlns:r="http://schemas.openxmlformats.org/officeDocument/2006/relationships" name="15 Tech Adoption" sheetId="16" r:id="Rf576c1e64bec41a9"/>
    <x:sheet xmlns:r="http://schemas.openxmlformats.org/officeDocument/2006/relationships" name="16 Environment Variables" sheetId="17" r:id="Rc76f271c04f84e9d"/>
    <x:sheet xmlns:r="http://schemas.openxmlformats.org/officeDocument/2006/relationships" name="17 Source Trace" sheetId="18" r:id="R0d104501f0b547ed"/>
  </x:sheets>
</x:workbook>
</file>

<file path=xl/sharedStrings.xml><?xml version="1.0" encoding="utf-8"?>
<x:sst xmlns:x="http://schemas.openxmlformats.org/spreadsheetml/2006/main">
  <x:si>
    <x:t xml:space="preserve">Enterprise AI Architecture — Six-Week Execution Control Workbook v1.1.1</x:t>
  </x:si>
  <x:si>
    <x:t xml:space="preserve">Original v1.1 plan and technology stack preserved. v1.1.1 adds only missing grouped prompts, independent testing and a simple owner review/approval gate.</x:t>
  </x:si>
  <x:si>
    <x:t xml:space="preserve">How to use the workbook</x:t>
  </x:si>
  <x:si>
    <x:t xml:space="preserve">Operating rules</x:t>
  </x:si>
  <x:si>
    <x:t xml:space="preserve">Open 01 Dashboard</x:t>
  </x:si>
  <x:si>
    <x:t xml:space="preserve">Review progress, blockers, open TODOs and test readiness.</x:t>
  </x:si>
  <x:si>
    <x:t xml:space="preserve">MUST — required for the six-week MVP and weekly gate.</x:t>
  </x:si>
  <x:si>
    <x:t xml:space="preserve">Resolve owner inputs</x:t>
  </x:si>
  <x:si>
    <x:t xml:space="preserve">Use 13 Owner TODOs. Never enter a credential or secret value.</x:t>
  </x:si>
  <x:si>
    <x:t xml:space="preserve">SHOULD — hardening or AWS deployment value; defer only with owner-recorded risk.</x:t>
  </x:si>
  <x:si>
    <x:t xml:space="preserve">Paste CTX-001 once</x:t>
  </x:si>
  <x:si>
    <x:t xml:space="preserve">At the start of each new Codex session, paste the project background from 10 Codex Prompts.</x:t>
  </x:si>
  <x:si>
    <x:t xml:space="preserve">OPTIONAL — learn/adopt only when a measured requirement justifies cost/complexity.</x:t>
  </x:si>
  <x:si>
    <x:t xml:space="preserve">Paste CTRL-001</x:t>
  </x:si>
  <x:si>
    <x:t xml:space="preserve">Establish the global safety, testing, evidence, rollback and teardown controls.</x:t>
  </x:si>
  <x:si>
    <x:t xml:space="preserve">Codex may generate code and plans; it must not apply, destroy, force-delete or self-approve.</x:t>
  </x:si>
  <x:si>
    <x:t xml:space="preserve">Paste one Main Prompt</x:t>
  </x:si>
  <x:si>
    <x:t xml:space="preserve">Choose the current grouped prompt from the weekly sequence; it covers the tracker steps listed in Column K.</x:t>
  </x:si>
  <x:si>
    <x:t xml:space="preserve">Release rollback, infrastructure rollback and full teardown are different operations.</x:t>
  </x:si>
  <x:si>
    <x:t xml:space="preserve">Review the pre-edit plan</x:t>
  </x:si>
  <x:si>
    <x:t xml:space="preserve">Codex must explain exact scope, files/resources, design, tests, cost, privacy and rollback, then stop.</x:t>
  </x:si>
  <x:si>
    <x:t xml:space="preserve">A change is Done only when it is explained, tested, evidenced, recoverable and removable.</x:t>
  </x:si>
  <x:si>
    <x:t xml:space="preserve">Paste the Pre-Edit Approval</x:t>
  </x:si>
  <x:si>
    <x:t xml:space="preserve">Use Column L only after the plan is correct. This approves bounded implementation, not cloud mutation or final acceptance.</x:t>
  </x:si>
  <x:si>
    <x:t xml:space="preserve">KMS PendingDeletion is the only permitted residual after otherwise clean sandbox teardown.</x:t>
  </x:si>
  <x:si>
    <x:t xml:space="preserve">Run independent testing</x:t>
  </x:si>
  <x:si>
    <x:t xml:space="preserve">After implementation, paste TEST-001 in a separate read-only tester session and record the actual result in 11 Test Evidence.</x:t>
  </x:si>
  <x:si>
    <x:t xml:space="preserve">Paste the Final Approval</x:t>
  </x:si>
  <x:si>
    <x:t xml:space="preserve">Use Column M only after reviewing the actual diff/evidence and TEST-001 PASS.</x:t>
  </x:si>
  <x:si>
    <x:t xml:space="preserve">Editable project inputs — owner maintained</x:t>
  </x:si>
  <x:si>
    <x:t xml:space="preserve">Update tracker and weekly gate</x:t>
  </x:si>
  <x:si>
    <x:t xml:space="preserve">You update status/evidence manually. Use WEEKLY-REVIEW-001 before starting the next week.</x:t>
  </x:si>
  <x:si>
    <x:t xml:space="preserve">Project start date</x:t>
  </x:si>
  <x:si>
    <x:t xml:space="preserve">Owner</x:t>
  </x:si>
  <x:si>
    <x:t xml:space="preserve">Gyan Prakash Rai</x:t>
  </x:si>
  <x:si>
    <x:t xml:space="preserve">Current week</x:t>
  </x:si>
  <x:si>
    <x:t xml:space="preserve">Week 1</x:t>
  </x:si>
  <x:si>
    <x:t xml:space="preserve">Monthly sandbox budget</x:t>
  </x:si>
  <x:si>
    <x:t xml:space="preserve">TODO</x:t>
  </x:si>
  <x:si>
    <x:t xml:space="preserve">Source precedence: Enterprise_AI_Architecture_Source_of_Truth_v1.1 governs controls and weekly sequence. Enterprise_AI_Architecture_Coaching_Blueprint supplies technical content and original prompts. This workbook operationalizes both; conflicts must be resolved through an ADR.</x:t>
  </x:si>
  <x:si>
    <x:t xml:space="preserve">Execution Dashboard</x:t>
  </x:si>
  <x:si>
    <x:t xml:space="preserve">All KPI cells are formula-driven from the tracker sheets. Update status/evidence in the source sheets, not here.</x:t>
  </x:si>
  <x:si>
    <x:t xml:space="preserve">Total steps</x:t>
  </x:si>
  <x:si>
    <x:t xml:space="preserve">Done</x:t>
  </x:si>
  <x:si>
    <x:t xml:space="preserve">Overall progress</x:t>
  </x:si>
  <x:si>
    <x:t xml:space="preserve">Blocked</x:t>
  </x:si>
  <x:si>
    <x:t xml:space="preserve">Open owner TODOs</x:t>
  </x:si>
  <x:si>
    <x:t xml:space="preserve">Tests passed</x:t>
  </x:si>
  <x:si>
    <x:t xml:space="preserve">Decisions approved</x:t>
  </x:si>
  <x:si>
    <x:t xml:space="preserve">Lifecycle tests passed</x:t>
  </x:si>
  <x:si>
    <x:t xml:space="preserve">Week</x:t>
  </x:si>
  <x:si>
    <x:t xml:space="preserve">Total</x:t>
  </x:si>
  <x:si>
    <x:t xml:space="preserve">Progress</x:t>
  </x:si>
  <x:si>
    <x:t xml:space="preserve">Week 2</x:t>
  </x:si>
  <x:si>
    <x:t xml:space="preserve">Week 3</x:t>
  </x:si>
  <x:si>
    <x:t xml:space="preserve">Week 4</x:t>
  </x:si>
  <x:si>
    <x:t xml:space="preserve">Week 5</x:t>
  </x:si>
  <x:si>
    <x:t xml:space="preserve">Week 6</x:t>
  </x:si>
  <x:si>
    <x:t xml:space="preserve">Weekly gate interpretation</x:t>
  </x:si>
  <x:si>
    <x:t xml:space="preserve">READY: every MUST task is Done, tests have evidence and the owner signs off.</x:t>
  </x:si>
  <x:si>
    <x:t xml:space="preserve">BLOCKED: stop new prompts; resolve the dependency or explicitly defer with risk/owner/date.</x:t>
  </x:si>
  <x:si>
    <x:t xml:space="preserve">IN PROGRESS: continue one feature at a time using the referenced prompt.</x:t>
  </x:si>
  <x:si>
    <x:t xml:space="preserve">A green unit test alone is not enough: quality, security, rollback and teardown evidence are part of Done.</x:t>
  </x:si>
  <x:si>
    <x:t xml:space="preserve">Cloud mutations remain manual even when every automated gate passes.</x:t>
  </x:si>
  <x:si>
    <x:t xml:space="preserve">Master Six-Week Plan</x:t>
  </x:si>
  <x:si>
    <x:t xml:space="preserve">Filter by Week, Priority, Owner, Prompt ID or Status. Status is a checklist only after evidence is recorded.</x:t>
  </x:si>
  <x:si>
    <x:t xml:space="preserve">Step ID</x:t>
  </x:si>
  <x:si>
    <x:t xml:space="preserve">Seq</x:t>
  </x:si>
  <x:si>
    <x:t xml:space="preserve">Priority</x:t>
  </x:si>
  <x:si>
    <x:t xml:space="preserve">Workstream</x:t>
  </x:si>
  <x:si>
    <x:t xml:space="preserve">Task / Outcome</x:t>
  </x:si>
  <x:si>
    <x:t xml:space="preserve">Why It Matters</x:t>
  </x:si>
  <x:si>
    <x:t xml:space="preserve">Effort (h)</x:t>
  </x:si>
  <x:si>
    <x:t xml:space="preserve">Prompt ID</x:t>
  </x:si>
  <x:si>
    <x:t xml:space="preserve">User TODO IDs</x:t>
  </x:si>
  <x:si>
    <x:t xml:space="preserve">Acceptance Criteria</x:t>
  </x:si>
  <x:si>
    <x:t xml:space="preserve">Verification Command</x:t>
  </x:si>
  <x:si>
    <x:t xml:space="preserve">Expected Result</x:t>
  </x:si>
  <x:si>
    <x:t xml:space="preserve">Evidence Path</x:t>
  </x:si>
  <x:si>
    <x:t xml:space="preserve">Decision ID</x:t>
  </x:si>
  <x:si>
    <x:t xml:space="preserve">Dependency</x:t>
  </x:si>
  <x:si>
    <x:t xml:space="preserve">Rollback / Teardown</x:t>
  </x:si>
  <x:si>
    <x:t xml:space="preserve">Status</x:t>
  </x:si>
  <x:si>
    <x:t xml:space="preserve">Notes</x:t>
  </x:si>
  <x:si>
    <x:t xml:space="preserve">W1-01</x:t>
  </x:si>
  <x:si>
    <x:t xml:space="preserve">MUST</x:t>
  </x:si>
  <x:si>
    <x:t xml:space="preserve">Scope</x:t>
  </x:si>
  <x:si>
    <x:t xml:space="preserve">Confirm the first use case, user group, exclusions and measurable MVP outcome.</x:t>
  </x:si>
  <x:si>
    <x:t xml:space="preserve">A narrow use case prevents a platform-without-a-problem and sets evaluation truth.</x:t>
  </x:si>
  <x:si>
    <x:t xml:space="preserve">User</x:t>
  </x:si>
  <x:si>
    <x:t xml:space="preserve">W1-MVP-001</x:t>
  </x:si>
  <x:si>
    <x:t xml:space="preserve">USE-001, DATA-001, EVAL-001</x:t>
  </x:si>
  <x:si>
    <x:t xml:space="preserve">One approved one-page scope and 5 representative questions.</x:t>
  </x:si>
  <x:si>
    <x:t xml:space="preserve">Owner review of docs/features/MVP-001.md</x:t>
  </x:si>
  <x:si>
    <x:t xml:space="preserve">Scope, exclusions and success measures approved.</x:t>
  </x:si>
  <x:si>
    <x:t xml:space="preserve">docs/features/MVP-001.md</x:t>
  </x:si>
  <x:si>
    <x:t xml:space="preserve">ADR-001</x:t>
  </x:si>
  <x:si>
    <x:t xml:space="preserve">None</x:t>
  </x:si>
  <x:si>
    <x:t xml:space="preserve">Revert scope file before implementation begins.</x:t>
  </x:si>
  <x:si>
    <x:t xml:space="preserve">Use W1-MVP-001. Approve five starter questions now; the full 25+ golden dataset is completed under W3-002 in Week 3. | Implementation commit 210381c3ddbc9aab83ccaeb11a59db8d8dad549b; owner approval date 2026-08-18; owner reaffirmed 2026-08-18T16:01:18Z.</x:t>
  </x:si>
  <x:si>
    <x:t xml:space="preserve">W1-02</x:t>
  </x:si>
  <x:si>
    <x:t xml:space="preserve">Governance</x:t>
  </x:si>
  <x:si>
    <x:t xml:space="preserve">Record source precedence: v1.1 controls override older schedule while preserving technical prompts.</x:t>
  </x:si>
  <x:si>
    <x:t xml:space="preserve">Prevents Codex and coach from following conflicting weekly sequences.</x:t>
  </x:si>
  <x:si>
    <x:t xml:space="preserve">User + Codex</x:t>
  </x:si>
  <x:si>
    <x:t xml:space="preserve">W1-GOV-001</x:t>
  </x:si>
  <x:si>
    <x:t xml:space="preserve">Decision recorded and referenced by all feature prompts.</x:t>
  </x:si>
  <x:si>
    <x:t xml:space="preserve">Review docs/adr/ADR-000-source-precedence.md</x:t>
  </x:si>
  <x:si>
    <x:t xml:space="preserve">v1.1 is named implementation authority.</x:t>
  </x:si>
  <x:si>
    <x:t xml:space="preserve">docs/adr/ADR-000-source-precedence.md</x:t>
  </x:si>
  <x:si>
    <x:t xml:space="preserve">ADR-016</x:t>
  </x:si>
  <x:si>
    <x:t xml:space="preserve">Restore prior ADR only through reviewed superseding decision.</x:t>
  </x:si>
  <x:si>
    <x:t xml:space="preserve">Use W1-GOV-001. Create ADR-000 only; docs/codex files are not prerequisites for this task. | Implementation commit 210381c3ddbc9aab83ccaeb11a59db8d8dad549b; owner approval date 2026-08-18; owner reaffirmed 2026-08-18T16:01:18Z.</x:t>
  </x:si>
  <x:si>
    <x:t xml:space="preserve">W1-03</x:t>
  </x:si>
  <x:si>
    <x:t xml:space="preserve">Repository</x:t>
  </x:si>
  <x:si>
    <x:t xml:space="preserve">Create the monorepo and documentation/evidence structure.</x:t>
  </x:si>
  <x:si>
    <x:t xml:space="preserve">Gives every change an auditable home and supports clean ownership.</x:t>
  </x:si>
  <x:si>
    <x:t xml:space="preserve">Codex</x:t>
  </x:si>
  <x:si>
    <x:t xml:space="preserve">W1-001</x:t>
  </x:si>
  <x:si>
    <x:t xml:space="preserve">TAG-001</x:t>
  </x:si>
  <x:si>
    <x:t xml:space="preserve">Required folders, README and Makefile exist.</x:t>
  </x:si>
  <x:si>
    <x:t xml:space="preserve">find . -maxdepth 3 -type d | sort</x:t>
  </x:si>
  <x:si>
    <x:t xml:space="preserve">Layout matches blueprint; no unrelated files changed.</x:t>
  </x:si>
  <x:si>
    <x:t xml:space="preserve">docs/test-evidence/W1-03-layout.txt</x:t>
  </x:si>
  <x:si>
    <x:t xml:space="preserve">Delete only newly created empty skeleton paths after diff review.</x:t>
  </x:si>
  <x:si>
    <x:t xml:space="preserve">Implementation commit 210381c3ddbc9aab83ccaeb11a59db8d8dad549b; owner approval date 2026-08-18; owner reaffirmed 2026-08-18T16:01:18Z.</x:t>
  </x:si>
  <x:si>
    <x:t xml:space="preserve">W1-04</x:t>
  </x:si>
  <x:si>
    <x:t xml:space="preserve">Traceability</x:t>
  </x:si>
  <x:si>
    <x:t xml:space="preserve">Create feature-matrix.yaml and the first feature record.</x:t>
  </x:si>
  <x:si>
    <x:t xml:space="preserve">Links purpose, files, tests, cost, approval, rollback and teardown.</x:t>
  </x:si>
  <x:si>
    <x:t xml:space="preserve">USE-001, TAG-001</x:t>
  </x:si>
  <x:si>
    <x:t xml:space="preserve">Schema validates and feature MVP-001 is planned.</x:t>
  </x:si>
  <x:si>
    <x:t xml:space="preserve">python tools/validate_feature_matrix.py</x:t>
  </x:si>
  <x:si>
    <x:t xml:space="preserve">Validation exits 0; missing required fields fail.</x:t>
  </x:si>
  <x:si>
    <x:t xml:space="preserve">docs/test-evidence/W1-04-feature-matrix.json</x:t>
  </x:si>
  <x:si>
    <x:t xml:space="preserve">Restore previous matrix version from Git.</x:t>
  </x:si>
  <x:si>
    <x:t xml:space="preserve">W1-05</x:t>
  </x:si>
  <x:si>
    <x:t xml:space="preserve">Python foundation</x:t>
  </x:si>
  <x:si>
    <x:t xml:space="preserve">Create reproducible dependencies and typed configuration.</x:t>
  </x:si>
  <x:si>
    <x:t xml:space="preserve">Fail-fast configuration and portable dependencies reduce hidden runtime risk.</x:t>
  </x:si>
  <x:si>
    <x:t xml:space="preserve">W1-002</x:t>
  </x:si>
  <x:si>
    <x:t xml:space="preserve">AWS-002, BED-001, EMB-001</x:t>
  </x:si>
  <x:si>
    <x:t xml:space="preserve">pip install succeeds; config tests pass offline.</x:t>
  </x:si>
  <x:si>
    <x:t xml:space="preserve">pip install -r requirements.txt &amp;&amp; pytest tests/unit/test_config.py -q</x:t>
  </x:si>
  <x:si>
    <x:t xml:space="preserve">No paid/network dependency in unit tests; TODOs remain non-secret.</x:t>
  </x:si>
  <x:si>
    <x:t xml:space="preserve">docs/test-evidence/W1-05-config.txt</x:t>
  </x:si>
  <x:si>
    <x:t xml:space="preserve">ADR-002</x:t>
  </x:si>
  <x:si>
    <x:t xml:space="preserve">Revert dependency/config commit and recreate virtual environment.</x:t>
  </x:si>
  <x:si>
    <x:t xml:space="preserve">W1-06</x:t>
  </x:si>
  <x:si>
    <x:t xml:space="preserve">Testing</x:t>
  </x:si>
  <x:si>
    <x:t xml:space="preserve">Create pytest layers, deterministic fakes and evidence capture.</x:t>
  </x:si>
  <x:si>
    <x:t xml:space="preserve">Testing is a feature gate, not an afterthought.</x:t>
  </x:si>
  <x:si>
    <x:t xml:space="preserve">W1-003</x:t>
  </x:si>
  <x:si>
    <x:t xml:space="preserve">Markers and sample feature test run locally.</x:t>
  </x:si>
  <x:si>
    <x:t xml:space="preserve">pytest tests/unit tests/feature -q</x:t>
  </x:si>
  <x:si>
    <x:t xml:space="preserve">Tests pass; evidence metadata excludes secrets/content.</x:t>
  </x:si>
  <x:si>
    <x:t xml:space="preserve">docs/test-evidence/W1-06-tests.json</x:t>
  </x:si>
  <x:si>
    <x:t xml:space="preserve">ADR-017</x:t>
  </x:si>
  <x:si>
    <x:t xml:space="preserve">W1-04,W1-05</x:t>
  </x:si>
  <x:si>
    <x:t xml:space="preserve">Revert test framework commit; no platform resources exist.</x:t>
  </x:si>
  <x:si>
    <x:t xml:space="preserve">W1-07</x:t>
  </x:si>
  <x:si>
    <x:t xml:space="preserve">Developer controls</x:t>
  </x:si>
  <x:si>
    <x:t xml:space="preserve">Add Make targets for preflight, test, scan, plan, rollback, destroy-plan and verify-clean.</x:t>
  </x:si>
  <x:si>
    <x:t xml:space="preserve">A single, reviewable command vocabulary keeps user and Codex synchronized.</x:t>
  </x:si>
  <x:si>
    <x:t xml:space="preserve">Make help documents safe commands; mutating commands are gated.</x:t>
  </x:si>
  <x:si>
    <x:t xml:space="preserve">make help &amp;&amp; make preflight</x:t>
  </x:si>
  <x:si>
    <x:t xml:space="preserve">Preflight passes; apply/destroy are never default dependencies.</x:t>
  </x:si>
  <x:si>
    <x:t xml:space="preserve">docs/test-evidence/W1-07-make.txt</x:t>
  </x:si>
  <x:si>
    <x:t xml:space="preserve">ADR-010, ADR-011</x:t>
  </x:si>
  <x:si>
    <x:t xml:space="preserve">Revert Makefile changes.</x:t>
  </x:si>
  <x:si>
    <x:t xml:space="preserve">W1-08</x:t>
  </x:si>
  <x:si>
    <x:t xml:space="preserve">DevSecOps</x:t>
  </x:si>
  <x:si>
    <x:t xml:space="preserve">Add pre-commit formatting, linting and secret scanning baseline.</x:t>
  </x:si>
  <x:si>
    <x:t xml:space="preserve">Shift-left checks stop secrets and poor-quality changes before PR.</x:t>
  </x:si>
  <x:si>
    <x:t xml:space="preserve">SEC-003</x:t>
  </x:si>
  <x:si>
    <x:t xml:space="preserve">Insecure secret fixture is blocked without committing a real secret.</x:t>
  </x:si>
  <x:si>
    <x:t xml:space="preserve">pre-commit run --all-files</x:t>
  </x:si>
  <x:si>
    <x:t xml:space="preserve">All checks pass on source; synthetic fixture produces expected failure.</x:t>
  </x:si>
  <x:si>
    <x:t xml:space="preserve">docs/test-evidence/W1-08-precommit.txt</x:t>
  </x:si>
  <x:si>
    <x:t xml:space="preserve">Revert hooks only after owner review; rotate any accidentally exposed credential.</x:t>
  </x:si>
  <x:si>
    <x:t xml:space="preserve">W1-09</x:t>
  </x:si>
  <x:si>
    <x:t xml:space="preserve">Terraform lifecycle</x:t>
  </x:si>
  <x:si>
    <x:t xml:space="preserve">Separate infra/bootstrap from infra/environments/sandbox and document state removal last.</x:t>
  </x:si>
  <x:si>
    <x:t xml:space="preserve">A platform cannot fully disappear if its state backend is embedded in the same lifecycle.</x:t>
  </x:si>
  <x:si>
    <x:t xml:space="preserve">W1-004</x:t>
  </x:si>
  <x:si>
    <x:t xml:space="preserve">AWS-001, AWS-002, TAG-001</x:t>
  </x:si>
  <x:si>
    <x:t xml:space="preserve">Two roots validate as skeletons and dependency order is documented.</x:t>
  </x:si>
  <x:si>
    <x:t xml:space="preserve">terraform -chdir=infra/bootstrap fmt -check &amp;&amp; terraform -chdir=infra/environments/sandbox fmt -check</x:t>
  </x:si>
  <x:si>
    <x:t xml:space="preserve">No resource apply; backend/platform boundaries are explicit.</x:t>
  </x:si>
  <x:si>
    <x:t xml:space="preserve">docs/test-evidence/W1-09-roots.txt</x:t>
  </x:si>
  <x:si>
    <x:t xml:space="preserve">ADR-009</x:t>
  </x:si>
  <x:si>
    <x:t xml:space="preserve">Revert Terraform skeleton; no state exists yet.</x:t>
  </x:si>
  <x:si>
    <x:t xml:space="preserve">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x:t>
  </x:si>
  <x:si>
    <x:t xml:space="preserve">W1-10</x:t>
  </x:si>
  <x:si>
    <x:t xml:space="preserve">Reversibility</x:t>
  </x:si>
  <x:si>
    <x:t xml:space="preserve">Create platformctl command contracts with dry-run and approvals.</x:t>
  </x:si>
  <x:si>
    <x:t xml:space="preserve">Deploy, rollback and teardown need distinct safe semantics.</x:t>
  </x:si>
  <x:si>
    <x:t xml:space="preserve">DEST-001, KMS-001</x:t>
  </x:si>
  <x:si>
    <x:t xml:space="preserve">CLI help and unit tests prove confirmation/approval gates.</x:t>
  </x:si>
  <x:si>
    <x:t xml:space="preserve">python -m tools.platformctl --help &amp;&amp; pytest tests/unit/test_platformctl.py -q</x:t>
  </x:si>
  <x:si>
    <x:t xml:space="preserve">No command mutates by default; missing approval fails closed.</x:t>
  </x:si>
  <x:si>
    <x:t xml:space="preserve">docs/test-evidence/W1-10-platformctl.txt</x:t>
  </x:si>
  <x:si>
    <x:t xml:space="preserve">ADR-010, ADR-011, ADR-012</x:t>
  </x:si>
  <x:si>
    <x:t xml:space="preserve">Revert CLI commit; no cloud mutation is allowed.</x:t>
  </x:si>
  <x:si>
    <x:t xml:space="preserve">W1-11</x:t>
  </x:si>
  <x:si>
    <x:t xml:space="preserve">Cleanup verification</x:t>
  </x:si>
  <x:si>
    <x:t xml:space="preserve">Implement mocked tag and service-specific residual checks.</x:t>
  </x:si>
  <x:si>
    <x:t xml:space="preserve">Tag-only discovery misses some resources; native checks close the gap.</x:t>
  </x:si>
  <x:si>
    <x:t xml:space="preserve">TAG-001, KMS-001</x:t>
  </x:si>
  <x:si>
    <x:t xml:space="preserve">Mock orphan makes verify-clean fail; PendingDeletion key is documented exception.</x:t>
  </x:si>
  <x:si>
    <x:t xml:space="preserve">pytest tests/teardown -q</x:t>
  </x:si>
  <x:si>
    <x:t xml:space="preserve">Expected pass/fail matrix is recorded.</x:t>
  </x:si>
  <x:si>
    <x:t xml:space="preserve">docs/test-evidence/W1-11-cleanup.json</x:t>
  </x:si>
  <x:si>
    <x:t xml:space="preserve">ADR-013, ADR-014</x:t>
  </x:si>
  <x:si>
    <x:t xml:space="preserve">Revert verifier implementation; keep the control requirement.</x:t>
  </x:si>
  <x:si>
    <x:t xml:space="preserve">W1-12</x:t>
  </x:si>
  <x:si>
    <x:t xml:space="preserve">Checkpoint</x:t>
  </x:si>
  <x:si>
    <x:t xml:space="preserve">Review diffs, architecture decisions, test evidence and Week 2 readiness.</x:t>
  </x:si>
  <x:si>
    <x:t xml:space="preserve">Owner approval is the stop point between features/weeks.</x:t>
  </x:si>
  <x:si>
    <x:t xml:space="preserve">WEEKLY-REVIEW-001</x:t>
  </x:si>
  <x:si>
    <x:t xml:space="preserve">All Week 1 TODOs</x:t>
  </x:si>
  <x:si>
    <x:t xml:space="preserve">Every MUST step is Done; no blocker or unapproved scope remains.</x:t>
  </x:si>
  <x:si>
    <x:t xml:space="preserve">make preflight &amp;&amp; make test</x:t>
  </x:si>
  <x:si>
    <x:t xml:space="preserve">Owner sign-off recorded with outstanding items explicitly deferred.</x:t>
  </x:si>
  <x:si>
    <x:t xml:space="preserve">docs/deployment-records/W1-signoff.md</x:t>
  </x:si>
  <x:si>
    <x:t xml:space="preserve">W1-01:W1-11</x:t>
  </x:si>
  <x:si>
    <x:t xml:space="preserve">No Week 2 prompt is used until gaps are resolved.</x:t>
  </x:si>
  <x:si>
    <x:t xml:space="preserve">W1-12 readiness PASS; final Week 1 sign-off APPROVED by Gyan Prakash Rai at 2026-08-19T00:10:55+08:00 (Asia/Singapore); sign-off evidence docs/deployment-records/W1-signoff.md; implementation commit 210381c3ddbc9aab83ccaeb11a59db8d8dad549b.</x:t>
  </x:si>
  <x:si>
    <x:t xml:space="preserve">W2-01</x:t>
  </x:si>
  <x:si>
    <x:t xml:space="preserve">Data contracts</x:t>
  </x:si>
  <x:si>
    <x:t xml:space="preserve">Implement provider-neutral document, chunk, query, answer and citation models.</x:t>
  </x:si>
  <x:si>
    <x:t xml:space="preserve">Stable domain types make vector and LLM backends replaceable.</x:t>
  </x:si>
  <x:si>
    <x:t xml:space="preserve">W2-001</x:t>
  </x:si>
  <x:si>
    <x:t xml:space="preserve">DATA-002, SEC-001</x:t>
  </x:si>
  <x:si>
    <x:t xml:space="preserve">Models validate required identity/classification metadata.</x:t>
  </x:si>
  <x:si>
    <x:t xml:space="preserve">pytest tests/unit/test_models.py -q</x:t>
  </x:si>
  <x:si>
    <x:t xml:space="preserve">Invalid tenant/classification input fails.</x:t>
  </x:si>
  <x:si>
    <x:t xml:space="preserve">docs/test-evidence/W2-01-models.txt</x:t>
  </x:si>
  <x:si>
    <x:t xml:space="preserve">Revert model commit; no stored vectors affected.</x:t>
  </x:si>
  <x:si>
    <x:t xml:space="preserve">Not Started</x:t>
  </x:si>
  <x:si>
    <x:t xml:space="preserve">W2-02</x:t>
  </x:si>
  <x:si>
    <x:t xml:space="preserve">Vector interface</x:t>
  </x:si>
  <x:si>
    <x:t xml:space="preserve">Define VectorStore protocol and in-memory fake with contract tests.</x:t>
  </x:si>
  <x:si>
    <x:t xml:space="preserve">Business logic must not depend on Qdrant/OpenSearch SDK objects.</x:t>
  </x:si>
  <x:si>
    <x:t xml:space="preserve">Fake passes all contract tests.</x:t>
  </x:si>
  <x:si>
    <x:t xml:space="preserve">pytest tests/contract/test_vector_store.py -q</x:t>
  </x:si>
  <x:si>
    <x:t xml:space="preserve">Protocol behavior and normalized errors are stable.</x:t>
  </x:si>
  <x:si>
    <x:t xml:space="preserve">docs/test-evidence/W2-02-vector-contract.txt</x:t>
  </x:si>
  <x:si>
    <x:t xml:space="preserve">ADR-002, ADR-003</x:t>
  </x:si>
  <x:si>
    <x:t xml:space="preserve">Revert interface only before downstream adapters merge.</x:t>
  </x:si>
  <x:si>
    <x:t xml:space="preserve">W2-03</x:t>
  </x:si>
  <x:si>
    <x:t xml:space="preserve">Local platform</x:t>
  </x:si>
  <x:si>
    <x:t xml:space="preserve">Start pinned Qdrant through Docker Compose with healthcheck.</x:t>
  </x:si>
  <x:si>
    <x:t xml:space="preserve">A real client/server vector store gives useful local integration evidence.</x:t>
  </x:si>
  <x:si>
    <x:t xml:space="preserve">W2-004</x:t>
  </x:si>
  <x:si>
    <x:t xml:space="preserve">Qdrant becomes healthy without an embedded credential.</x:t>
  </x:si>
  <x:si>
    <x:t xml:space="preserve">docker compose up -d qdrant &amp;&amp; docker compose ps</x:t>
  </x:si>
  <x:si>
    <x:t xml:space="preserve">Service is healthy; image version is pinned.</x:t>
  </x:si>
  <x:si>
    <x:t xml:space="preserve">docs/test-evidence/W2-03-qdrant.txt</x:t>
  </x:si>
  <x:si>
    <x:t xml:space="preserve">ADR-003</x:t>
  </x:si>
  <x:si>
    <x:t xml:space="preserve">docker compose down -v; verify no project volume/network.</x:t>
  </x:si>
  <x:si>
    <x:t xml:space="preserve">W2-04</x:t>
  </x:si>
  <x:si>
    <x:t xml:space="preserve">Vector adapters</x:t>
  </x:si>
  <x:si>
    <x:t xml:space="preserve">Implement Qdrant adapter and OpenSearch adapter boundary.</x:t>
  </x:si>
  <x:si>
    <x:t xml:space="preserve">Local and AWS retrieval must satisfy the same contract.</x:t>
  </x:si>
  <x:si>
    <x:t xml:space="preserve">AWS-002, NET-001</x:t>
  </x:si>
  <x:si>
    <x:t xml:space="preserve">Fake/Qdrant tests pass; AWS tests remain marked/skipped.</x:t>
  </x:si>
  <x:si>
    <x:t xml:space="preserve">pytest tests/contract tests/integration/test_qdrant.py -q</x:t>
  </x:si>
  <x:si>
    <x:t xml:space="preserve">No vendor object leaks; timeouts and filters are applied.</x:t>
  </x:si>
  <x:si>
    <x:t xml:space="preserve">docs/test-evidence/W2-04-adapters.txt</x:t>
  </x:si>
  <x:si>
    <x:t xml:space="preserve">W2-02,W2-03</x:t>
  </x:si>
  <x:si>
    <x:t xml:space="preserve">Delete test collection and restore previous adapter version.</x:t>
  </x:si>
  <x:si>
    <x:t xml:space="preserve">W2-05</x:t>
  </x:si>
  <x:si>
    <x:t xml:space="preserve">Embeddings</x:t>
  </x:si>
  <x:si>
    <x:t xml:space="preserve">Implement sentence-transformer and deterministic fake embedders.</x:t>
  </x:si>
  <x:si>
    <x:t xml:space="preserve">Local CPU embeddings avoid a paid dependency while preserving provider exit.</x:t>
  </x:si>
  <x:si>
    <x:t xml:space="preserve">W2-002</x:t>
  </x:si>
  <x:si>
    <x:t xml:space="preserve">EMB-001</x:t>
  </x:si>
  <x:si>
    <x:t xml:space="preserve">Batch, normalization and dimension mismatch tests pass.</x:t>
  </x:si>
  <x:si>
    <x:t xml:space="preserve">pytest tests/unit/test_embedder.py -q</x:t>
  </x:si>
  <x:si>
    <x:t xml:space="preserve">Unit tests make no model download; integration model is explicit.</x:t>
  </x:si>
  <x:si>
    <x:t xml:space="preserve">docs/test-evidence/W2-05-embedder.txt</x:t>
  </x:si>
  <x:si>
    <x:t xml:space="preserve">Restore previous model configuration and recreate collection if dimension changed.</x:t>
  </x:si>
  <x:si>
    <x:t xml:space="preserve">W2-06</x:t>
  </x:si>
  <x:si>
    <x:t xml:space="preserve">Ingestion</x:t>
  </x:si>
  <x:si>
    <x:t xml:space="preserve">Implement validation, hashing, normalization and deterministic token chunking.</x:t>
  </x:si>
  <x:si>
    <x:t xml:space="preserve">Reproducible chunk IDs/versioning make re-index and deletion safe.</x:t>
  </x:si>
  <x:si>
    <x:t xml:space="preserve">W2-003</x:t>
  </x:si>
  <x:si>
    <x:t xml:space="preserve">DATA-001, DATA-002</x:t>
  </x:si>
  <x:si>
    <x:t xml:space="preserve">Same input produces same IDs; changed version is distinguishable.</x:t>
  </x:si>
  <x:si>
    <x:t xml:space="preserve">pytest tests/unit/test_chunking.py tests/unit/test_ingestion.py -q</x:t>
  </x:si>
  <x:si>
    <x:t xml:space="preserve">Size/type failures quarantine; no raw content in logs.</x:t>
  </x:si>
  <x:si>
    <x:t xml:space="preserve">docs/test-evidence/W2-06-ingestion.txt</x:t>
  </x:si>
  <x:si>
    <x:t xml:space="preserve">W2-01,W2-05</x:t>
  </x:si>
  <x:si>
    <x:t xml:space="preserve">Delete affected document version and re-ingest last approved manifest.</x:t>
  </x:si>
  <x:si>
    <x:t xml:space="preserve">W2-07</x:t>
  </x:si>
  <x:si>
    <x:t xml:space="preserve">Privacy</x:t>
  </x:si>
  <x:si>
    <x:t xml:space="preserve">Add replaceable Presidio PII detection/redaction hook.</x:t>
  </x:si>
  <x:si>
    <x:t xml:space="preserve">PII handling belongs before indexing and telemetry.</x:t>
  </x:si>
  <x:si>
    <x:t xml:space="preserve">DATA-003</x:t>
  </x:si>
  <x:si>
    <x:t xml:space="preserve">Configured PII is redacted/quarantined and never appears in evidence logs.</x:t>
  </x:si>
  <x:si>
    <x:t xml:space="preserve">pytest tests/security/test_pii.py -q</x:t>
  </x:si>
  <x:si>
    <x:t xml:space="preserve">Synthetic PII fixture is handled as policy states.</x:t>
  </x:si>
  <x:si>
    <x:t xml:space="preserve">docs/test-evidence/W2-07-pii.txt</x:t>
  </x:si>
  <x:si>
    <x:t xml:space="preserve">ADR-006</x:t>
  </x:si>
  <x:si>
    <x:t xml:space="preserve">Delete derived chunks; restore approved unredacted source only in controlled location.</x:t>
  </x:si>
  <x:si>
    <x:t xml:space="preserve">W2-08</x:t>
  </x:si>
  <x:si>
    <x:t xml:space="preserve">Authorization</x:t>
  </x:si>
  <x:si>
    <x:t xml:space="preserve">Enforce tenant/classification filters before vector search.</x:t>
  </x:si>
  <x:si>
    <x:t xml:space="preserve">The model cannot be trusted to enforce access control.</x:t>
  </x:si>
  <x:si>
    <x:t xml:space="preserve">SEC-001</x:t>
  </x:si>
  <x:si>
    <x:t xml:space="preserve">Cross-tenant query returns zero unauthorized chunks.</x:t>
  </x:si>
  <x:si>
    <x:t xml:space="preserve">pytest tests/security/test_tenant_isolation.py -q</x:t>
  </x:si>
  <x:si>
    <x:t xml:space="preserve">100% isolation test passes.</x:t>
  </x:si>
  <x:si>
    <x:t xml:space="preserve">docs/test-evidence/W2-08-isolation.txt</x:t>
  </x:si>
  <x:si>
    <x:t xml:space="preserve">Disable retrieval endpoint and restore last-known-good filter implementation.</x:t>
  </x:si>
  <x:si>
    <x:t xml:space="preserve">W2-09</x:t>
  </x:si>
  <x:si>
    <x:t xml:space="preserve">Feature proof</x:t>
  </x:si>
  <x:si>
    <x:t xml:space="preserve">Ingest approved sample corpus and verify top-5 retrieval.</x:t>
  </x:si>
  <x:si>
    <x:t xml:space="preserve">This is the first measurable RAG foundation outcome.</x:t>
  </x:si>
  <x:si>
    <x:t xml:space="preserve">DATA-001, EVAL-001</x:t>
  </x:si>
  <x:si>
    <x:t xml:space="preserve">Expected source appears in top 5 for representative questions.</x:t>
  </x:si>
  <x:si>
    <x:t xml:space="preserve">python -m enterprise_ai.ingestion.pipeline ingest --source data/sample --tenant demo &amp;&amp; pytest tests/feature/test_local_retrieval.py -q</x:t>
  </x:si>
  <x:si>
    <x:t xml:space="preserve">Manifest, retrieval scores and source IDs are captured.</x:t>
  </x:si>
  <x:si>
    <x:t xml:space="preserve">docs/test-evidence/W2-09-retrieval.json</x:t>
  </x:si>
  <x:si>
    <x:t xml:space="preserve">ADR-003, ADR-017</x:t>
  </x:si>
  <x:si>
    <x:t xml:space="preserve">W2-03:W2-08</x:t>
  </x:si>
  <x:si>
    <x:t xml:space="preserve">Delete test collection/volume and restore previous config.</x:t>
  </x:si>
  <x:si>
    <x:t xml:space="preserve">W2-10</x:t>
  </x:si>
  <x:si>
    <x:t xml:space="preserve">Run local deploy, rollback and complete removal drill.</x:t>
  </x:si>
  <x:si>
    <x:t xml:space="preserve">A working feature is incomplete until it can be removed cleanly.</x:t>
  </x:si>
  <x:si>
    <x:t xml:space="preserve">DEST-001</x:t>
  </x:si>
  <x:si>
    <x:t xml:space="preserve">Previous configuration works after rollback; teardown leaves no local residue.</x:t>
  </x:si>
  <x:si>
    <x:t xml:space="preserve">make rollback-local &amp;&amp; make destroy-local &amp;&amp; make verify-clean-local</x:t>
  </x:si>
  <x:si>
    <x:t xml:space="preserve">No project container, volume or network remains.</x:t>
  </x:si>
  <x:si>
    <x:t xml:space="preserve">docs/rollback-records/W2-local.md</x:t>
  </x:si>
  <x:si>
    <x:t xml:space="preserve">ADR-012, ADR-013</x:t>
  </x:si>
  <x:si>
    <x:t xml:space="preserve">Recreate from pinned Compose/config and re-run feature test.</x:t>
  </x:si>
  <x:si>
    <x:t xml:space="preserve">W2-11</x:t>
  </x:si>
  <x:si>
    <x:t xml:space="preserve">SHOULD</x:t>
  </x:si>
  <x:si>
    <x:t xml:space="preserve">Learning checkpoint</x:t>
  </x:si>
  <x:si>
    <x:t xml:space="preserve">Explain embeddings, cosine similarity, chunk size/overlap and metadata filtering.</x:t>
  </x:si>
  <x:si>
    <x:t xml:space="preserve">The workbook is also an interview/reference learning plan.</x:t>
  </x:si>
  <x:si>
    <x:t xml:space="preserve">W2-LEARN-001</x:t>
  </x:si>
  <x:si>
    <x:t xml:space="preserve">Five-minute explanation uses current implementation evidence.</x:t>
  </x:si>
  <x:si>
    <x:t xml:space="preserve">Record explanation notes in docs/architecture/local-retrieval.md</x:t>
  </x:si>
  <x:si>
    <x:t xml:space="preserve">Explanation connects decisions to quality, security and cost.</x:t>
  </x:si>
  <x:si>
    <x:t xml:space="preserve">docs/architecture/local-retrieval.md</x:t>
  </x:si>
  <x:si>
    <x:t xml:space="preserve">ADR-002, ADR-003, ADR-006</x:t>
  </x:si>
  <x:si>
    <x:t xml:space="preserve">Revise ADR/notes; do not change code without a feature cycle.</x:t>
  </x:si>
  <x:si>
    <x:t xml:space="preserve">W2-12</x:t>
  </x:si>
  <x:si>
    <x:t xml:space="preserve">Approve local retrieval gate and Week 3 inputs.</x:t>
  </x:si>
  <x:si>
    <x:t xml:space="preserve">Prevents LLM work from hiding retrieval defects.</x:t>
  </x:si>
  <x:si>
    <x:t xml:space="preserve">BED-001, EVAL-001</x:t>
  </x:si>
  <x:si>
    <x:t xml:space="preserve">All MUST tests and cleanup evidence pass.</x:t>
  </x:si>
  <x:si>
    <x:t xml:space="preserve">make test &amp;&amp; make verify-clean-local</x:t>
  </x:si>
  <x:si>
    <x:t xml:space="preserve">Owner sign-off; Bedrock/evaluation TODOs resolved or explicitly mocked.</x:t>
  </x:si>
  <x:si>
    <x:t xml:space="preserve">docs/deployment-records/W2-signoff.md</x:t>
  </x:si>
  <x:si>
    <x:t xml:space="preserve">W2-01:W2-11</x:t>
  </x:si>
  <x:si>
    <x:t xml:space="preserve">Remain on local retrieval until the gate passes.</x:t>
  </x:si>
  <x:si>
    <x:t xml:space="preserve">W3-01</x:t>
  </x:si>
  <x:si>
    <x:t xml:space="preserve">LLM contract</x:t>
  </x:si>
  <x:si>
    <x:t xml:space="preserve">Create provider-neutral chat/tool/usage types and fake provider.</x:t>
  </x:si>
  <x:si>
    <x:t xml:space="preserve">RAG logic should not depend on Bedrock response formats.</x:t>
  </x:si>
  <x:si>
    <x:t xml:space="preserve">W3-001</x:t>
  </x:si>
  <x:si>
    <x:t xml:space="preserve">BED-001</x:t>
  </x:si>
  <x:si>
    <x:t xml:space="preserve">Fake tests cover success, timeout and malformed response.</x:t>
  </x:si>
  <x:si>
    <x:t xml:space="preserve">pytest tests/unit/test_llm_provider.py -q</x:t>
  </x:si>
  <x:si>
    <x:t xml:space="preserve">Normalized errors and usage fields are stable.</x:t>
  </x:si>
  <x:si>
    <x:t xml:space="preserve">docs/test-evidence/W3-01-llm-contract.txt</x:t>
  </x:si>
  <x:si>
    <x:t xml:space="preserve">ADR-002, ADR-004</x:t>
  </x:si>
  <x:si>
    <x:t xml:space="preserve">Switch configuration back to fake provider.</x:t>
  </x:si>
  <x:si>
    <x:t xml:space="preserve">W3-02</x:t>
  </x:si>
  <x:si>
    <x:t xml:space="preserve">AWS AI adapter</x:t>
  </x:si>
  <x:si>
    <x:t xml:space="preserve">Implement Bedrock adapter behind marked integration tests.</x:t>
  </x:si>
  <x:si>
    <x:t xml:space="preserve">Bedrock is the primary AWS model boundary without GPU operations.</x:t>
  </x:si>
  <x:si>
    <x:t xml:space="preserve">AWS-002, BED-001</x:t>
  </x:si>
  <x:si>
    <x:t xml:space="preserve">Adapter has deadlines/retry caps and no hard-coded model ID.</x:t>
  </x:si>
  <x:si>
    <x:t xml:space="preserve">pytest tests/unit/test_bedrock_adapter.py -q</x:t>
  </x:si>
  <x:si>
    <x:t xml:space="preserve">Offline tests pass; live test is skipped unless explicitly enabled.</x:t>
  </x:si>
  <x:si>
    <x:t xml:space="preserve">docs/test-evidence/W3-02-bedrock.txt</x:t>
  </x:si>
  <x:si>
    <x:t xml:space="preserve">ADR-004</x:t>
  </x:si>
  <x:si>
    <x:t xml:space="preserve">Set LLM_PROVIDER=fake; revoke test session if created.</x:t>
  </x:si>
  <x:si>
    <x:t xml:space="preserve">W3-03</x:t>
  </x:si>
  <x:si>
    <x:t xml:space="preserve">Prompt boundary</x:t>
  </x:si>
  <x:si>
    <x:t xml:space="preserve">Create versioned evidence-bound prompt template.</x:t>
  </x:si>
  <x:si>
    <x:t xml:space="preserve">Retrieved documents are data, never instructions.</x:t>
  </x:si>
  <x:si>
    <x:t xml:space="preserve">Prompt clearly delimits evidence and demands citations/abstention.</x:t>
  </x:si>
  <x:si>
    <x:t xml:space="preserve">pytest tests/unit/test_prompt_template.py -q</x:t>
  </x:si>
  <x:si>
    <x:t xml:space="preserve">Injection fixture cannot override system policy.</x:t>
  </x:si>
  <x:si>
    <x:t xml:space="preserve">docs/test-evidence/W3-03-prompt.txt</x:t>
  </x:si>
  <x:si>
    <x:t xml:space="preserve">ADR-006, ADR-017</x:t>
  </x:si>
  <x:si>
    <x:t xml:space="preserve">Restore previous approved prompt version.</x:t>
  </x:si>
  <x:si>
    <x:t xml:space="preserve">W3-04</x:t>
  </x:si>
  <x:si>
    <x:t xml:space="preserve">RAG pipeline</x:t>
  </x:si>
  <x:si>
    <x:t xml:space="preserve">Authorize, retrieve, grade, generate and validate citations.</x:t>
  </x:si>
  <x:si>
    <x:t xml:space="preserve">This is the core safe-answer path.</x:t>
  </x:si>
  <x:si>
    <x:t xml:space="preserve">RAG-001</x:t>
  </x:si>
  <x:si>
    <x:t xml:space="preserve">Structured Answer contains only supplied source IDs.</x:t>
  </x:si>
  <x:si>
    <x:t xml:space="preserve">pytest tests/unit/test_rag_pipeline.py -q</x:t>
  </x:si>
  <x:si>
    <x:t xml:space="preserve">Good evidence answers; low evidence abstains.</x:t>
  </x:si>
  <x:si>
    <x:t xml:space="preserve">docs/test-evidence/W3-04-rag.txt</x:t>
  </x:si>
  <x:si>
    <x:t xml:space="preserve">W3-01:W3-03,W2-09</x:t>
  </x:si>
  <x:si>
    <x:t xml:space="preserve">Switch to last-known-good prompt/model/retriever configuration.</x:t>
  </x:si>
  <x:si>
    <x:t xml:space="preserve">W3-05</x:t>
  </x:si>
  <x:si>
    <x:t xml:space="preserve">Guardrails</x:t>
  </x:si>
  <x:si>
    <x:t xml:space="preserve">Add deterministic input/output/citation safety checks.</x:t>
  </x:si>
  <x:si>
    <x:t xml:space="preserve">Deterministic policy must surround probabilistic generation.</x:t>
  </x:si>
  <x:si>
    <x:t xml:space="preserve">W3-003</x:t>
  </x:si>
  <x:si>
    <x:t xml:space="preserve">SEC-001, DATA-002</x:t>
  </x:si>
  <x:si>
    <x:t xml:space="preserve">Malformed, unauthorized and uncited outputs fail safely.</x:t>
  </x:si>
  <x:si>
    <x:t xml:space="preserve">pytest tests/security tests/unit/test_guardrails.py -q</x:t>
  </x:si>
  <x:si>
    <x:t xml:space="preserve">Security suite passes with redacted logs.</x:t>
  </x:si>
  <x:si>
    <x:t xml:space="preserve">docs/test-evidence/W3-05-guardrails.txt</x:t>
  </x:si>
  <x:si>
    <x:t xml:space="preserve">Disable affected model route and return safe refusal.</x:t>
  </x:si>
  <x:si>
    <x:t xml:space="preserve">W3-06</x:t>
  </x:si>
  <x:si>
    <x:t xml:space="preserve">Evaluation data</x:t>
  </x:si>
  <x:si>
    <x:t xml:space="preserve">Create 25+ golden cases with sources, facts, tenant and safety tags.</x:t>
  </x:si>
  <x:si>
    <x:t xml:space="preserve">Quality thresholds require versioned, representative truth data.</x:t>
  </x:si>
  <x:si>
    <x:t xml:space="preserve">W3-002</x:t>
  </x:si>
  <x:si>
    <x:t xml:space="preserve">EVAL-001, DATA-001</x:t>
  </x:si>
  <x:si>
    <x:t xml:space="preserve">Dataset passes schema and privacy review.</x:t>
  </x:si>
  <x:si>
    <x:t xml:space="preserve">python tools/validate_eval_dataset.py configs/eval/golden.jsonl</x:t>
  </x:si>
  <x:si>
    <x:t xml:space="preserve">25+ valid cases; no prohibited data.</x:t>
  </x:si>
  <x:si>
    <x:t xml:space="preserve">docs/test-evidence/W3-06-golden.txt</x:t>
  </x:si>
  <x:si>
    <x:t xml:space="preserve">Revert dataset version; never silently edit expected answers.</x:t>
  </x:si>
  <x:si>
    <x:t xml:space="preserve">W3-07</x:t>
  </x:si>
  <x:si>
    <x:t xml:space="preserve">Evaluation harness</x:t>
  </x:si>
  <x:si>
    <x:t xml:space="preserve">Measure retrieval, citations, abstention, latency and cost.</x:t>
  </x:si>
  <x:si>
    <x:t xml:space="preserve">Promotion must rely on repeatable evidence, not a demo.</x:t>
  </x:si>
  <x:si>
    <x:t xml:space="preserve">EVAL-001</x:t>
  </x:si>
  <x:si>
    <x:t xml:space="preserve">Baseline report and nonzero regression exit behavior exist.</x:t>
  </x:si>
  <x:si>
    <x:t xml:space="preserve">python -m enterprise_ai.evaluation.run --dataset configs/eval/golden.jsonl --out reports/eval.json</x:t>
  </x:si>
  <x:si>
    <x:t xml:space="preserve">Recall@5, citation precision, groundedness, latency and estimated cost recorded.</x:t>
  </x:si>
  <x:si>
    <x:t xml:space="preserve">reports/eval.json</x:t>
  </x:si>
  <x:si>
    <x:t xml:space="preserve">W3-04,W3-06</x:t>
  </x:si>
  <x:si>
    <x:t xml:space="preserve">Restore last approved baseline; block release on unresolved regression.</x:t>
  </x:si>
  <x:si>
    <x:t xml:space="preserve">W3-08</x:t>
  </x:si>
  <x:si>
    <x:t xml:space="preserve">Security testing</x:t>
  </x:si>
  <x:si>
    <x:t xml:space="preserve">Test injection, cross-tenant retrieval, unsafe output and logging redaction.</x:t>
  </x:si>
  <x:si>
    <x:t xml:space="preserve">RAG expands the attack surface through untrusted content.</x:t>
  </x:si>
  <x:si>
    <x:t xml:space="preserve">All adversarial fixtures fail safely.</x:t>
  </x:si>
  <x:si>
    <x:t xml:space="preserve">pytest tests/security -q</x:t>
  </x:si>
  <x:si>
    <x:t xml:space="preserve">No unauthorized chunk/action; no raw content in logs.</x:t>
  </x:si>
  <x:si>
    <x:t xml:space="preserve">docs/test-evidence/W3-08-security.txt</x:t>
  </x:si>
  <x:si>
    <x:t xml:space="preserve">Disable affected path; purge/re-index poisoned test document.</x:t>
  </x:si>
  <x:si>
    <x:t xml:space="preserve">W3-09</x:t>
  </x:si>
  <x:si>
    <x:t xml:space="preserve">Telemetry</x:t>
  </x:si>
  <x:si>
    <x:t xml:space="preserve">Record retrieval/model/token/guardrail metrics without content.</x:t>
  </x:si>
  <x:si>
    <x:t xml:space="preserve">Stage-level data explains latency, errors and cost.</x:t>
  </x:si>
  <x:si>
    <x:t xml:space="preserve">W4-003</x:t>
  </x:si>
  <x:si>
    <x:t xml:space="preserve">OBS-001</x:t>
  </x:si>
  <x:si>
    <x:t xml:space="preserve">Metrics include versions/outcomes and exclude prompt/document text.</x:t>
  </x:si>
  <x:si>
    <x:t xml:space="preserve">pytest tests/unit/test_telemetry.py -q</x:t>
  </x:si>
  <x:si>
    <x:t xml:space="preserve">Redaction tests pass; metrics names are documented.</x:t>
  </x:si>
  <x:si>
    <x:t xml:space="preserve">docs/test-evidence/W3-09-telemetry.txt</x:t>
  </x:si>
  <x:si>
    <x:t xml:space="preserve">ADR-008</x:t>
  </x:si>
  <x:si>
    <x:t xml:space="preserve">Disable exporter or revert instrumentation, not core answer path.</x:t>
  </x:si>
  <x:si>
    <x:t xml:space="preserve">W3-10</x:t>
  </x:si>
  <x:si>
    <x:t xml:space="preserve">Regression gate</x:t>
  </x:si>
  <x:si>
    <x:t xml:space="preserve">Set initial thresholds: Recall@5 &gt;=0.85 and citation-valid/safe-abstain &gt;=95%.</x:t>
  </x:si>
  <x:si>
    <x:t xml:space="preserve">Thresholds convert evaluation into a release decision.</x:t>
  </x:si>
  <x:si>
    <x:t xml:space="preserve">SLO-001</x:t>
  </x:si>
  <x:si>
    <x:t xml:space="preserve">CI-style command fails on a material regression.</x:t>
  </x:si>
  <x:si>
    <x:t xml:space="preserve">make evaluate</x:t>
  </x:si>
  <x:si>
    <x:t xml:space="preserve">Baseline passes; synthetic regression fails.</x:t>
  </x:si>
  <x:si>
    <x:t xml:space="preserve">docs/test-evidence/W3-10-gate.txt</x:t>
  </x:si>
  <x:si>
    <x:t xml:space="preserve">Revert candidate prompt/model/index and preserve failing evidence.</x:t>
  </x:si>
  <x:si>
    <x:t xml:space="preserve">W3-11</x:t>
  </x:si>
  <x:si>
    <x:t xml:space="preserve">Rollback drill</x:t>
  </x:si>
  <x:si>
    <x:t xml:space="preserve">Restore prior prompt/model/retriever/index configuration and re-evaluate.</x:t>
  </x:si>
  <x:si>
    <x:t xml:space="preserve">RAG changes can regress without application code changes.</x:t>
  </x:si>
  <x:si>
    <x:t xml:space="preserve">W3-ROLLBACK-001</x:t>
  </x:si>
  <x:si>
    <x:t xml:space="preserve">Last-known-good configuration returns baseline results.</x:t>
  </x:si>
  <x:si>
    <x:t xml:space="preserve">make rollback-rag &amp;&amp; make evaluate</x:t>
  </x:si>
  <x:si>
    <x:t xml:space="preserve">Rollback record identifies versions and post-rollback metrics.</x:t>
  </x:si>
  <x:si>
    <x:t xml:space="preserve">docs/rollback-records/W3-rag.md</x:t>
  </x:si>
  <x:si>
    <x:t xml:space="preserve">ADR-012</x:t>
  </x:si>
  <x:si>
    <x:t xml:space="preserve">Forward-fix only after a new feature cycle.</x:t>
  </x:si>
  <x:si>
    <x:t xml:space="preserve">W3-12</x:t>
  </x:si>
  <x:si>
    <x:t xml:space="preserve">Approve cited RAG and quality gate before adding agent behavior.</x:t>
  </x:si>
  <x:si>
    <x:t xml:space="preserve">Agent tools should not be added to an ungrounded answer system.</x:t>
  </x:si>
  <x:si>
    <x:t xml:space="preserve">APP-001</x:t>
  </x:si>
  <x:si>
    <x:t xml:space="preserve">Grounded answer or abstention works; security/regression/rollback tests pass.</x:t>
  </x:si>
  <x:si>
    <x:t xml:space="preserve">make test &amp;&amp; make evaluate</x:t>
  </x:si>
  <x:si>
    <x:t xml:space="preserve">Owner sign-off and unresolved metrics documented.</x:t>
  </x:si>
  <x:si>
    <x:t xml:space="preserve">docs/deployment-records/W3-signoff.md</x:t>
  </x:si>
  <x:si>
    <x:t xml:space="preserve">W3-01:W3-11</x:t>
  </x:si>
  <x:si>
    <x:t xml:space="preserve">Keep agent endpoints disabled until approved.</x:t>
  </x:si>
  <x:si>
    <x:t xml:space="preserve">W4-01</x:t>
  </x:si>
  <x:si>
    <x:t xml:space="preserve">API</x:t>
  </x:si>
  <x:si>
    <x:t xml:space="preserve">Implement health, query and agent endpoints using dependency interfaces.</x:t>
  </x:si>
  <x:si>
    <x:t xml:space="preserve">A thin typed boundary isolates clients from implementation details.</x:t>
  </x:si>
  <x:si>
    <x:t xml:space="preserve">W4-001</x:t>
  </x:si>
  <x:si>
    <x:t xml:space="preserve">Endpoints return normalized schemas and request IDs.</x:t>
  </x:si>
  <x:si>
    <x:t xml:space="preserve">pytest tests/unit/test_api.py -q</x:t>
  </x:si>
  <x:si>
    <x:t xml:space="preserve">Health and fake query tests pass; no internal prompt/error leak.</x:t>
  </x:si>
  <x:si>
    <x:t xml:space="preserve">docs/test-evidence/W4-01-api.txt</x:t>
  </x:si>
  <x:si>
    <x:t xml:space="preserve">ADR-007</x:t>
  </x:si>
  <x:si>
    <x:t xml:space="preserve">Roll back image/config and disable new route.</x:t>
  </x:si>
  <x:si>
    <x:t xml:space="preserve">W4-02</x:t>
  </x:si>
  <x:si>
    <x:t xml:space="preserve">Implement auth context interface and deny before retrieval/action.</x:t>
  </x:si>
  <x:si>
    <x:t xml:space="preserve">Identity and authorization are deterministic platform controls.</x:t>
  </x:si>
  <x:si>
    <x:t xml:space="preserve">Unauthorized query never invokes retriever or tool.</x:t>
  </x:si>
  <x:si>
    <x:t xml:space="preserve">pytest tests/security/test_api_authorization.py -q</x:t>
  </x:si>
  <x:si>
    <x:t xml:space="preserve">Mock call assertions prove deny-before-retrieve.</x:t>
  </x:si>
  <x:si>
    <x:t xml:space="preserve">docs/test-evidence/W4-02-auth.txt</x:t>
  </x:si>
  <x:si>
    <x:t xml:space="preserve">Disable endpoint or restore previous auth dependency.</x:t>
  </x:si>
  <x:si>
    <x:t xml:space="preserve">W4-03</x:t>
  </x:si>
  <x:si>
    <x:t xml:space="preserve">Agent state</x:t>
  </x:si>
  <x:si>
    <x:t xml:space="preserve">Define typed LangGraph state, explicit nodes and terminal outcomes.</x:t>
  </x:si>
  <x:si>
    <x:t xml:space="preserve">Agents are bounded workflows, not autonomous black boxes.</x:t>
  </x:si>
  <x:si>
    <x:t xml:space="preserve">W4-002</x:t>
  </x:si>
  <x:si>
    <x:t xml:space="preserve">Every path reaches answer, denied, rejected, timed-out or safe-terminal.</x:t>
  </x:si>
  <x:si>
    <x:t xml:space="preserve">pytest tests/unit/test_agent_graph.py -q</x:t>
  </x:si>
  <x:si>
    <x:t xml:space="preserve">Graph routing tests pass; Mermaid matches implementation.</x:t>
  </x:si>
  <x:si>
    <x:t xml:space="preserve">docs/test-evidence/W4-03-graph.txt</x:t>
  </x:si>
  <x:si>
    <x:t xml:space="preserve">ADR-005</x:t>
  </x:si>
  <x:si>
    <x:t xml:space="preserve">Feature flag disables graph; query endpoint remains read-only.</x:t>
  </x:si>
  <x:si>
    <x:t xml:space="preserve">W4-04</x:t>
  </x:si>
  <x:si>
    <x:t xml:space="preserve">Tools</x:t>
  </x:si>
  <x:si>
    <x:t xml:space="preserve">Add one read-only status tool with narrow schema.</x:t>
  </x:si>
  <x:si>
    <x:t xml:space="preserve">Read-only tool proves integration at low consequence.</x:t>
  </x:si>
  <x:si>
    <x:t xml:space="preserve">Allowlist and JSON schema reject malformed calls.</x:t>
  </x:si>
  <x:si>
    <x:t xml:space="preserve">pytest tests/unit/test_agent_tools.py -q</x:t>
  </x:si>
  <x:si>
    <x:t xml:space="preserve">Only allowlisted tool executes; output is normalized/redacted.</x:t>
  </x:si>
  <x:si>
    <x:t xml:space="preserve">docs/test-evidence/W4-04-read-tool.txt</x:t>
  </x:si>
  <x:si>
    <x:t xml:space="preserve">Remove tool registration and restore prior graph.</x:t>
  </x:si>
  <x:si>
    <x:t xml:space="preserve">W4-05</x:t>
  </x:si>
  <x:si>
    <x:t xml:space="preserve">Human approval</x:t>
  </x:si>
  <x:si>
    <x:t xml:space="preserve">Add mocked write tool that requires durable approval.</x:t>
  </x:si>
  <x:si>
    <x:t xml:space="preserve">Consequential actions cannot rely on model intent.</x:t>
  </x:si>
  <x:si>
    <x:t xml:space="preserve">No approval/rejection/expired approval prevents execution.</x:t>
  </x:si>
  <x:si>
    <x:t xml:space="preserve">pytest tests/security/test_agent_approval.py -q</x:t>
  </x:si>
  <x:si>
    <x:t xml:space="preserve">100% write executions have valid approval and idempotency key.</x:t>
  </x:si>
  <x:si>
    <x:t xml:space="preserve">docs/test-evidence/W4-05-approval.txt</x:t>
  </x:si>
  <x:si>
    <x:t xml:space="preserve">ADR-005, ADR-006</x:t>
  </x:si>
  <x:si>
    <x:t xml:space="preserve">W4-03,W4-04</x:t>
  </x:si>
  <x:si>
    <x:t xml:space="preserve">Disable write-tool feature flag and invalidate pending approvals.</x:t>
  </x:si>
  <x:si>
    <x:t xml:space="preserve">W4-06</x:t>
  </x:si>
  <x:si>
    <x:t xml:space="preserve">Budgets</x:t>
  </x:si>
  <x:si>
    <x:t xml:space="preserve">Enforce step, tool-call, token/time deadline and retry limits.</x:t>
  </x:si>
  <x:si>
    <x:t xml:space="preserve">Bounds prevent loops, retry storms and unplanned model spend.</x:t>
  </x:si>
  <x:si>
    <x:t xml:space="preserve">COST-001</x:t>
  </x:si>
  <x:si>
    <x:t xml:space="preserve">Budget-exceeded paths stop safely and record reason.</x:t>
  </x:si>
  <x:si>
    <x:t xml:space="preserve">pytest tests/unit/test_agent_budgets.py -q</x:t>
  </x:si>
  <x:si>
    <x:t xml:space="preserve">No repeated tool execution; timeouts are bounded.</x:t>
  </x:si>
  <x:si>
    <x:t xml:space="preserve">docs/test-evidence/W4-06-budgets.txt</x:t>
  </x:si>
  <x:si>
    <x:t xml:space="preserve">Reduce limits or disable agent route.</x:t>
  </x:si>
  <x:si>
    <x:t xml:space="preserve">W4-07</x:t>
  </x:si>
  <x:si>
    <x:t xml:space="preserve">State security</x:t>
  </x:si>
  <x:si>
    <x:t xml:space="preserve">Persist only redacted agent state and audit decisions.</x:t>
  </x:si>
  <x:si>
    <x:t xml:space="preserve">Checkpoints must not become a secret/PII store.</x:t>
  </x:si>
  <x:si>
    <x:t xml:space="preserve">RET-001</x:t>
  </x:si>
  <x:si>
    <x:t xml:space="preserve">State fixture contains IDs/outcomes but no content/secrets.</x:t>
  </x:si>
  <x:si>
    <x:t xml:space="preserve">pytest tests/security/test_agent_state_redaction.py -q</x:t>
  </x:si>
  <x:si>
    <x:t xml:space="preserve">Redaction assertion passes.</x:t>
  </x:si>
  <x:si>
    <x:t xml:space="preserve">docs/test-evidence/W4-07-state.txt</x:t>
  </x:si>
  <x:si>
    <x:t xml:space="preserve">Purge test checkpoints and restore safe serializer.</x:t>
  </x:si>
  <x:si>
    <x:t xml:space="preserve">W4-08</x:t>
  </x:si>
  <x:si>
    <x:t xml:space="preserve">Observability</x:t>
  </x:si>
  <x:si>
    <x:t xml:space="preserve">Trace API to retrieval, LLM, guardrail, approval and tool.</x:t>
  </x:si>
  <x:si>
    <x:t xml:space="preserve">Correlated traces make probabilistic workflows diagnosable.</x:t>
  </x:si>
  <x:si>
    <x:t xml:space="preserve">One local trace contains all stages and safe attributes.</x:t>
  </x:si>
  <x:si>
    <x:t xml:space="preserve">pytest tests/feature/test_trace_correlation.py -q</x:t>
  </x:si>
  <x:si>
    <x:t xml:space="preserve">Trace ID links JSON logs and spans; content is redacted.</x:t>
  </x:si>
  <x:si>
    <x:t xml:space="preserve">docs/test-evidence/W4-08-trace.json</x:t>
  </x:si>
  <x:si>
    <x:t xml:space="preserve">W4-01:W4-07</x:t>
  </x:si>
  <x:si>
    <x:t xml:space="preserve">Disable exporter; preserve local logs and core service.</x:t>
  </x:si>
  <x:si>
    <x:t xml:space="preserve">W4-09</x:t>
  </x:si>
  <x:si>
    <x:t xml:space="preserve">Failure testing</x:t>
  </x:si>
  <x:si>
    <x:t xml:space="preserve">Exercise denial, malformed args, injection, timeout, loop and rejection.</x:t>
  </x:si>
  <x:si>
    <x:t xml:space="preserve">Agent safety is proven through negative paths.</x:t>
  </x:si>
  <x:si>
    <x:t xml:space="preserve">All failure modes terminate without write side effects.</x:t>
  </x:si>
  <x:si>
    <x:t xml:space="preserve">pytest tests/security/test_agent_* tests/feature/test_agent_failures.py -q</x:t>
  </x:si>
  <x:si>
    <x:t xml:space="preserve">Audit records show safe terminal reason.</x:t>
  </x:si>
  <x:si>
    <x:t xml:space="preserve">docs/test-evidence/W4-09-failures.txt</x:t>
  </x:si>
  <x:si>
    <x:t xml:space="preserve">ADR-005, ADR-017</x:t>
  </x:si>
  <x:si>
    <x:t xml:space="preserve">W4-05:W4-08</x:t>
  </x:si>
  <x:si>
    <x:t xml:space="preserve">Disable agent endpoint and preserve evidence.</x:t>
  </x:si>
  <x:si>
    <x:t xml:space="preserve">W4-10</x:t>
  </x:si>
  <x:si>
    <x:t xml:space="preserve">Performance</x:t>
  </x:si>
  <x:si>
    <x:t xml:space="preserve">Run bounded local smoke/load test with fake/approved model.</x:t>
  </x:si>
  <x:si>
    <x:t xml:space="preserve">Concurrency and timeouts must fail predictably before EKS.</x:t>
  </x:si>
  <x:si>
    <x:t xml:space="preserve">No unbounded queue; p95/p99 baseline is recorded.</x:t>
  </x:si>
  <x:si>
    <x:t xml:space="preserve">pytest tests/feature/test_api_load_smoke.py -q</x:t>
  </x:si>
  <x:si>
    <x:t xml:space="preserve">Latency/error/concurrency report is redacted.</x:t>
  </x:si>
  <x:si>
    <x:t xml:space="preserve">docs/test-evidence/W4-10-load.json</x:t>
  </x:si>
  <x:si>
    <x:t xml:space="preserve">ADR-007, ADR-008</x:t>
  </x:si>
  <x:si>
    <x:t xml:space="preserve">W4-01,W4-06</x:t>
  </x:si>
  <x:si>
    <x:t xml:space="preserve">Reduce traffic; revert concurrency settings.</x:t>
  </x:si>
  <x:si>
    <x:t xml:space="preserve">W4-11</x:t>
  </x:si>
  <x:si>
    <x:t xml:space="preserve">Release rollback</x:t>
  </x:si>
  <x:si>
    <x:t xml:space="preserve">Deploy local immutable version N+1, force regression and restore N.</x:t>
  </x:si>
  <x:si>
    <x:t xml:space="preserve">Release rollback is separate from infrastructure rollback.</x:t>
  </x:si>
  <x:si>
    <x:t xml:space="preserve">W4-ROLLBACK-001</x:t>
  </x:si>
  <x:si>
    <x:t xml:space="preserve">N becomes healthy and passes feature tests after rollback.</x:t>
  </x:si>
  <x:si>
    <x:t xml:space="preserve">make rollback-release &amp;&amp; make smoke</x:t>
  </x:si>
  <x:si>
    <x:t xml:space="preserve">Rollback duration and health evidence recorded.</x:t>
  </x:si>
  <x:si>
    <x:t xml:space="preserve">docs/rollback-records/W4-release.md</x:t>
  </x:si>
  <x:si>
    <x:t xml:space="preserve">W4-01:W4-10</x:t>
  </x:si>
  <x:si>
    <x:t xml:space="preserve">Keep agent route disabled until the failure is fixed.</x:t>
  </x:si>
  <x:si>
    <x:t xml:space="preserve">W4-12</x:t>
  </x:si>
  <x:si>
    <x:t xml:space="preserve">Approve controlled API/agent and Week 5 AWS inputs.</x:t>
  </x:si>
  <x:si>
    <x:t xml:space="preserve">Cloud infrastructure should not be planned for an unsafe runtime.</x:t>
  </x:si>
  <x:si>
    <x:t xml:space="preserve">AWS-001, AWS-002, NET-001, TAG-001, COST-001</x:t>
  </x:si>
  <x:si>
    <x:t xml:space="preserve">All consequential actions are policy-valid and approved.</x:t>
  </x:si>
  <x:si>
    <x:t xml:space="preserve">make test &amp;&amp; make security-scan</x:t>
  </x:si>
  <x:si>
    <x:t xml:space="preserve">Owner signs graph, API, evidence and rollback record.</x:t>
  </x:si>
  <x:si>
    <x:t xml:space="preserve">docs/deployment-records/W4-signoff.md</x:t>
  </x:si>
  <x:si>
    <x:t xml:space="preserve">W4-01:W4-11</x:t>
  </x:si>
  <x:si>
    <x:t xml:space="preserve">Do not begin Terraform plan until inputs and cost ceiling are approved.</x:t>
  </x:si>
  <x:si>
    <x:t xml:space="preserve">W5-01</x:t>
  </x:si>
  <x:si>
    <x:t xml:space="preserve">AWS inputs</x:t>
  </x:si>
  <x:si>
    <x:t xml:space="preserve">Confirm sandbox account, region, network, tags, data residency and budget ceiling.</x:t>
  </x:si>
  <x:si>
    <x:t xml:space="preserve">Terraform cannot be safely reviewed with ambiguous ownership or cost.</x:t>
  </x:si>
  <x:si>
    <x:t xml:space="preserve">W5-INPUTS-001</x:t>
  </x:si>
  <x:si>
    <x:t xml:space="preserve">AWS-001, AWS-002, NET-001, TAG-001, COST-001, PRIV-001</x:t>
  </x:si>
  <x:si>
    <x:t xml:space="preserve">All variables are non-secret and approved.</x:t>
  </x:si>
  <x:si>
    <x:t xml:space="preserve">Review infra/environments/sandbox/terraform.tfvars.example</x:t>
  </x:si>
  <x:si>
    <x:t xml:space="preserve">No credential/secret value is requested.</x:t>
  </x:si>
  <x:si>
    <x:t xml:space="preserve">docs/cost-estimates/W5-inputs.md</x:t>
  </x:si>
  <x:si>
    <x:t xml:space="preserve">Do not initialize/apply until inputs are approved.</x:t>
  </x:si>
  <x:si>
    <x:t xml:space="preserve">W5-02</x:t>
  </x:si>
  <x:si>
    <x:t xml:space="preserve">State bootstrap</x:t>
  </x:si>
  <x:si>
    <x:t xml:space="preserve">Build isolated encrypted/versioned S3 state and Terraform 1.5 DynamoDB locking stack.</x:t>
  </x:si>
  <x:si>
    <x:t xml:space="preserve">State must survive platform rollback and be removed last during full teardown.</x:t>
  </x:si>
  <x:si>
    <x:t xml:space="preserve">W5-001</x:t>
  </x:si>
  <x:si>
    <x:t xml:space="preserve">fmt/validate/Checkov pass; apply remains manual.</x:t>
  </x:si>
  <x:si>
    <x:t xml:space="preserve">terraform -chdir=infra/bootstrap fmt -check &amp;&amp; terraform -chdir=infra/bootstrap validate</x:t>
  </x:si>
  <x:si>
    <x:t xml:space="preserve">Bootstrap plan contains only expected resources.</x:t>
  </x:si>
  <x:si>
    <x:t xml:space="preserve">docs/test-evidence/W5-02-bootstrap.txt</x:t>
  </x:si>
  <x:si>
    <x:t xml:space="preserve">Destroy platform first; bootstrap destroy is separately reviewed.</x:t>
  </x:si>
  <x:si>
    <x:t xml:space="preserve">W5-03</x:t>
  </x:si>
  <x:si>
    <x:t xml:space="preserve">Security foundation</x:t>
  </x:si>
  <x:si>
    <x:t xml:space="preserve">Create KMS, private/versioned S3 and secret-metadata modules.</x:t>
  </x:si>
  <x:si>
    <x:t xml:space="preserve">Encryption and secret separation are foundational controls.</x:t>
  </x:si>
  <x:si>
    <x:t xml:space="preserve">KMS-001, TAG-001</x:t>
  </x:si>
  <x:si>
    <x:t xml:space="preserve">No public access or secret value resource exists.</x:t>
  </x:si>
  <x:si>
    <x:t xml:space="preserve">terraform -chdir=infra/environments/sandbox validate &amp;&amp; checkov -d infra/modules</x:t>
  </x:si>
  <x:si>
    <x:t xml:space="preserve">Security controls pass; deletion settings are explicit.</x:t>
  </x:si>
  <x:si>
    <x:t xml:space="preserve">docs/test-evidence/W5-03-security.txt</x:t>
  </x:si>
  <x:si>
    <x:t xml:space="preserve">ADR-009, ADR-014</x:t>
  </x:si>
  <x:si>
    <x:t xml:space="preserve">W5-01,W5-02</x:t>
  </x:si>
  <x:si>
    <x:t xml:space="preserve">Apply prior Terraform version; use purge only for disposable sandbox.</x:t>
  </x:si>
  <x:si>
    <x:t xml:space="preserve">W5-04</x:t>
  </x:si>
  <x:si>
    <x:t xml:space="preserve">IAM</x:t>
  </x:si>
  <x:si>
    <x:t xml:space="preserve">Create least-privilege runtime, ingestion and GitHub OIDC roles.</x:t>
  </x:si>
  <x:si>
    <x:t xml:space="preserve">Workloads need short-lived, separated permissions.</x:t>
  </x:si>
  <x:si>
    <x:t xml:space="preserve">GHA-001, BED-001, TAG-001</x:t>
  </x:si>
  <x:si>
    <x:t xml:space="preserve">No wildcard action/resource without reviewed exception.</x:t>
  </x:si>
  <x:si>
    <x:t xml:space="preserve">checkov -d infra &amp;&amp; opa test policies/opa -v</x:t>
  </x:si>
  <x:si>
    <x:t xml:space="preserve">Trust policies bind approved repo/environment and workload identity.</x:t>
  </x:si>
  <x:si>
    <x:t xml:space="preserve">docs/test-evidence/W5-04-iam.txt</x:t>
  </x:si>
  <x:si>
    <x:t xml:space="preserve">ADR-006, ADR-010</x:t>
  </x:si>
  <x:si>
    <x:t xml:space="preserve">Disable role session/restore prior policy; do not store keys.</x:t>
  </x:si>
  <x:si>
    <x:t xml:space="preserve">W5-05</x:t>
  </x:si>
  <x:si>
    <x:t xml:space="preserve">AWS retrieval</x:t>
  </x:si>
  <x:si>
    <x:t xml:space="preserve">Create private encrypted OpenSearch and ECR modules.</x:t>
  </x:si>
  <x:si>
    <x:t xml:space="preserve">OpenSearch is the AWS vector target; ECR stores immutable images.</x:t>
  </x:si>
  <x:si>
    <x:t xml:space="preserve">NET-001, TAG-001</x:t>
  </x:si>
  <x:si>
    <x:t xml:space="preserve">Private network, TLS, encryption, logs and access controls are planned.</x:t>
  </x:si>
  <x:si>
    <x:t xml:space="preserve">terraform -chdir=infra/environments/sandbox plan -out=tfplan</x:t>
  </x:si>
  <x:si>
    <x:t xml:space="preserve">Plan summary shows only expected resources and estimated baseline cost.</x:t>
  </x:si>
  <x:si>
    <x:t xml:space="preserve">docs/test-evidence/W5-05-platform-plan.txt</x:t>
  </x:si>
  <x:si>
    <x:t xml:space="preserve">ADR-003, ADR-015</x:t>
  </x:si>
  <x:si>
    <x:t xml:space="preserve">W5-03,W5-04</x:t>
  </x:si>
  <x:si>
    <x:t xml:space="preserve">Apply reviewed previous Terraform version or destroy disposable resources in order.</x:t>
  </x:si>
  <x:si>
    <x:t xml:space="preserve">W5-06</x:t>
  </x:si>
  <x:si>
    <x:t xml:space="preserve">Policy as code</x:t>
  </x:si>
  <x:si>
    <x:t xml:space="preserve">Implement OPA and Checkov security/tagging policies with fixtures.</x:t>
  </x:si>
  <x:si>
    <x:t xml:space="preserve">Policy gates make critical architecture decisions executable.</x:t>
  </x:si>
  <x:si>
    <x:t xml:space="preserve">W5-003</x:t>
  </x:si>
  <x:si>
    <x:t xml:space="preserve">AWS-002, TAG-001</x:t>
  </x:si>
  <x:si>
    <x:t xml:space="preserve">Insecure fixtures fail; secure fixtures pass.</x:t>
  </x:si>
  <x:si>
    <x:t xml:space="preserve">opa test policies/opa -v &amp;&amp; checkov -d infra</x:t>
  </x:si>
  <x:si>
    <x:t xml:space="preserve">Failures identify resource/rule/remediation.</x:t>
  </x:si>
  <x:si>
    <x:t xml:space="preserve">docs/test-evidence/W5-06-policy.txt</x:t>
  </x:si>
  <x:si>
    <x:t xml:space="preserve">ADR-010, ADR-017</x:t>
  </x:si>
  <x:si>
    <x:t xml:space="preserve">W5-03:W5-05</x:t>
  </x:si>
  <x:si>
    <x:t xml:space="preserve">Revert candidate policy only through reviewed exception/ADR.</x:t>
  </x:si>
  <x:si>
    <x:t xml:space="preserve">W5-07</x:t>
  </x:si>
  <x:si>
    <x:t xml:space="preserve">CI/CD</x:t>
  </x:si>
  <x:si>
    <x:t xml:space="preserve">Create PR CI and Terraform-plan workflow using GitHub OIDC.</x:t>
  </x:si>
  <x:si>
    <x:t xml:space="preserve">Automated gates and short-lived identity reduce change and credential risk.</x:t>
  </x:si>
  <x:si>
    <x:t xml:space="preserve">W5-002</x:t>
  </x:si>
  <x:si>
    <x:t xml:space="preserve">GHA-001</x:t>
  </x:si>
  <x:si>
    <x:t xml:space="preserve">All required checks run; apply/destroy are owner-gated.</x:t>
  </x:si>
  <x:si>
    <x:t xml:space="preserve">Review .github/workflows and run actionlint if available</x:t>
  </x:si>
  <x:si>
    <x:t xml:space="preserve">No access-key secret; immutable action pins are TODO/approved.</x:t>
  </x:si>
  <x:si>
    <x:t xml:space="preserve">docs/test-evidence/W5-07-ci.txt</x:t>
  </x:si>
  <x:si>
    <x:t xml:space="preserve">W5-04,W5-06</x:t>
  </x:si>
  <x:si>
    <x:t xml:space="preserve">Disable workflow; revoke OIDC trust; keep last good release.</x:t>
  </x:si>
  <x:si>
    <x:t xml:space="preserve">W5-08</x:t>
  </x:si>
  <x:si>
    <x:t xml:space="preserve">Supply chain</x:t>
  </x:si>
  <x:si>
    <x:t xml:space="preserve">Build image, scan with Trivy/Grype and generate Syft SBOM.</x:t>
  </x:si>
  <x:si>
    <x:t xml:space="preserve">Deployment must use a known, scanned immutable artifact.</x:t>
  </x:si>
  <x:si>
    <x:t xml:space="preserve">Critical findings fail per policy and SBOM is retained.</x:t>
  </x:si>
  <x:si>
    <x:t xml:space="preserve">docker build -t enterprise-ai:test . &amp;&amp; trivy image enterprise-ai:test</x:t>
  </x:si>
  <x:si>
    <x:t xml:space="preserve">Redacted scan reports and SPDX/CycloneDX SBOM exist.</x:t>
  </x:si>
  <x:si>
    <x:t xml:space="preserve">docs/test-evidence/W5-08-supply-chain.txt</x:t>
  </x:si>
  <x:si>
    <x:t xml:space="preserve">Do not publish vulnerable digest; restore prior approved digest.</x:t>
  </x:si>
  <x:si>
    <x:t xml:space="preserve">W5-09</x:t>
  </x:si>
  <x:si>
    <x:t xml:space="preserve">Plan review</x:t>
  </x:si>
  <x:si>
    <x:t xml:space="preserve">Generate saved Terraform plan, JSON policy result and human-readable summary.</x:t>
  </x:si>
  <x:si>
    <x:t xml:space="preserve">Applying the reviewed bytes prevents unseen infrastructure change.</x:t>
  </x:si>
  <x:si>
    <x:t xml:space="preserve">W5-004</x:t>
  </x:si>
  <x:si>
    <x:t xml:space="preserve">Plan, policy and cost review are approved before any apply.</x:t>
  </x:si>
  <x:si>
    <x:t xml:space="preserve">make plan-sandbox</x:t>
  </x:si>
  <x:si>
    <x:t xml:space="preserve">Summary lists creates/updates/deletes, costs and residual risks.</x:t>
  </x:si>
  <x:si>
    <x:t xml:space="preserve">docs/deployment-records/W5-plan-review.md</x:t>
  </x:si>
  <x:si>
    <x:t xml:space="preserve">W5-02:W5-08</x:t>
  </x:si>
  <x:si>
    <x:t xml:space="preserve">Discard saved plan on code/input drift and regenerate.</x:t>
  </x:si>
  <x:si>
    <x:t xml:space="preserve">W5-10</x:t>
  </x:si>
  <x:si>
    <x:t xml:space="preserve">Sandbox lifecycle</x:t>
  </x:si>
  <x:si>
    <x:t xml:space="preserve">After explicit approval, deploy/validate/rollback/destroy in controlled sequence.</x:t>
  </x:si>
  <x:si>
    <x:t xml:space="preserve">Capability must be proven, but Codex must never self-approve mutations.</x:t>
  </x:si>
  <x:si>
    <x:t xml:space="preserve">Reviewed plan applies; validation passes; rollback path is recorded.</x:t>
  </x:si>
  <x:si>
    <x:t xml:space="preserve">make deploy-sandbox  # owner-approved only</x:t>
  </x:si>
  <x:si>
    <x:t xml:space="preserve">Deployment record contains plan hash, approver, resources and health.</x:t>
  </x:si>
  <x:si>
    <x:t xml:space="preserve">docs/deployment-records/W5-sandbox.md</x:t>
  </x:si>
  <x:si>
    <x:t xml:space="preserve">Use last-known-good Terraform version; destroy is not ordinary rollback.</x:t>
  </x:si>
  <x:si>
    <x:t xml:space="preserve">W5-11</x:t>
  </x:si>
  <x:si>
    <x:t xml:space="preserve">Teardown plan</x:t>
  </x:si>
  <x:si>
    <x:t xml:space="preserve">Create and review platform destroy plan; preserve bootstrap until platform is gone.</x:t>
  </x:si>
  <x:si>
    <x:t xml:space="preserve">Deletion order prevents dependency residue and loss of auditability.</x:t>
  </x:si>
  <x:si>
    <x:t xml:space="preserve">Destroy plan targets only approved sandbox resources.</x:t>
  </x:si>
  <x:si>
    <x:t xml:space="preserve">make plan-destroy-sandbox</x:t>
  </x:si>
  <x:si>
    <x:t xml:space="preserve">Plan and deletion order approved; KMS window noted.</x:t>
  </x:si>
  <x:si>
    <x:t xml:space="preserve">docs/deployment-records/W5-destroy-plan.md</x:t>
  </x:si>
  <x:si>
    <x:t xml:space="preserve">ADR-009, ADR-012</x:t>
  </x:si>
  <x:si>
    <x:t xml:space="preserve">Cancel before apply if any unexpected target appears.</x:t>
  </x:si>
  <x:si>
    <x:t xml:space="preserve">W5-12</x:t>
  </x:si>
  <x:si>
    <x:t xml:space="preserve">Cleanliness proof</x:t>
  </x:si>
  <x:si>
    <x:t xml:space="preserve">Run verify-clean using required tags and native service APIs after approved teardown.</x:t>
  </x:si>
  <x:si>
    <x:t xml:space="preserve">A successful Terraform destroy is not proof of zero residual resources.</x:t>
  </x:si>
  <x:si>
    <x:t xml:space="preserve">No active unmanaged resource remains; exception is documented PendingDeletion KMS key.</x:t>
  </x:si>
  <x:si>
    <x:t xml:space="preserve">make destroy-sandbox &amp;&amp; make verify-clean  # owner-approved only</x:t>
  </x:si>
  <x:si>
    <x:t xml:space="preserve">Resource-cleanliness report is complete and signed.</x:t>
  </x:si>
  <x:si>
    <x:t xml:space="preserve">docs/resource-cleanliness/W5-report.json</x:t>
  </x:si>
  <x:si>
    <x:t xml:space="preserve">Remove residuals in dependency order; do not delete bootstrap until clean.</x:t>
  </x:si>
  <x:si>
    <x:t xml:space="preserve">W5-13</x:t>
  </x:si>
  <x:si>
    <x:t xml:space="preserve">Approve AWS lifecycle evidence and Week 6 EKS deployment inputs.</x:t>
  </x:si>
  <x:si>
    <x:t xml:space="preserve">Runtime deployment should use only reviewed, reconstructable platform components.</x:t>
  </x:si>
  <x:si>
    <x:t xml:space="preserve">EKS-001, OBS-001, SLO-001</x:t>
  </x:si>
  <x:si>
    <x:t xml:space="preserve">Plans/policies/scans/lifecycle evidence pass; no plaintext secret or unmanaged resource.</x:t>
  </x:si>
  <x:si>
    <x:t xml:space="preserve">Review W5 evidence index</x:t>
  </x:si>
  <x:si>
    <x:t xml:space="preserve">Owner sign-off and any deferred actual deployment clearly recorded.</x:t>
  </x:si>
  <x:si>
    <x:t xml:space="preserve">docs/deployment-records/W5-signoff.md</x:t>
  </x:si>
  <x:si>
    <x:t xml:space="preserve">W5-01:W5-12</x:t>
  </x:si>
  <x:si>
    <x:t xml:space="preserve">Do not deploy EKS app until the platform gate passes.</x:t>
  </x:si>
  <x:si>
    <x:t xml:space="preserve">W6-01</x:t>
  </x:si>
  <x:si>
    <x:t xml:space="preserve">Artifact promotion</x:t>
  </x:si>
  <x:si>
    <x:t xml:space="preserve">Publish scanned image to ECR by immutable digest.</x:t>
  </x:si>
  <x:si>
    <x:t xml:space="preserve">Rollback and provenance require immutable deployment identity.</x:t>
  </x:si>
  <x:si>
    <x:t xml:space="preserve">EKS-001</x:t>
  </x:si>
  <x:si>
    <x:t xml:space="preserve">Digest matches the scanned/SBOM artifact.</x:t>
  </x:si>
  <x:si>
    <x:t xml:space="preserve">docker inspect --format='{{index .RepoDigests 0}}' enterprise-ai:test</x:t>
  </x:si>
  <x:si>
    <x:t xml:space="preserve">Digest, scan and SBOM are linked in deployment record.</x:t>
  </x:si>
  <x:si>
    <x:t xml:space="preserve">docs/deployment-records/W6-image.md</x:t>
  </x:si>
  <x:si>
    <x:t xml:space="preserve">ADR-012, ADR-017</x:t>
  </x:si>
  <x:si>
    <x:t xml:space="preserve">W5-08,W5-13</x:t>
  </x:si>
  <x:si>
    <x:t xml:space="preserve">Restore prior approved digest; never reuse a mutable tag as authority.</x:t>
  </x:si>
  <x:si>
    <x:t xml:space="preserve">W6-02</x:t>
  </x:si>
  <x:si>
    <x:t xml:space="preserve">Kubernetes</x:t>
  </x:si>
  <x:si>
    <x:t xml:space="preserve">Create EKS deployment/Service with non-root/read-only settings and probes.</x:t>
  </x:si>
  <x:si>
    <x:t xml:space="preserve">Production-shaped runtime boundaries reduce container and availability risk.</x:t>
  </x:si>
  <x:si>
    <x:t xml:space="preserve">W6-001</x:t>
  </x:si>
  <x:si>
    <x:t xml:space="preserve">Server dry-run and policy validation pass.</x:t>
  </x:si>
  <x:si>
    <x:t xml:space="preserve">kubectl apply --dry-run=server -f deploy/k8s</x:t>
  </x:si>
  <x:si>
    <x:t xml:space="preserve">Manifests use immutable digest and no secret literal.</x:t>
  </x:si>
  <x:si>
    <x:t xml:space="preserve">docs/test-evidence/W6-02-k8s.txt</x:t>
  </x:si>
  <x:si>
    <x:t xml:space="preserve">ADR-015</x:t>
  </x:si>
  <x:si>
    <x:t xml:space="preserve">kubectl rollout undo or redeploy previous digest.</x:t>
  </x:si>
  <x:si>
    <x:t xml:space="preserve">W6-03</x:t>
  </x:si>
  <x:si>
    <x:t xml:space="preserve">Workload identity</x:t>
  </x:si>
  <x:si>
    <x:t xml:space="preserve">Configure EKS Pod Identity/IRSA, RBAC and least-privilege service account.</x:t>
  </x:si>
  <x:si>
    <x:t xml:space="preserve">Pods must never contain static AWS credentials.</x:t>
  </x:si>
  <x:si>
    <x:t xml:space="preserve">AWS-001, EKS-001</x:t>
  </x:si>
  <x:si>
    <x:t xml:space="preserve">Pod accesses only required AWS APIs and env has no static key.</x:t>
  </x:si>
  <x:si>
    <x:t xml:space="preserve">kubectl exec deploy/enterprise-ai-api -- env | grep AWS_ACCESS_KEY_ID; test $? -ne 0</x:t>
  </x:si>
  <x:si>
    <x:t xml:space="preserve">No static credential; role session is short-lived and scoped.</x:t>
  </x:si>
  <x:si>
    <x:t xml:space="preserve">docs/test-evidence/W6-03-identity.txt</x:t>
  </x:si>
  <x:si>
    <x:t xml:space="preserve">W5-04,W6-02</x:t>
  </x:si>
  <x:si>
    <x:t xml:space="preserve">Remove service-account binding and restore prior role policy.</x:t>
  </x:si>
  <x:si>
    <x:t xml:space="preserve">W6-04</x:t>
  </x:si>
  <x:si>
    <x:t xml:space="preserve">Network security</x:t>
  </x:si>
  <x:si>
    <x:t xml:space="preserve">Apply NetworkPolicy and approved ingress/egress boundaries.</x:t>
  </x:si>
  <x:si>
    <x:t xml:space="preserve">Retrieval/model paths should be explicit and least privilege.</x:t>
  </x:si>
  <x:si>
    <x:t xml:space="preserve">NET-001, EKS-001</x:t>
  </x:si>
  <x:si>
    <x:t xml:space="preserve">Denied destination test fails; approved dependencies remain reachable.</x:t>
  </x:si>
  <x:si>
    <x:t xml:space="preserve">kubectl apply --dry-run=server -f deploy/k8s/networkpolicy.yaml</x:t>
  </x:si>
  <x:si>
    <x:t xml:space="preserve">Network test evidence documents permitted flows.</x:t>
  </x:si>
  <x:si>
    <x:t xml:space="preserve">docs/test-evidence/W6-04-network.txt</x:t>
  </x:si>
  <x:si>
    <x:t xml:space="preserve">ADR-006, ADR-015</x:t>
  </x:si>
  <x:si>
    <x:t xml:space="preserve">Restore last-known-good policy; scale down if isolation is uncertain.</x:t>
  </x:si>
  <x:si>
    <x:t xml:space="preserve">W6-05</x:t>
  </x:si>
  <x:si>
    <x:t xml:space="preserve">Resilience</x:t>
  </x:si>
  <x:si>
    <x:t xml:space="preserve">Configure requests/limits, HPA, PDB and rolling update settings.</x:t>
  </x:si>
  <x:si>
    <x:t xml:space="preserve">Availability and autoscaling must be defined before load/chaos tests.</x:t>
  </x:si>
  <x:si>
    <x:t xml:space="preserve">Schema/policy checks pass and settings have rationale.</x:t>
  </x:si>
  <x:si>
    <x:t xml:space="preserve">PDB/HPA do not conflict at minimum replicas.</x:t>
  </x:si>
  <x:si>
    <x:t xml:space="preserve">docs/test-evidence/W6-05-resilience.txt</x:t>
  </x:si>
  <x:si>
    <x:t xml:space="preserve">Rollback manifests and return to last safe replica/settings.</x:t>
  </x:si>
  <x:si>
    <x:t xml:space="preserve">W6-06</x:t>
  </x:si>
  <x:si>
    <x:t xml:space="preserve">Observability platform</x:t>
  </x:si>
  <x:si>
    <x:t xml:space="preserve">Deploy OTel path to CloudWatch/X-Ray plus Prometheus/Grafana/Jaeger option.</x:t>
  </x:si>
  <x:si>
    <x:t xml:space="preserve">Vendor-neutral telemetry supports both AWS and open-source operations.</x:t>
  </x:si>
  <x:si>
    <x:t xml:space="preserve">W6-002</x:t>
  </x:si>
  <x:si>
    <x:t xml:space="preserve">One request trace links API, retrieval and LLM spans.</x:t>
  </x:si>
  <x:si>
    <x:t xml:space="preserve">Trace/log/metric IDs correlate without sensitive content.</x:t>
  </x:si>
  <x:si>
    <x:t xml:space="preserve">docs/test-evidence/W6-06-observability.json</x:t>
  </x:si>
  <x:si>
    <x:t xml:space="preserve">W4-08,W6-02</x:t>
  </x:si>
  <x:si>
    <x:t xml:space="preserve">Disable broken exporter; preserve local telemetry path.</x:t>
  </x:si>
  <x:si>
    <x:t xml:space="preserve">W6-07</x:t>
  </x:si>
  <x:si>
    <x:t xml:space="preserve">SRE objectives</x:t>
  </x:si>
  <x:si>
    <x:t xml:space="preserve">Approve SLIs/SLOs, error-budget policy and burn alerts.</x:t>
  </x:si>
  <x:si>
    <x:t xml:space="preserve">Reliability targets must reflect user pain and govern releases.</x:t>
  </x:si>
  <x:si>
    <x:t xml:space="preserve">SLO-001, OBS-001</x:t>
  </x:si>
  <x:si>
    <x:t xml:space="preserve">Availability 99.9%, p95&lt;4s, p99&lt;10s, retrieval p99&lt;750ms, grounded&gt;=95%, isolation/safety=100% are reviewed.</x:t>
  </x:si>
  <x:si>
    <x:t xml:space="preserve">promtool check rules observability/alerts.yml</x:t>
  </x:si>
  <x:si>
    <x:t xml:space="preserve">Rules validate and map to an owner/runbook.</x:t>
  </x:si>
  <x:si>
    <x:t xml:space="preserve">docs/architecture/slo.md</x:t>
  </x:si>
  <x:si>
    <x:t xml:space="preserve">Disable noisy alert only through reviewed threshold/runbook update.</x:t>
  </x:si>
  <x:si>
    <x:t xml:space="preserve">W6-08</x:t>
  </x:si>
  <x:si>
    <x:t xml:space="preserve">Runbook</x:t>
  </x:si>
  <x:si>
    <x:t xml:space="preserve">Create and rehearse inference-latency-spike runbook.</x:t>
  </x:si>
  <x:si>
    <x:t xml:space="preserve">An alert is useful only if it drives a safe action.</x:t>
  </x:si>
  <x:si>
    <x:t xml:space="preserve">Codex + User</x:t>
  </x:si>
  <x:si>
    <x:t xml:space="preserve">Runbook covers impact, stabilize, stage isolation, rollback and evidence.</x:t>
  </x:si>
  <x:si>
    <x:t xml:space="preserve">Run tabletop and record timeline</x:t>
  </x:si>
  <x:si>
    <x:t xml:space="preserve">Owner can distinguish retrieval, model, queue and dependency latency.</x:t>
  </x:si>
  <x:si>
    <x:t xml:space="preserve">runbooks/inference-latency.md</x:t>
  </x:si>
  <x:si>
    <x:t xml:space="preserve">ADR-008, ADR-012</x:t>
  </x:si>
  <x:si>
    <x:t xml:space="preserve">W6-06,W6-07</x:t>
  </x:si>
  <x:si>
    <x:t xml:space="preserve">Rollback release/config; use safe refusal/fallback if approved.</x:t>
  </x:si>
  <x:si>
    <x:t xml:space="preserve">W6-09</x:t>
  </x:si>
  <x:si>
    <x:t xml:space="preserve">Failure/chaos</x:t>
  </x:si>
  <x:si>
    <x:t xml:space="preserve">Stop Qdrant/inject LLM timeout locally; prepare FIS plan without executing it.</x:t>
  </x:si>
  <x:si>
    <x:t xml:space="preserve">Controlled failure proves readiness, bounded retries and alert/runbook quality.</x:t>
  </x:si>
  <x:si>
    <x:t xml:space="preserve">FIS-001</x:t>
  </x:si>
  <x:si>
    <x:t xml:space="preserve">Readiness fails, no retry storm, alert/runbook activates; FIS has tag targets/stop alarms.</x:t>
  </x:si>
  <x:si>
    <x:t xml:space="preserve">pytest tests/feature/test_failure_modes.py -q</x:t>
  </x:si>
  <x:si>
    <x:t xml:space="preserve">RTO and alert evidence recorded; no production target.</x:t>
  </x:si>
  <x:si>
    <x:t xml:space="preserve">docs/test-evidence/W6-09-chaos.txt</x:t>
  </x:si>
  <x:si>
    <x:t xml:space="preserve">W6-07,W6-08</x:t>
  </x:si>
  <x:si>
    <x:t xml:space="preserve">Stop experiment, restore dependency, rollback configuration.</x:t>
  </x:si>
  <x:si>
    <x:t xml:space="preserve">W6-10</x:t>
  </x:si>
  <x:si>
    <x:t xml:space="preserve">End-to-end validation</x:t>
  </x:si>
  <x:si>
    <x:t xml:space="preserve">Run local and sandbox cited query plus golden evaluation/security suite.</x:t>
  </x:si>
  <x:si>
    <x:t xml:space="preserve">Final proof must combine functionality, quality, security and observability.</x:t>
  </x:si>
  <x:si>
    <x:t xml:space="preserve">W6-003</x:t>
  </x:si>
  <x:si>
    <x:t xml:space="preserve">No material regression; sandbox query has citations and trace ID.</x:t>
  </x:si>
  <x:si>
    <x:t xml:space="preserve">make final-proof</x:t>
  </x:si>
  <x:si>
    <x:t xml:space="preserve">Evidence index links tests, eval, scans, traces and decisions.</x:t>
  </x:si>
  <x:si>
    <x:t xml:space="preserve">docs/test-evidence/W6-final-index.md</x:t>
  </x:si>
  <x:si>
    <x:t xml:space="preserve">W6-01:W6-09</x:t>
  </x:si>
  <x:si>
    <x:t xml:space="preserve">Block promotion and restore last-known-good release/config.</x:t>
  </x:si>
  <x:si>
    <x:t xml:space="preserve">W6-11</x:t>
  </x:si>
  <x:si>
    <x:t xml:space="preserve">Release rollback drill</x:t>
  </x:si>
  <x:si>
    <x:t xml:space="preserve">Force a safe sandbox regression and restore previous image/configuration.</x:t>
  </x:si>
  <x:si>
    <x:t xml:space="preserve">Rollback must be timed and revalidated before handover.</x:t>
  </x:si>
  <x:si>
    <x:t xml:space="preserve">Last-known-good release passes health, smoke and evaluation gates.</x:t>
  </x:si>
  <x:si>
    <x:t xml:space="preserve">make rollback-release &amp;&amp; make validate-sandbox</x:t>
  </x:si>
  <x:si>
    <x:t xml:space="preserve">Rollback record includes trigger, approver, duration and post-checks.</x:t>
  </x:si>
  <x:si>
    <x:t xml:space="preserve">docs/rollback-records/W6-release.md</x:t>
  </x:si>
  <x:si>
    <x:t xml:space="preserve">Keep failed digest blocked; open defect with evidence.</x:t>
  </x:si>
  <x:si>
    <x:t xml:space="preserve">W6-12</x:t>
  </x:si>
  <x:si>
    <x:t xml:space="preserve">Full teardown</x:t>
  </x:si>
  <x:si>
    <x:t xml:space="preserve">Run approved destroy sequence, remove bootstrap last and verify cleanliness.</x:t>
  </x:si>
  <x:si>
    <x:t xml:space="preserve">Learning-project cost and residue must stop after use.</x:t>
  </x:si>
  <x:si>
    <x:t xml:space="preserve">No active project resource remains; KMS exception is PendingDeletion only.</x:t>
  </x:si>
  <x:si>
    <x:t xml:space="preserve">make plan-destroy-sandbox; owner approve; make destroy-sandbox; make verify-clean</x:t>
  </x:si>
  <x:si>
    <x:t xml:space="preserve">Signed cleanup report and deletion record exist.</x:t>
  </x:si>
  <x:si>
    <x:t xml:space="preserve">docs/resource-cleanliness/W6-final.json</x:t>
  </x:si>
  <x:si>
    <x:t xml:space="preserve">ADR-009, ADR-013, ADR-014</x:t>
  </x:si>
  <x:si>
    <x:t xml:space="preserve">Remove residuals in dependency order; never broadly target unverified resources.</x:t>
  </x:si>
  <x:si>
    <x:t xml:space="preserve">W6-13</x:t>
  </x:si>
  <x:si>
    <x:t xml:space="preserve">Handover and learning</x:t>
  </x:si>
  <x:si>
    <x:t xml:space="preserve">Update ADRs with actual outcomes and deliver a 10-minute architecture explanation.</x:t>
  </x:si>
  <x:si>
    <x:t xml:space="preserve">The engineer must understand and defend every decision, not just run generated code.</x:t>
  </x:si>
  <x:si>
    <x:t xml:space="preserve">Explain objective, flows, security, evaluation, agent controls, SLOs and reversibility.</x:t>
  </x:si>
  <x:si>
    <x:t xml:space="preserve">Owner presentation rehearsal and final workbook review</x:t>
  </x:si>
  <x:si>
    <x:t xml:space="preserve">All TODOs/deferrals are visible; source-of-truth and workbook agree.</x:t>
  </x:si>
  <x:si>
    <x:t xml:space="preserve">docs/architecture/final-review.md</x:t>
  </x:si>
  <x:si>
    <x:t xml:space="preserve">W6-01:W6-12</x:t>
  </x:si>
  <x:si>
    <x:t xml:space="preserve">Any future change starts a new controlled feature cycle.</x:t>
  </x:si>
  <x:si>
    <x:t xml:space="preserve">Week 1 — Control Foundation</x:t>
  </x:si>
  <x:si>
    <x:t xml:space="preserve">Control foundation: repo, traceability, test/security gates, separated Terraform roots and cleanup-verifier skeleton.</x:t>
  </x:si>
  <x:si>
    <x:t xml:space="preserve">Exit gate</x:t>
  </x:si>
  <x:si>
    <x:t xml:space="preserve">Preflight, tests, reviewed-plan and cleanup workflows are understood and pass before RAG code.</x:t>
  </x:si>
  <x:si>
    <x:t xml:space="preserve">Action</x:t>
  </x:si>
  <x:si>
    <x:t xml:space="preserve">Architecture Reason</x:t>
  </x:si>
  <x:si>
    <x:t xml:space="preserve">Effort</x:t>
  </x:si>
  <x:si>
    <x:t xml:space="preserve">Prompt</x:t>
  </x:si>
  <x:si>
    <x:t xml:space="preserve">User TODO</x:t>
  </x:si>
  <x:si>
    <x:t xml:space="preserve">Acceptance</x:t>
  </x:si>
  <x:si>
    <x:t xml:space="preserve">Verify</x:t>
  </x:si>
  <x:si>
    <x:t xml:space="preserve">Evidence</x:t>
  </x:si>
  <x:si>
    <x:t xml:space="preserve">Rollback/Teardown</x:t>
  </x:si>
  <x:si>
    <x:t xml:space="preserve">Grouped prompt sequence — full Main / Pre-Edit / Final prompts are in 10 Codex Prompts</x:t>
  </x:si>
  <x:si>
    <x:t xml:space="preserve">Order</x:t>
  </x:si>
  <x:si>
    <x:t xml:space="preserve">Feature</x:t>
  </x:si>
  <x:si>
    <x:t xml:space="preserve">Purpose</x:t>
  </x:si>
  <x:si>
    <x:t xml:space="preserve">Required Inputs</x:t>
  </x:si>
  <x:si>
    <x:t xml:space="preserve">Expected Outputs</x:t>
  </x:si>
  <x:si>
    <x:t xml:space="preserve">Example Usage</x:t>
  </x:si>
  <x:si>
    <x:t xml:space="preserve">MVP scope and approval record</x:t>
  </x:si>
  <x:si>
    <x:t xml:space="preserve">Create the missing one-page MVP-001 source-of-truth artifact before repository implementation.</x:t>
  </x:si>
  <x:si>
    <x:t xml:space="preserve">USE-001, DATA-001 and five starter EVAL-001 questions; no credentials</x:t>
  </x:si>
  <x:si>
    <x:t xml:space="preserve">docs/features/MVP-001.md with scope, exclusions, measures and approval fields</x:t>
  </x:si>
  <x:si>
    <x:t xml:space="preserve">Review plan, paste Column L, run TEST-001, then paste Column M</x:t>
  </x:si>
  <x:si>
    <x:t xml:space="preserve">Source precedence ADR</x:t>
  </x:si>
  <x:si>
    <x:t xml:space="preserve">Create the missing governance decision without creating unrelated Codex context files.</x:t>
  </x:si>
  <x:si>
    <x:t xml:space="preserve">Source of Truth v1.1 and Coaching Blueprint as read-only references; no credentials</x:t>
  </x:si>
  <x:si>
    <x:t xml:space="preserve">docs/adr/ADR-000-source-precedence.md in Proposed state</x:t>
  </x:si>
  <x:si>
    <x:t xml:space="preserve">Review plan, paste Column L, review Proposed ADR, run TEST-001, then paste Column M</x:t>
  </x:si>
  <x:si>
    <x:t xml:space="preserve">Repository and feature-control foundation</x:t>
  </x:si>
  <x:si>
    <x:t xml:space="preserve">Create the traceability and evidence structure before feature code.</x:t>
  </x:si>
  <x:si>
    <x:t xml:space="preserve">TODO_REPOSITORY, TODO_USER_OR_TEAM, TODO_COST_CENTER</x:t>
  </x:si>
  <x:si>
    <x:t xml:space="preserve">Monorepo skeleton, feature-matrix.yaml, ADR/test/evidence folders, Makefile, README</x:t>
  </x:si>
  <x:si>
    <x:t xml:space="preserve">make preflight</x:t>
  </x:si>
  <x:si>
    <x:t xml:space="preserve">Dependency and configuration foundation</x:t>
  </x:si>
  <x:si>
    <x:t xml:space="preserve">Make installation reproducible and configuration explicit.</x:t>
  </x:si>
  <x:si>
    <x:t xml:space="preserve">Python 3.11; no cloud credentials</x:t>
  </x:si>
  <x:si>
    <x:t xml:space="preserve">requirements*.txt, pyproject.toml, .env.example, typed config and unit tests</x:t>
  </x:si>
  <x:si>
    <x:t xml:space="preserve">Test and evidence framework</x:t>
  </x:si>
  <x:si>
    <x:t xml:space="preserve">Make every acceptance criterion executable and auditable.</x:t>
  </x:si>
  <x:si>
    <x:t xml:space="preserve">Feature template and repo skeleton</x:t>
  </x:si>
  <x:si>
    <x:t xml:space="preserve">pytest markers, fixtures, evidence naming rules, sample feature test</x:t>
  </x:si>
  <x:si>
    <x:t xml:space="preserve">Lifecycle controller and cleanup-verifier skeleton</x:t>
  </x:si>
  <x:si>
    <x:t xml:space="preserve">Treat deployability and reversibility as platform features.</x:t>
  </x:si>
  <x:si>
    <x:t xml:space="preserve">Required tag schema; sandbox-only scope</x:t>
  </x:si>
  <x:si>
    <x:t xml:space="preserve">platformctl commands, dry-run workflows, mocked residual-resource tests</x:t>
  </x:si>
  <x:si>
    <x:t xml:space="preserve">python -m tools.platformctl --help &amp;&amp; pytest tests/unit/test_platformctl.py tests/teardown -q</x:t>
  </x:si>
  <x:si>
    <x:t xml:space="preserve">Reusable weekly checkpoint</x:t>
  </x:si>
  <x:si>
    <x:t xml:space="preserve">Stop between weeks until MUST work, evidence, decisions, TODOs and rollback readiness are reviewed.</x:t>
  </x:si>
  <x:si>
    <x:t xml:space="preserve">TODO_WEEK, current weekly sheet, evidence register, ADRs, TODOs and test results</x:t>
  </x:si>
  <x:si>
    <x:t xml:space="preserve">docs/deployment-records/TODO_WEEK-signoff.md</x:t>
  </x:si>
  <x:si>
    <x:t xml:space="preserve">Replace TODO_WEEK, use after all feature groups for the week, then run TEST-001 and approve</x:t>
  </x:si>
  <x:si>
    <x:t xml:space="preserve">Week 2 — Local Retrieval</x:t>
  </x:si>
  <x:si>
    <x:t xml:space="preserve">Local searchable knowledge: typed contracts, secure ingestion, local embeddings, Qdrant, authorization and reversible feature proof.</x:t>
  </x:si>
  <x:si>
    <x:t xml:space="preserve">Local retrieval deploys, returns authorized expected sources, rolls back and removes without residue.</x:t>
  </x:si>
  <x:si>
    <x:t xml:space="preserve">Domain models and pluggable vector adapters</x:t>
  </x:si>
  <x:si>
    <x:t xml:space="preserve">Prevent vendor SDK types from leaking into RAG logic.</x:t>
  </x:si>
  <x:si>
    <x:t xml:space="preserve">QDRANT_URL; AWS auth only for marked tests</x:t>
  </x:si>
  <x:si>
    <x:t xml:space="preserve">Domain models, VectorStore protocol, Qdrant/OpenSearch/fake adapters, contract tests</x:t>
  </x:si>
  <x:si>
    <x:t xml:space="preserve">pytest tests/unit tests/contract -q</x:t>
  </x:si>
  <x:si>
    <x:t xml:space="preserve">Embedder contract and local adapter</x:t>
  </x:si>
  <x:si>
    <x:t xml:space="preserve">Support local and future provider embeddings through one boundary.</x:t>
  </x:si>
  <x:si>
    <x:t xml:space="preserve">EMBEDDING_MODEL_ID</x:t>
  </x:si>
  <x:si>
    <x:t xml:space="preserve">Embedder protocol, sentence-transformer/fake adapters, batch and dimension tests</x:t>
  </x:si>
  <x:si>
    <x:t xml:space="preserve">Secure ingestion pipeline</x:t>
  </x:si>
  <x:si>
    <x:t xml:space="preserve">Turn approved files into versioned, authorized chunks.</x:t>
  </x:si>
  <x:si>
    <x:t xml:space="preserve">Approved local sample path; tenant/classification rules</x:t>
  </x:si>
  <x:si>
    <x:t xml:space="preserve">Loaders, chunker, Presidio hook, CLI, manifest, quarantine and tests</x:t>
  </x:si>
  <x:si>
    <x:t xml:space="preserve">python -m enterprise_ai.ingestion.pipeline ingest --source data/sample --tenant demo</x:t>
  </x:si>
  <x:si>
    <x:t xml:space="preserve">Local Qdrant lifecycle and retrieval proof</x:t>
  </x:si>
  <x:si>
    <x:t xml:space="preserve">Prove the feature can be deployed, tested, rolled back and removed locally.</x:t>
  </x:si>
  <x:si>
    <x:t xml:space="preserve">Docker 24+, QDRANT_URL</x:t>
  </x:si>
  <x:si>
    <x:t xml:space="preserve">docker-compose.yml, local lifecycle targets, integration and cleanup tests</x:t>
  </x:si>
  <x:si>
    <x:t xml:space="preserve">docker compose up -d qdrant &amp;&amp; pytest tests/integration/test_qdrant.py -q</x:t>
  </x:si>
  <x:si>
    <x:t xml:space="preserve">Local retrieval architecture explanation</x:t>
  </x:si>
  <x:si>
    <x:t xml:space="preserve">Create an interview-ready explanation grounded in the implemented retrieval evidence.</x:t>
  </x:si>
  <x:si>
    <x:t xml:space="preserve">Approved W2 ADRs, adapter/chunking configuration and W2 evidence</x:t>
  </x:si>
  <x:si>
    <x:t xml:space="preserve">Review plan, paste Column L, run TEST-001 against the document, then paste Column M</x:t>
  </x:si>
  <x:si>
    <x:t xml:space="preserve">Week 3 — Cited RAG</x:t>
  </x:si>
  <x:si>
    <x:t xml:space="preserve">Cited RAG: provider-neutral LLM, Bedrock adapter, citations/abstention, guardrails, golden evaluation and regression rollback.</x:t>
  </x:si>
  <x:si>
    <x:t xml:space="preserve">A query returns a grounded cited answer or safe abstention; regression/security/rollback tests pass.</x:t>
  </x:si>
  <x:si>
    <x:t xml:space="preserve">LLM adapters and cited RAG pipeline</x:t>
  </x:si>
  <x:si>
    <x:t xml:space="preserve">Generate evidence-bound answers while retaining provider portability.</x:t>
  </x:si>
  <x:si>
    <x:t xml:space="preserve">LLM_PROVIDER, LLM_MODEL_ID, AWS_REGION; Bedrock test is marked</x:t>
  </x:si>
  <x:si>
    <x:t xml:space="preserve">LLM protocol, fake/Bedrock adapters, prompt loader, RAG service and tests</x:t>
  </x:si>
  <x:si>
    <x:t xml:space="preserve">python -m enterprise_ai.rag.pipeline 'What is the retention policy?'</x:t>
  </x:si>
  <x:si>
    <x:t xml:space="preserve">Evaluation harness and release gate</x:t>
  </x:si>
  <x:si>
    <x:t xml:space="preserve">Replace subjective demonstrations with repeatable evidence.</x:t>
  </x:si>
  <x:si>
    <x:t xml:space="preserve">configs/eval/golden.jsonl with 25+ approved cases</x:t>
  </x:si>
  <x:si>
    <x:t xml:space="preserve">JSONL schema, deterministic metrics, Ragas adapter, baseline and report</x:t>
  </x:si>
  <x:si>
    <x:t xml:space="preserve">RAG guardrails and security regression suite</x:t>
  </x:si>
  <x:si>
    <x:t xml:space="preserve">Treat retrieved content as untrusted and enforce authorization outside the model.</x:t>
  </x:si>
  <x:si>
    <x:t xml:space="preserve">Classification/tenant rules; injection fixtures</x:t>
  </x:si>
  <x:si>
    <x:t xml:space="preserve">Input/output validators, citation/abstention gates, security tests</x:t>
  </x:si>
  <x:si>
    <x:t xml:space="preserve">Cited-RAG configuration rollback drill</x:t>
  </x:si>
  <x:si>
    <x:t xml:space="preserve">Prove prompt/model/retriever/index configuration can return to a known-good baseline.</x:t>
  </x:si>
  <x:si>
    <x:t xml:space="preserve">Approved baseline and exact local configuration paths from the pre-edit plan</x:t>
  </x:si>
  <x:si>
    <x:t xml:space="preserve">Restored configuration and docs/rollback-records/W3-rag.md</x:t>
  </x:si>
  <x:si>
    <x:t xml:space="preserve">Review exact rollback targets, paste Column L, run TEST-001, then paste Column M</x:t>
  </x:si>
  <x:si>
    <x:t xml:space="preserve">Week 4 — API and Agent</x:t>
  </x:si>
  <x:si>
    <x:t xml:space="preserve">Controlled API and agent: FastAPI, LangGraph, budgets, human approval, redacted state, telemetry and release rollback.</x:t>
  </x:si>
  <x:si>
    <x:t xml:space="preserve">Write action cannot execute without policy and durable approval; previous release restores successfully.</x:t>
  </x:si>
  <x:si>
    <x:t xml:space="preserve">FastAPI service boundary</x:t>
  </x:si>
  <x:si>
    <x:t xml:space="preserve">Expose production-shaped, testable endpoints.</x:t>
  </x:si>
  <x:si>
    <x:t xml:space="preserve">Fake providers by default; auth interface choice</x:t>
  </x:si>
  <x:si>
    <x:t xml:space="preserve">FastAPI endpoints, schemas, dependencies, health, error mapping and tests</x:t>
  </x:si>
  <x:si>
    <x:t xml:space="preserve">uvicorn enterprise_ai.api.main:app --reload</x:t>
  </x:si>
  <x:si>
    <x:t xml:space="preserve">Bounded LangGraph agent controller</x:t>
  </x:si>
  <x:si>
    <x:t xml:space="preserve">Add controlled agent behavior without uncontrolled autonomy.</x:t>
  </x:si>
  <x:si>
    <x:t xml:space="preserve">Step/tool/time budgets; approval-store decision</x:t>
  </x:si>
  <x:si>
    <x:t xml:space="preserve">Typed graph, nodes/edges, approval interrupt, tools, tests and Mermaid</x:t>
  </x:si>
  <x:si>
    <x:t xml:space="preserve">Application telemetry and redacted audit trail</x:t>
  </x:si>
  <x:si>
    <x:t xml:space="preserve">Make each RAG and agent stage explainable operationally.</x:t>
  </x:si>
  <x:si>
    <x:t xml:space="preserve">OTEL exporter endpoint; no content export</x:t>
  </x:si>
  <x:si>
    <x:t xml:space="preserve">Telemetry module, structured logs, trace tests and local collector config</x:t>
  </x:si>
  <x:si>
    <x:t xml:space="preserve">Local immutable release rollback drill</x:t>
  </x:si>
  <x:si>
    <x:t xml:space="preserve">Prove release rollback separately from infrastructure rollback.</x:t>
  </x:si>
  <x:si>
    <x:t xml:space="preserve">Approved local immutable releases N and N+1 and safe regression method</x:t>
  </x:si>
  <x:si>
    <x:t xml:space="preserve">Restored release N and docs/rollback-records/W4-release.md</x:t>
  </x:si>
  <x:si>
    <x:t xml:space="preserve">Review exact local targets, paste Column L, run TEST-001, then paste Column M</x:t>
  </x:si>
  <x:si>
    <x:t xml:space="preserve">Week 5 — AWS Lifecycle</x:t>
  </x:si>
  <x:si>
    <x:t xml:space="preserve">AWS lifecycle proof: Terraform/policy/CI, reviewed plans, short-lived identity, deploy/rollback/teardown capability and orphan scan.</x:t>
  </x:si>
  <x:si>
    <x:t xml:space="preserve">Terraform/policy/plan/lifecycle evidence passes; no plaintext secret or unexpected unmanaged resource.</x:t>
  </x:si>
  <x:si>
    <x:t xml:space="preserve">AWS sandbox input approval</x:t>
  </x:si>
  <x:si>
    <x:t xml:space="preserve">Capture all non-secret AWS, network, tagging, residency and budget choices before Terraform work.</x:t>
  </x:si>
  <x:si>
    <x:t xml:space="preserve">AWS-001, AWS-002, NET-001, TAG-001, COST-001 and PRIV-001; no credentials</x:t>
  </x:si>
  <x:si>
    <x:t xml:space="preserve">Non-secret tfvars example and docs/cost-estimates/W5-inputs.md</x:t>
  </x:si>
  <x:si>
    <x:t xml:space="preserve">Fill non-secret TODOs, review plan, paste Column L, run TEST-001, then paste Column M</x:t>
  </x:si>
  <x:si>
    <x:t xml:space="preserve">Terraform AWS sandbox modules</x:t>
  </x:si>
  <x:si>
    <x:t xml:space="preserve">Produce reviewable infrastructure without secret material.</x:t>
  </x:si>
  <x:si>
    <x:t xml:space="preserve">TODO account, region, VPC/subnets, GitHub repo, tags, Bedrock models</x:t>
  </x:si>
  <x:si>
    <x:t xml:space="preserve">Bootstrap and KMS/S3/IAM/OpenSearch/ECR/secret-metadata modules</x:t>
  </x:si>
  <x:si>
    <x:t xml:space="preserve">terraform -chdir=infra/environments/sandbox init &amp;&amp; terraform -chdir=infra/environments/sandbox plan</x:t>
  </x:si>
  <x:si>
    <x:t xml:space="preserve">GitHub Actions DevSecOps pipeline</x:t>
  </x:si>
  <x:si>
    <x:t xml:space="preserve">Enforce quality, IaC and supply-chain gates with short-lived identity.</x:t>
  </x:si>
  <x:si>
    <x:t xml:space="preserve">GitHub environment, OIDC role ARN, sandbox variables</x:t>
  </x:si>
  <x:si>
    <x:t xml:space="preserve">PR CI, Terraform plan workflow, image/SBOM scans and approval-gated deploy shell</x:t>
  </x:si>
  <x:si>
    <x:t xml:space="preserve">Open a PR and inspect all required checks</x:t>
  </x:si>
  <x:si>
    <x:t xml:space="preserve">OPA and Checkov policy pack</x:t>
  </x:si>
  <x:si>
    <x:t xml:space="preserve">Make critical cloud controls executable before apply.</x:t>
  </x:si>
  <x:si>
    <x:t xml:space="preserve">Approved regions, encryption/tag rules, exception process</x:t>
  </x:si>
  <x:si>
    <x:t xml:space="preserve">Rego policies/tests, Checkov custom policies and fixtures</x:t>
  </x:si>
  <x:si>
    <x:t xml:space="preserve">Reviewed deploy, rollback, teardown and orphan scan</x:t>
  </x:si>
  <x:si>
    <x:t xml:space="preserve">Prove the AWS lifecycle without leaving unmanaged resources.</x:t>
  </x:si>
  <x:si>
    <x:t xml:space="preserve">Approved saved plan; budget ceiling; typed owner confirmations</x:t>
  </x:si>
  <x:si>
    <x:t xml:space="preserve">platformctl AWS implementations, deployment/rollback/destroy records, cleanup report</x:t>
  </x:si>
  <x:si>
    <x:t xml:space="preserve">make plan-sandbox; owner review; make plan-destroy-sandbox; make verify-clean</x:t>
  </x:si>
  <x:si>
    <x:t xml:space="preserve">Week 6 — EKS and SRE</x:t>
  </x:si>
  <x:si>
    <x:t xml:space="preserve">EKS/SRE final proof: immutable workload, identity/network/resilience, SLOs/runbook/chaos, rollback and complete teardown.</x:t>
  </x:si>
  <x:si>
    <x:t xml:space="preserve">End-to-end RAG meets gates; release rollback and full teardown/cleanliness proof are signed.</x:t>
  </x:si>
  <x:si>
    <x:t xml:space="preserve">Immutable EKS application deployment</x:t>
  </x:si>
  <x:si>
    <x:t xml:space="preserve">Deploy the verified service with workload identity and safe rollout controls.</x:t>
  </x:si>
  <x:si>
    <x:t xml:space="preserve">EKS cluster/namespace, ECR digest, domain/cert, pod identity choice</x:t>
  </x:si>
  <x:si>
    <x:t xml:space="preserve">Kubernetes/Helm manifests, identity, network policy, health, HPA/PDB and rollback</x:t>
  </x:si>
  <x:si>
    <x:t xml:space="preserve">kubectl apply --dry-run=server -f deploy/k8s &amp;&amp; kubectl rollout status deployment/enterprise-ai-api</x:t>
  </x:si>
  <x:si>
    <x:t xml:space="preserve">SRE observability, alerts, runbook and chaos plan</x:t>
  </x:si>
  <x:si>
    <x:t xml:space="preserve">Make the platform supportable and measurable.</x:t>
  </x:si>
  <x:si>
    <x:t xml:space="preserve">SLO approval; alert destination; pre-production chaos approval</x:t>
  </x:si>
  <x:si>
    <x:t xml:space="preserve">OTel collector, Prometheus, Grafana, CloudWatch alarms, runbook and FIS plan</x:t>
  </x:si>
  <x:si>
    <x:t xml:space="preserve">promtool check rules observability/alerts.yml &amp;&amp; pytest tests/feature/test_failure_modes.py -q</x:t>
  </x:si>
  <x:si>
    <x:t xml:space="preserve">Final end-to-end proof and handover</x:t>
  </x:si>
  <x:si>
    <x:t xml:space="preserve">Demonstrate architecture, quality, safety, rollback and clean teardown together.</x:t>
  </x:si>
  <x:si>
    <x:t xml:space="preserve">Approved sandbox window and evidence locations</x:t>
  </x:si>
  <x:si>
    <x:t xml:space="preserve">Final validation script, evidence index, ADR updates, demo checklist and architecture brief</x:t>
  </x:si>
  <x:si>
    <x:t xml:space="preserve">Architecture Map and Decision Trace</x:t>
  </x:si>
  <x:si>
    <x:t xml:space="preserve">Objective: turn approved enterprise knowledge into safe, cited answers and controlled actions while every change remains testable, observable, recoverable and removable.</x:t>
  </x:si>
  <x:si>
    <x:t xml:space="preserve">End-to-end flow: approved source → validate/classify/redact → chunk/embed → vector index → authenticate/authorize → retrieve evidence → generate → validate citations/abstain → optionally propose an allowlisted tool → human approval → observe/audit</x:t>
  </x:si>
  <x:si>
    <x:t xml:space="preserve">Layer</x:t>
  </x:si>
  <x:si>
    <x:t xml:space="preserve">Component</x:t>
  </x:si>
  <x:si>
    <x:t xml:space="preserve">Plain-Language Role</x:t>
  </x:si>
  <x:si>
    <x:t xml:space="preserve">Selected Design</x:t>
  </x:si>
  <x:si>
    <x:t xml:space="preserve">Build Week</x:t>
  </x:si>
  <x:si>
    <x:t xml:space="preserve">Decision IDs</x:t>
  </x:si>
  <x:si>
    <x:t xml:space="preserve">Safe Failure Behavior</x:t>
  </x:si>
  <x:si>
    <x:t xml:space="preserve">How We Verify</x:t>
  </x:si>
  <x:si>
    <x:t xml:space="preserve">Knowledge plane</x:t>
  </x:si>
  <x:si>
    <x:t xml:space="preserve">S3 versioned source</x:t>
  </x:si>
  <x:si>
    <x:t xml:space="preserve">Document warehouse for approved source material.</x:t>
  </x:si>
  <x:si>
    <x:t xml:space="preserve">S3 + secure ingestion</x:t>
  </x:si>
  <x:si>
    <x:t xml:space="preserve">Weeks 2,5</x:t>
  </x:si>
  <x:si>
    <x:t xml:space="preserve">ADR-006, ADR-009</x:t>
  </x:si>
  <x:si>
    <x:t xml:space="preserve">Quarantine invalid/PII content; do not index it.</x:t>
  </x:si>
  <x:si>
    <x:t xml:space="preserve">Ingestion manifest and PII tests</x:t>
  </x:si>
  <x:si>
    <x:t xml:space="preserve">Ingestion + Presidio</x:t>
  </x:si>
  <x:si>
    <x:t xml:space="preserve">Librarian that validates, hashes, classifies, redacts and chunks.</x:t>
  </x:si>
  <x:si>
    <x:t xml:space="preserve">Python local first; Glue/Macie later</x:t>
  </x:si>
  <x:si>
    <x:t xml:space="preserve">Bad files are quarantined; retries are bounded.</x:t>
  </x:si>
  <x:si>
    <x:t xml:space="preserve">Idempotency/quarantine evidence</x:t>
  </x:si>
  <x:si>
    <x:t xml:space="preserve">Sentence Transformers</x:t>
  </x:si>
  <x:si>
    <x:t xml:space="preserve">Converts text meaning to normalized vectors.</x:t>
  </x:si>
  <x:si>
    <x:t xml:space="preserve">Local CPU adapter</x:t>
  </x:si>
  <x:si>
    <x:t xml:space="preserve">Dimension/model mismatch fails before upsert.</x:t>
  </x:si>
  <x:si>
    <x:t xml:space="preserve">Embedder unit tests</x:t>
  </x:si>
  <x:si>
    <x:t xml:space="preserve">Qdrant</x:t>
  </x:si>
  <x:si>
    <x:t xml:space="preserve">Local searchable catalogue for development/integration.</x:t>
  </x:si>
  <x:si>
    <x:t xml:space="preserve">MUST local</x:t>
  </x:si>
  <x:si>
    <x:t xml:space="preserve">Readiness fails and query returns controlled dependency error.</x:t>
  </x:si>
  <x:si>
    <x:t xml:space="preserve">Qdrant contract/cleanup tests</x:t>
  </x:si>
  <x:si>
    <x:t xml:space="preserve">OpenSearch vectors</x:t>
  </x:si>
  <x:si>
    <x:t xml:space="preserve">Private AWS vector and hybrid search target.</x:t>
  </x:si>
  <x:si>
    <x:t xml:space="preserve">MUST plan; SHOULD deploy</x:t>
  </x:si>
  <x:si>
    <x:t xml:space="preserve">Use last good Terraform/index; do not expose public endpoint.</x:t>
  </x:si>
  <x:si>
    <x:t xml:space="preserve">Terraform plan/policy evidence</x:t>
  </x:si>
  <x:si>
    <x:t xml:space="preserve">Request plane</x:t>
  </x:si>
  <x:si>
    <x:t xml:space="preserve">FastAPI/Uvicorn</x:t>
  </x:si>
  <x:si>
    <x:t xml:space="preserve">Typed front desk for health, query and agent requests.</x:t>
  </x:si>
  <x:si>
    <x:t xml:space="preserve">Thin API boundary</x:t>
  </x:si>
  <x:si>
    <x:t xml:space="preserve">Deadline/size/concurrency errors are normalized.</x:t>
  </x:si>
  <x:si>
    <x:t xml:space="preserve">API unit/smoke tests</x:t>
  </x:si>
  <x:si>
    <x:t xml:space="preserve">Identity + metadata policy</x:t>
  </x:si>
  <x:si>
    <x:t xml:space="preserve">Security desk checking who may retrieve or act.</x:t>
  </x:si>
  <x:si>
    <x:t xml:space="preserve">Authorize before retrieval/action</x:t>
  </x:si>
  <x:si>
    <x:t xml:space="preserve">Weeks 2,4</x:t>
  </x:si>
  <x:si>
    <x:t xml:space="preserve">Deny before calling retriever or tool.</x:t>
  </x:si>
  <x:si>
    <x:t xml:space="preserve">Tenant/auth security tests</x:t>
  </x:si>
  <x:si>
    <x:t xml:space="preserve">Retriever interface</x:t>
  </x:si>
  <x:si>
    <x:t xml:space="preserve">Finds authorized evidence without leaking vendor types.</x:t>
  </x:si>
  <x:si>
    <x:t xml:space="preserve">Qdrant/OpenSearch adapters</x:t>
  </x:si>
  <x:si>
    <x:t xml:space="preserve">Weeks 2,3</x:t>
  </x:si>
  <x:si>
    <x:t xml:space="preserve">Abstain/control-error when evidence/dependency is insufficient.</x:t>
  </x:si>
  <x:si>
    <x:t xml:space="preserve">Backend contract + recall@5</x:t>
  </x:si>
  <x:si>
    <x:t xml:space="preserve">Bedrock LLM adapter</x:t>
  </x:si>
  <x:si>
    <x:t xml:space="preserve">Language expert drafts from supplied evidence.</x:t>
  </x:si>
  <x:si>
    <x:t xml:space="preserve">Primary AWS LLM boundary</x:t>
  </x:si>
  <x:si>
    <x:t xml:space="preserve">Bounded retry/fallback or controlled timeout error.</x:t>
  </x:si>
  <x:si>
    <x:t xml:space="preserve">Adapter and usage tests</x:t>
  </x:si>
  <x:si>
    <x:t xml:space="preserve">RAG guardrails</x:t>
  </x:si>
  <x:si>
    <x:t xml:space="preserve">Checks untrusted context, citations, output schema and refusal.</x:t>
  </x:si>
  <x:si>
    <x:t xml:space="preserve">Deterministic gates around model</x:t>
  </x:si>
  <x:si>
    <x:t xml:space="preserve">Reject malformed/uncited output or safely abstain.</x:t>
  </x:si>
  <x:si>
    <x:t xml:space="preserve">Security and golden evaluation</x:t>
  </x:si>
  <x:si>
    <x:t xml:space="preserve">Action plane</x:t>
  </x:si>
  <x:si>
    <x:t xml:space="preserve">LangGraph controller</x:t>
  </x:si>
  <x:si>
    <x:t xml:space="preserve">Workflow supervisor with explicit state and terminal paths.</x:t>
  </x:si>
  <x:si>
    <x:t xml:space="preserve">Bounded graph</x:t>
  </x:si>
  <x:si>
    <x:t xml:space="preserve">Budget/timeout/denial ends in safe terminal.</x:t>
  </x:si>
  <x:si>
    <x:t xml:space="preserve">Graph path tests</x:t>
  </x:si>
  <x:si>
    <x:t xml:space="preserve">Allowlisted tools + approval</x:t>
  </x:si>
  <x:si>
    <x:t xml:space="preserve">Narrow functions; write actions need durable human decision.</x:t>
  </x:si>
  <x:si>
    <x:t xml:space="preserve">Read-only default</x:t>
  </x:si>
  <x:si>
    <x:t xml:space="preserve">No valid approval means no write side effect.</x:t>
  </x:si>
  <x:si>
    <x:t xml:space="preserve">Approval/idempotency tests</x:t>
  </x:si>
  <x:si>
    <x:t xml:space="preserve">Runtime plane</x:t>
  </x:si>
  <x:si>
    <x:t xml:space="preserve">EKS + ECR</x:t>
  </x:si>
  <x:si>
    <x:t xml:space="preserve">Runs immutable API image with Kubernetes controls.</x:t>
  </x:si>
  <x:si>
    <x:t xml:space="preserve">Learning deployment target</x:t>
  </x:si>
  <x:si>
    <x:t xml:space="preserve">Rolling rollback to previous digest.</x:t>
  </x:si>
  <x:si>
    <x:t xml:space="preserve">Manifest/health/rollback evidence</x:t>
  </x:si>
  <x:si>
    <x:t xml:space="preserve">Security plane</x:t>
  </x:si>
  <x:si>
    <x:t xml:space="preserve">IAM/KMS/Secrets Manager</x:t>
  </x:si>
  <x:si>
    <x:t xml:space="preserve">Workload identity, encryption and runtime secret retrieval.</x:t>
  </x:si>
  <x:si>
    <x:t xml:space="preserve">Least privilege; no secret in code/state</x:t>
  </x:si>
  <x:si>
    <x:t xml:space="preserve">Weeks 1–6</x:t>
  </x:si>
  <x:si>
    <x:t xml:space="preserve">Fail closed; revoke role/session; rotate exposed secret.</x:t>
  </x:si>
  <x:si>
    <x:t xml:space="preserve">Policy and identity tests</x:t>
  </x:si>
  <x:si>
    <x:t xml:space="preserve">Control plane</x:t>
  </x:si>
  <x:si>
    <x:t xml:space="preserve">Terraform + GitHub Actions</x:t>
  </x:si>
  <x:si>
    <x:t xml:space="preserve">Creates reviewed infrastructure and enforces CI/security gates.</x:t>
  </x:si>
  <x:si>
    <x:t xml:space="preserve">Saved plans; OIDC; manual mutation</x:t>
  </x:si>
  <x:si>
    <x:t xml:space="preserve">Weeks 1,5</x:t>
  </x:si>
  <x:si>
    <x:t xml:space="preserve">ADR-009, ADR-010, ADR-011</x:t>
  </x:si>
  <x:si>
    <x:t xml:space="preserve">Discard drifted plan; apply prior reviewed version.</x:t>
  </x:si>
  <x:si>
    <x:t xml:space="preserve">Plan/policy/OIDC evidence</x:t>
  </x:si>
  <x:si>
    <x:t xml:space="preserve">Operations plane</x:t>
  </x:si>
  <x:si>
    <x:t xml:space="preserve">OpenTelemetry</x:t>
  </x:si>
  <x:si>
    <x:t xml:space="preserve">Correlates safe traces, metrics and logs across every stage.</x:t>
  </x:si>
  <x:si>
    <x:t xml:space="preserve">Vendor-neutral contract</x:t>
  </x:si>
  <x:si>
    <x:t xml:space="preserve">Weeks 3–6</x:t>
  </x:si>
  <x:si>
    <x:t xml:space="preserve">Disable broken exporter; keep core service safe.</x:t>
  </x:si>
  <x:si>
    <x:t xml:space="preserve">Trace/redaction tests</x:t>
  </x:si>
  <x:si>
    <x:t xml:space="preserve">CloudWatch/X-Ray + Prometheus/Grafana/Jaeger</x:t>
  </x:si>
  <x:si>
    <x:t xml:space="preserve">Monitoring room, dashboards, alerts and investigation.</x:t>
  </x:si>
  <x:si>
    <x:t xml:space="preserve">AWS + open local path</x:t>
  </x:si>
  <x:si>
    <x:t xml:space="preserve">ADR-008, ADR-017</x:t>
  </x:si>
  <x:si>
    <x:t xml:space="preserve">Burn alert triggers runbook/rollback/fallback.</x:t>
  </x:si>
  <x:si>
    <x:t xml:space="preserve">Alert and runbook rehearsal</x:t>
  </x:si>
  <x:si>
    <x:t xml:space="preserve">Lifecycle plane</x:t>
  </x:si>
  <x:si>
    <x:t xml:space="preserve">platformctl + cleanup verifier</x:t>
  </x:si>
  <x:si>
    <x:t xml:space="preserve">Controls plan/deploy/rollback/destroy and proves no residue.</x:t>
  </x:si>
  <x:si>
    <x:t xml:space="preserve">Separate release/infra/teardown</x:t>
  </x:si>
  <x:si>
    <x:t xml:space="preserve">Weeks 1,5,6</x:t>
  </x:si>
  <x:si>
    <x:t xml:space="preserve">ADR-012, ADR-013, ADR-014</x:t>
  </x:si>
  <x:si>
    <x:t xml:space="preserve">Unexpected target/residual stops completion.</x:t>
  </x:si>
  <x:si>
    <x:t xml:space="preserve">Rollback and cleanliness reports</x:t>
  </x:si>
  <x:si>
    <x:t xml:space="preserve">Controlled Codex Prompt Library — v1.1.2</x:t>
  </x:si>
  <x:si>
    <x:t xml:space="preserve">Use CTX-001 and enhanced CTRL-001, then one grouped feature at a time: exact tracker-row cross-check → Main Prompt → owner Pre-Edit Approval → implementation → independent TEST-001 → owner Final Approval → post-implementation tracker reconciliation. The owner updates Excel.</x:t>
  </x:si>
  <x:si>
    <x:t xml:space="preserve">Main Prompt (paste first)</x:t>
  </x:si>
  <x:si>
    <x:t xml:space="preserve">Verification / Stop Point</x:t>
  </x:si>
  <x:si>
    <x:t xml:space="preserve">Owner Approval</x:t>
  </x:si>
  <x:si>
    <x:t xml:space="preserve">Covered Tracker Steps</x:t>
  </x:si>
  <x:si>
    <x:t xml:space="preserve">Pre-Edit Review / Implementation Approval Prompt</x:t>
  </x:si>
  <x:si>
    <x:t xml:space="preserve">Final Approval Prompt</x:t>
  </x:si>
  <x:si>
    <x:t xml:space="preserve">CTX-001</x:t>
  </x:si>
  <x:si>
    <x:t xml:space="preserve">All</x:t>
  </x:si>
  <x:si>
    <x:t xml:space="preserve">Project context</x:t>
  </x:si>
  <x:si>
    <x:t xml:space="preserve">Give Codex the architecture objective, authority order and operating model before work starts.</x:t>
  </x:si>
  <x:si>
    <x:t xml:space="preserve">Source of Truth v1.1, Coaching Blueprint and this workbook</x:t>
  </x:si>
  <x:si>
    <x:t xml:space="preserve">Context acknowledgement only; no files/resources</x:t>
  </x:si>
  <x:si>
    <x:t xml:space="preserve">PROJECT CONTEXT — ENTERPRISE AI ARCHITECTURE LEARNING PROJECT / TRACKER v1.1.2 PROMPT CONTROL
You are helping one engineer build and understand a secure, reversible enterprise AI foundation: enterprise RAG with cited answers and abstention, bounded agentic workflows, AWS-first infrastructure, DevSecOps and SRE evidence.
MVP path: Python 3.11+, local Qdrant and sentence-transformers, provider-neutral vector/embedding/LLM adapters, FastAPI, LangChain/LangGraph, optional Bedrock sandbox, Terraform 1.5+, GitHub Actions, EKS and OpenTelemetry. The original tracker technology inventory, architecture and task definitions remain authoritative and unchanged.
Authority order: Enterprise_AI_Architecture_Source_of_Truth_v1.1; later owner-approved ADRs only for explicitly identified decisions; Enterprise_AI_Architecture_Coaching_Blueprint as supporting technical guidance; this tracker for sequence/evidence/status; approved feature requirements for their scope; generated code/configuration last. Never silently reconcile conflicts—stop and request an owner decision.
Controls: no plaintext secrets or long-lived AWS keys; least privilege; mandatory AWS tags; idempotency, bounded retries, deadlines/timeouts, safe defaults and normalized errors; redacted evidence; separate release rollback, infrastructure rollback and complete teardown; remote state removed last; native cleanup checks; KMS PendingDeletion is the sole documented sandbox teardown exception.
Operating flow: paste CTX-001 once per new Codex session, paste the enhanced CTRL-001, then for one grouped feature use its Main Prompt → owner Pre-Edit Approval → implementation → independent TEST-001 → owner Final Approval → owner tracker update. CTRL-001 requires an exact tracker-row reconciliation before implementation and an acceptance/evidence/boundary/cleanliness reconciliation before closure. Codex never self-approves or edits the tracker unless the owner separately authorizes that exact workbook edit.
Acknowledge this context and respond only: WAITING FOR CTRL-001. Do not create or edit anything.</x:t>
  </x:si>
  <x:si>
    <x:t xml:space="preserve">Paste once at the start of each new Codex session</x:t>
  </x:si>
  <x:si>
    <x:t xml:space="preserve">WAITING FOR CTRL-001; no change</x:t>
  </x:si>
  <x:si>
    <x:t xml:space="preserve">N/A — context only</x:t>
  </x:si>
  <x:si>
    <x:t xml:space="preserve">CTRL-001</x:t>
  </x:si>
  <x:si>
    <x:t xml:space="preserve">Mandatory control preamble</x:t>
  </x:si>
  <x:si>
    <x:t xml:space="preserve">Enforce tracker-aligned planning, bounded implementation and evidence-backed closure before every feature.</x:t>
  </x:si>
  <x:si>
    <x:t xml:space="preserve">Exact tracker row(s), prompt ID, prerequisites, owner inputs, acceptance criteria, expected files, evidence and rollback</x:t>
  </x:si>
  <x:si>
    <x:t xml:space="preserve">Pre-edit reconciliation matrix, approved file manifest, actual diff/results, evidence reconciliation and cleanliness proof</x:t>
  </x:si>
  <x:si>
    <x:t xml:space="preserve">CONTROLLED DEVELOPMENT REQUIREMENTS — TRACKER-ALIGNED GLOBAL CONTROL v1.1.2
Work only on the requested feature. Inspect existing files first, preserve user changes and treat the exact tracker row(s) as an executable contract.
MANDATORY PRE-IMPLEMENTATION TRACKER RECONCILIATION
1. Identify the exact Prompt ID and every covered tracker Step ID. Read the tracker row(s), CTX-001, CTRL-001, the feature Main Prompt, dependencies, Owner TODOs, ADRs and canonical evidence paths.
2. Produce a one-to-one reconciliation covering: purpose, inclusions, exclusions, prerequisites, unresolved owner inputs, architecture decisions, expected files, permitted resources, local/cloud impact, acceptance criteria, verification commands, evidence paths, cost, rollback and teardown.
3. Report every tracker-versus-prompt mismatch. Do not plan against the prompt alone, merge adjacent tracker tasks, invent owner decisions, or silently defer a MUST condition.
4. Inventory the baseline before edits: HEAD/origin when applicable, tracked changes, untracked files, staged files, ignored paths, empty directories, repository caches, tool-owned temporary paths, root environment/workbook boundaries and any owner-controlled exclusions.
5. List the exact approved file/resource manifest. Distinguish create, modify, delete and excluded owner-controlled paths. Define the normal developer commands and the complete dependency environment required to reproduce acceptance.
6. Define unit, integration, contract where applicable, feature, security, rollback, teardown/cleanliness and failure-propagation tests. Identify which commands are safe, mutating, networked, paid or owner-gated.
7. Explain alternatives, trade-offs, security/reliability/privacy impact, data residency, residual-resource risk and estimated platform cost.
8. If any material input, acceptance rule or boundary is ambiguous, report BLOCKED and ask one consolidated question set. Stop for owner Pre-Edit Approval.
IMPLEMENTATION
1. Implement the smallest approved change using the tracker-defined versions and architecture. Preserve the approved path/resource boundary and unrelated user work.
2. Never add plaintext secrets, long-lived credentials, unmanaged resources or unrelated changes. Use approved tags, idempotency, bounded retries, deadlines, safe defaults and normalized errors.
3. Never run Terraform apply/destroy, cloud deployment/rollback, image push, Kubernetes mutation or FIS unless the owner separately authorizes the exact command and target.
4. Keep supported caches and temporary data outside the repository. Prevent .deepeval, .mypy_cache, .pytest_cache, .ruff_cache, project __pycache__, repository .terraform and repository pre-commit caches unless a tracker row explicitly requires and approves them.
5. Do not edit this Excel tracker unless the owner separately authorizes that exact workbook change.
MANDATORY POST-IMPLEMENTATION RECONCILIATION
1. Re-read every covered tracker row and verify each acceptance criterion individually against actual output. Distinguish PASS, FAIL, EXPECTED POLICY DENIAL, DEFERRED and NOT RUN.
2. Compare the actual path/resource set with the approved manifest, including currently untracked files and deleted placeholders. Do not rely on a tracked-only diff.
3. Run the tracker commands and the normal documented developer commands in the complete environment. Record actual versions, counts, exit codes and skips; never hard-code or reuse historical counts.
4. When pre-commit or commit-boundary behavior matters, reproduce the exact proposed change in a disposable copy and stage only the approved paths there. Verify all created/untracked files are visible to applicable hooks; never stage the active repository without separate owner authorization.
5. Before and after every top-level command, inventory Git-visible and Git-invisible state, ignored paths, empty directories, caches, bytecode, Terraform data, pre-commit data, disposable environments and rollback copies. No unexplained residue may remain.
6. Validate feature-matrix status, ADR links, canonical evidence paths, JSON/text consistency, approval state, cost, rollback, teardown and residual-risk statements. Preserve historical failures and do not represent local validation as independent approval.
7. Explain every changed file/interface/resource, actual diff, tests, evidence, remaining TODOs and rollback. Confirm the proposed commit boundary contains only approved paths; do not stage, commit or push without explicit authorization.
8. Stop for independent TEST-001 and owner Final Approval before another feature.</x:t>
  </x:si>
  <x:si>
    <x:t xml:space="preserve">Paste before every feature prompt</x:t>
  </x:si>
  <x:si>
    <x:t xml:space="preserve">Block on any tracker/prompt mismatch; owner approves the exact pre-edit boundary and final result.</x:t>
  </x:si>
  <x:si>
    <x:t xml:space="preserve">Required before next prompt</x:t>
  </x:si>
  <x:si>
    <x:t xml:space="preserve">All implementation groups</x:t>
  </x:si>
  <x:si>
    <x:t xml:space="preserve">N/A — control prompt only</x:t>
  </x:si>
  <x:si>
    <x:t xml:space="preserve">TEST-001</x:t>
  </x:si>
  <x:si>
    <x:t xml:space="preserve">Independent implementation tester</x:t>
  </x:si>
  <x:si>
    <x:t xml:space="preserve">Independently validate the exact proposed state—including created/untracked files—before final owner approval.</x:t>
  </x:si>
  <x:si>
    <x:t xml:space="preserve">Prompt ID, exact tracker rows, approved plan/manifest, baseline SHA, proposed diff, evidence paths and owner-controlled exclusions</x:t>
  </x:si>
  <x:si>
    <x:t xml:space="preserve">Immutable read-only PASS/FAIL report with exact boundary, commands/results, evidence accuracy and final cleanliness</x:t>
  </x:si>
  <x:si>
    <x:t xml:space="preserve">TEST-001 — INDEPENDENT EXACT-PROPOSAL VALIDATOR v1.1.2
Act as an independent tester in a separate session and disposable copy. Required inputs: TODO_PROMPT_ID, exact tracker Step IDs, approved pre-edit plan/file manifest, baseline SHA, proposed diff, canonical evidence paths and owner-controlled exclusions.
ACTIVE-REPOSITORY IMMUTABILITY
1. Inspect but do not modify, repair, clean, stage, commit or push the active repository or Excel tracker. Record baseline hashes, Git status, staged count, workbook/owner-controlled exclusions and cleanliness before testing.
2. Compare the complete active proposal—including modified, deleted and untracked/created paths—with the approved manifest. Treat any unexplained path or arithmetic mismatch as FAIL.
DISPOSABLE EXACT PROPOSAL
3. Start from the approved baseline in a disposable copy. Overlay only approved modifications/deletions/creations; exclude owner-controlled files. Stage the exact approved proposal only inside the disposable copy so hooks see created/untracked files. Do not commit.
4. Build the complete approved dependency environment outside the repository. Use external tool caches and portable tests; a disposable clone must not be required to contain the developer's root .venv.
TRACKER AND VALIDATION
5. Cross-check every covered tracker row: prerequisites, architecture/owner decisions, acceptance criteria, commands, expected results, evidence paths, cost, rollback, teardown and status. Do not test against the implementation prompt alone.
6. Run only safe approved commands, including the normal documented developer workflow when required. Record actual tool versions, counts, exits and skips. Do not run cloud mutation, Terraform apply/destroy, image push, Kubernetes mutation, FIS, paid evaluation or real secrets.
7. Validate security controls with safe synthetic fixtures. Reviewed non-secret Git SHAs/checksums require narrow audited handling; broad file/type/entropy exclusions are prohibited. Confirm genuine failures return nonzero.
8. Validate evidence content and consistency, not just file existence. Preserve failure history; distinguish local PASS from independent PASS, expected policy denial from successful verification, and NOT RUN from PASS.
9. Inventory Git-visible and Git-invisible state immediately after each top-level command. Confirm no .deepeval, .mypy_cache, .pytest_cache, .ruff_cache, project __pycache__, repository .terraform, repository pre-commit cache, disposable environment, rollback copy or unexpected empty directory remains.
10. Re-run rollback reconstruction only when required by the tracker or affected by the change. Never roll back the active repository.
11. Recalculate active hashes and workbook metadata after testing. Any active mutation or unexpected residue is FAIL; do not repair it under a read-only mandate.
FOCUSED RETEST RULE
12. Classify a failure as functional, security, evidence-only, environment/test-design, boundary or cleanliness. After correction, independently rerun only affected gates plus boundary, immutability and cleanliness; unaffected verified results may carry forward only when their relevant hashes are unchanged.
13. If all executable controls passed and the sole blocker was evidence content, a subsequent read-only evidence check may combine with that executable result as a composite independent closure gate. Do not require another full matrix or an impossible self-referential evidence PASS.
Report PASS or FAIL; exact boundary; versions/commands/results; tracker criteria; evidence; rollback; security/privacy/cost/residual risks; active immutability; final cleanliness; blockers and limitations.
End exactly: TEST-001 PASS — TODO_PROMPT_ID or TEST-001 FAIL — TODO_PROMPT_ID. Stop.</x:t>
  </x:si>
  <x:si>
    <x:t xml:space="preserve">Replace TODO_PROMPT_ID, then paste after Codex reports READY FOR INDEPENDENT TEST</x:t>
  </x:si>
  <x:si>
    <x:t xml:space="preserve">PASS only after the exact proposed state, tracker criteria, evidence, rollback and cleanliness are independently verified.</x:t>
  </x:si>
  <x:si>
    <x:t xml:space="preserve">Required before Final Approval</x:t>
  </x:si>
  <x:si>
    <x:t xml:space="preserve">N/A — tester is read-only</x:t>
  </x:si>
  <x:si>
    <x:t xml:space="preserve">SIMPLE THREE-STAGE OWNER-CONTROLLED WORKFLOW — TRACKER v1.1.1
This is the MAIN PROMPT for W1-MVP-001. Covered tracker steps: W1-01.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W1-MVP-001.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W1-MVP-001. Stop.
ORIGINAL v1.1 TECHNICAL PROMPT — RETAINED VERBATIM
CONTINUE UNDER CTX-001 AND CTRL-001.
SCOPED TASK — W1-MVP-001
Create or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x:t>
  </x:si>
  <x:si>
    <x:t xml:space="preserve">File exists and owner can approve five questions and measurable criteria</x:t>
  </x:si>
  <x:si>
    <x:t xml:space="preserve">Final approval required</x:t>
  </x:si>
  <x:si>
    <x:t xml:space="preserve">I reviewed the PRE-EDIT plan for W1-MVP-001. Decision: APPROVED FOR IMPLEMENTATION within the exact files, resources, assumptions, tests and exclusions stated in that plan and the W1-MVP-001 Main Prompt. Continue only with W1-MVP-001.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W1-MVP-001.</x:t>
  </x:si>
  <x:si>
    <x:t xml:space="preserve">I reviewed the actual docs/features/MVP-001.md, verification evidence and an independent TEST-001 PASS for W1-MVP-001. Decision: APPROVED. Update only the document's Status/Decision Owner/Approval Date fields using TODO_USER and TODO_DATE; make no other content change. Show the exact diff, confirm no other file or resource changed, report READY FOR USER TRACKER UPDATE — W1-MVP-001, and stop. Do not edit Excel or start another prompt.</x:t>
  </x:si>
  <x:si>
    <x:t xml:space="preserve">SIMPLE THREE-STAGE OWNER-CONTROLLED WORKFLOW — TRACKER v1.1.1
This is the MAIN PROMPT for W1-GOV-001. Covered tracker steps: W1-02.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W1-GOV-001.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W1-GOV-001. Stop.
ORIGINAL v1.1 TECHNICAL PROMPT — RETAINED VERBATIM
CONTINUE UNDER CTX-001 AND CTRL-001.
SCOPED TASK — W1-GOV-001
Create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x:t>
  </x:si>
  <x:si>
    <x:t xml:space="preserve">ADR contains authority order, conflict rule, examples and Proposed status</x:t>
  </x:si>
  <x:si>
    <x:t xml:space="preserve">I reviewed the PRE-EDIT plan for W1-GOV-001. Decision: APPROVED FOR IMPLEMENTATION within the exact files, resources, assumptions, tests and exclusions stated in that plan and the W1-GOV-001 Main Prompt. Continue only with W1-GOV-001.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W1-GOV-001.</x:t>
  </x:si>
  <x:si>
    <x:t xml:space="preserve">I reviewed the actual docs/adr/ADR-000-source-precedence.md, verification evidence and an independent TEST-001 PASS for W1-GOV-001. Decision: APPROVED. Update only the document's Status/Decision Owner/Approval Date fields using TODO_USER and TODO_DATE; make no other content change. Show the exact diff, confirm no other file or resource changed, report READY FOR USER TRACKER UPDATE — W1-GOV-001, and stop. Do not edit Excel or start another prompt.</x:t>
  </x:si>
  <x:si>
    <x:t xml:space="preserve">SIMPLE THREE-STAGE OWNER-CONTROLLED WORKFLOW — TRACKER v1.1.1
This is the MAIN PROMPT for W1-001. Covered tracker steps: W1-03, W1-04, W1-07.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SCOPED v1.1.1 CLARIFICATION
Use repository name enterprise-ai-platform. README must document: PLAN in the Main Prompt → owner Pre-Edit Approval → implementation/evidence → independent TEST-001 → owner Final Approval → user tracker update. Do not implement RAG in this prompt.</x:t>
  </x:si>
  <x:si>
    <x:t xml:space="preserve">Repo paths exist; feature template validates; no secrets; owner can trace a feature from request to evidence.</x:t>
  </x:si>
  <x:si>
    <x:t xml:space="preserve">W1-03, W1-04, W1-07</x:t>
  </x:si>
  <x:si>
    <x:t xml:space="preserve">I reviewed the PRE-EDIT plan for W1-001. Decision: APPROVED FOR IMPLEMENTATION within the exact files, resources, assumptions, tests and exclusions stated in that plan and the W1-001 Main Prompt. Continue only with W1-001.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W1-001.</x:t>
  </x:si>
  <x:si>
    <x:t xml:space="preserve">I reviewed the actual W1-001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W1-001, list any remaining TODO or accepted risk, and stop. Do not start the next prompt.</x:t>
  </x:si>
  <x:si>
    <x:t xml:space="preserve">SIMPLE THREE-STAGE OWNER-CONTROLLED WORKFLOW — TRACKER v1.1.1
This is the MAIN PROMPT for W1-002. Covered tracker steps: W1-05.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x:t>
  </x:si>
  <x:si>
    <x:t xml:space="preserve">Install succeeds; invalid config fails clearly; unit tests make no cloud or paid API call.</x:t>
  </x:si>
  <x:si>
    <x:t xml:space="preserve">I reviewed the PRE-EDIT plan for W1-002. Decision: APPROVED FOR IMPLEMENTATION within the exact files, resources, assumptions, tests and exclusions stated in that plan and the W1-002 Main Prompt. Continue only with W1-002. This does not approve Terraform apply/destroy, image push, Kubernetes mutation, FIS, any other cloud mutation, final acceptance, Excel tracker edits or the next prompt. Run the approved safe tests, create redacted evidence, show the actual diff and stop at READY FOR INDEPENDENT TEST — W1-002.</x:t>
  </x:si>
  <x:si>
    <x:t xml:space="preserve">I reviewed the actual W1-002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W1-002, list any remaining TODO or accepted risk, and stop. Do not start the next prompt.</x:t>
  </x:si>
  <x:si>
    <x:t xml:space="preserve">SIMPLE THREE-STAGE OWNER-CONTROLLED WORKFLOW — TRACKER v1.1.1
This is the MAIN PROMPT for W1-003. Covered tracker steps: W1-06, W1-08.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x:t>
  </x:si>
  <x:si>
    <x:t xml:space="preserve">Starter tests pass offline and a redacted evidence record is produced.</x:t>
  </x:si>
  <x:si>
    <x:t xml:space="preserve">W1-06, W1-08</x:t>
  </x:si>
  <x:si>
    <x:t xml:space="preserve">I reviewed the PRE-EDIT plan for W1-003. Decision: APPROVED FOR IMPLEMENTATION within the exact files, resources, assumptions, tests and exclusions stated in that plan and the W1-003 Main Prompt. Continue only with W1-003. This does not approve Terraform apply/destroy, image push, Kubernetes mutation, FIS, any other cloud mutation, final acceptance, Excel tracker edits or the next prompt. Run the approved safe tests, create redacted evidence, show the actual diff and stop at READY FOR INDEPENDENT TEST — W1-003.</x:t>
  </x:si>
  <x:si>
    <x:t xml:space="preserve">I reviewed the actual W1-003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W1-003, list any remaining TODO or accepted risk, and stop. Do not start the next prompt.</x:t>
  </x:si>
  <x:si>
    <x:t xml:space="preserve">SIMPLE THREE-STAGE OWNER-CONTROLLED WORKFLOW — TRACKER v1.1.1
This is the MAIN PROMPT for W1-004. Covered tracker steps: W1-09, W1-10, W1-11.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W1-004.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W1-004.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x:t>
  </x:si>
  <x:si>
    <x:t xml:space="preserve">Commands and safety boundaries are visible; mocked residuals fail; KMS PendingDeletion is classified only as the documented exception.</x:t>
  </x:si>
  <x:si>
    <x:t xml:space="preserve">W1-09, W1-10, W1-11</x:t>
  </x:si>
  <x:si>
    <x:t xml:space="preserve">I reviewed the PRE-EDIT plan for W1-004. Decision: APPROVED FOR IMPLEMENTATION within the exact files, resources, assumptions, tests and exclusions stated in that plan and the W1-004 Main Prompt. Continue only with W1-004. This does not approve Terraform apply/destroy, image push, Kubernetes mutation, FIS, any other cloud mutation, final acceptance, Excel tracker edits or the next prompt. Run the approved safe tests, create redacted evidence, show the actual diff and stop at READY FOR INDEPENDENT TEST — W1-004.</x:t>
  </x:si>
  <x:si>
    <x:t xml:space="preserve">I reviewed the actual W1-004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W1-004, list any remaining TODO or accepted risk, and stop. Do not start the next prompt.</x:t>
  </x:si>
  <x:si>
    <x:t xml:space="preserve">I reviewed the PRE-EDIT plan for W2-001. Decision: APPROVED FOR IMPLEMENTATION within the exact files, resources, assumptions, tests and exclusions stated in that plan and the W2-001 Main Prompt. Continue only with W2-001.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W2-001.</x:t>
  </x:si>
  <x:si>
    <x:t xml:space="preserve">I reviewed the actual W2-001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W2-001, list any remaining TODO or accepted risk, and stop. Do not start the next prompt.</x:t>
  </x:si>
  <x:si>
    <x:t xml:space="preserve">Offline tests pass; vectors normalize; mismatch fails before upsert.</x:t>
  </x:si>
  <x:si>
    <x:t xml:space="preserve">I reviewed the PRE-EDIT plan for W2-002. Decision: APPROVED FOR IMPLEMENTATION within the exact files, resources, assumptions, tests and exclusions stated in that plan and the W2-002 Main Prompt. Continue only with W2-002. This does not approve Terraform apply/destroy, image push, Kubernetes mutation, FIS, any other cloud mutation, final acceptance, Excel tracker edits or the next prompt. Run the approved safe tests, create redacted evidence, show the actual diff and stop at READY FOR INDEPENDENT TEST — W2-002.</x:t>
  </x:si>
  <x:si>
    <x:t xml:space="preserve">I reviewed the actual W2-002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W2-002, list any remaining TODO or accepted risk, and stop. Do not start the next prompt.</x:t>
  </x:si>
  <x:si>
    <x:t xml:space="preserve">Repeated ingestion is idempotent; rejected files are quarantined; manifest contains no raw document text or PII.</x:t>
  </x:si>
  <x:si>
    <x:t xml:space="preserve">W2-06, W2-07</x:t>
  </x:si>
  <x:si>
    <x:t xml:space="preserve">I reviewed the PRE-EDIT plan for W2-003. Decision: APPROVED FOR IMPLEMENTATION within the exact files, resources, assumptions, tests and exclusions stated in that plan and the W2-003 Main Prompt. Continue only with W2-003. This does not approve Terraform apply/destroy, image push, Kubernetes mutation, FIS, any other cloud mutation, final acceptance, Excel tracker edits or the next prompt. Run the approved safe tests, create redacted evidence, show the actual diff and stop at READY FOR INDEPENDENT TEST — W2-003.</x:t>
  </x:si>
  <x:si>
    <x:t xml:space="preserve">I reviewed the actual W2-003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W2-003, list any remaining TODO or accepted risk, and stop. Do not start the next prompt.</x:t>
  </x:si>
  <x:si>
    <x:t xml:space="preserve">I reviewed the PRE-EDIT plan for W2-004. Decision: APPROVED FOR IMPLEMENTATION within the exact files, resources, assumptions, tests and exclusions stated in that plan and the W2-004 Main Prompt. Continue only with W2-004. This does not approve Terraform apply/destroy, image push, Kubernetes mutation, FIS, any other cloud mutation, final acceptance, Excel tracker edits or the next prompt. Run the approved safe tests, create redacted evidence, show the actual diff and stop at READY FOR INDEPENDENT TEST — W2-004.</x:t>
  </x:si>
  <x:si>
    <x:t xml:space="preserve">I reviewed the actual W2-004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W2-004, list any remaining TODO or accepted risk, and stop. Do not start the next prompt.</x:t>
  </x:si>
  <x:si>
    <x:t xml:space="preserve">Five-minute explanation accurately matches current implementation and ADRs</x:t>
  </x:si>
  <x:si>
    <x:t xml:space="preserve">I reviewed the PRE-EDIT plan for W2-LEARN-001. Decision: APPROVED FOR IMPLEMENTATION within the exact files, resources, assumptions, tests and exclusions stated in that plan and the W2-LEARN-001 Main Prompt. Continue only with W2-LEARN-001.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W2-LEARN-001.</x:t>
  </x:si>
  <x:si>
    <x:t xml:space="preserve">I reviewed the actual W2-LEARN-001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W2-LEARN-001, list any remaining TODO or accepted risk, and stop. Do not start the next prompt.</x:t>
  </x:si>
  <x:si>
    <x:t xml:space="preserve">Citations map to retrieved chunks; insufficient evidence abstains; timeout and prompt-injection tests pass.</x:t>
  </x:si>
  <x:si>
    <x:t xml:space="preserve">W3-01, W3-02, W3-03, W3-04</x:t>
  </x:si>
  <x:si>
    <x:t xml:space="preserve">I reviewed the PRE-EDIT plan for W3-001. Decision: APPROVED FOR IMPLEMENTATION within the exact files, resources, assumptions, tests and exclusions stated in that plan and the W3-001 Main Prompt. Continue only with W3-001.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W3-001.</x:t>
  </x:si>
  <x:si>
    <x:t xml:space="preserve">I reviewed the actual W3-001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W3-001, list any remaining TODO or accepted risk, and stop. Do not start the next prompt.</x:t>
  </x:si>
  <x:si>
    <x:t xml:space="preserve">At least 25 cases run; Recall@5 and groundedness baseline recorded; material regression exits nonzero.</x:t>
  </x:si>
  <x:si>
    <x:t xml:space="preserve">W3-06, W3-07, W3-10</x:t>
  </x:si>
  <x:si>
    <x:t xml:space="preserve">I reviewed the PRE-EDIT plan for W3-002. Decision: APPROVED FOR IMPLEMENTATION within the exact files, resources, assumptions, tests and exclusions stated in that plan and the W3-002 Main Prompt. Continue only with W3-002. This does not approve Terraform apply/destroy, image push, Kubernetes mutation, FIS, any other cloud mutation, final acceptance, Excel tracker edits or the next prompt. Run the approved safe tests, create redacted evidence, show the actual diff and stop at READY FOR INDEPENDENT TEST — W3-002.</x:t>
  </x:si>
  <x:si>
    <x:t xml:space="preserve">I reviewed the actual W3-002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W3-002, list any remaining TODO or accepted risk, and stop. Do not start the next prompt.</x:t>
  </x:si>
  <x:si>
    <x:t xml:space="preserve">Zero cross-tenant chunks; malicious instructions are not executed; invalid output is rejected or safely abstained.</x:t>
  </x:si>
  <x:si>
    <x:t xml:space="preserve">W3-05, W3-08</x:t>
  </x:si>
  <x:si>
    <x:t xml:space="preserve">I reviewed the PRE-EDIT plan for W3-003. Decision: APPROVED FOR IMPLEMENTATION within the exact files, resources, assumptions, tests and exclusions stated in that plan and the W3-003 Main Prompt. Continue only with W3-003. This does not approve Terraform apply/destroy, image push, Kubernetes mutation, FIS, any other cloud mutation, final acceptance, Excel tracker edits or the next prompt. Run the approved safe tests, create redacted evidence, show the actual diff and stop at READY FOR INDEPENDENT TEST — W3-003.</x:t>
  </x:si>
  <x:si>
    <x:t xml:space="preserve">I reviewed the actual W3-003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W3-003, list any remaining TODO or accepted risk, and stop. Do not start the next prompt.</x:t>
  </x:si>
  <x:si>
    <x:t xml:space="preserve">Known-good configuration restores baseline and a redacted rollback record exists</x:t>
  </x:si>
  <x:si>
    <x:t xml:space="preserve">I reviewed the PRE-EDIT plan for W3-ROLLBACK-001. Decision: APPROVED FOR IMPLEMENTATION within the exact files, resources, assumptions, tests and exclusions stated in that plan and the W3-ROLLBACK-001 Main Prompt. Continue only with W3-ROLLBACK-001.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W3-ROLLBACK-001.</x:t>
  </x:si>
  <x:si>
    <x:t xml:space="preserve">I reviewed the actual W3-ROLLBACK-001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W3-ROLLBACK-001, list any remaining TODO or accepted risk, and stop. Do not start the next prompt.</x:t>
  </x:si>
  <x:si>
    <x:t xml:space="preserve">Health endpoints behave correctly; query works with fakes; dependency failures return controlled errors.</x:t>
  </x:si>
  <x:si>
    <x:t xml:space="preserve">W4-01, W4-02, W4-10</x:t>
  </x:si>
  <x:si>
    <x:t xml:space="preserve">I reviewed the PRE-EDIT plan for W4-001. Decision: APPROVED FOR IMPLEMENTATION within the exact files, resources, assumptions, tests and exclusions stated in that plan and the W4-001 Main Prompt. Continue only with W4-001.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W4-001.</x:t>
  </x:si>
  <x:si>
    <x:t xml:space="preserve">I reviewed the actual W4-001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W4-001, list any remaining TODO or accepted risk, and stop. Do not start the next prompt.</x:t>
  </x:si>
  <x:si>
    <x:t xml:space="preserve">Every route reaches an explicit terminal state; write action is impossible without recorded approval.</x:t>
  </x:si>
  <x:si>
    <x:t xml:space="preserve">W4-03, W4-04, W4-05, W4-06, W4-07, W4-09</x:t>
  </x:si>
  <x:si>
    <x:t xml:space="preserve">I reviewed the PRE-EDIT plan for W4-002. Decision: APPROVED FOR IMPLEMENTATION within the exact files, resources, assumptions, tests and exclusions stated in that plan and the W4-002 Main Prompt. Continue only with W4-002. This does not approve Terraform apply/destroy, image push, Kubernetes mutation, FIS, any other cloud mutation, final acceptance, Excel tracker edits or the next prompt. Run the approved safe tests, create redacted evidence, show the actual diff and stop at READY FOR INDEPENDENT TEST — W4-002.</x:t>
  </x:si>
  <x:si>
    <x:t xml:space="preserve">I reviewed the actual W4-002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W4-002, list any remaining TODO or accepted risk, and stop. Do not start the next prompt.</x:t>
  </x:si>
  <x:si>
    <x:t xml:space="preserve">Trace correlation works; redaction tests prove sensitive content is absent.</x:t>
  </x:si>
  <x:si>
    <x:t xml:space="preserve">W3-09, W4-08</x:t>
  </x:si>
  <x:si>
    <x:t xml:space="preserve">I reviewed the PRE-EDIT plan for W4-003. Decision: APPROVED FOR IMPLEMENTATION within the exact files, resources, assumptions, tests and exclusions stated in that plan and the W4-003 Main Prompt. Continue only with W4-003. This does not approve Terraform apply/destroy, image push, Kubernetes mutation, FIS, any other cloud mutation, final acceptance, Excel tracker edits or the next prompt. Run the approved safe tests, create redacted evidence, show the actual diff and stop at READY FOR INDEPENDENT TEST — W4-003.</x:t>
  </x:si>
  <x:si>
    <x:t xml:space="preserve">I reviewed the actual W4-003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W4-003, list any remaining TODO or accepted risk, and stop. Do not start the next prompt.</x:t>
  </x:si>
  <x:si>
    <x:t xml:space="preserve">Release N is restored healthy and rollback evidence is complete</x:t>
  </x:si>
  <x:si>
    <x:t xml:space="preserve">I reviewed the PRE-EDIT plan for W4-ROLLBACK-001. Decision: APPROVED FOR IMPLEMENTATION within the exact files, resources, assumptions, tests and exclusions stated in that plan and the W4-ROLLBACK-001 Main Prompt. Continue only with W4-ROLLBACK-001.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W4-ROLLBACK-001.</x:t>
  </x:si>
  <x:si>
    <x:t xml:space="preserve">I reviewed the actual W4-ROLLBACK-001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W4-ROLLBACK-001, list any remaining TODO or accepted risk, and stop. Do not start the next prompt.</x:t>
  </x:si>
  <x:si>
    <x:t xml:space="preserve">All required inputs are explicit, non-secret and owner-reviewable</x:t>
  </x:si>
  <x:si>
    <x:t xml:space="preserve">I reviewed the PRE-EDIT plan for W5-INPUTS-001. Decision: APPROVED FOR IMPLEMENTATION within the exact files, resources, assumptions, tests and exclusions stated in that plan and the W5-INPUTS-001 Main Prompt. Continue only with W5-INPUTS-001.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W5-INPUTS-001.</x:t>
  </x:si>
  <x:si>
    <x:t xml:space="preserve">I reviewed the actual docs/cost-estimates/W5-inputs.md, verification evidence and an independent TEST-001 PASS for W5-INPUTS-001. Decision: APPROVED. Update only the document's Status/Decision Owner/Approval Date fields using TODO_USER and TODO_DATE; make no other content change. Show the exact diff, confirm no other file or resource changed, report READY FOR USER TRACKER UPDATE — W5-INPUTS-001, and stop. Do not edit Excel or start another prompt.</x:t>
  </x:si>
  <x:si>
    <x:t xml:space="preserve">fmt/validate/plan pass; no secret value enters state; bootstrap and platform can be torn down separately.</x:t>
  </x:si>
  <x:si>
    <x:t xml:space="preserve">W5-02, W5-03, W5-04, W5-05</x:t>
  </x:si>
  <x:si>
    <x:t xml:space="preserve">I reviewed the PRE-EDIT plan for W5-001. Decision: APPROVED FOR IMPLEMENTATION within the exact files, resources, assumptions, tests and exclusions stated in that plan and the W5-001 Main Prompt. Continue only with W5-001.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W5-001.</x:t>
  </x:si>
  <x:si>
    <x:t xml:space="preserve">I reviewed the actual W5-001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W5-001, list any remaining TODO or accepted risk, and stop. Do not start the next prompt.</x:t>
  </x:si>
  <x:si>
    <x:t xml:space="preserve">Insecure fixtures fail; SBOM exists; AWS auth uses OIDC; deployment remains owner-approved.</x:t>
  </x:si>
  <x:si>
    <x:t xml:space="preserve">W5-07, W5-08, W6-01</x:t>
  </x:si>
  <x:si>
    <x:t xml:space="preserve">I reviewed the PRE-EDIT plan for W5-002. Decision: APPROVED FOR IMPLEMENTATION within the exact files, resources, assumptions, tests and exclusions stated in that plan and the W5-002 Main Prompt. Continue only with W5-002. This does not approve Terraform apply/destroy, image push, Kubernetes mutation, FIS, any other cloud mutation, final acceptance, Excel tracker edits or the next prompt. Run the approved safe tests, create redacted evidence, show the actual diff and stop at READY FOR INDEPENDENT TEST — W5-002.</x:t>
  </x:si>
  <x:si>
    <x:t xml:space="preserve">I reviewed the actual W5-002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W5-002, list any remaining TODO or accepted risk, and stop. Do not start the next prompt.</x:t>
  </x:si>
  <x:si>
    <x:t xml:space="preserve">Insecure fixtures fail for the intended reason; secure fixtures pass; exception metadata is auditable.</x:t>
  </x:si>
  <x:si>
    <x:t xml:space="preserve">I reviewed the PRE-EDIT plan for W5-003. Decision: APPROVED FOR IMPLEMENTATION within the exact files, resources, assumptions, tests and exclusions stated in that plan and the W5-003 Main Prompt. Continue only with W5-003. This does not approve Terraform apply/destroy, image push, Kubernetes mutation, FIS, any other cloud mutation, final acceptance, Excel tracker edits or the next prompt. Run the approved safe tests, create redacted evidence, show the actual diff and stop at READY FOR INDEPENDENT TEST — W5-003.</x:t>
  </x:si>
  <x:si>
    <x:t xml:space="preserve">I reviewed the actual W5-003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W5-003, list any remaining TODO or accepted risk, and stop. Do not start the next prompt.</x:t>
  </x:si>
  <x:si>
    <x:t xml:space="preserve">Plan summaries are reviewable; rollback and teardown records exist; unexpected residuals fail the gate.</x:t>
  </x:si>
  <x:si>
    <x:t xml:space="preserve">W5-09, W5-10, W5-11, W5-12, W6-12</x:t>
  </x:si>
  <x:si>
    <x:t xml:space="preserve">I reviewed the PRE-EDIT plan for W5-004. Decision: APPROVED FOR IMPLEMENTATION within the exact files, resources, assumptions, tests and exclusions stated in that plan and the W5-004 Main Prompt. Continue only with W5-004. This does not approve Terraform apply/destroy, image push, Kubernetes mutation, FIS, any other cloud mutation, final acceptance, Excel tracker edits or the next prompt. Run the approved safe tests, create redacted evidence, show the actual diff and stop at READY FOR INDEPENDENT TEST — W5-004.</x:t>
  </x:si>
  <x:si>
    <x:t xml:space="preserve">I reviewed the actual W5-004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W5-004, list any remaining TODO or accepted risk, and stop. Do not start the next prompt.</x:t>
  </x:si>
  <x:si>
    <x:t xml:space="preserve">Dry-run and policy checks pass; pod has no static AWS key; rollback restores health.</x:t>
  </x:si>
  <x:si>
    <x:t xml:space="preserve">W6-02, W6-03, W6-04, W6-05</x:t>
  </x:si>
  <x:si>
    <x:t xml:space="preserve">I reviewed the PRE-EDIT plan for W6-001. Decision: APPROVED FOR IMPLEMENTATION within the exact files, resources, assumptions, tests and exclusions stated in that plan and the W6-001 Main Prompt. Continue only with W6-001.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W6-001.</x:t>
  </x:si>
  <x:si>
    <x:t xml:space="preserve">I reviewed the actual W6-001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W6-001, list any remaining TODO or accepted risk, and stop. Do not start the next prompt.</x:t>
  </x:si>
  <x:si>
    <x:t xml:space="preserve">Rules validate; trace spans separate stages; controlled failures alert without retry storms; runbook restores service.</x:t>
  </x:si>
  <x:si>
    <x:t xml:space="preserve">W6-06, W6-07, W6-08, W6-09</x:t>
  </x:si>
  <x:si>
    <x:t xml:space="preserve">I reviewed the PRE-EDIT plan for W6-002. Decision: APPROVED FOR IMPLEMENTATION within the exact files, resources, assumptions, tests and exclusions stated in that plan and the W6-002 Main Prompt. Continue only with W6-002. This does not approve Terraform apply/destroy, image push, Kubernetes mutation, FIS, any other cloud mutation, final acceptance, Excel tracker edits or the next prompt. Run the approved safe tests, create redacted evidence, show the actual diff and stop at READY FOR INDEPENDENT TEST — W6-002.</x:t>
  </x:si>
  <x:si>
    <x:t xml:space="preserve">I reviewed the actual W6-002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W6-002, list any remaining TODO or accepted risk, and stop. Do not start the next prompt.</x:t>
  </x:si>
  <x:si>
    <x:t xml:space="preserve">Acceptance criteria are evidenced; evaluation did not regress; rollback succeeds; cleanup report has no unmanaged residuals except documented KMS PendingDeletion.</x:t>
  </x:si>
  <x:si>
    <x:t xml:space="preserve">W6-10, W6-11, W6-13</x:t>
  </x:si>
  <x:si>
    <x:t xml:space="preserve">I reviewed the PRE-EDIT plan for W6-003. Decision: APPROVED FOR IMPLEMENTATION within the exact files, resources, assumptions, tests and exclusions stated in that plan and the W6-003 Main Prompt. Continue only with W6-003. This does not approve Terraform apply/destroy, image push, Kubernetes mutation, FIS, any other cloud mutation, final acceptance, Excel tracker edits or the next prompt. Run the approved safe tests, create redacted evidence, show the actual diff and stop at READY FOR INDEPENDENT TEST — W6-003.</x:t>
  </x:si>
  <x:si>
    <x:t xml:space="preserve">I reviewed the actual W6-003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W6-003, list any remaining TODO or accepted risk, and stop. Do not start the next prompt.</x:t>
  </x:si>
  <x:si>
    <x:t xml:space="preserve">Weeks 1-5</x:t>
  </x:si>
  <x:si>
    <x:t xml:space="preserve">Close each week only after tracker-to-repository-to-evidence reconciliation and independent validation.</x:t>
  </x:si>
  <x:si>
    <x:t xml:space="preserve">Every MUST item is evidenced or explicitly deferred with owner/risk/date</x:t>
  </x:si>
  <x:si>
    <x:t xml:space="preserve">Required before next week</x:t>
  </x:si>
  <x:si>
    <x:t xml:space="preserve">W1-12, W2-12, W3-12, W4-12, W5-13</x:t>
  </x:si>
  <x:si>
    <x:t xml:space="preserve">I reviewed the PRE-EDIT plan for WEEKLY-REVIEW-001. Decision: APPROVED FOR IMPLEMENTATION within the exact files, resources, assumptions, tests and exclusions stated in that plan and the WEEKLY-REVIEW-001 Main Prompt. Continue only with WEEKLY-REVIEW-001. This does not approve Terraform apply/destroy, image push, Kubernetes mutation, FIS, any other cloud mutation, final acceptance, Excel tracker edits or the next prompt. Run the approved safe tests, create redacted evidence, show the actual diff and stop at READY FOR INDEPENDENT TEST — WEEKLY-REVIEW-001.</x:t>
  </x:si>
  <x:si>
    <x:t xml:space="preserve">I reviewed the actual docs/deployment-records/TODO_WEEK-signoff.md, verification evidence and an independent TEST-001 PASS for WEEKLY-REVIEW-001. Decision: APPROVED. Update only the document's Status/Decision Owner/Approval Date fields using TODO_USER and TODO_DATE; make no other content change. Show the exact diff, confirm no other file or resource changed, report READY FOR USER TRACKER UPDATE — WEEKLY-REVIEW-001, and stop. Do not edit Excel or start another prompt.</x:t>
  </x:si>
  <x:si>
    <x:t xml:space="preserve">ST-001</x:t>
  </x:si>
  <x:si>
    <x:t xml:space="preserve">Post-MVP</x:t>
  </x:si>
  <x:si>
    <x:t xml:space="preserve">PyTorch Lightning and PEFT/LoRA training lab</x:t>
  </x:si>
  <x:si>
    <x:t xml:space="preserve">Learn model development without making it an MVP dependency.</x:t>
  </x:si>
  <x:si>
    <x:t xml:space="preserve">Approved model/dataset IDs, license and GPU budget</x:t>
  </x:si>
  <x:si>
    <x:t xml:space="preserve">Isolated training config/script, model card, adapter weights and smoke test</x:t>
  </x:si>
  <x:si>
    <x:t xml:space="preserve">SIMPLE THREE-STAGE OWNER-CONTROLLED WORKFLOW — TRACKER v1.1.1
This is the MAIN PROMPT for ST-001. Covered tracker steps: Post-MVP.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ST-001.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ST-001.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x:t>
  </x:si>
  <x:si>
    <x:t xml:space="preserve">python -m enterprise_ai.training.train_lora --config configs/training/lora.yaml --fast-dev-run</x:t>
  </x:si>
  <x:si>
    <x:t xml:space="preserve">Smoke test is offline; candidate is not promoted unless it materially beats the RAG/prompt baseline.</x:t>
  </x:si>
  <x:si>
    <x:t xml:space="preserve">I reviewed the PRE-EDIT plan for ST-001. Decision: APPROVED FOR IMPLEMENTATION within the exact files, resources, assumptions, tests and exclusions stated in that plan and the ST-001 Main Prompt. Continue only with ST-001. This does not approve Terraform apply/destroy, image push, Kubernetes mutation, FIS, any other cloud mutation, final acceptance, Excel tracker edits or the next prompt. Run the approved safe tests, create redacted evidence, show the actual diff and stop at READY FOR INDEPENDENT TEST — ST-001.</x:t>
  </x:si>
  <x:si>
    <x:t xml:space="preserve">I reviewed the actual ST-001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ST-001, list any remaining TODO or accepted risk, and stop. Do not start the next prompt.</x:t>
  </x:si>
  <x:si>
    <x:t xml:space="preserve">ST-002</x:t>
  </x:si>
  <x:si>
    <x:t xml:space="preserve">Optional Ansible operations runner</x:t>
  </x:si>
  <x:si>
    <x:t xml:space="preserve">Limit Ansible to valid VM/bootstrap cases.</x:t>
  </x:si>
  <x:si>
    <x:t xml:space="preserve">SSM dynamic inventory; no SSH keys</x:t>
  </x:si>
  <x:si>
    <x:t xml:space="preserve">Idempotent role/playbook, lint/check-mode and tests</x:t>
  </x:si>
  <x:si>
    <x:t xml:space="preserve">SIMPLE THREE-STAGE OWNER-CONTROLLED WORKFLOW — TRACKER v1.1.1
This is the MAIN PROMPT for ST-002. Covered tracker steps: Post-MVP.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ST-002.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ST-002.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x:t>
  </x:si>
  <x:si>
    <x:t xml:space="preserve">ansible-lint infra/ansible &amp;&amp; ansible-playbook --check ...</x:t>
  </x:si>
  <x:si>
    <x:t xml:space="preserve">Check mode makes no unsafe change; no private key or secret is stored in the repo.</x:t>
  </x:si>
  <x:si>
    <x:t xml:space="preserve">I reviewed the PRE-EDIT plan for ST-002. Decision: APPROVED FOR IMPLEMENTATION within the exact files, resources, assumptions, tests and exclusions stated in that plan and the ST-002 Main Prompt. Continue only with ST-002. This does not approve Terraform apply/destroy, image push, Kubernetes mutation, FIS, any other cloud mutation, final acceptance, Excel tracker edits or the next prompt. Run the approved safe tests, create redacted evidence, show the actual diff and stop at READY FOR INDEPENDENT TEST — ST-002.</x:t>
  </x:si>
  <x:si>
    <x:t xml:space="preserve">I reviewed the actual ST-002 diff, verification results, redacted evidence, rollback/teardown method, cost/privacy impact, residual risks and an independent TEST-001 PASS. Decision: APPROVED. This authorizes no additional code/configuration change, local/cloud mutation or Excel tracker edit. Acknowledge APPROVED FOR USER TRACKER UPDATE — ST-002, list any remaining TODO or accepted risk, and stop. Do not start the next prompt.</x:t>
  </x:si>
  <x:si>
    <x:t xml:space="preserve">W1-CONSOLIDATED-001</x:t>
  </x:si>
  <x:si>
    <x:t xml:space="preserve">Consolidated closure history and reusable regression gate</x:t>
  </x:si>
  <x:si>
    <x:t xml:space="preserve">Preserve every Week 1 correction, test transition and prevention control for future weeks.</x:t>
  </x:si>
  <x:si>
    <x:t xml:space="preserve">Week 1 commits, tracker rows W1-01:W1-12, evidence, ADRs, owner decisions and cleanliness records</x:t>
  </x:si>
  <x:si>
    <x:t xml:space="preserve">Read-only historical/control audit; no code, cloud, tracker or architecture mutation</x:t>
  </x:si>
  <x:si>
    <x:t xml:space="preserve">W1-CONSOLIDATED-001 — WEEK 1 CLOSURE HISTORY AND REUSABLE REGRESSION GATE
Purpose: preserve the complete Week 1 correction/test history and convert it into a future prevention checklist. This is a read-only audit prompt; it does not reopen Week 1, alter architecture/tasks, authorize mutation or edit the tracker.
AUTHORITATIVE WEEK 1 FACTS
- Baseline: d3e5ad182fac38dbf166c6ce15b8ade8868379da.
- Consolidated implementation commit: 210381c3ddbc9aab83ccaeb11a59db8d8dad549b; subject Week 1: complete consolidated implementation.
- Implementation boundary: 18 modified + 2 deleted + 47 created = 67 paths; final implementation diff 3,572 insertions and 112 deletions; owner workbook excluded.
- W1-12 sign-off approved by Gyan Prakash Rai on 2026-08-19T00:10:55+08:00. No AWS, paid API or deployment mutation occurred; platform cost USD 0.
- Owner decisions recorded: USE-001, DATA-001, AWS-002, TAG-001, SEC-003 and DEST-001.
CORRECTIONS PRESERVED
1. Tracker-to-prompt reconciliation exposed missing W1-08 pre-commit controls, W1-09 Terraform roots, stale evidence paths and missing ADR/decision traceability.
2. DeepEval and MyPy were made repository-clean: .deepeval and .mypy_cache are external/disabled; the same rule covers .pytest_cache, .ruff_cache, project __pycache__, repository .terraform and repository pre-commit caches.
3. Pre-commit validation was corrected to reproduce the exact 67-path proposal in a disposable copy and stage all approved paths there; this proved all 47 created files were visible to hooks.
4. detect-secrets findings for Git SHAs and the public Terraform checksum were reviewed as non-secrets; secret_scan became credential_scan; exception metadata requires owner, rationale and expiry; no broad detector/file exclusion is permitted; a synthetic credential must still fail.
5. Traceability was expanded to W1-01 through W1-12, ADR-001, ADR-002, ADR-009 through ADR-014, ADR-016, ADR-017 and all six owner decisions. The W1-004 history of 34 intended paths plus one workbook path remains disclosed.
6. Cleanliness tests became portable: the active root .venv is preserved when present, but a disposable clone without root .venv is valid; nested generated .venv directories remain prohibited.
7. Provider-free/resource-free Terraform bootstrap and sandbox roots were validated offline with Terraform 1.5.7 and official SHA-256 0cf9f41ba11b46f1fb6251952df98bf9c37ec294f26be7091b4909850659b592, external TF_DATA_DIR and no plan/apply/destroy, authentication, backend state or AWS call.
8. platformctl verify-clean exit 3 remains the approved offline fail-closed result when no AWS inventory adapter exists; mocked W1-11 residual detection passed and no live cleanliness claim was made.
9. JSON/text evidence was reconciled to preserve TEST-001, TEST-001R and TEST-001R2 failures, environment-precondition disclosures, historical/current diff arithmetic, pending states and the final composite closure basis.
10. Disposable rollback reconstruction restored all 20 tracked paths, removed 47 created paths and restored two placeholders without touching the workbook or unrelated fixtures.
VALIDATION HISTORY
- Consolidated local validation included complete development dependencies, pip check, make preflight/test/lint/type-check/scan, Ruff, strict MyPy over 22 source files, five local pre-commit hooks, controlled credential scanning, JSON/feature-matrix validation, safe AWS/paid sentinels, Terraform fmt/init -backend=false/validate, rollback reconstruction and full residue inventory.
- TEST-001 failed on exact-staged non-secret metadata findings and incomplete traceability.
- TEST-001R failed on missing exception audit metadata, a non-portable root-.venv test, incomplete environment disclosure, stale diff arithmetic and tests/__pycache__ residue.
- TEST-001R2 proved every targeted executable control passed but failed because the text evidence was incomplete.
- EVIDENCE-CHECK-001 passed all 17 read-only evidence checks. TEST-001R2 executable results plus EVIDENCE-CHECK-001 formed the approved composite independent closure gate.
FUTURE AUDIT PROCEDURE
A. Reconcile exact tracker rows before implementation and after implementation using CTRL-001.
B. Validate the complete proposed state—including untracked files—in a disposable staged copy using TEST-001.
C. Use the complete normal developer environment; keep caches external; inventory residue before/after commands; record actual counts.
D. Preserve failure history and use focused retests for affected gates when relevant hashes are unchanged. Evidence-only corrections receive a read-only evidence check, not another full-night matrix.
E. Do not mark a weekly gate complete until tracker, repository, evidence, owner decisions, commit boundary, rollback and cleanliness all reconcile.
Return a read-only PASS/FAIL mapping of these facts and controls to current evidence. Do not repair, mutate, rerun paid/cloud operations or rewrite history.
End exactly: W1-CONSOLIDATED-001 AUDIT PASS or W1-CONSOLIDATED-001 AUDIT FAIL. Stop.</x:t>
  </x:si>
  <x:si>
    <x:t xml:space="preserve">Use for future audit or planning review; do not rerun unaffected technical gates when hashes are unchanged</x:t>
  </x:si>
  <x:si>
    <x:t xml:space="preserve">All Week 1 fixes/tests are traceable; future tasks inherit the prevention checklist</x:t>
  </x:si>
  <x:si>
    <x:t xml:space="preserve">Historical owner-approved record; no new mutation approval</x:t>
  </x:si>
  <x:si>
    <x:t xml:space="preserve">W1-01:W1-12</x:t>
  </x:si>
  <x:si>
    <x:t xml:space="preserve">N/A — read-only historical audit prompt</x:t>
  </x:si>
  <x:si>
    <x:t xml:space="preserve">N/A — Week 1 sign-off already approved; this row preserves the closure history</x:t>
  </x:si>
  <x:si>
    <x:t xml:space="preserve">Test and Evidence Register</x:t>
  </x:si>
  <x:si>
    <x:t xml:space="preserve">Do not mark Pass unless the command ran and the evidence path contains the actual redacted result.</x:t>
  </x:si>
  <x:si>
    <x:t xml:space="preserve">Test ID</x:t>
  </x:si>
  <x:si>
    <x:t xml:space="preserve">Type</x:t>
  </x:si>
  <x:si>
    <x:t xml:space="preserve">Command</x:t>
  </x:si>
  <x:si>
    <x:t xml:space="preserve">Run Date</x:t>
  </x:si>
  <x:si>
    <x:t xml:space="preserve">Actual Result</x:t>
  </x:si>
  <x:si>
    <x:t xml:space="preserve">Defect / Follow-up</x:t>
  </x:si>
  <x:si>
    <x:t xml:space="preserve">Owner Sign-off</x:t>
  </x:si>
  <x:si>
    <x:t xml:space="preserve">T-W1-001</x:t>
  </x:si>
  <x:si>
    <x:t xml:space="preserve">Unit</x:t>
  </x:si>
  <x:si>
    <x:t xml:space="preserve">Typed config and invalid-value behavior</x:t>
  </x:si>
  <x:si>
    <x:t xml:space="preserve">pytest tests/unit/test_config.py -q</x:t>
  </x:si>
  <x:si>
    <x:t xml:space="preserve">Pass offline; invalid values fail clearly</x:t>
  </x:si>
  <x:si>
    <x:t xml:space="preserve">Pass</x:t>
  </x:si>
  <x:si>
    <x:t xml:space="preserve">PASS — typed configuration and consolidated Week 1 validation; implementation commit 210381c3ddbc9aab83ccaeb11a59db8d8dad549b.</x:t>
  </x:si>
  <x:si>
    <x:t xml:space="preserve">Canonical evidence reconciled; composite PASS is recorded in docs/test-evidence/W1-consolidated-validation.json.</x:t>
  </x:si>
  <x:si>
    <x:t xml:space="preserve">Gyan Prakash Rai — implementation approved 2026-08-18; reaffirmed 2026-08-18T16:01:18Z</x:t>
  </x:si>
  <x:si>
    <x:t xml:space="preserve">T-W1-002</x:t>
  </x:si>
  <x:si>
    <x:t xml:space="preserve">Feature-matrix schema/traceability</x:t>
  </x:si>
  <x:si>
    <x:t xml:space="preserve">Exit 0; missing required field fails</x:t>
  </x:si>
  <x:si>
    <x:t xml:space="preserve">PASS — feature-matrix validation and consolidated Week 1 validation; implementation commit 210381c3ddbc9aab83ccaeb11a59db8d8dad549b.</x:t>
  </x:si>
  <x:si>
    <x:t xml:space="preserve">T-W1-003</x:t>
  </x:si>
  <x:si>
    <x:t xml:space="preserve">Security</x:t>
  </x:si>
  <x:si>
    <x:t xml:space="preserve">Pre-commit/secret scanning</x:t>
  </x:si>
  <x:si>
    <x:t xml:space="preserve">Source passes; synthetic secret fixture is rejected</x:t>
  </x:si>
  <x:si>
    <x:t xml:space="preserve">PASS — final composite independent Week 1 closure gate; exact-staged security controls passed; implementation commit 210381c3ddbc9aab83ccaeb11a59db8d8dad549b.</x:t>
  </x:si>
  <x:si>
    <x:t xml:space="preserve">Historical TEST-001 and TEST-001R failures and TEST-001R2 evidence-only failure remain preserved; final focused composite independent PASS recorded.</x:t>
  </x:si>
  <x:si>
    <x:t xml:space="preserve">T-W1-004</x:t>
  </x:si>
  <x:si>
    <x:t xml:space="preserve">Teardown</x:t>
  </x:si>
  <x:si>
    <x:t xml:space="preserve">Mocked residual-resource verifier</x:t>
  </x:si>
  <x:si>
    <x:t xml:space="preserve">Unexpected residual fails; KMS exception classified</x:t>
  </x:si>
  <x:si>
    <x:t xml:space="preserve">PASS — mocked cleanup and consolidated cleanliness validation; implementation commit 210381c3ddbc9aab83ccaeb11a59db8d8dad549b.</x:t>
  </x:si>
  <x:si>
    <x:t xml:space="preserve">Canonical evidence reconciled; no AWS, paid API or deployment mutation occurred.</x:t>
  </x:si>
  <x:si>
    <x:t xml:space="preserve">T-W2-001</x:t>
  </x:si>
  <x:si>
    <x:t xml:space="preserve">Domain model validation</x:t>
  </x:si>
  <x:si>
    <x:t xml:space="preserve">Tenant/classification required</x:t>
  </x:si>
  <x:si>
    <x:t xml:space="preserve">docs/test-evidence/W2-models.txt</x:t>
  </x:si>
  <x:si>
    <x:t xml:space="preserve">Not Run</x:t>
  </x:si>
  <x:si>
    <x:t xml:space="preserve">T-W2-002</x:t>
  </x:si>
  <x:si>
    <x:t xml:space="preserve">Contract</x:t>
  </x:si>
  <x:si>
    <x:t xml:space="preserve">VectorStore fake/Qdrant parity</x:t>
  </x:si>
  <x:si>
    <x:t xml:space="preserve">pytest tests/contract -q</x:t>
  </x:si>
  <x:si>
    <x:t xml:space="preserve">All implementations satisfy same contract</x:t>
  </x:si>
  <x:si>
    <x:t xml:space="preserve">docs/test-evidence/W2-contract.txt</x:t>
  </x:si>
  <x:si>
    <x:t xml:space="preserve">T-W2-003</x:t>
  </x:si>
  <x:si>
    <x:t xml:space="preserve">Embedder batching/normalization/dimension</x:t>
  </x:si>
  <x:si>
    <x:t xml:space="preserve">No network; normalized vectors; mismatch rejected</x:t>
  </x:si>
  <x:si>
    <x:t xml:space="preserve">docs/test-evidence/W2-embedder.txt</x:t>
  </x:si>
  <x:si>
    <x:t xml:space="preserve">T-W2-004</x:t>
  </x:si>
  <x:si>
    <x:t xml:space="preserve">PII and tenant isolation</x:t>
  </x:si>
  <x:si>
    <x:t xml:space="preserve">pytest tests/security/test_pii.py tests/security/test_tenant_isolation.py -q</x:t>
  </x:si>
  <x:si>
    <x:t xml:space="preserve">No unredacted PII or cross-tenant chunk</x:t>
  </x:si>
  <x:si>
    <x:t xml:space="preserve">docs/test-evidence/W2-security.txt</x:t>
  </x:si>
  <x:si>
    <x:t xml:space="preserve">T-W2-005</x:t>
  </x:si>
  <x:si>
    <x:t xml:space="preserve">Idempotent ingestion and top-5 retrieval</x:t>
  </x:si>
  <x:si>
    <x:t xml:space="preserve">pytest tests/feature/test_local_retrieval.py -q</x:t>
  </x:si>
  <x:si>
    <x:t xml:space="preserve">Repeated ingest stable; expected source in top 5</x:t>
  </x:si>
  <x:si>
    <x:t xml:space="preserve">docs/test-evidence/W2-retrieval.json</x:t>
  </x:si>
  <x:si>
    <x:t xml:space="preserve">T-W2-006</x:t>
  </x:si>
  <x:si>
    <x:t xml:space="preserve">Local Compose cleanup</x:t>
  </x:si>
  <x:si>
    <x:t xml:space="preserve">make destroy-local &amp;&amp; make verify-clean-local</x:t>
  </x:si>
  <x:si>
    <x:t xml:space="preserve">No project container/volume/network</x:t>
  </x:si>
  <x:si>
    <x:t xml:space="preserve">docs/resource-cleanliness/W2-local.json</x:t>
  </x:si>
  <x:si>
    <x:t xml:space="preserve">T-W3-001</x:t>
  </x:si>
  <x:si>
    <x:t xml:space="preserve">Citation validation and abstention</x:t>
  </x:si>
  <x:si>
    <x:t xml:space="preserve">Only supplied citations; weak evidence abstains</x:t>
  </x:si>
  <x:si>
    <x:t xml:space="preserve">docs/test-evidence/W3-rag.txt</x:t>
  </x:si>
  <x:si>
    <x:t xml:space="preserve">T-W3-002</x:t>
  </x:si>
  <x:si>
    <x:t xml:space="preserve">Prompt injection and cross-tenant RAG</x:t>
  </x:si>
  <x:si>
    <x:t xml:space="preserve">No policy override or unauthorized retrieval</x:t>
  </x:si>
  <x:si>
    <x:t xml:space="preserve">docs/test-evidence/W3-security.txt</x:t>
  </x:si>
  <x:si>
    <x:t xml:space="preserve">T-W3-003</x:t>
  </x:si>
  <x:si>
    <x:t xml:space="preserve">Evaluation</x:t>
  </x:si>
  <x:si>
    <x:t xml:space="preserve">Golden-set baseline</x:t>
  </x:si>
  <x:si>
    <x:t xml:space="preserve">Recall@5 &gt;=0.85; grounded/cited or abstain &gt;=95%</x:t>
  </x:si>
  <x:si>
    <x:t xml:space="preserve">T-W3-004</x:t>
  </x:si>
  <x:si>
    <x:t xml:space="preserve">Rollback</x:t>
  </x:si>
  <x:si>
    <x:t xml:space="preserve">Prompt/model/retriever rollback</x:t>
  </x:si>
  <x:si>
    <x:t xml:space="preserve">Last-known-good baseline restored</x:t>
  </x:si>
  <x:si>
    <x:t xml:space="preserve">T-W4-001</x:t>
  </x:si>
  <x:si>
    <x:t xml:space="preserve">FastAPI health/query/error mapping</x:t>
  </x:si>
  <x:si>
    <x:t xml:space="preserve">Typed response; controlled errors; no internal leakage</x:t>
  </x:si>
  <x:si>
    <x:t xml:space="preserve">docs/test-evidence/W4-api.txt</x:t>
  </x:si>
  <x:si>
    <x:t xml:space="preserve">T-W4-002</x:t>
  </x:si>
  <x:si>
    <x:t xml:space="preserve">Agent approval and tool schema</x:t>
  </x:si>
  <x:si>
    <x:t xml:space="preserve">No write without valid approval</x:t>
  </x:si>
  <x:si>
    <x:t xml:space="preserve">docs/test-evidence/W4-approval.txt</x:t>
  </x:si>
  <x:si>
    <x:t xml:space="preserve">T-W4-003</x:t>
  </x:si>
  <x:si>
    <x:t xml:space="preserve">Agent limits and failure terminals</x:t>
  </x:si>
  <x:si>
    <x:t xml:space="preserve">pytest tests/feature/test_agent_failures.py -q</x:t>
  </x:si>
  <x:si>
    <x:t xml:space="preserve">Timeout/loop/malformed calls stop safely</x:t>
  </x:si>
  <x:si>
    <x:t xml:space="preserve">docs/test-evidence/W4-agent-failures.txt</x:t>
  </x:si>
  <x:si>
    <x:t xml:space="preserve">T-W4-004</x:t>
  </x:si>
  <x:si>
    <x:t xml:space="preserve">Trace/log correlation and redaction</x:t>
  </x:si>
  <x:si>
    <x:t xml:space="preserve">pytest tests/feature/test_trace_correlation.py tests/security/test_log_redaction.py -q</x:t>
  </x:si>
  <x:si>
    <x:t xml:space="preserve">One trace links stages; no sensitive content</x:t>
  </x:si>
  <x:si>
    <x:t xml:space="preserve">docs/test-evidence/W4-trace.json</x:t>
  </x:si>
  <x:si>
    <x:t xml:space="preserve">T-W4-005</x:t>
  </x:si>
  <x:si>
    <x:t xml:space="preserve">Immutable application release rollback</x:t>
  </x:si>
  <x:si>
    <x:t xml:space="preserve">Previous release healthy and feature-valid</x:t>
  </x:si>
  <x:si>
    <x:t xml:space="preserve">T-W5-001</x:t>
  </x:si>
  <x:si>
    <x:t xml:space="preserve">IaC</x:t>
  </x:si>
  <x:si>
    <x:t xml:space="preserve">Terraform format and validation</x:t>
  </x:si>
  <x:si>
    <x:t xml:space="preserve">terraform fmt -check -recursive infra &amp;&amp; terraform -chdir=infra/environments/sandbox validate</x:t>
  </x:si>
  <x:si>
    <x:t xml:space="preserve">Exit 0</x:t>
  </x:si>
  <x:si>
    <x:t xml:space="preserve">docs/test-evidence/W5-terraform.txt</x:t>
  </x:si>
  <x:si>
    <x:t xml:space="preserve">T-W5-002</x:t>
  </x:si>
  <x:si>
    <x:t xml:space="preserve">Policy</x:t>
  </x:si>
  <x:si>
    <x:t xml:space="preserve">tflint/Checkov/OPA</x:t>
  </x:si>
  <x:si>
    <x:t xml:space="preserve">tflint --recursive &amp;&amp; checkov -d infra &amp;&amp; opa test policies/opa -v</x:t>
  </x:si>
  <x:si>
    <x:t xml:space="preserve">Secure config passes; insecure fixtures fail</x:t>
  </x:si>
  <x:si>
    <x:t xml:space="preserve">docs/test-evidence/W5-policy.txt</x:t>
  </x:si>
  <x:si>
    <x:t xml:space="preserve">T-W5-003</x:t>
  </x:si>
  <x:si>
    <x:t xml:space="preserve">Reviewed sandbox plan</x:t>
  </x:si>
  <x:si>
    <x:t xml:space="preserve">Only expected resources; no secret values</x:t>
  </x:si>
  <x:si>
    <x:t xml:space="preserve">T-W5-004</x:t>
  </x:si>
  <x:si>
    <x:t xml:space="preserve">Trivy, Syft and Grype</x:t>
  </x:si>
  <x:si>
    <x:t xml:space="preserve">make container-scan &amp;&amp; make sbom</x:t>
  </x:si>
  <x:si>
    <x:t xml:space="preserve">No disallowed critical finding; SBOM created</x:t>
  </x:si>
  <x:si>
    <x:t xml:space="preserve">docs/test-evidence/W5-supply-chain.txt</x:t>
  </x:si>
  <x:si>
    <x:t xml:space="preserve">T-W5-005</x:t>
  </x:si>
  <x:si>
    <x:t xml:space="preserve">Identity</x:t>
  </x:si>
  <x:si>
    <x:t xml:space="preserve">GitHub OIDC</x:t>
  </x:si>
  <x:si>
    <x:t xml:space="preserve">Run approved GitHub plan workflow</x:t>
  </x:si>
  <x:si>
    <x:t xml:space="preserve">Short-lived role; no access-key secret</x:t>
  </x:si>
  <x:si>
    <x:t xml:space="preserve">docs/test-evidence/W5-oidc.txt</x:t>
  </x:si>
  <x:si>
    <x:t xml:space="preserve">T-W5-006</x:t>
  </x:si>
  <x:si>
    <x:t xml:space="preserve">Destroy plan and clean-resource report</x:t>
  </x:si>
  <x:si>
    <x:t xml:space="preserve">No active residual except documented KMS PendingDeletion</x:t>
  </x:si>
  <x:si>
    <x:t xml:space="preserve">T-W6-001</x:t>
  </x:si>
  <x:si>
    <x:t xml:space="preserve">Manifest/schema/policy validation</x:t>
  </x:si>
  <x:si>
    <x:t xml:space="preserve">Dry-run passes; immutable digest/no secret literal</x:t>
  </x:si>
  <x:si>
    <x:t xml:space="preserve">docs/test-evidence/W6-k8s.txt</x:t>
  </x:si>
  <x:si>
    <x:t xml:space="preserve">T-W6-002</x:t>
  </x:si>
  <x:si>
    <x:t xml:space="preserve">Pod has workload identity only</x:t>
  </x:si>
  <x:si>
    <x:t xml:space="preserve">Inspect pod environment and AWS caller identity</x:t>
  </x:si>
  <x:si>
    <x:t xml:space="preserve">No static key; expected role session</x:t>
  </x:si>
  <x:si>
    <x:t xml:space="preserve">docs/test-evidence/W6-identity.txt</x:t>
  </x:si>
  <x:si>
    <x:t xml:space="preserve">T-W6-003</x:t>
  </x:si>
  <x:si>
    <x:t xml:space="preserve">SRE</x:t>
  </x:si>
  <x:si>
    <x:t xml:space="preserve">Prometheus rules and dashboard sources</x:t>
  </x:si>
  <x:si>
    <x:t xml:space="preserve">Rules valid and linked to runbook</x:t>
  </x:si>
  <x:si>
    <x:t xml:space="preserve">docs/test-evidence/W6-alerts.txt</x:t>
  </x:si>
  <x:si>
    <x:t xml:space="preserve">T-W6-004</x:t>
  </x:si>
  <x:si>
    <x:t xml:space="preserve">Chaos</x:t>
  </x:si>
  <x:si>
    <x:t xml:space="preserve">Qdrant stop and fake LLM timeout</x:t>
  </x:si>
  <x:si>
    <x:t xml:space="preserve">Readiness/alerts safe; no retry storm</x:t>
  </x:si>
  <x:si>
    <x:t xml:space="preserve">docs/test-evidence/W6-chaos.txt</x:t>
  </x:si>
  <x:si>
    <x:t xml:space="preserve">T-W6-005</x:t>
  </x:si>
  <x:si>
    <x:t xml:space="preserve">End-to-end sandbox quality</x:t>
  </x:si>
  <x:si>
    <x:t xml:space="preserve">No material regression; cited response and trace</x:t>
  </x:si>
  <x:si>
    <x:t xml:space="preserve">T-W6-006</x:t>
  </x:si>
  <x:si>
    <x:t xml:space="preserve">EKS release rollback</x:t>
  </x:si>
  <x:si>
    <x:t xml:space="preserve">Previous digest healthy within recorded RTO</x:t>
  </x:si>
  <x:si>
    <x:t xml:space="preserve">T-W6-007</x:t>
  </x:si>
  <x:si>
    <x:t xml:space="preserve">Full platform/bootstrap teardown and orphan scan</x:t>
  </x:si>
  <x:si>
    <x:t xml:space="preserve">No active project resource; state backend removed last</x:t>
  </x:si>
  <x:si>
    <x:t xml:space="preserve">T-W1-000</x:t>
  </x:si>
  <x:si>
    <x:t xml:space="preserve">Review</x:t>
  </x:si>
  <x:si>
    <x:t xml:space="preserve">MVP-001 scope completeness</x:t>
  </x:si>
  <x:si>
    <x:t xml:space="preserve">Review docs/features/MVP-001.md against USE-001, DATA-001 and the five-question EVAL-001 starter set</x:t>
  </x:si>
  <x:si>
    <x:t xml:space="preserve">Five representative questions, exclusions and measurable answer/abstain/security criteria are complete</x:t>
  </x:si>
  <x:si>
    <x:t xml:space="preserve">PASS — MVP-001 scope, starter questions and acceptance criteria reviewed and owner approved.</x:t>
  </x:si>
  <x:si>
    <x:t xml:space="preserve">Canonical scope evidence confirmed; implementation commit 210381c3ddbc9aab83ccaeb11a59db8d8dad549b.</x:t>
  </x:si>
  <x:si>
    <x:t xml:space="preserve">T-W1-000A</x:t>
  </x:si>
  <x:si>
    <x:t xml:space="preserve">ADR-000 source precedence</x:t>
  </x:si>
  <x:si>
    <x:t xml:space="preserve">Authority order, conflict rule, three examples, governance-only scope and Proposed status are present</x:t>
  </x:si>
  <x:si>
    <x:t xml:space="preserve">PASS — source precedence, conflict stop and governance-only scope reviewed and owner approved.</x:t>
  </x:si>
  <x:si>
    <x:t xml:space="preserve">Canonical governance evidence confirmed; implementation commit 210381c3ddbc9aab83ccaeb11a59db8d8dad549b.</x:t>
  </x:si>
  <x:si>
    <x:t xml:space="preserve">Architecture Decision Register</x:t>
  </x:si>
  <x:si>
    <x:t xml:space="preserve">Baseline decisions come from the source documents. Change them only with evidence, alternatives, trade-offs and a superseding ADR.</x:t>
  </x:si>
  <x:si>
    <x:t xml:space="preserve">Decision</x:t>
  </x:si>
  <x:si>
    <x:t xml:space="preserve">Decision Week</x:t>
  </x:si>
  <x:si>
    <x:t xml:space="preserve">Rationale</x:t>
  </x:si>
  <x:si>
    <x:t xml:space="preserve">Alternatives</x:t>
  </x:si>
  <x:si>
    <x:t xml:space="preserve">Trade-offs / Cost / Risk</x:t>
  </x:si>
  <x:si>
    <x:t xml:space="preserve">Revisit Trigger</x:t>
  </x:si>
  <x:si>
    <x:t xml:space="preserve">ADR Evidence Path</x:t>
  </x:si>
  <x:si>
    <x:t xml:space="preserve">Review Notes</x:t>
  </x:si>
  <x:si>
    <x:t xml:space="preserve">RAG before fine-tuning</x:t>
  </x:si>
  <x:si>
    <x:t xml:space="preserve">Baseline Approved</x:t>
  </x:si>
  <x:si>
    <x:t xml:space="preserve">Use RAG for current/proprietary knowledge; tune only after measured behavior gap.</x:t>
  </x:si>
  <x:si>
    <x:t xml:space="preserve">Fine-tune first; prompt-only</x:t>
  </x:si>
  <x:si>
    <x:t xml:space="preserve">Faster/cheaper and auditable, but retrieval quality becomes critical.</x:t>
  </x:si>
  <x:si>
    <x:t xml:space="preserve">Evaluation proves stable gap that RAG/prompting cannot close.</x:t>
  </x:si>
  <x:si>
    <x:t xml:space="preserve">docs/adr/ADR-001-rag-before-tuning.md</x:t>
  </x:si>
  <x:si>
    <x:t xml:space="preserve">Provider-neutral domain interfaces</x:t>
  </x:si>
  <x:si>
    <x:t xml:space="preserve">Keep model/vector/embedder SDK types at adapter boundaries.</x:t>
  </x:si>
  <x:si>
    <x:t xml:space="preserve">Direct vendor SDK use</x:t>
  </x:si>
  <x:si>
    <x:t xml:space="preserve">Adds interface code; materially improves portability and tests.</x:t>
  </x:si>
  <x:si>
    <x:t xml:space="preserve">A provider-specific feature gives measurable value impossible through the contract.</x:t>
  </x:si>
  <x:si>
    <x:t xml:space="preserve">docs/adr/ADR-002-provider-boundaries.md</x:t>
  </x:si>
  <x:si>
    <x:t xml:space="preserve">Qdrant local; OpenSearch AWS</x:t>
  </x:si>
  <x:si>
    <x:t xml:space="preserve">Qdrant gives realistic local DX; OpenSearch provides AWS-native vector/hybrid security.</x:t>
  </x:si>
  <x:si>
    <x:t xml:space="preserve">FAISS, Chroma, Milvus, Weaviate, Pinecone</x:t>
  </x:si>
  <x:si>
    <x:t xml:space="preserve">Two adapters/re-index path; OpenSearch has idle cost.</x:t>
  </x:si>
  <x:si>
    <x:t xml:space="preserve">Scale, residency, hybrid quality or cost evidence changes the decision.</x:t>
  </x:si>
  <x:si>
    <x:t xml:space="preserve">docs/adr/ADR-003-vector-stores.md</x:t>
  </x:si>
  <x:si>
    <x:t xml:space="preserve">Bedrock primary LLM adapter</x:t>
  </x:si>
  <x:si>
    <x:t xml:space="preserve">AWS IAM/regional model access without running GPUs.</x:t>
  </x:si>
  <x:si>
    <x:t xml:space="preserve">SageMaker, external API, local model</x:t>
  </x:si>
  <x:si>
    <x:t xml:space="preserve">Per-token cost, quotas and model/region constraints.</x:t>
  </x:si>
  <x:si>
    <x:t xml:space="preserve">Approved custom model or provider cost/quality advantage.</x:t>
  </x:si>
  <x:si>
    <x:t xml:space="preserve">docs/adr/ADR-004-bedrock.md</x:t>
  </x:si>
  <x:si>
    <x:t xml:space="preserve">LangGraph for bounded agent workflow</x:t>
  </x:si>
  <x:si>
    <x:t xml:space="preserve">Explicit state, budgets, approval and terminal outcomes.</x:t>
  </x:si>
  <x:si>
    <x:t xml:space="preserve">AutoGen, custom FSM, Step Functions</x:t>
  </x:si>
  <x:si>
    <x:t xml:space="preserve">Framework dependency and state discipline.</x:t>
  </x:si>
  <x:si>
    <x:t xml:space="preserve">Another engine passes identical safety/operability tests with lower complexity.</x:t>
  </x:si>
  <x:si>
    <x:t xml:space="preserve">docs/adr/ADR-005-langgraph.md</x:t>
  </x:si>
  <x:si>
    <x:t xml:space="preserve">Authorize before retrieval and action</x:t>
  </x:si>
  <x:si>
    <x:t xml:space="preserve">Models cannot enforce access; trusted identity/metadata policies must.</x:t>
  </x:si>
  <x:si>
    <x:t xml:space="preserve">Prompt-only authorization</x:t>
  </x:si>
  <x:si>
    <x:t xml:space="preserve">More policy/metadata design; prevents cross-tenant leakage/action.</x:t>
  </x:si>
  <x:si>
    <x:t xml:space="preserve">Never; only implementation may evolve after security review.</x:t>
  </x:si>
  <x:si>
    <x:t xml:space="preserve">docs/adr/ADR-006-authorization.md</x:t>
  </x:si>
  <x:si>
    <x:t xml:space="preserve">FastAPI/Uvicorn API boundary</x:t>
  </x:si>
  <x:si>
    <x:t xml:space="preserve">Typed, testable orchestration API and health endpoints.</x:t>
  </x:si>
  <x:si>
    <x:t xml:space="preserve">Lambda-only, Ray Serve, Triton</x:t>
  </x:si>
  <x:si>
    <x:t xml:space="preserve">Not optimized GPU serving; ideal for RAG orchestration.</x:t>
  </x:si>
  <x:si>
    <x:t xml:space="preserve">Measured throughput/model-serving needs require specialized runtime.</x:t>
  </x:si>
  <x:si>
    <x:t xml:space="preserve">docs/adr/ADR-007-fastapi.md</x:t>
  </x:si>
  <x:si>
    <x:t xml:space="preserve">OpenTelemetry as observability contract</x:t>
  </x:si>
  <x:si>
    <x:t xml:space="preserve">Vendor-neutral correlation across API, retrieval, model and tools.</x:t>
  </x:si>
  <x:si>
    <x:t xml:space="preserve">CloudWatch-only; vendor APM</x:t>
  </x:si>
  <x:si>
    <x:t xml:space="preserve">Requires collector/config; protects portability and privacy controls.</x:t>
  </x:si>
  <x:si>
    <x:t xml:space="preserve">Operating vendor standard changes while OTLP compatibility remains.</x:t>
  </x:si>
  <x:si>
    <x:t xml:space="preserve">docs/adr/ADR-008-otel.md</x:t>
  </x:si>
  <x:si>
    <x:t xml:space="preserve">Separate Terraform bootstrap/platform roots</x:t>
  </x:si>
  <x:si>
    <x:t xml:space="preserve">Platform can be destroyed before its remote-state backend.</x:t>
  </x:si>
  <x:si>
    <x:t xml:space="preserve">Single root</x:t>
  </x:si>
  <x:si>
    <x:t xml:space="preserve">Two-stage lifecycle adds deliberate coordination.</x:t>
  </x:si>
  <x:si>
    <x:t xml:space="preserve">A managed external state service changes teardown requirements.</x:t>
  </x:si>
  <x:si>
    <x:t xml:space="preserve">docs/adr/ADR-009-terraform-roots.md</x:t>
  </x:si>
  <x:si>
    <x:t xml:space="preserve">ADR-010</x:t>
  </x:si>
  <x:si>
    <x:t xml:space="preserve">Saved plan plus owner approval</x:t>
  </x:si>
  <x:si>
    <x:t xml:space="preserve">Only reviewed plan bytes may be applied.</x:t>
  </x:si>
  <x:si>
    <x:t xml:space="preserve">Direct terraform apply</x:t>
  </x:si>
  <x:si>
    <x:t xml:space="preserve">Slower delivery; much stronger change traceability.</x:t>
  </x:si>
  <x:si>
    <x:t xml:space="preserve">No relaxation for sandbox mutations without a superseding control decision.</x:t>
  </x:si>
  <x:si>
    <x:t xml:space="preserve">docs/adr/ADR-010-saved-plan.md</x:t>
  </x:si>
  <x:si>
    <x:t xml:space="preserve">ADR-011</x:t>
  </x:si>
  <x:si>
    <x:t xml:space="preserve">No automatic apply/destroy</x:t>
  </x:si>
  <x:si>
    <x:t xml:space="preserve">Protect learning-account budget and destructive boundaries.</x:t>
  </x:si>
  <x:si>
    <x:t xml:space="preserve">Fully automated CD/teardown</x:t>
  </x:si>
  <x:si>
    <x:t xml:space="preserve">Manual gate adds time; keeps user aware of every mutation.</x:t>
  </x:si>
  <x:si>
    <x:t xml:space="preserve">After mature controls, separate production governance may approve automation.</x:t>
  </x:si>
  <x:si>
    <x:t xml:space="preserve">docs/adr/ADR-011-manual-mutations.md</x:t>
  </x:si>
  <x:si>
    <x:t xml:space="preserve">Release, infrastructure rollback and teardown are separate</x:t>
  </x:si>
  <x:si>
    <x:t xml:space="preserve">Each solves a different failure and needs different validation.</x:t>
  </x:si>
  <x:si>
    <x:t xml:space="preserve">Use destroy as rollback</x:t>
  </x:si>
  <x:si>
    <x:t xml:space="preserve">More procedures; avoids data loss and confused recovery.</x:t>
  </x:si>
  <x:si>
    <x:t xml:space="preserve">Never merge concepts; refine runbooks as evidence changes.</x:t>
  </x:si>
  <x:si>
    <x:t xml:space="preserve">docs/adr/ADR-012-reversibility.md</x:t>
  </x:si>
  <x:si>
    <x:t xml:space="preserve">ADR-013</x:t>
  </x:si>
  <x:si>
    <x:t xml:space="preserve">Tags plus native service cleanup checks</x:t>
  </x:si>
  <x:si>
    <x:t xml:space="preserve">Tag discovery alone can miss untagged/unsupported residuals.</x:t>
  </x:si>
  <x:si>
    <x:t xml:space="preserve">Terraform destroy only; tags only</x:t>
  </x:si>
  <x:si>
    <x:t xml:space="preserve">Verifier needs maintenance; gives stronger cleanup evidence.</x:t>
  </x:si>
  <x:si>
    <x:t xml:space="preserve">AWS adds coverage that makes a native check redundant.</x:t>
  </x:si>
  <x:si>
    <x:t xml:space="preserve">docs/adr/ADR-013-cleanup-verification.md</x:t>
  </x:si>
  <x:si>
    <x:t xml:space="preserve">ADR-014</x:t>
  </x:si>
  <x:si>
    <x:t xml:space="preserve">KMS PendingDeletion is the only permitted residual</x:t>
  </x:si>
  <x:si>
    <x:t xml:space="preserve">AWS enforces a 7–30 day key deletion window.</x:t>
  </x:si>
  <x:si>
    <x:t xml:space="preserve">Force immediate key disappearance</x:t>
  </x:si>
  <x:si>
    <x:t xml:space="preserve">Documented exception, key unusable; requires follow-up check.</x:t>
  </x:si>
  <x:si>
    <x:t xml:space="preserve">AWS deletion behavior changes or org policy requires longer retention.</x:t>
  </x:si>
  <x:si>
    <x:t xml:space="preserve">docs/adr/ADR-014-kms-deletion.md</x:t>
  </x:si>
  <x:si>
    <x:t xml:space="preserve">EKS is the learning deployment target</x:t>
  </x:si>
  <x:si>
    <x:t xml:space="preserve">Matches enterprise Kubernetes/SRE learning goals.</x:t>
  </x:si>
  <x:si>
    <x:t xml:space="preserve">ECS/Fargate</x:t>
  </x:si>
  <x:si>
    <x:t xml:space="preserve">Higher baseline cost/complexity; richer controls/learning.</x:t>
  </x:si>
  <x:si>
    <x:t xml:space="preserve">Budget/ops evidence favors ECS for a real use case.</x:t>
  </x:si>
  <x:si>
    <x:t xml:space="preserve">docs/adr/ADR-015-eks.md</x:t>
  </x:si>
  <x:si>
    <x:t xml:space="preserve">One feature per controlled cycle</x:t>
  </x:si>
  <x:si>
    <x:t xml:space="preserve">Improves learning, traceability and rollback.</x:t>
  </x:si>
  <x:si>
    <x:t xml:space="preserve">Parallel feature generation</x:t>
  </x:si>
  <x:si>
    <x:t xml:space="preserve">Reduces speed; avoids opaque bulk changes.</x:t>
  </x:si>
  <x:si>
    <x:t xml:space="preserve">Team size/process matures with equivalent traceability.</x:t>
  </x:si>
  <x:si>
    <x:t xml:space="preserve">docs/adr/ADR-016-feature-cycle.md</x:t>
  </x:si>
  <x:si>
    <x:t xml:space="preserve">Quality, security and rollback are release gates</x:t>
  </x:si>
  <x:si>
    <x:t xml:space="preserve">A demo is not production evidence.</x:t>
  </x:si>
  <x:si>
    <x:t xml:space="preserve">Manual subjective acceptance</x:t>
  </x:si>
  <x:si>
    <x:t xml:space="preserve">More test/eval work; prevents silent regression.</x:t>
  </x:si>
  <x:si>
    <x:t xml:space="preserve">Thresholds change from measured evidence, not convenience.</x:t>
  </x:si>
  <x:si>
    <x:t xml:space="preserve">docs/adr/ADR-017-release-gates.md</x:t>
  </x:si>
  <x:si>
    <x:t xml:space="preserve">ADR-018</x:t>
  </x:si>
  <x:si>
    <x:t xml:space="preserve">Step Functions/EventBridge are background orchestration only</x:t>
  </x:si>
  <x:si>
    <x:t xml:space="preserve">Use durable AWS workflows for ingestion/re-index, not token-level agent loops.</x:t>
  </x:si>
  <x:si>
    <x:t xml:space="preserve">Step Functions for request agent</x:t>
  </x:si>
  <x:si>
    <x:t xml:space="preserve">Adds service transitions/cost and latency in background only.</x:t>
  </x:si>
  <x:si>
    <x:t xml:space="preserve">A long-running operational workflow needs managed durability.</x:t>
  </x:si>
  <x:si>
    <x:t xml:space="preserve">docs/adr/ADR-018-background-orchestration.md</x:t>
  </x:si>
  <x:si>
    <x:t xml:space="preserve">Owner TODO and Input Register</x:t>
  </x:si>
  <x:si>
    <x:t xml:space="preserve">Yellow cells are user-owned inputs. Never place a password, API key, secret value or long-lived AWS credential in this workbook.</x:t>
  </x:si>
  <x:si>
    <x:t xml:space="preserve">TODO ID</x:t>
  </x:si>
  <x:si>
    <x:t xml:space="preserve">Category</x:t>
  </x:si>
  <x:si>
    <x:t xml:space="preserve">Owner Action</x:t>
  </x:si>
  <x:si>
    <x:t xml:space="preserve">Due Week</x:t>
  </x:si>
  <x:si>
    <x:t xml:space="preserve">Blocking?</x:t>
  </x:si>
  <x:si>
    <x:t xml:space="preserve">Where Used</x:t>
  </x:si>
  <x:si>
    <x:t xml:space="preserve">Decision / Notes</x:t>
  </x:si>
  <x:si>
    <x:t xml:space="preserve">Completed Date</x:t>
  </x:si>
  <x:si>
    <x:t xml:space="preserve">USE-001</x:t>
  </x:si>
  <x:si>
    <x:t xml:space="preserve">Use case</x:t>
  </x:si>
  <x:si>
    <x:t xml:space="preserve">Define the first business question set, users, exclusions and action boundary.</x:t>
  </x:si>
  <x:si>
    <x:t xml:space="preserve">Yes</x:t>
  </x:si>
  <x:si>
    <x:t xml:space="preserve">Approved first use case, target users, exclusions, five starter questions and action boundary. Implementation commit 210381c3ddbc9aab83ccaeb11a59db8d8dad549b; approved 2026-08-18; reaffirmed 2026-08-18T16:01:18Z.</x:t>
  </x:si>
  <x:si>
    <x:t xml:space="preserve">DATA-001</x:t>
  </x:si>
  <x:si>
    <x:t xml:space="preserve">Data</x:t>
  </x:si>
  <x:si>
    <x:t xml:space="preserve">Provide a small approved, synthetic/non-sensitive sample corpus.</x:t>
  </x:si>
  <x:si>
    <x:t xml:space="preserve">Approved synthetic/non-sensitive sample-data boundary; the full golden dataset remains deferred to W3-002. Implementation commit 210381c3ddbc9aab83ccaeb11a59db8d8dad549b; approved 2026-08-18; reaffirmed 2026-08-18T16:01:18Z.</x:t>
  </x:si>
  <x:si>
    <x:t xml:space="preserve">DATA-002</x:t>
  </x:si>
  <x:si>
    <x:t xml:space="preserve">Define tenant, classification and document-access metadata.</x:t>
  </x:si>
  <x:si>
    <x:t xml:space="preserve">docs/architecture/data-classification.md</x:t>
  </x:si>
  <x:si>
    <x:t xml:space="preserve">Define which PII types are redact, quarantine or allow-with-approval.</x:t>
  </x:si>
  <x:si>
    <x:t xml:space="preserve">configs/pii-policy.yaml</x:t>
  </x:si>
  <x:si>
    <x:t xml:space="preserve">Create 25+ representative questions, expected facts and source IDs.</x:t>
  </x:si>
  <x:si>
    <x:t xml:space="preserve">configs/eval/golden.jsonl</x:t>
  </x:si>
  <x:si>
    <x:t xml:space="preserve">AWS-001</x:t>
  </x:si>
  <x:si>
    <x:t xml:space="preserve">AWS</x:t>
  </x:si>
  <x:si>
    <x:t xml:space="preserve">Enter sandbox account ID as a non-secret variable; never a credential.</x:t>
  </x:si>
  <x:si>
    <x:t xml:space="preserve">terraform.tfvars.example / GitHub variable</x:t>
  </x:si>
  <x:si>
    <x:t xml:space="preserve">AWS-002</x:t>
  </x:si>
  <x:si>
    <x:t xml:space="preserve">Choose approved AWS region and confirm Bedrock/OpenSearch availability.</x:t>
  </x:si>
  <x:si>
    <x:t xml:space="preserve">.env.example; infra/environments/sandbox/variables.tf; README.md</x:t>
  </x:si>
  <x:si>
    <x:t xml:space="preserve">Approved AWS-first boundary; region and model-service availability remain deployment-time verification. Implementation commit 210381c3ddbc9aab83ccaeb11a59db8d8dad549b; approved 2026-08-18; reaffirmed 2026-08-18T16:01:18Z.</x:t>
  </x:si>
  <x:si>
    <x:t xml:space="preserve">NET-001</x:t>
  </x:si>
  <x:si>
    <x:t xml:space="preserve">Networking</x:t>
  </x:si>
  <x:si>
    <x:t xml:space="preserve">Provide VPC/private subnet IDs, egress approach, CIDRs and DNS constraints.</x:t>
  </x:si>
  <x:si>
    <x:t xml:space="preserve">infra/environments/sandbox/variables.tf</x:t>
  </x:si>
  <x:si>
    <x:t xml:space="preserve">Provide Owner, CostCenter, Repository and ExpiresAt values.</x:t>
  </x:si>
  <x:si>
    <x:t xml:space="preserve">configs/tags.yaml</x:t>
  </x:si>
  <x:si>
    <x:t xml:space="preserve">Approved Owner=Gyan-Prakash-Rai; CostCenter=Personal-Learning; Repository=enterprise-ai-platform; ExpiresAt=2026-09-27T23:59:59Z. Implementation commit 210381c3ddbc9aab83ccaeb11a59db8d8dad549b; approved 2026-08-18; reaffirmed 2026-08-18T16:01:18Z.</x:t>
  </x:si>
  <x:si>
    <x:t xml:space="preserve">KMS-001</x:t>
  </x:si>
  <x:si>
    <x:t xml:space="preserve">Choose KMS deletion window (7–30 days) and follow-up owner.</x:t>
  </x:si>
  <x:si>
    <x:t xml:space="preserve">Provide GitHub org/repo, protected environment and OIDC role naming.</x:t>
  </x:si>
  <x:si>
    <x:t xml:space="preserve">GitHub variables / Terraform inputs</x:t>
  </x:si>
  <x:si>
    <x:t xml:space="preserve">AI platform</x:t>
  </x:si>
  <x:si>
    <x:t xml:space="preserve">Select approved Bedrock model ID, region, quota and fallback policy.</x:t>
  </x:si>
  <x:si>
    <x:t xml:space="preserve">LLM_MODEL_ID / docs/adr</x:t>
  </x:si>
  <x:si>
    <x:t xml:space="preserve">Approve sentence-transformer model, dimension and license.</x:t>
  </x:si>
  <x:si>
    <x:t xml:space="preserve">Define auth provider, claims, tenant mapping and authorization owner.</x:t>
  </x:si>
  <x:si>
    <x:t xml:space="preserve">docs/architecture/authorization.md</x:t>
  </x:si>
  <x:si>
    <x:t xml:space="preserve">Choose approved secret scanner/pre-commit policy and exception process.</x:t>
  </x:si>
  <x:si>
    <x:t xml:space="preserve">No</x:t>
  </x:si>
  <x:si>
    <x:t xml:space="preserve">.pre-commit-config.yaml; .secrets.baseline; docs/test-evidence/W1-08-precommit.txt</x:t>
  </x:si>
  <x:si>
    <x:t xml:space="preserve">Approved local pre-commit/detect-secrets policy and reviewed, time-bounded exception process; composite independent PASS recorded. Implementation commit 210381c3ddbc9aab83ccaeb11a59db8d8dad549b; approved 2026-08-18; reaffirmed 2026-08-18T16:01:18Z.</x:t>
  </x:si>
  <x:si>
    <x:t xml:space="preserve">Agent control</x:t>
  </x:si>
  <x:si>
    <x:t xml:space="preserve">Choose durable approval store, approver role and expiry/rejection policy.</x:t>
  </x:si>
  <x:si>
    <x:t xml:space="preserve">docs/architecture/agent-approval.md</x:t>
  </x:si>
  <x:si>
    <x:t xml:space="preserve">Operations</x:t>
  </x:si>
  <x:si>
    <x:t xml:space="preserve">Provide alert destination, on-call owner and telemetry retention.</x:t>
  </x:si>
  <x:si>
    <x:t xml:space="preserve">observability/ / runbooks/</x:t>
  </x:si>
  <x:si>
    <x:t xml:space="preserve">Approve initial SLIs/SLOs, error-budget review cadence and exclusions.</x:t>
  </x:si>
  <x:si>
    <x:t xml:space="preserve">Cost</x:t>
  </x:si>
  <x:si>
    <x:t xml:space="preserve">Set monthly sandbox ceiling, daily alert and maximum paid-evaluation spend.</x:t>
  </x:si>
  <x:si>
    <x:t xml:space="preserve">docs/cost-estimates/budget.md</x:t>
  </x:si>
  <x:si>
    <x:t xml:space="preserve">Choose existing/new EKS sandbox, namespace, domain/cert and identity method.</x:t>
  </x:si>
  <x:si>
    <x:t xml:space="preserve">deploy/k8s/values-sandbox.yaml</x:t>
  </x:si>
  <x:si>
    <x:t xml:space="preserve">Define logs/traces/evaluation/approval evidence retention and redaction.</x:t>
  </x:si>
  <x:si>
    <x:t xml:space="preserve">docs/architecture/retention.md</x:t>
  </x:si>
  <x:si>
    <x:t xml:space="preserve">Approve pre-production-only FIS targets, stop alarms, window and owner.</x:t>
  </x:si>
  <x:si>
    <x:t xml:space="preserve">docs/chaos/fis-plan.md</x:t>
  </x:si>
  <x:si>
    <x:t xml:space="preserve">Destructive control</x:t>
  </x:si>
  <x:si>
    <x:t xml:space="preserve">Approve typed confirmation format and who may deploy/rollback/destroy.</x:t>
  </x:si>
  <x:si>
    <x:t xml:space="preserve">docs/architecture/approval-boundaries.md</x:t>
  </x:si>
  <x:si>
    <x:t xml:space="preserve">Approved typed confirmation and owner-executed mutation boundary; no automatic apply or destroy. Implementation commit 210381c3ddbc9aab83ccaeb11a59db8d8dad549b; approved 2026-08-18; reaffirmed 2026-08-18T16:01:18Z.</x:t>
  </x:si>
  <x:si>
    <x:t xml:space="preserve">PRIV-001</x:t>
  </x:si>
  <x:si>
    <x:t xml:space="preserve">Confirm allowed regions, data residency and third-party data-processing rules.</x:t>
  </x:si>
  <x:si>
    <x:t xml:space="preserve">docs/architecture/privacy.md</x:t>
  </x:si>
  <x:si>
    <x:t xml:space="preserve">Retrieval</x:t>
  </x:si>
  <x:si>
    <x:t xml:space="preserve">Approve top_k, minimum score and maximum context budget after baseline tests.</x:t>
  </x:si>
  <x:si>
    <x:t xml:space="preserve">configs/rag.yaml</x:t>
  </x:si>
  <x:si>
    <x:t xml:space="preserve">Deploy, Rollback and Teardown Control</x:t>
  </x:si>
  <x:si>
    <x:t xml:space="preserve">No mutation is automatic. Resolve exact targets, review the plan, record approval, execute in dependency order and verify residuals.</x:t>
  </x:si>
  <x:si>
    <x:t xml:space="preserve">Three distinct operations</x:t>
  </x:si>
  <x:si>
    <x:t xml:space="preserve">Operation</x:t>
  </x:si>
  <x:si>
    <x:t xml:space="preserve">Trigger</x:t>
  </x:si>
  <x:si>
    <x:t xml:space="preserve">Required outcome</x:t>
  </x:si>
  <x:si>
    <x:t xml:space="preserve">Boundary</x:t>
  </x:si>
  <x:si>
    <x:t xml:space="preserve">Mode</x:t>
  </x:si>
  <x:si>
    <x:t xml:space="preserve">Environment</x:t>
  </x:si>
  <x:si>
    <x:t xml:space="preserve">Behavior</x:t>
  </x:si>
  <x:si>
    <x:t xml:space="preserve">Approval</x:t>
  </x:si>
  <x:si>
    <x:t xml:space="preserve">Failed app/prompt/graph/config</x:t>
  </x:si>
  <x:si>
    <x:t xml:space="preserve">Restore last-known-good immutable image/config and re-run health/feature/evaluation.</x:t>
  </x:si>
  <x:si>
    <x:t xml:space="preserve">Do not change infrastructure unless evidence requires it.</x:t>
  </x:si>
  <x:si>
    <x:t xml:space="preserve">destroy-safe</x:t>
  </x:si>
  <x:si>
    <x:t xml:space="preserve">Production-like</x:t>
  </x:si>
  <x:si>
    <x:t xml:space="preserve">Reviewed destroy plan, retention/recovery windows and residual report.</x:t>
  </x:si>
  <x:si>
    <x:t xml:space="preserve">Owner + change approval</x:t>
  </x:si>
  <x:si>
    <x:t xml:space="preserve">Infrastructure rollback</x:t>
  </x:si>
  <x:si>
    <x:t xml:space="preserve">Terraform change causes regression</x:t>
  </x:si>
  <x:si>
    <x:t xml:space="preserve">Review and apply last-known-good Git/Terraform version.</x:t>
  </x:si>
  <x:si>
    <x:t xml:space="preserve">Destroy is not ordinary rollback.</x:t>
  </x:si>
  <x:si>
    <x:t xml:space="preserve">purge-sandbox</x:t>
  </x:si>
  <x:si>
    <x:t xml:space="preserve">Disposable learning only</x:t>
  </x:si>
  <x:si>
    <x:t xml:space="preserve">Empty versions/images/logs, delete sandbox secrets, backend last, schedule KMS deletion.</x:t>
  </x:si>
  <x:si>
    <x:t xml:space="preserve">Owner typed confirmation</x:t>
  </x:si>
  <x:si>
    <x:t xml:space="preserve">Complete teardown</x:t>
  </x:si>
  <x:si>
    <x:t xml:space="preserve">Sandbox no longer needed</x:t>
  </x:si>
  <x:si>
    <x:t xml:space="preserve">Destroy in dependency order, backend last, then prove cleanliness.</x:t>
  </x:si>
  <x:si>
    <x:t xml:space="preserve">KMS PendingDeletion is the only documented residual.</x:t>
  </x:si>
  <x:si>
    <x:t xml:space="preserve">verify-clean</x:t>
  </x:si>
  <x:si>
    <x:t xml:space="preserve">Tag discovery plus native API checks; fail on unexpected residual.</x:t>
  </x:si>
  <x:si>
    <x:t xml:space="preserve">Independent evidence review</x:t>
  </x:si>
  <x:si>
    <x:t xml:space="preserve">Applies To</x:t>
  </x:si>
  <x:si>
    <x:t xml:space="preserve">Verification / Required Outcome</x:t>
  </x:si>
  <x:si>
    <x:t xml:space="preserve">Failure / Recovery Rule</x:t>
  </x:si>
  <x:si>
    <x:t xml:space="preserve">Freeze changes and capture evidence</x:t>
  </x:si>
  <x:si>
    <x:t xml:space="preserve">Owner approval record, saved plan hash, image/config versions and backup/retention decision exist.</x:t>
  </x:si>
  <x:si>
    <x:t xml:space="preserve">Stop; do not mutate.</x:t>
  </x:si>
  <x:si>
    <x:t xml:space="preserve">Remove external traffic and scheduled triggers</x:t>
  </x:si>
  <x:si>
    <x:t xml:space="preserve">Destroy/Rollback</x:t>
  </x:si>
  <x:si>
    <x:t xml:space="preserve">No new requests/jobs enter the environment.</x:t>
  </x:si>
  <x:si>
    <x:t xml:space="preserve">Restore routing/triggers only from approved version.</x:t>
  </x:si>
  <x:si>
    <x:t xml:space="preserve">Roll back immutable app/prompt/graph/config if incident recovery</x:t>
  </x:si>
  <x:si>
    <x:t xml:space="preserve">Last-known-good release passes health, smoke and evaluation.</x:t>
  </x:si>
  <x:si>
    <x:t xml:space="preserve">Keep failed version blocked; open defect.</x:t>
  </x:si>
  <x:si>
    <x:t xml:space="preserve">Apply reviewed last-known-good Terraform version if platform regression</x:t>
  </x:si>
  <x:si>
    <x:t xml:space="preserve">Plan contains only intended corrective changes.</x:t>
  </x:si>
  <x:si>
    <x:t xml:space="preserve">Do not use destroy as ordinary rollback.</x:t>
  </x:si>
  <x:si>
    <x:t xml:space="preserve">Delete Kubernetes workload, ingress/load balancers and external DNS records</x:t>
  </x:si>
  <x:si>
    <x:t xml:space="preserve">No EKS workload or AWS load balancer remains for project tags.</x:t>
  </x:si>
  <x:si>
    <x:t xml:space="preserve">Remove finalizers/dependencies deliberately; never broad-delete.</x:t>
  </x:si>
  <x:si>
    <x:t xml:space="preserve">Delete OpenSearch indexes/domain and model endpoints if created</x:t>
  </x:si>
  <x:si>
    <x:t xml:space="preserve">No active vector/model compute; backups handled per policy.</x:t>
  </x:si>
  <x:si>
    <x:t xml:space="preserve">Restore only from approved snapshot/artifact.</x:t>
  </x:si>
  <x:si>
    <x:t xml:space="preserve">Delete ECR images/repository and artifact caches according to mode</x:t>
  </x:si>
  <x:si>
    <x:t xml:space="preserve">No billed image storage remains except required evidence.</x:t>
  </x:si>
  <x:si>
    <x:t xml:space="preserve">Retain signed SBOM/evidence outside disposable platform.</x:t>
  </x:si>
  <x:si>
    <x:t xml:space="preserve">Empty S3 object versions, delete markers and multipart uploads; delete buckets</x:t>
  </x:si>
  <x:si>
    <x:t xml:space="preserve">All project data buckets are empty/deleted in purge-sandbox.</x:t>
  </x:si>
  <x:si>
    <x:t xml:space="preserve">destroy-safe follows retention/legal hold.</x:t>
  </x:si>
  <x:si>
    <x:t xml:space="preserve">Delete/schedule Secrets Manager secrets per mode</x:t>
  </x:si>
  <x:si>
    <x:t xml:space="preserve">No recoverable sandbox secret unless destroy-safe retention requires it.</x:t>
  </x:si>
  <x:si>
    <x:t xml:space="preserve">Never expose secret values during verification.</x:t>
  </x:si>
  <x:si>
    <x:t xml:space="preserve">Delete logs, alarms, dashboards and EventBridge/Step Functions/Lambda resources</x:t>
  </x:si>
  <x:si>
    <x:t xml:space="preserve">No active monitoring/control-plane billing remains; evidence retained separately.</x:t>
  </x:si>
  <x:si>
    <x:t xml:space="preserve">Preserve incident/audit records per retention policy.</x:t>
  </x:si>
  <x:si>
    <x:t xml:space="preserve">Delete IAM policies/roles, security groups, endpoints and owned network resources</x:t>
  </x:si>
  <x:si>
    <x:t xml:space="preserve">No project principals or ENIs block deletion.</x:t>
  </x:si>
  <x:si>
    <x:t xml:space="preserve">Verify shared VPC resources are out of scope.</x:t>
  </x:si>
  <x:si>
    <x:t xml:space="preserve">Destroy owned EKS cluster/node groups only if created by project</x:t>
  </x:si>
  <x:si>
    <x:t xml:space="preserve">No project compute remains.</x:t>
  </x:si>
  <x:si>
    <x:t xml:space="preserve">Existing shared cluster is never targeted.</x:t>
  </x:si>
  <x:si>
    <x:t xml:space="preserve">Verify platform state is empty, then remove platform root resources</x:t>
  </x:si>
  <x:si>
    <x:t xml:space="preserve">Terraform platform destroy completes and state is preserved for audit until verified.</x:t>
  </x:si>
  <x:si>
    <x:t xml:space="preserve">Resolve residuals before backend deletion.</x:t>
  </x:si>
  <x:si>
    <x:t xml:space="preserve">Remove remote-state DynamoDB/S3 backend last</x:t>
  </x:si>
  <x:si>
    <x:t xml:space="preserve">State backend is deleted only after signed platform cleanliness report.</x:t>
  </x:si>
  <x:si>
    <x:t xml:space="preserve">If verification fails, keep backend and fix residuals.</x:t>
  </x:si>
  <x:si>
    <x:t xml:space="preserve">Schedule customer-managed KMS key deletion</x:t>
  </x:si>
  <x:si>
    <x:t xml:space="preserve">Key is unusable in PendingDeletion for approved 7–30 day window.</x:t>
  </x:si>
  <x:si>
    <x:t xml:space="preserve">This is the only allowed residual; record follow-up date.</x:t>
  </x:si>
  <x:si>
    <x:t xml:space="preserve">Run tag plus service-specific orphan scan and cost follow-up</x:t>
  </x:si>
  <x:si>
    <x:t xml:space="preserve">Zero active unmanaged resources; delayed billing checked later without claiming immediate zero cost.</x:t>
  </x:si>
  <x:si>
    <x:t xml:space="preserve">Any unexpected residual fails completion.</x:t>
  </x:si>
  <x:si>
    <x:t xml:space="preserve">Required commands (generated by the project, always owner-gated): make plan-sandbox | make deploy-sandbox | make validate-sandbox | make rollback-release | make plan-destroy-sandbox | make destroy-sandbox | make verify-clean</x:t>
  </x:si>
  <x:si>
    <x:t xml:space="preserve">Required Technology Adoption Map</x:t>
  </x:si>
  <x:si>
    <x:t xml:space="preserve">The comprehensive stack is retained, but only tools that reduce a measured risk or satisfy the MVP are activated. Alternatives and migration controls are explicit.</x:t>
  </x:si>
  <x:si>
    <x:t xml:space="preserve">Technology</x:t>
  </x:si>
  <x:si>
    <x:t xml:space="preserve">When</x:t>
  </x:si>
  <x:si>
    <x:t xml:space="preserve">Why / Role</x:t>
  </x:si>
  <x:si>
    <x:t xml:space="preserve">Open Alternative / Migration</x:t>
  </x:si>
  <x:si>
    <x:t xml:space="preserve">Cost, Residency and Privacy Note</x:t>
  </x:si>
  <x:si>
    <x:t xml:space="preserve">Core AI</x:t>
  </x:si>
  <x:si>
    <x:t xml:space="preserve">scikit-learn</x:t>
  </x:si>
  <x:si>
    <x:t xml:space="preserve">OPTIONAL</x:t>
  </x:si>
  <x:si>
    <x:t xml:space="preserve">Non-LLM baseline/explainability lab only.</x:t>
  </x:si>
  <x:si>
    <x:t xml:space="preserve">SHAP/LIME for classical model explanations.</x:t>
  </x:si>
  <x:si>
    <x:t xml:space="preserve">No hosted cost; dependency/license review.</x:t>
  </x:si>
  <x:si>
    <x:t xml:space="preserve">PyTorch</x:t>
  </x:si>
  <x:si>
    <x:t xml:space="preserve">Weeks 9–10</x:t>
  </x:si>
  <x:si>
    <x:t xml:space="preserve">Custom training only after measured gap.</x:t>
  </x:si>
  <x:si>
    <x:t xml:space="preserve">Bedrock avoids operating GPUs.</x:t>
  </x:si>
  <x:si>
    <x:t xml:space="preserve">GPU/training cost and model/data license.</x:t>
  </x:si>
  <x:si>
    <x:t xml:space="preserve">PyTorch Lightning</x:t>
  </x:si>
  <x:si>
    <x:t xml:space="preserve">Reproducible training harness.</x:t>
  </x:si>
  <x:si>
    <x:t xml:space="preserve">Native PyTorch.</x:t>
  </x:si>
  <x:si>
    <x:t xml:space="preserve">Same GPU/data considerations.</x:t>
  </x:si>
  <x:si>
    <x:t xml:space="preserve">Hugging Face Transformers</x:t>
  </x:si>
  <x:si>
    <x:t xml:space="preserve">Model/dataset ecosystem for approved training.</x:t>
  </x:si>
  <x:si>
    <x:t xml:space="preserve">Bedrock/SageMaker model catalog.</x:t>
  </x:si>
  <x:si>
    <x:t xml:space="preserve">License, model provenance and download residency.</x:t>
  </x:si>
  <x:si>
    <x:t xml:space="preserve">PEFT/LoRA</x:t>
  </x:si>
  <x:si>
    <x:t xml:space="preserve">Adapter tuning when evaluation justifies it.</x:t>
  </x:si>
  <x:si>
    <x:t xml:space="preserve">Prompt/RAG first.</x:t>
  </x:si>
  <x:si>
    <x:t xml:space="preserve">GPU cost; retain adapter/model cards.</x:t>
  </x:si>
  <x:si>
    <x:t xml:space="preserve">Orchestration</x:t>
  </x:si>
  <x:si>
    <x:t xml:space="preserve">LangChain</x:t>
  </x:si>
  <x:si>
    <x:t xml:space="preserve">Weeks 2–4</x:t>
  </x:si>
  <x:si>
    <x:t xml:space="preserve">Connectors/building blocks behind domain interfaces.</x:t>
  </x:si>
  <x:si>
    <x:t xml:space="preserve">Direct SDK adapters.</x:t>
  </x:si>
  <x:si>
    <x:t xml:space="preserve">Open-source; abstraction churn risk.</x:t>
  </x:si>
  <x:si>
    <x:t xml:space="preserve">LangGraph</x:t>
  </x:si>
  <x:si>
    <x:t xml:space="preserve">Bounded state graph, approval and terminal states.</x:t>
  </x:si>
  <x:si>
    <x:t xml:space="preserve">Custom FSM; AutoGen lab.</x:t>
  </x:si>
  <x:si>
    <x:t xml:space="preserve">Open-source; optional LangSmith privacy review.</x:t>
  </x:si>
  <x:si>
    <x:t xml:space="preserve">Agents</x:t>
  </x:si>
  <x:si>
    <x:t xml:space="preserve">AutoGen AgentChat</x:t>
  </x:si>
  <x:si>
    <x:t xml:space="preserve">Compare multi-agent patterns only.</x:t>
  </x:si>
  <x:si>
    <x:t xml:space="preserve">LangGraph production path.</x:t>
  </x:si>
  <x:si>
    <x:t xml:space="preserve">Second runtime and governance burden.</x:t>
  </x:si>
  <x:si>
    <x:t xml:space="preserve">AutoGen Studio</x:t>
  </x:si>
  <x:si>
    <x:t xml:space="preserve">Visual prototype, not production UI.</x:t>
  </x:si>
  <x:si>
    <x:t xml:space="preserve">Mermaid/graph tests.</x:t>
  </x:si>
  <x:si>
    <x:t xml:space="preserve">Review data flow and hosting.</x:t>
  </x:si>
  <x:si>
    <x:t xml:space="preserve">OpenAI Responses/Conversations patterns</x:t>
  </x:si>
  <x:si>
    <x:t xml:space="preserve">Provider lab</x:t>
  </x:si>
  <x:si>
    <x:t xml:space="preserve">Provider-neutral tool/state adapter.</x:t>
  </x:si>
  <x:si>
    <x:t xml:space="preserve">Bedrock/LangGraph.</x:t>
  </x:si>
  <x:si>
    <x:t xml:space="preserve">External API cost, DPA, residency and retention.</x:t>
  </x:si>
  <x:si>
    <x:t xml:space="preserve">Anthropic workflow patterns</x:t>
  </x:si>
  <x:si>
    <x:t xml:space="preserve">Design reference</x:t>
  </x:si>
  <x:si>
    <x:t xml:space="preserve">Reference patterns, not required runtime.</x:t>
  </x:si>
  <x:si>
    <x:t xml:space="preserve">LangGraph.</x:t>
  </x:si>
  <x:si>
    <x:t xml:space="preserve">Provider approval/residency if API used.</x:t>
  </x:si>
  <x:si>
    <x:t xml:space="preserve">LLM Ops</x:t>
  </x:si>
  <x:si>
    <x:t xml:space="preserve">LangSmith</x:t>
  </x:si>
  <x:si>
    <x:t xml:space="preserve">After privacy review</x:t>
  </x:si>
  <x:si>
    <x:t xml:space="preserve">Trace/evaluation convenience.</x:t>
  </x:si>
  <x:si>
    <x:t xml:space="preserve">OTel + Jaeger/Grafana.</x:t>
  </x:si>
  <x:si>
    <x:t xml:space="preserve">Telemetry content, license and residency.</x:t>
  </x:si>
  <x:si>
    <x:t xml:space="preserve">Deterministic validators and prompt templates</x:t>
  </x:si>
  <x:si>
    <x:t xml:space="preserve">Authorization, citations, abstention, schemas and allowlists.</x:t>
  </x:si>
  <x:si>
    <x:t xml:space="preserve">None; mandatory foundation.</x:t>
  </x:si>
  <x:si>
    <x:t xml:space="preserve">Low platform cost.</x:t>
  </x:si>
  <x:si>
    <x:t xml:space="preserve">Guardrails AI</x:t>
  </x:si>
  <x:si>
    <x:t xml:space="preserve">Declarative validator adapter.</x:t>
  </x:si>
  <x:si>
    <x:t xml:space="preserve">Custom deterministic checks; Bedrock Guardrails.</x:t>
  </x:si>
  <x:si>
    <x:t xml:space="preserve">Dependency and provider-specific cost for Bedrock option.</x:t>
  </x:si>
  <x:si>
    <x:t xml:space="preserve">Custom JSONL harness</x:t>
  </x:si>
  <x:si>
    <x:t xml:space="preserve">Portable deterministic release gate.</x:t>
  </x:si>
  <x:si>
    <x:t xml:space="preserve">None.</x:t>
  </x:si>
  <x:si>
    <x:t xml:space="preserve">Paid judge calls disabled by default.</x:t>
  </x:si>
  <x:si>
    <x:t xml:space="preserve">Ragas</x:t>
  </x:si>
  <x:si>
    <x:t xml:space="preserve">Faithfulness/relevance metrics behind adapter.</x:t>
  </x:si>
  <x:si>
    <x:t xml:space="preserve">Custom metrics.</x:t>
  </x:si>
  <x:si>
    <x:t xml:space="preserve">LLM evaluator token cost/privacy.</x:t>
  </x:si>
  <x:si>
    <x:t xml:space="preserve">DeepEval</x:t>
  </x:si>
  <x:si>
    <x:t xml:space="preserve">Additional regression suites.</x:t>
  </x:si>
  <x:si>
    <x:t xml:space="preserve">Ragas/custom.</x:t>
  </x:si>
  <x:si>
    <x:t xml:space="preserve">Judge cost and dataset privacy.</x:t>
  </x:si>
  <x:si>
    <x:t xml:space="preserve">Serving</x:t>
  </x:si>
  <x:si>
    <x:t xml:space="preserve">FastAPI + Uvicorn</x:t>
  </x:si>
  <x:si>
    <x:t xml:space="preserve">Typed orchestration API.</x:t>
  </x:si>
  <x:si>
    <x:t xml:space="preserve">Lambda/ECS for lower ops.</x:t>
  </x:si>
  <x:si>
    <x:t xml:space="preserve">Compute only; no GPU requirement.</x:t>
  </x:si>
  <x:si>
    <x:t xml:space="preserve">Ray Serve</x:t>
  </x:si>
  <x:si>
    <x:t xml:space="preserve">When measured</x:t>
  </x:si>
  <x:si>
    <x:t xml:space="preserve">Distributed Python model composition.</x:t>
  </x:si>
  <x:si>
    <x:t xml:space="preserve">FastAPI or SageMaker.</x:t>
  </x:si>
  <x:si>
    <x:t xml:space="preserve">Cluster operations/cost.</x:t>
  </x:si>
  <x:si>
    <x:t xml:space="preserve">Triton Inference Server</x:t>
  </x:si>
  <x:si>
    <x:t xml:space="preserve">High-throughput GPU inference.</x:t>
  </x:si>
  <x:si>
    <x:t xml:space="preserve">SageMaker endpoint/Ray.</x:t>
  </x:si>
  <x:si>
    <x:t xml:space="preserve">GPU and packaging complexity.</x:t>
  </x:si>
  <x:si>
    <x:t xml:space="preserve">SageMaker endpoints/autoscaling</x:t>
  </x:si>
  <x:si>
    <x:t xml:space="preserve">Approved custom model hosting.</x:t>
  </x:si>
  <x:si>
    <x:t xml:space="preserve">Ray/Triton on EKS; Bedrock.</x:t>
  </x:si>
  <x:si>
    <x:t xml:space="preserve">Idle/GPU cost and AWS coupling.</x:t>
  </x:si>
  <x:si>
    <x:t xml:space="preserve">Model monitoring</x:t>
  </x:si>
  <x:si>
    <x:t xml:space="preserve">OpenTelemetry custom metrics</x:t>
  </x:si>
  <x:si>
    <x:t xml:space="preserve">Portable model/retrieval/agent telemetry.</x:t>
  </x:si>
  <x:si>
    <x:t xml:space="preserve">Redact content; CloudWatch ingest cost.</x:t>
  </x:si>
  <x:si>
    <x:t xml:space="preserve">Arize / WhyLabs / Fiddler</x:t>
  </x:si>
  <x:si>
    <x:t xml:space="preserve">After review</x:t>
  </x:si>
  <x:si>
    <x:t xml:space="preserve">Managed model monitoring.</x:t>
  </x:si>
  <x:si>
    <x:t xml:space="preserve">OTel + Prometheus/Grafana.</x:t>
  </x:si>
  <x:si>
    <x:t xml:space="preserve">License, data residency and telemetry privacy.</x:t>
  </x:si>
  <x:si>
    <x:t xml:space="preserve">Model ops</x:t>
  </x:si>
  <x:si>
    <x:t xml:space="preserve">SageMaker Model Registry</x:t>
  </x:si>
  <x:si>
    <x:t xml:space="preserve">Custom-model phase</x:t>
  </x:si>
  <x:si>
    <x:t xml:space="preserve">AWS governance for trained models.</x:t>
  </x:si>
  <x:si>
    <x:t xml:space="preserve">MLflow.</x:t>
  </x:si>
  <x:si>
    <x:t xml:space="preserve">AWS coupling; low metadata cost vs hosting.</x:t>
  </x:si>
  <x:si>
    <x:t xml:space="preserve">MLflow</x:t>
  </x:si>
  <x:si>
    <x:t xml:space="preserve">Portable/self-hosted registry.</x:t>
  </x:si>
  <x:si>
    <x:t xml:space="preserve">SageMaker Registry.</x:t>
  </x:si>
  <x:si>
    <x:t xml:space="preserve">Operate database/artifact store.</x:t>
  </x:si>
  <x:si>
    <x:t xml:space="preserve">Feature store</x:t>
  </x:si>
  <x:si>
    <x:t xml:space="preserve">Feast / SageMaker Feature Store</x:t>
  </x:si>
  <x:si>
    <x:t xml:space="preserve">Structured ML only</x:t>
  </x:si>
  <x:si>
    <x:t xml:space="preserve">Not needed for document RAG.</x:t>
  </x:si>
  <x:si>
    <x:t xml:space="preserve">Versioned documents/vector metadata.</x:t>
  </x:si>
  <x:si>
    <x:t xml:space="preserve">Online store and managed-service cost.</x:t>
  </x:si>
  <x:si>
    <x:t xml:space="preserve">sentence-transformers</x:t>
  </x:si>
  <x:si>
    <x:t xml:space="preserve">Local CPU embeddings.</x:t>
  </x:si>
  <x:si>
    <x:t xml:space="preserve">Bedrock/OpenAI adapter later.</x:t>
  </x:si>
  <x:si>
    <x:t xml:space="preserve">Model license; local compute.</x:t>
  </x:si>
  <x:si>
    <x:t xml:space="preserve">OpenAI embeddings placeholder</x:t>
  </x:si>
  <x:si>
    <x:t xml:space="preserve">Adapter portability test.</x:t>
  </x:si>
  <x:si>
    <x:t xml:space="preserve">Local/Bedrock embeddings.</x:t>
  </x:si>
  <x:si>
    <x:t xml:space="preserve">Per-token cost, DPA, residency and retention.</x:t>
  </x:si>
  <x:si>
    <x:t xml:space="preserve">Vector DB</x:t>
  </x:si>
  <x:si>
    <x:t xml:space="preserve">Local client/server integration and filters.</x:t>
  </x:si>
  <x:si>
    <x:t xml:space="preserve">Chroma/FAISS for simpler labs.</x:t>
  </x:si>
  <x:si>
    <x:t xml:space="preserve">Low local cost; production ops if self-hosted.</x:t>
  </x:si>
  <x:si>
    <x:t xml:space="preserve">MUST plan / SHOULD deploy</x:t>
  </x:si>
  <x:si>
    <x:t xml:space="preserve">AWS vector/hybrid target with VPC/IAM/KMS.</x:t>
  </x:si>
  <x:si>
    <x:t xml:space="preserve">Qdrant/Milvus/Weaviate/Pinecone.</x:t>
  </x:si>
  <x:si>
    <x:t xml:space="preserve">Meaningful idle baseline; size sandbox carefully.</x:t>
  </x:si>
  <x:si>
    <x:t xml:space="preserve">FAISS</x:t>
  </x:si>
  <x:si>
    <x:t xml:space="preserve">Notebook lab</x:t>
  </x:si>
  <x:si>
    <x:t xml:space="preserve">In-process local vector search.</x:t>
  </x:si>
  <x:si>
    <x:t xml:space="preserve">Qdrant.</x:t>
  </x:si>
  <x:si>
    <x:t xml:space="preserve">No HA/tenancy/filter service controls.</x:t>
  </x:si>
  <x:si>
    <x:t xml:space="preserve">Chroma</x:t>
  </x:si>
  <x:si>
    <x:t xml:space="preserve">Prototype</x:t>
  </x:si>
  <x:si>
    <x:t xml:space="preserve">Fast learning path.</x:t>
  </x:si>
  <x:si>
    <x:t xml:space="preserve">Validate production security/durability.</x:t>
  </x:si>
  <x:si>
    <x:t xml:space="preserve">Milvus</x:t>
  </x:si>
  <x:si>
    <x:t xml:space="preserve">Scale phase</x:t>
  </x:si>
  <x:si>
    <x:t xml:space="preserve">Large self-managed scale.</x:t>
  </x:si>
  <x:si>
    <x:t xml:space="preserve">Qdrant/OpenSearch.</x:t>
  </x:si>
  <x:si>
    <x:t xml:space="preserve">High operational footprint; Zilliz adds SaaS residency.</x:t>
  </x:si>
  <x:si>
    <x:t xml:space="preserve">Weaviate</x:t>
  </x:si>
  <x:si>
    <x:t xml:space="preserve">Comparison phase</x:t>
  </x:si>
  <x:si>
    <x:t xml:space="preserve">Rich OSS ecosystem.</x:t>
  </x:si>
  <x:si>
    <x:t xml:space="preserve">Self-host ops or SaaS cost/residency.</x:t>
  </x:si>
  <x:si>
    <x:t xml:space="preserve">Pinecone</x:t>
  </x:si>
  <x:si>
    <x:t xml:space="preserve">SaaS comparison</x:t>
  </x:si>
  <x:si>
    <x:t xml:space="preserve">Managed convenience.</x:t>
  </x:si>
  <x:si>
    <x:t xml:space="preserve">Per-op/storage/egress, residency and vendor exit.</x:t>
  </x:si>
  <x:si>
    <x:t xml:space="preserve">Data engineering</x:t>
  </x:si>
  <x:si>
    <x:t xml:space="preserve">S3 + Glue Spark</x:t>
  </x:si>
  <x:si>
    <x:t xml:space="preserve">Weeks 7–8</x:t>
  </x:si>
  <x:si>
    <x:t xml:space="preserve">Versioned source and batch ETL.</x:t>
  </x:si>
  <x:si>
    <x:t xml:space="preserve">Local pipeline/Lambda for small corpus.</x:t>
  </x:si>
  <x:si>
    <x:t xml:space="preserve">Glue job/runtime and S3 request/storage cost.</x:t>
  </x:si>
  <x:si>
    <x:t xml:space="preserve">Apache Airflow/MWAA</x:t>
  </x:si>
  <x:si>
    <x:t xml:space="preserve">Complex data DAGs</x:t>
  </x:si>
  <x:si>
    <x:t xml:space="preserve">Cross-system DAG ownership/backfills.</x:t>
  </x:si>
  <x:si>
    <x:t xml:space="preserve">Step Functions.</x:t>
  </x:si>
  <x:si>
    <x:t xml:space="preserve">MWAA baseline cost/ops.</x:t>
  </x:si>
  <x:si>
    <x:t xml:space="preserve">Apache Flink</x:t>
  </x:si>
  <x:si>
    <x:t xml:space="preserve">Streaming phase</x:t>
  </x:si>
  <x:si>
    <x:t xml:space="preserve">Stateful event-time processing.</x:t>
  </x:si>
  <x:si>
    <x:t xml:space="preserve">Kinesis consumers/Lambda.</x:t>
  </x:si>
  <x:si>
    <x:t xml:space="preserve">Always-on streaming cost/ops.</x:t>
  </x:si>
  <x:si>
    <x:t xml:space="preserve">Eventing</x:t>
  </x:si>
  <x:si>
    <x:t xml:space="preserve">EventBridge + Step Functions</x:t>
  </x:si>
  <x:si>
    <x:t xml:space="preserve">Background ingestion/re-index orchestration.</x:t>
  </x:si>
  <x:si>
    <x:t xml:space="preserve">Airflow for data DAGs.</x:t>
  </x:si>
  <x:si>
    <x:t xml:space="preserve">Per-event/state-transition cost.</x:t>
  </x:si>
  <x:si>
    <x:t xml:space="preserve">Kafka/MSK</x:t>
  </x:si>
  <x:si>
    <x:t xml:space="preserve">Kafka compatibility/ecosystem.</x:t>
  </x:si>
  <x:si>
    <x:t xml:space="preserve">Kinesis/EventBridge.</x:t>
  </x:si>
  <x:si>
    <x:t xml:space="preserve">Broker/managed baseline and data transfer.</x:t>
  </x:si>
  <x:si>
    <x:t xml:space="preserve">Kinesis</x:t>
  </x:si>
  <x:si>
    <x:t xml:space="preserve">AWS-native high-throughput stream.</x:t>
  </x:si>
  <x:si>
    <x:t xml:space="preserve">MSK/Flink/EventBridge.</x:t>
  </x:si>
  <x:si>
    <x:t xml:space="preserve">Shard/on-demand and retention cost.</x:t>
  </x:si>
  <x:si>
    <x:t xml:space="preserve">Data quality</x:t>
  </x:si>
  <x:si>
    <x:t xml:space="preserve">Great Expectations</x:t>
  </x:si>
  <x:si>
    <x:t xml:space="preserve">Code-first data quality.</x:t>
  </x:si>
  <x:si>
    <x:t xml:space="preserve">Soda.</x:t>
  </x:si>
  <x:si>
    <x:t xml:space="preserve">Open-source execution cost.</x:t>
  </x:si>
  <x:si>
    <x:t xml:space="preserve">Soda / Monte Carlo</x:t>
  </x:si>
  <x:si>
    <x:t xml:space="preserve">Enterprise data ops</x:t>
  </x:si>
  <x:si>
    <x:t xml:space="preserve">Managed observability/convenience.</x:t>
  </x:si>
  <x:si>
    <x:t xml:space="preserve">Great Expectations.</x:t>
  </x:si>
  <x:si>
    <x:t xml:space="preserve">License, metadata/data residency.</x:t>
  </x:si>
  <x:si>
    <x:t xml:space="preserve">Microsoft Presidio</x:t>
  </x:si>
  <x:si>
    <x:t xml:space="preserve">Local PII detection/redaction hook.</x:t>
  </x:si>
  <x:si>
    <x:t xml:space="preserve">Custom detectors.</x:t>
  </x:si>
  <x:si>
    <x:t xml:space="preserve">Model accuracy and language coverage.</x:t>
  </x:si>
  <x:si>
    <x:t xml:space="preserve">AWS Macie</x:t>
  </x:si>
  <x:si>
    <x:t xml:space="preserve">Sensitive-data discovery in S3.</x:t>
  </x:si>
  <x:si>
    <x:t xml:space="preserve">Presidio + classification process.</x:t>
  </x:si>
  <x:si>
    <x:t xml:space="preserve">Per-GB discovery and regional service.</x:t>
  </x:si>
  <x:si>
    <x:t xml:space="preserve">AWS compute</x:t>
  </x:si>
  <x:si>
    <x:t xml:space="preserve">SHOULD target</x:t>
  </x:si>
  <x:si>
    <x:t xml:space="preserve">Kubernetes deployment and registry.</x:t>
  </x:si>
  <x:si>
    <x:t xml:space="preserve">ECS/Fargate for lower ops.</x:t>
  </x:si>
  <x:si>
    <x:t xml:space="preserve">Cluster/node/NAT/LB baseline cost.</x:t>
  </x:si>
  <x:si>
    <x:t xml:space="preserve">Lambda / Fargate / EC2</x:t>
  </x:si>
  <x:si>
    <x:t xml:space="preserve">SHOULD/OPTIONAL</x:t>
  </x:si>
  <x:si>
    <x:t xml:space="preserve">By use case</x:t>
  </x:si>
  <x:si>
    <x:t xml:space="preserve">Events, simpler containers or ops runner.</x:t>
  </x:si>
  <x:si>
    <x:t xml:space="preserve">EKS.</x:t>
  </x:si>
  <x:si>
    <x:t xml:space="preserve">Duration/idle/operations trade-offs.</x:t>
  </x:si>
  <x:si>
    <x:t xml:space="preserve">AWS managed AI</x:t>
  </x:si>
  <x:si>
    <x:t xml:space="preserve">Bedrock</x:t>
  </x:si>
  <x:si>
    <x:t xml:space="preserve">Primary LLM access.</x:t>
  </x:si>
  <x:si>
    <x:t xml:space="preserve">SageMaker/external/local adapter.</x:t>
  </x:si>
  <x:si>
    <x:t xml:space="preserve">Token cost, quota and regional availability.</x:t>
  </x:si>
  <x:si>
    <x:t xml:space="preserve">AWS security</x:t>
  </x:si>
  <x:si>
    <x:t xml:space="preserve">IAM, KMS, Secrets Manager</x:t>
  </x:si>
  <x:si>
    <x:t xml:space="preserve">Identity, encryption and secret separation.</x:t>
  </x:si>
  <x:si>
    <x:t xml:space="preserve">No substitute.</x:t>
  </x:si>
  <x:si>
    <x:t xml:space="preserve">KMS/API/secret monthly and call cost.</x:t>
  </x:si>
  <x:si>
    <x:t xml:space="preserve">AWS audit</x:t>
  </x:si>
  <x:si>
    <x:t xml:space="preserve">CloudTrail + CloudWatch</x:t>
  </x:si>
  <x:si>
    <x:t xml:space="preserve">Weeks 5–6</x:t>
  </x:si>
  <x:si>
    <x:t xml:space="preserve">Audit, logs, metrics and alarms.</x:t>
  </x:si>
  <x:si>
    <x:t xml:space="preserve">OTel + OSS destinations.</x:t>
  </x:si>
  <x:si>
    <x:t xml:space="preserve">Log ingestion, retention, alarms and API events.</x:t>
  </x:si>
  <x:si>
    <x:t xml:space="preserve">VPC, private subnets, NACLs, security groups</x:t>
  </x:si>
  <x:si>
    <x:t xml:space="preserve">MUST AWS</x:t>
  </x:si>
  <x:si>
    <x:t xml:space="preserve">Private data plane and controlled flows.</x:t>
  </x:si>
  <x:si>
    <x:t xml:space="preserve">Existing approved VPC.</x:t>
  </x:si>
  <x:si>
    <x:t xml:space="preserve">NAT/endpoints/flow logs can dominate sandbox cost.</x:t>
  </x:si>
  <x:si>
    <x:t xml:space="preserve">Terraform modules + remote state</x:t>
  </x:si>
  <x:si>
    <x:t xml:space="preserve">Weeks 1 and 5</x:t>
  </x:si>
  <x:si>
    <x:t xml:space="preserve">Reviewable/repeatable infrastructure.</x:t>
  </x:si>
  <x:si>
    <x:t xml:space="preserve">CloudFormation/CDK not selected.</x:t>
  </x:si>
  <x:si>
    <x:t xml:space="preserve">State S3/DynamoDB/KMS tiny but nonzero.</x:t>
  </x:si>
  <x:si>
    <x:t xml:space="preserve">Config management</x:t>
  </x:si>
  <x:si>
    <x:t xml:space="preserve">Ansible</x:t>
  </x:si>
  <x:si>
    <x:t xml:space="preserve">EC2/runner bootstrap only.</x:t>
  </x:si>
  <x:si>
    <x:t xml:space="preserve">Immutable images/user data/SSM.</x:t>
  </x:si>
  <x:si>
    <x:t xml:space="preserve">No platform fee; EC2 runtime cost.</x:t>
  </x:si>
  <x:si>
    <x:t xml:space="preserve">GitHub Actions</x:t>
  </x:si>
  <x:si>
    <x:t xml:space="preserve">PR checks, OIDC and controlled promotion.</x:t>
  </x:si>
  <x:si>
    <x:t xml:space="preserve">GitLab CI/Jenkins alternatives.</x:t>
  </x:si>
  <x:si>
    <x:t xml:space="preserve">Runner minutes/storage; self-hosted runner cost.</x:t>
  </x:si>
  <x:si>
    <x:t xml:space="preserve">IaC security</x:t>
  </x:si>
  <x:si>
    <x:t xml:space="preserve">Checkov, tflint, terraform fmt, OPA/Gatekeeper</x:t>
  </x:si>
  <x:si>
    <x:t xml:space="preserve">Shift-left and admission policy.</x:t>
  </x:si>
  <x:si>
    <x:t xml:space="preserve">Sentinel for TFE/HCP.</x:t>
  </x:si>
  <x:si>
    <x:t xml:space="preserve">OSS tools; CI time.</x:t>
  </x:si>
  <x:si>
    <x:t xml:space="preserve">Trivy, Syft, Grype</x:t>
  </x:si>
  <x:si>
    <x:t xml:space="preserve">Vulnerability scans and SBOM.</x:t>
  </x:si>
  <x:si>
    <x:t xml:space="preserve">Snyk/Wiz/Sysdig managed options.</x:t>
  </x:si>
  <x:si>
    <x:t xml:space="preserve">OSS vs license and telemetry considerations.</x:t>
  </x:si>
  <x:si>
    <x:t xml:space="preserve">Secrets scanning</x:t>
  </x:si>
  <x:si>
    <x:t xml:space="preserve">pre-commit + CI detector</x:t>
  </x:si>
  <x:si>
    <x:t xml:space="preserve">Prevent plaintext credentials.</x:t>
  </x:si>
  <x:si>
    <x:t xml:space="preserve">GitHub secret scanning if available.</x:t>
  </x:si>
  <x:si>
    <x:t xml:space="preserve">Repository plan/licensing may vary.</x:t>
  </x:si>
  <x:si>
    <x:t xml:space="preserve">Prometheus, Grafana, Jaeger</x:t>
  </x:si>
  <x:si>
    <x:t xml:space="preserve">Open local metrics/dashboard/tracing.</x:t>
  </x:si>
  <x:si>
    <x:t xml:space="preserve">CloudWatch/X-Ray.</x:t>
  </x:si>
  <x:si>
    <x:t xml:space="preserve">Self-host compute/storage.</x:t>
  </x:si>
  <x:si>
    <x:t xml:space="preserve">AWS X-Ray + CloudWatch</x:t>
  </x:si>
  <x:si>
    <x:t xml:space="preserve">AWS-native tracing/metrics/logs/alarms.</x:t>
  </x:si>
  <x:si>
    <x:t xml:space="preserve">OTel OSS backend.</x:t>
  </x:si>
  <x:si>
    <x:t xml:space="preserve">Ingest/retention/query costs.</x:t>
  </x:si>
  <x:si>
    <x:t xml:space="preserve">Datadog / New Relic</x:t>
  </x:si>
  <x:si>
    <x:t xml:space="preserve">Managed operations platform.</x:t>
  </x:si>
  <x:si>
    <x:t xml:space="preserve">OTel + CloudWatch/Prometheus/Grafana.</x:t>
  </x:si>
  <x:si>
    <x:t xml:space="preserve">License/ingest and data residency.</x:t>
  </x:si>
  <x:si>
    <x:t xml:space="preserve">SLIs/SLOs, error budgets, runbooks, FIS</x:t>
  </x:si>
  <x:si>
    <x:t xml:space="preserve">MUST controls</x:t>
  </x:si>
  <x:si>
    <x:t xml:space="preserve">Operational readiness and failure learning.</x:t>
  </x:si>
  <x:si>
    <x:t xml:space="preserve">Local fault injection before FIS.</x:t>
  </x:si>
  <x:si>
    <x:t xml:space="preserve">FIS actions and affected resources may cost.</x:t>
  </x:si>
  <x:si>
    <x:t xml:space="preserve">Autoscaling</x:t>
  </x:si>
  <x:si>
    <x:t xml:space="preserve">EKS HPA + SageMaker autoscaling</x:t>
  </x:si>
  <x:si>
    <x:t xml:space="preserve">Week 6/custom models</x:t>
  </x:si>
  <x:si>
    <x:t xml:space="preserve">Scale measured workloads.</x:t>
  </x:si>
  <x:si>
    <x:t xml:space="preserve">Fixed sandbox replicas/Bedrock managed service.</x:t>
  </x:si>
  <x:si>
    <x:t xml:space="preserve">Scaling can increase spend; cap maxima.</x:t>
  </x:si>
  <x:si>
    <x:t xml:space="preserve">Documentation</x:t>
  </x:si>
  <x:si>
    <x:t xml:space="preserve">Mermaid, PlantUML, C4</x:t>
  </x:si>
  <x:si>
    <x:t xml:space="preserve">MUST/SHOULD</x:t>
  </x:si>
  <x:si>
    <x:t xml:space="preserve">Throughout</x:t>
  </x:si>
  <x:si>
    <x:t xml:space="preserve">Architecture and interview communication.</x:t>
  </x:si>
  <x:si>
    <x:t xml:space="preserve">Markdown diagrams.</x:t>
  </x:si>
  <x:si>
    <x:t xml:space="preserve">No platform cost for OSS.</x:t>
  </x:si>
  <x:si>
    <x:t xml:space="preserve">Snyk / HashiCorp Sentinel</x:t>
  </x:si>
  <x:si>
    <x:t xml:space="preserve">Enterprise integration</x:t>
  </x:si>
  <x:si>
    <x:t xml:space="preserve">Managed SCA or TFE policy.</x:t>
  </x:si>
  <x:si>
    <x:t xml:space="preserve">Trivy/Grype and OPA.</x:t>
  </x:si>
  <x:si>
    <x:t xml:space="preserve">License and vendor coupling.</x:t>
  </x:si>
  <x:si>
    <x:t xml:space="preserve">Environment Variable and Secret Boundary</x:t>
  </x:si>
  <x:si>
    <x:t xml:space="preserve">The example column contains placeholders only. Secret values belong in Secrets Manager and are injected through workload identity at runtime.</x:t>
  </x:si>
  <x:si>
    <x:t xml:space="preserve">Variable</x:t>
  </x:si>
  <x:si>
    <x:t xml:space="preserve">Secret?</x:t>
  </x:si>
  <x:si>
    <x:t xml:space="preserve">Example / Placeholder</x:t>
  </x:si>
  <x:si>
    <x:t xml:space="preserve">Needed By</x:t>
  </x:si>
  <x:si>
    <x:t xml:space="preserve">Validation / Rule</x:t>
  </x:si>
  <x:si>
    <x:t xml:space="preserve">Consumer</x:t>
  </x:si>
  <x:si>
    <x:t xml:space="preserve">Owner Notes</x:t>
  </x:si>
  <x:si>
    <x:t xml:space="preserve">APP_ENV</x:t>
  </x:si>
  <x:si>
    <x:t xml:space="preserve">Runtime</x:t>
  </x:si>
  <x:si>
    <x:t xml:space="preserve">local</x:t>
  </x:si>
  <x:si>
    <x:t xml:space="preserve">local|sandbox|production</x:t>
  </x:si>
  <x:si>
    <x:t xml:space="preserve">Application</x:t>
  </x:si>
  <x:si>
    <x:t xml:space="preserve">LOG_LEVEL</x:t>
  </x:si>
  <x:si>
    <x:t xml:space="preserve">INFO</x:t>
  </x:si>
  <x:si>
    <x:t xml:space="preserve">Approved enum; no DEBUG in production by default</x:t>
  </x:si>
  <x:si>
    <x:t xml:space="preserve">AWS_REGION</x:t>
  </x:si>
  <x:si>
    <x:t xml:space="preserve">Runtime/IaC</x:t>
  </x:si>
  <x:si>
    <x:t xml:space="preserve">TODO_AWS_REGION</x:t>
  </x:si>
  <x:si>
    <x:t xml:space="preserve">Approved Bedrock/OpenSearch region</x:t>
  </x:si>
  <x:si>
    <x:t xml:space="preserve">AWS adapters/Terraform</x:t>
  </x:si>
  <x:si>
    <x:t xml:space="preserve">AWS_PROFILE</x:t>
  </x:si>
  <x:si>
    <x:t xml:space="preserve">Local only</x:t>
  </x:si>
  <x:si>
    <x:t xml:space="preserve">TODO_LOCAL_PROFILE_ONLY</x:t>
  </x:si>
  <x:si>
    <x:t xml:space="preserve">Must not be used in CI/EKS</x:t>
  </x:si>
  <x:si>
    <x:t xml:space="preserve">Local AWS SDK</x:t>
  </x:si>
  <x:si>
    <x:t xml:space="preserve">LLM_PROVIDER</x:t>
  </x:si>
  <x:si>
    <x:t xml:space="preserve">fake</x:t>
  </x:si>
  <x:si>
    <x:t xml:space="preserve">fake|bedrock|approved adapter</x:t>
  </x:si>
  <x:si>
    <x:t xml:space="preserve">RAG</x:t>
  </x:si>
  <x:si>
    <x:t xml:space="preserve">LLM_MODEL_ID</x:t>
  </x:si>
  <x:si>
    <x:t xml:space="preserve">TODO_APPROVED_BEDROCK_MODEL_ID</x:t>
  </x:si>
  <x:si>
    <x:t xml:space="preserve">Configuration only; approved model</x:t>
  </x:si>
  <x:si>
    <x:t xml:space="preserve">Bedrock adapter</x:t>
  </x:si>
  <x:si>
    <x:t xml:space="preserve">EMBEDDING_PROVIDER</x:t>
  </x:si>
  <x:si>
    <x:t xml:space="preserve">sentence_transformers</x:t>
  </x:si>
  <x:si>
    <x:t xml:space="preserve">Approved adapter</x:t>
  </x:si>
  <x:si>
    <x:t xml:space="preserve">sentence-transformers/all-MiniLM-L6-v2</x:t>
  </x:si>
  <x:si>
    <x:t xml:space="preserve">License/dimension approved</x:t>
  </x:si>
  <x:si>
    <x:t xml:space="preserve">Embedder</x:t>
  </x:si>
  <x:si>
    <x:t xml:space="preserve">VECTOR_BACKEND</x:t>
  </x:si>
  <x:si>
    <x:t xml:space="preserve">qdrant</x:t>
  </x:si>
  <x:si>
    <x:t xml:space="preserve">qdrant|opensearch|fake</x:t>
  </x:si>
  <x:si>
    <x:t xml:space="preserve">Retriever</x:t>
  </x:si>
  <x:si>
    <x:t xml:space="preserve">QDRANT_URL</x:t>
  </x:si>
  <x:si>
    <x:t xml:space="preserve">Local/runtime</x:t>
  </x:si>
  <x:si>
    <x:t xml:space="preserve">http://localhost:6333</x:t>
  </x:si>
  <x:si>
    <x:t xml:space="preserve">HTTPS/service DNS outside local</x:t>
  </x:si>
  <x:si>
    <x:t xml:space="preserve">Qdrant adapter</x:t>
  </x:si>
  <x:si>
    <x:t xml:space="preserve">QDRANT_API_KEY</x:t>
  </x:si>
  <x:si>
    <x:t xml:space="preserve">Secret</x:t>
  </x:si>
  <x:si>
    <x:t xml:space="preserve">Secrets Manager/runtime injection only</x:t>
  </x:si>
  <x:si>
    <x:t xml:space="preserve">OPENSEARCH_ENDPOINT</x:t>
  </x:si>
  <x:si>
    <x:t xml:space="preserve">Private endpoint; no credential in value</x:t>
  </x:si>
  <x:si>
    <x:t xml:space="preserve">OpenSearch adapter</x:t>
  </x:si>
  <x:si>
    <x:t xml:space="preserve">OPENSEARCH_INDEX</x:t>
  </x:si>
  <x:si>
    <x:t xml:space="preserve">enterprise-ai-chunks-v1</x:t>
  </x:si>
  <x:si>
    <x:t xml:space="preserve">Versioned naming convention</x:t>
  </x:si>
  <x:si>
    <x:t xml:space="preserve">S3_DOCUMENT_BUCKET</x:t>
  </x:si>
  <x:si>
    <x:t xml:space="preserve">TODO_BUCKET_NAME</x:t>
  </x:si>
  <x:si>
    <x:t xml:space="preserve">Private/versioned bucket</x:t>
  </x:si>
  <x:si>
    <x:t xml:space="preserve">SECRETS_PREFIX</x:t>
  </x:si>
  <x:si>
    <x:t xml:space="preserve">/TODO_ORG/enterprise-ai/sandbox</x:t>
  </x:si>
  <x:si>
    <x:t xml:space="preserve">Metadata path only; no secret value</x:t>
  </x:si>
  <x:si>
    <x:t xml:space="preserve">RAG_TOP_K</x:t>
  </x:si>
  <x:si>
    <x:t xml:space="preserve">5</x:t>
  </x:si>
  <x:si>
    <x:t xml:space="preserve">1–20; evaluation-approved</x:t>
  </x:si>
  <x:si>
    <x:t xml:space="preserve">RAG_MIN_SCORE</x:t>
  </x:si>
  <x:si>
    <x:t xml:space="preserve">0.45</x:t>
  </x:si>
  <x:si>
    <x:t xml:space="preserve">0–1; evaluation-approved</x:t>
  </x:si>
  <x:si>
    <x:t xml:space="preserve">RAG_MAX_CONTEXT_CHARS</x:t>
  </x:si>
  <x:si>
    <x:t xml:space="preserve">12000</x:t>
  </x:si>
  <x:si>
    <x:t xml:space="preserve">&gt;0 and token-budget aligned</x:t>
  </x:si>
  <x:si>
    <x:t xml:space="preserve">AGENT_MAX_STEPS</x:t>
  </x:si>
  <x:si>
    <x:t xml:space="preserve">6</x:t>
  </x:si>
  <x:si>
    <x:t xml:space="preserve">1–10</x:t>
  </x:si>
  <x:si>
    <x:t xml:space="preserve">AGENT_TIMEOUT_SECONDS</x:t>
  </x:si>
  <x:si>
    <x:t xml:space="preserve">30</x:t>
  </x:si>
  <x:si>
    <x:t xml:space="preserve">1–60</x:t>
  </x:si>
  <x:si>
    <x:t xml:space="preserve">LangGraph/API</x:t>
  </x:si>
  <x:si>
    <x:t xml:space="preserve">AGENT_MAX_TOOL_CALLS</x:t>
  </x:si>
  <x:si>
    <x:t xml:space="preserve">3</x:t>
  </x:si>
  <x:si>
    <x:t xml:space="preserve">0–5</x:t>
  </x:si>
  <x:si>
    <x:t xml:space="preserve">REQUIRE_TOOL_APPROVAL</x:t>
  </x:si>
  <x:si>
    <x:t xml:space="preserve">true</x:t>
  </x:si>
  <x:si>
    <x:t xml:space="preserve">Must remain true for write tools</x:t>
  </x:si>
  <x:si>
    <x:t xml:space="preserve">OTEL_SERVICE_NAME</x:t>
  </x:si>
  <x:si>
    <x:t xml:space="preserve">enterprise-ai-api</x:t>
  </x:si>
  <x:si>
    <x:t xml:space="preserve">Low-cardinality service name</x:t>
  </x:si>
  <x:si>
    <x:t xml:space="preserve">OTEL_EXPORTER_OTLP_ENDPOINT</x:t>
  </x:si>
  <x:si>
    <x:t xml:space="preserve">http://localhost:4317</x:t>
  </x:si>
  <x:si>
    <x:t xml:space="preserve">TLS/private endpoint outside local</x:t>
  </x:si>
  <x:si>
    <x:t xml:space="preserve">LANGSMITH_TRACING</x:t>
  </x:si>
  <x:si>
    <x:t xml:space="preserve">false</x:t>
  </x:si>
  <x:si>
    <x:t xml:space="preserve">Enable only after privacy review</x:t>
  </x:si>
  <x:si>
    <x:t xml:space="preserve">Optional telemetry</x:t>
  </x:si>
  <x:si>
    <x:t xml:space="preserve">LANGSMITH_API_KEY</x:t>
  </x:si>
  <x:si>
    <x:t xml:space="preserve">Secrets Manager only</x:t>
  </x:si>
  <x:si>
    <x:t xml:space="preserve">OPENAI_API_KEY</x:t>
  </x:si>
  <x:si>
    <x:t xml:space="preserve">Secrets Manager only; optional</x:t>
  </x:si>
  <x:si>
    <x:t xml:space="preserve">Optional adapter</x:t>
  </x:si>
  <x:si>
    <x:t xml:space="preserve">OPENAI_MODEL_ID</x:t>
  </x:si>
  <x:si>
    <x:t xml:space="preserve">TODO_ONLY_IF_APPROVED</x:t>
  </x:si>
  <x:si>
    <x:t xml:space="preserve">Approved model only</x:t>
  </x:si>
  <x:si>
    <x:t xml:space="preserve">AWS_ACCOUNT_ID</x:t>
  </x:si>
  <x:si>
    <x:t xml:space="preserve">IaC/CI</x:t>
  </x:si>
  <x:si>
    <x:t xml:space="preserve">TODO_SANDBOX_ACCOUNT_ID</x:t>
  </x:si>
  <x:si>
    <x:t xml:space="preserve">12-digit sandbox account</x:t>
  </x:si>
  <x:si>
    <x:t xml:space="preserve">Terraform/GitHub</x:t>
  </x:si>
  <x:si>
    <x:t xml:space="preserve">GITHUB_REPOSITORY</x:t>
  </x:si>
  <x:si>
    <x:t xml:space="preserve">TODO_ORG_REPO</x:t>
  </x:si>
  <x:si>
    <x:t xml:space="preserve">Exact owner/repository</x:t>
  </x:si>
  <x:si>
    <x:t xml:space="preserve">OIDC trust</x:t>
  </x:si>
  <x:si>
    <x:t xml:space="preserve">PROJECT_OWNER</x:t>
  </x:si>
  <x:si>
    <x:t xml:space="preserve">Tags</x:t>
  </x:si>
  <x:si>
    <x:t xml:space="preserve">TODO_USER_OR_TEAM</x:t>
  </x:si>
  <x:si>
    <x:t xml:space="preserve">Non-empty</x:t>
  </x:si>
  <x:si>
    <x:t xml:space="preserve">All AWS resources</x:t>
  </x:si>
  <x:si>
    <x:t xml:space="preserve">COST_CENTER</x:t>
  </x:si>
  <x:si>
    <x:t xml:space="preserve">TODO_COST_CENTER</x:t>
  </x:si>
  <x:si>
    <x:t xml:space="preserve">Organization-approved value</x:t>
  </x:si>
  <x:si>
    <x:t xml:space="preserve">EXPIRES_AT</x:t>
  </x:si>
  <x:si>
    <x:t xml:space="preserve">TODO_ISO8601_TIMESTAMP</x:t>
  </x:si>
  <x:si>
    <x:t xml:space="preserve">Future sandbox expiry</x:t>
  </x:si>
  <x:si>
    <x:t xml:space="preserve">Source and Traceability Register — v1.1.1</x:t>
  </x:si>
  <x:si>
    <x:t xml:space="preserve">Use this sheet to resolve any difference between the documents, workbook and generated implementation.</x:t>
  </x:si>
  <x:si>
    <x:t xml:space="preserve">Source</x:t>
  </x:si>
  <x:si>
    <x:t xml:space="preserve">Version / Type</x:t>
  </x:si>
  <x:si>
    <x:t xml:space="preserve">Content Used</x:t>
  </x:si>
  <x:si>
    <x:t xml:space="preserve">Authority</x:t>
  </x:si>
  <x:si>
    <x:t xml:space="preserve">Conflict Rule</x:t>
  </x:si>
  <x:si>
    <x:t xml:space="preserve">Review Status</x:t>
  </x:si>
  <x:si>
    <x:t xml:space="preserve">Enterprise_AI_Architecture_Source_of_Truth_v1.1(1).docx</x:t>
  </x:si>
  <x:si>
    <x:t xml:space="preserve">Version 1.1</x:t>
  </x:si>
  <x:si>
    <x:t xml:space="preserve">Implementation authority, controlled feature cycle, revised six-week schedule, deploy/rollback/teardown, cleanup verification and Codex contract.</x:t>
  </x:si>
  <x:si>
    <x:t xml:space="preserve">Highest</x:t>
  </x:si>
  <x:si>
    <x:t xml:space="preserve">Overrides conflicting earlier weekly sequencing.</x:t>
  </x:si>
  <x:si>
    <x:t xml:space="preserve">Current</x:t>
  </x:si>
  <x:si>
    <x:t xml:space="preserve">Enterprise_AI_Architecture_Coaching_Blueprint(1).docx</x:t>
  </x:si>
  <x:si>
    <x:t xml:space="preserve">Coaching Blueprint</x:t>
  </x:si>
  <x:si>
    <x:t xml:space="preserve">Technical stack, component rationale, original Codex prompts, acceptance criteria, SLOs, chaos and learning resources.</x:t>
  </x:si>
  <x:si>
    <x:t xml:space="preserve">Supporting</x:t>
  </x:si>
  <x:si>
    <x:t xml:space="preserve">Prompt/technology content retained and re-sequenced under v1.1.</x:t>
  </x:si>
  <x:si>
    <x:t xml:space="preserve">This workbook</x:t>
  </x:si>
  <x:si>
    <x:t xml:space="preserve">Execution Tracker v1.1.1</x:t>
  </x:si>
  <x:si>
    <x:t xml:space="preserve">Original v1.1 operational checklist, prompt library, tests, decisions, owner TODOs, evidence links, plus simple Main/Pre-Edit/Final approval prompts and independent testing.</x:t>
  </x:si>
  <x:si>
    <x:t xml:space="preserve">Execution</x:t>
  </x:si>
  <x:si>
    <x:t xml:space="preserve">Must stay consistent with Source of Truth v1.1; update through reviewed change control.</x:t>
  </x:si>
  <x:si>
    <x:t xml:space="preserve">Change rule: implementation evidence may refine a decision, but it does not silently rewrite the blueprint. Create or supersede an ADR, update the source of truth, update this workbook, then generate the next Codex prompt.</x:t>
  </x:si>
</x:sst>
</file>

<file path=xl/styles.xml><?xml version="1.0" encoding="utf-8"?>
<x:styleSheet xmlns:x="http://schemas.openxmlformats.org/spreadsheetml/2006/main">
  <x:numFmts count="1">
    <x:numFmt numFmtId="164" formatCode="yyyy\-mm\-dd"/>
  </x:numFmts>
  <x:fonts count="14">
    <x:font>
      <x:sz val="11"/>
      <x:name val="Carlito"/>
    </x:font>
    <x:font>
      <x:b/>
      <x:sz val="18"/>
      <x:color rgb="FFFFFFFF"/>
      <x:name val="Carlito"/>
    </x:font>
    <x:font>
      <x:i/>
      <x:sz val="10"/>
      <x:color rgb="FF172B4D"/>
      <x:name val="Carlito"/>
    </x:font>
    <x:font>
      <x:b/>
      <x:sz val="10"/>
      <x:color rgb="FFFFFFFF"/>
      <x:name val="Carlito"/>
    </x:font>
    <x:font>
      <x:b/>
      <x:sz val="11"/>
      <x:color rgb="FFFFFFFF"/>
      <x:name val="Carlito"/>
    </x:font>
    <x:font>
      <x:sz val="10"/>
      <x:color rgb="FF172B4D"/>
      <x:name val="Carlito"/>
    </x:font>
    <x:font>
      <x:b/>
      <x:sz val="11"/>
      <x:color rgb="FF172B4D"/>
      <x:name val="Carlito"/>
    </x:font>
    <x:font>
      <x:sz val="11"/>
      <x:color rgb="FF172B4D"/>
      <x:name val="Carlito"/>
    </x:font>
    <x:font>
      <x:b/>
      <x:sz val="11"/>
      <x:color rgb="FF92400E"/>
      <x:name val="Carlito"/>
    </x:font>
    <x:font>
      <x:b/>
      <x:sz val="20"/>
      <x:color rgb="FF0F2747"/>
      <x:name val="Carlito"/>
    </x:font>
    <x:font>
      <x:sz val="9"/>
      <x:color rgb="FF172B4D"/>
      <x:name val="Carlito"/>
    </x:font>
    <x:font>
      <x:b/>
      <x:sz val="18"/>
      <x:color rgb="FF0F2747"/>
      <x:name val="Carlito"/>
    </x:font>
    <x:font>
      <x:b/>
      <x:sz val="18"/>
      <x:color rgb="FF991B1B"/>
      <x:name val="Carlito"/>
    </x:font>
    <x:font>
      <x:b/>
      <x:sz val="10"/>
      <x:color rgb="FF166534"/>
      <x:name val="Carlito"/>
    </x:font>
  </x:fonts>
  <x:fills count="13">
    <x:fill>
      <x:patternFill patternType="none"/>
    </x:fill>
    <x:fill>
      <x:patternFill patternType="gray125"/>
    </x:fill>
    <x:fill>
      <x:patternFill patternType="solid">
        <x:fgColor rgb="FF0F2747"/>
      </x:patternFill>
    </x:fill>
    <x:fill>
      <x:patternFill patternType="solid">
        <x:fgColor rgb="FFDDEBF7"/>
      </x:patternFill>
    </x:fill>
    <x:fill>
      <x:patternFill patternType="solid">
        <x:fgColor rgb="FF1F4E78"/>
      </x:patternFill>
    </x:fill>
    <x:fill>
      <x:patternFill patternType="solid">
        <x:fgColor rgb="FF0F766E"/>
      </x:patternFill>
    </x:fill>
    <x:fill>
      <x:patternFill patternType="solid">
        <x:fgColor rgb="FFF5F8FC"/>
      </x:patternFill>
    </x:fill>
    <x:fill>
      <x:patternFill patternType="solid">
        <x:fgColor rgb="FFFFF7D6"/>
      </x:patternFill>
    </x:fill>
    <x:fill>
      <x:patternFill patternType="solid">
        <x:fgColor rgb="FFFEF3C7"/>
      </x:patternFill>
    </x:fill>
    <x:fill>
      <x:patternFill patternType="solid">
        <x:fgColor rgb="FFDCFCE7"/>
      </x:patternFill>
    </x:fill>
    <x:fill>
      <x:patternFill patternType="solid">
        <x:fgColor rgb="FF0F2747"/>
      </x:patternFill>
    </x:fill>
    <x:fill>
      <x:patternFill patternType="solid">
        <x:fgColor rgb="FFDDEBF7"/>
      </x:patternFill>
    </x:fill>
    <x:fill>
      <x:patternFill patternType="solid">
        <x:fgColor rgb="FF1F4E78"/>
      </x:patternFill>
    </x:fill>
  </x:fills>
  <x:borders count="17">
    <x:border/>
    <x:border>
      <x:left style="thin">
        <x:color rgb="FFC8D4E3"/>
      </x:left>
      <x:top style="thin">
        <x:color rgb="FFC8D4E3"/>
      </x:top>
      <x:bottom style="thin">
        <x:color rgb="FFC8D4E3"/>
      </x:bottom>
    </x:border>
    <x:border>
      <x:top style="thin">
        <x:color rgb="FFC8D4E3"/>
      </x:top>
      <x:bottom style="thin">
        <x:color rgb="FFC8D4E3"/>
      </x:bottom>
    </x:border>
    <x:border>
      <x:right style="thin">
        <x:color rgb="FFC8D4E3"/>
      </x:right>
      <x:top style="thin">
        <x:color rgb="FFC8D4E3"/>
      </x:top>
      <x:bottom style="thin">
        <x:color rgb="FFC8D4E3"/>
      </x:bottom>
    </x:border>
    <x:border>
      <x:bottom style="thin">
        <x:color rgb="FFE5E7EB"/>
      </x:bottom>
    </x:border>
    <x:border>
      <x:top style="thin">
        <x:color rgb="FFE5E7EB"/>
      </x:top>
      <x:bottom style="thin">
        <x:color rgb="FFE5E7EB"/>
      </x:bottom>
    </x:border>
    <x:border>
      <x:top style="thin">
        <x:color rgb="FFE5E7EB"/>
      </x:top>
    </x:border>
    <x:border>
      <x:left style="thin">
        <x:color rgb="FFC8D4E3"/>
      </x:left>
      <x:top style="thin">
        <x:color rgb="FFC8D4E3"/>
      </x:top>
    </x:border>
    <x:border>
      <x:top style="thin">
        <x:color rgb="FFC8D4E3"/>
      </x:top>
    </x:border>
    <x:border>
      <x:right style="thin">
        <x:color rgb="FFC8D4E3"/>
      </x:right>
      <x:top style="thin">
        <x:color rgb="FFC8D4E3"/>
      </x:top>
    </x:border>
    <x:border>
      <x:left style="thin">
        <x:color rgb="FFC8D4E3"/>
      </x:left>
    </x:border>
    <x:border>
      <x:right style="thin">
        <x:color rgb="FFC8D4E3"/>
      </x:right>
    </x:border>
    <x:border>
      <x:left style="thin">
        <x:color rgb="FFC8D4E3"/>
      </x:left>
      <x:bottom style="thin">
        <x:color rgb="FFC8D4E3"/>
      </x:bottom>
    </x:border>
    <x:border>
      <x:bottom style="thin">
        <x:color rgb="FFC8D4E3"/>
      </x:bottom>
    </x:border>
    <x:border>
      <x:right style="thin">
        <x:color rgb="FFC8D4E3"/>
      </x:right>
      <x:bottom style="thin">
        <x:color rgb="FFC8D4E3"/>
      </x:bottom>
    </x:border>
    <x:border>
      <x:left style="thin">
        <x:color rgb="FFC8D4E3"/>
      </x:left>
      <x:right style="thin">
        <x:color rgb="FFC8D4E3"/>
      </x:right>
      <x:top style="thin">
        <x:color rgb="FFC8D4E3"/>
      </x:top>
      <x:bottom style="thin">
        <x:color rgb="FFC8D4E3"/>
      </x:bottom>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95">
    <x:xf numFmtId="0" fontId="0" fillId="0" borderId="0" xfId="0"/>
    <x:xf numFmtId="0" fontId="3" fillId="4" borderId="1" xfId="0" applyFont="1" applyFill="1" applyBorder="1" applyAlignment="1">
      <x:alignment vertical="center" wrapText="1"/>
    </x:xf>
    <x:xf numFmtId="0" fontId="3" fillId="4" borderId="2" xfId="0" applyFont="1" applyFill="1" applyBorder="1" applyAlignment="1">
      <x:alignment vertical="center" wrapText="1"/>
    </x:xf>
    <x:xf numFmtId="0" fontId="3" fillId="4" borderId="3" xfId="0" applyFont="1" applyFill="1" applyBorder="1" applyAlignment="1">
      <x:alignment vertical="center" wrapText="1"/>
    </x:xf>
    <x:xf numFmtId="0" fontId="5" fillId="0" borderId="4" xfId="0" applyFont="1" applyBorder="1" applyAlignment="1">
      <x:alignment vertical="top" wrapText="1"/>
    </x:xf>
    <x:xf numFmtId="0" fontId="5" fillId="0" borderId="5" xfId="0" applyFont="1" applyBorder="1" applyAlignment="1">
      <x:alignment vertical="top" wrapText="1"/>
    </x:xf>
    <x:xf numFmtId="0" fontId="5" fillId="0" borderId="6" xfId="0" applyFont="1" applyBorder="1" applyAlignment="1">
      <x:alignment vertical="top" wrapText="1"/>
    </x:xf>
    <x:xf numFmtId="0" fontId="6" fillId="6" borderId="15" xfId="0" applyFont="1" applyFill="1" applyBorder="1"/>
    <x:xf numFmtId="0" fontId="7" fillId="7" borderId="15" xfId="0" applyFont="1" applyFill="1" applyBorder="1"/>
    <x:xf numFmtId="164" fontId="7" fillId="7" borderId="15" xfId="0" applyNumberFormat="1" applyFont="1" applyFill="1" applyBorder="1"/>
    <x:xf numFmtId="0" fontId="10" fillId="0" borderId="4" xfId="0" applyFont="1" applyBorder="1" applyAlignment="1">
      <x:alignment vertical="top" wrapText="1"/>
    </x:xf>
    <x:xf numFmtId="0" fontId="10" fillId="0" borderId="5" xfId="0" applyFont="1" applyBorder="1" applyAlignment="1">
      <x:alignment vertical="top" wrapText="1"/>
    </x:xf>
    <x:xf numFmtId="9" fontId="10" fillId="0" borderId="4" xfId="0" applyNumberFormat="1" applyFont="1" applyBorder="1" applyAlignment="1">
      <x:alignment vertical="top" wrapText="1"/>
    </x:xf>
    <x:xf numFmtId="9" fontId="10" fillId="0" borderId="5" xfId="0" applyNumberFormat="1" applyFont="1" applyBorder="1" applyAlignment="1">
      <x:alignment vertical="top" wrapText="1"/>
    </x:xf>
    <x:xf numFmtId="9" fontId="0" fillId="0" borderId="0" xfId="0" applyNumberFormat="1"/>
    <x:xf numFmtId="2" fontId="10" fillId="0" borderId="4" xfId="0" applyNumberFormat="1" applyFont="1" applyBorder="1" applyAlignment="1">
      <x:alignment vertical="top" wrapText="1"/>
    </x:xf>
    <x:xf numFmtId="2" fontId="10" fillId="0" borderId="5" xfId="0" applyNumberFormat="1" applyFont="1" applyBorder="1" applyAlignment="1">
      <x:alignment vertical="top" wrapText="1"/>
    </x:xf>
    <x:xf numFmtId="164" fontId="10" fillId="0" borderId="4" xfId="0" applyNumberFormat="1" applyFont="1" applyBorder="1" applyAlignment="1">
      <x:alignment vertical="top" wrapText="1"/>
    </x:xf>
    <x:xf numFmtId="164" fontId="10" fillId="0" borderId="5" xfId="0" applyNumberFormat="1" applyFont="1" applyBorder="1" applyAlignment="1">
      <x:alignment vertical="top" wrapText="1"/>
    </x:xf>
    <x:xf numFmtId="0" fontId="10" fillId="7" borderId="4" xfId="0" applyFont="1" applyFill="1" applyBorder="1" applyAlignment="1">
      <x:alignment vertical="top" wrapText="1"/>
    </x:xf>
    <x:xf numFmtId="0" fontId="10" fillId="7" borderId="5" xfId="0" applyFont="1" applyFill="1" applyBorder="1" applyAlignment="1">
      <x:alignment vertical="top" wrapText="1"/>
    </x:xf>
    <x:xf numFmtId="0" fontId="4" fillId="5" borderId="0" xfId="0" applyFont="1" applyFill="1" applyAlignment="1">
      <x:alignment horizontal="center" vertical="top" wrapText="1"/>
    </x:xf>
    <x:xf numFmtId="0" fontId="1" fillId="10" borderId="0" xfId="0" applyFont="1" applyFill="1"/>
    <x:xf numFmtId="0" fontId="2" fillId="11" borderId="0" xfId="0" applyFont="1" applyFill="1" applyAlignment="1">
      <x:alignment wrapText="1"/>
    </x:xf>
    <x:xf numFmtId="0" fontId="3" fillId="12" borderId="15" xfId="0" applyFont="1" applyFill="1" applyBorder="1" applyAlignment="1">
      <x:alignment vertical="center" wrapText="1"/>
    </x:xf>
    <x:xf numFmtId="0" fontId="10" fillId="0" borderId="16" xfId="0" applyFont="1" applyBorder="1" applyAlignment="1">
      <x:alignment vertical="top" wrapText="1"/>
    </x:xf>
    <x:xf numFmtId="0" fontId="10" fillId="11" borderId="16" xfId="0" applyFont="1" applyFill="1" applyBorder="1" applyAlignment="1">
      <x:alignment vertical="top" wrapText="1"/>
    </x:xf>
    <x:xf numFmtId="0" fontId="4" fillId="10" borderId="0" xfId="0" applyFont="1" applyFill="1"/>
    <x:xf numFmtId="14" fontId="10" fillId="11" borderId="16" xfId="0" applyNumberFormat="1" applyFont="1" applyFill="1" applyBorder="1" applyAlignment="1">
      <x:alignment vertical="top" wrapText="1"/>
    </x:xf>
    <x:xf numFmtId="14" fontId="10" fillId="0" borderId="16" xfId="0" applyNumberFormat="1" applyFont="1" applyBorder="1" applyAlignment="1">
      <x:alignment vertical="top" wrapText="1"/>
    </x:xf>
    <x:xf numFmtId="0" fontId="0" fillId="0" borderId="0" xfId="0" applyAlignment="1">
      <x:alignment vertical="top"/>
    </x:xf>
    <x:xf numFmtId="0" fontId="0" fillId="0" borderId="0" xfId="0" applyAlignment="1">
      <x:alignment vertical="top" wrapText="1"/>
    </x:xf>
    <x:xf numFmtId="0" fontId="1" fillId="2" borderId="0" xfId="0" applyFont="1" applyFill="1" applyAlignment="1">
      <x:alignment vertical="center"/>
    </x:xf>
    <x:xf numFmtId="0" fontId="2" fillId="3" borderId="0" xfId="0" applyFont="1" applyFill="1" applyAlignment="1">
      <x:alignment vertical="center" wrapText="1"/>
    </x:xf>
    <x:xf numFmtId="0" fontId="3" fillId="4" borderId="1" xfId="0" applyFont="1" applyFill="1" applyBorder="1" applyAlignment="1">
      <x:alignment vertical="center" wrapText="1"/>
    </x:xf>
    <x:xf numFmtId="0" fontId="3" fillId="4" borderId="2" xfId="0" applyFont="1" applyFill="1" applyBorder="1" applyAlignment="1">
      <x:alignment vertical="center" wrapText="1"/>
    </x:xf>
    <x:xf numFmtId="0" fontId="3" fillId="4" borderId="3" xfId="0" applyFont="1" applyFill="1" applyBorder="1" applyAlignment="1">
      <x:alignment vertical="center" wrapText="1"/>
    </x:xf>
    <x:xf numFmtId="0" fontId="8" fillId="8" borderId="1" xfId="0" applyFont="1" applyFill="1" applyBorder="1" applyAlignment="1">
      <x:alignment wrapText="1"/>
    </x:xf>
    <x:xf numFmtId="0" fontId="8" fillId="8" borderId="2" xfId="0" applyFont="1" applyFill="1" applyBorder="1" applyAlignment="1">
      <x:alignment wrapText="1"/>
    </x:xf>
    <x:xf numFmtId="0" fontId="8" fillId="8" borderId="3" xfId="0" applyFont="1" applyFill="1" applyBorder="1" applyAlignment="1">
      <x:alignment wrapText="1"/>
    </x:xf>
    <x:xf numFmtId="0" fontId="8" fillId="8" borderId="7" xfId="0" applyFont="1" applyFill="1" applyBorder="1" applyAlignment="1">
      <x:alignment wrapText="1"/>
    </x:xf>
    <x:xf numFmtId="0" fontId="8" fillId="8" borderId="8" xfId="0" applyFont="1" applyFill="1" applyBorder="1" applyAlignment="1">
      <x:alignment wrapText="1"/>
    </x:xf>
    <x:xf numFmtId="0" fontId="8" fillId="8" borderId="9" xfId="0" applyFont="1" applyFill="1" applyBorder="1" applyAlignment="1">
      <x:alignment wrapText="1"/>
    </x:xf>
    <x:xf numFmtId="0" fontId="8" fillId="8" borderId="12" xfId="0" applyFont="1" applyFill="1" applyBorder="1" applyAlignment="1">
      <x:alignment wrapText="1"/>
    </x:xf>
    <x:xf numFmtId="0" fontId="8" fillId="8" borderId="13" xfId="0" applyFont="1" applyFill="1" applyBorder="1" applyAlignment="1">
      <x:alignment wrapText="1"/>
    </x:xf>
    <x:xf numFmtId="0" fontId="8" fillId="8" borderId="14" xfId="0" applyFont="1" applyFill="1" applyBorder="1" applyAlignment="1">
      <x:alignment wrapText="1"/>
    </x:xf>
    <x:xf numFmtId="0" fontId="5" fillId="6" borderId="10" xfId="0" applyFont="1" applyFill="1" applyBorder="1" applyAlignment="1">
      <x:alignment vertical="center" wrapText="1"/>
    </x:xf>
    <x:xf numFmtId="0" fontId="5" fillId="6" borderId="0" xfId="0" applyFont="1" applyFill="1" applyAlignment="1">
      <x:alignment vertical="center" wrapText="1"/>
    </x:xf>
    <x:xf numFmtId="0" fontId="5" fillId="6" borderId="11" xfId="0" applyFont="1" applyFill="1" applyBorder="1" applyAlignment="1">
      <x:alignment vertical="center" wrapText="1"/>
    </x:xf>
    <x:xf numFmtId="0" fontId="5" fillId="6" borderId="12" xfId="0" applyFont="1" applyFill="1" applyBorder="1" applyAlignment="1">
      <x:alignment vertical="center" wrapText="1"/>
    </x:xf>
    <x:xf numFmtId="0" fontId="5" fillId="6" borderId="13" xfId="0" applyFont="1" applyFill="1" applyBorder="1" applyAlignment="1">
      <x:alignment vertical="center" wrapText="1"/>
    </x:xf>
    <x:xf numFmtId="0" fontId="5" fillId="6" borderId="14" xfId="0" applyFont="1" applyFill="1" applyBorder="1" applyAlignment="1">
      <x:alignment vertical="center" wrapText="1"/>
    </x:xf>
    <x:xf numFmtId="0" fontId="5" fillId="6" borderId="7" xfId="0" applyFont="1" applyFill="1" applyBorder="1" applyAlignment="1">
      <x:alignment vertical="center" wrapText="1"/>
    </x:xf>
    <x:xf numFmtId="0" fontId="5" fillId="6" borderId="8" xfId="0" applyFont="1" applyFill="1" applyBorder="1" applyAlignment="1">
      <x:alignment vertical="center" wrapText="1"/>
    </x:xf>
    <x:xf numFmtId="0" fontId="5" fillId="6" borderId="9" xfId="0" applyFont="1" applyFill="1" applyBorder="1" applyAlignment="1">
      <x:alignment vertical="center" wrapText="1"/>
    </x:xf>
    <x:xf numFmtId="0" fontId="5" fillId="6" borderId="10" xfId="0" applyFont="1" applyFill="1" applyBorder="1" applyAlignment="1">
      <x:alignment wrapText="1"/>
    </x:xf>
    <x:xf numFmtId="0" fontId="5" fillId="6" borderId="0" xfId="0" applyFont="1" applyFill="1" applyAlignment="1">
      <x:alignment wrapText="1"/>
    </x:xf>
    <x:xf numFmtId="0" fontId="5" fillId="6" borderId="11" xfId="0" applyFont="1" applyFill="1" applyBorder="1" applyAlignment="1">
      <x:alignment wrapText="1"/>
    </x:xf>
    <x:xf numFmtId="0" fontId="5" fillId="6" borderId="12" xfId="0" applyFont="1" applyFill="1" applyBorder="1" applyAlignment="1">
      <x:alignment wrapText="1"/>
    </x:xf>
    <x:xf numFmtId="0" fontId="5" fillId="6" borderId="13" xfId="0" applyFont="1" applyFill="1" applyBorder="1" applyAlignment="1">
      <x:alignment wrapText="1"/>
    </x:xf>
    <x:xf numFmtId="0" fontId="5" fillId="6" borderId="14" xfId="0" applyFont="1" applyFill="1" applyBorder="1" applyAlignment="1">
      <x:alignment wrapText="1"/>
    </x:xf>
    <x:xf numFmtId="0" fontId="3" fillId="4" borderId="0" xfId="0" applyFont="1" applyFill="1" applyAlignment="1">
      <x:alignment horizontal="center"/>
    </x:xf>
    <x:xf numFmtId="0" fontId="9" fillId="6" borderId="7" xfId="0" applyFont="1" applyFill="1" applyBorder="1" applyAlignment="1">
      <x:alignment horizontal="center" vertical="center"/>
    </x:xf>
    <x:xf numFmtId="0" fontId="9" fillId="6" borderId="9" xfId="0" applyFont="1" applyFill="1" applyBorder="1" applyAlignment="1">
      <x:alignment horizontal="center" vertical="center"/>
    </x:xf>
    <x:xf numFmtId="0" fontId="9" fillId="6" borderId="12" xfId="0" applyFont="1" applyFill="1" applyBorder="1" applyAlignment="1">
      <x:alignment horizontal="center" vertical="center"/>
    </x:xf>
    <x:xf numFmtId="0" fontId="9" fillId="6" borderId="14" xfId="0" applyFont="1" applyFill="1" applyBorder="1" applyAlignment="1">
      <x:alignment horizontal="center" vertical="center"/>
    </x:xf>
    <x:xf numFmtId="0" fontId="5" fillId="6" borderId="7" xfId="0" applyFont="1" applyFill="1" applyBorder="1" applyAlignment="1">
      <x:alignment wrapText="1"/>
    </x:xf>
    <x:xf numFmtId="0" fontId="5" fillId="6" borderId="8" xfId="0" applyFont="1" applyFill="1" applyBorder="1" applyAlignment="1">
      <x:alignment wrapText="1"/>
    </x:xf>
    <x:xf numFmtId="0" fontId="5" fillId="6" borderId="9" xfId="0" applyFont="1" applyFill="1" applyBorder="1" applyAlignment="1">
      <x:alignment wrapText="1"/>
    </x:xf>
    <x:xf numFmtId="9" fontId="9" fillId="6" borderId="7" xfId="0" applyNumberFormat="1" applyFont="1" applyFill="1" applyBorder="1" applyAlignment="1">
      <x:alignment horizontal="center" vertical="center"/>
    </x:xf>
    <x:xf numFmtId="9" fontId="9" fillId="6" borderId="9" xfId="0" applyNumberFormat="1" applyFont="1" applyFill="1" applyBorder="1" applyAlignment="1">
      <x:alignment horizontal="center" vertical="center"/>
    </x:xf>
    <x:xf numFmtId="9" fontId="9" fillId="6" borderId="12" xfId="0" applyNumberFormat="1" applyFont="1" applyFill="1" applyBorder="1" applyAlignment="1">
      <x:alignment horizontal="center" vertical="center"/>
    </x:xf>
    <x:xf numFmtId="9" fontId="9" fillId="6" borderId="14" xfId="0" applyNumberFormat="1" applyFont="1" applyFill="1" applyBorder="1" applyAlignment="1">
      <x:alignment horizontal="center" vertical="center"/>
    </x:xf>
    <x:xf numFmtId="0" fontId="4" fillId="10" borderId="0" xfId="0" applyFont="1" applyFill="1"/>
    <x:xf numFmtId="0" fontId="0" fillId="0" borderId="0" xfId="0"/>
    <x:xf numFmtId="9" fontId="11" fillId="6" borderId="7" xfId="0" applyNumberFormat="1" applyFont="1" applyFill="1" applyBorder="1" applyAlignment="1">
      <x:alignment horizontal="center" vertical="center"/>
    </x:xf>
    <x:xf numFmtId="9" fontId="11" fillId="6" borderId="9" xfId="0" applyNumberFormat="1" applyFont="1" applyFill="1" applyBorder="1" applyAlignment="1">
      <x:alignment horizontal="center" vertical="center"/>
    </x:xf>
    <x:xf numFmtId="9" fontId="11" fillId="6" borderId="12" xfId="0" applyNumberFormat="1" applyFont="1" applyFill="1" applyBorder="1" applyAlignment="1">
      <x:alignment horizontal="center" vertical="center"/>
    </x:xf>
    <x:xf numFmtId="9" fontId="11" fillId="6" borderId="14" xfId="0" applyNumberFormat="1" applyFont="1" applyFill="1" applyBorder="1" applyAlignment="1">
      <x:alignment horizontal="center" vertical="center"/>
    </x:xf>
    <x:xf numFmtId="0" fontId="12" fillId="6" borderId="7" xfId="0" applyFont="1" applyFill="1" applyBorder="1" applyAlignment="1">
      <x:alignment horizontal="center" vertical="center"/>
    </x:xf>
    <x:xf numFmtId="0" fontId="12" fillId="6" borderId="9" xfId="0" applyFont="1" applyFill="1" applyBorder="1" applyAlignment="1">
      <x:alignment horizontal="center" vertical="center"/>
    </x:xf>
    <x:xf numFmtId="0" fontId="12" fillId="6" borderId="12" xfId="0" applyFont="1" applyFill="1" applyBorder="1" applyAlignment="1">
      <x:alignment horizontal="center" vertical="center"/>
    </x:xf>
    <x:xf numFmtId="0" fontId="12" fillId="6" borderId="14" xfId="0" applyFont="1" applyFill="1" applyBorder="1" applyAlignment="1">
      <x:alignment horizontal="center" vertical="center"/>
    </x:xf>
    <x:xf numFmtId="0" fontId="13" fillId="9" borderId="7" xfId="0" applyFont="1" applyFill="1" applyBorder="1" applyAlignment="1">
      <x:alignment vertical="center" wrapText="1"/>
    </x:xf>
    <x:xf numFmtId="0" fontId="13" fillId="9" borderId="8" xfId="0" applyFont="1" applyFill="1" applyBorder="1" applyAlignment="1">
      <x:alignment vertical="center" wrapText="1"/>
    </x:xf>
    <x:xf numFmtId="0" fontId="13" fillId="9" borderId="9" xfId="0" applyFont="1" applyFill="1" applyBorder="1" applyAlignment="1">
      <x:alignment vertical="center" wrapText="1"/>
    </x:xf>
    <x:xf numFmtId="0" fontId="13" fillId="9" borderId="12" xfId="0" applyFont="1" applyFill="1" applyBorder="1" applyAlignment="1">
      <x:alignment vertical="center" wrapText="1"/>
    </x:xf>
    <x:xf numFmtId="0" fontId="13" fillId="9" borderId="13" xfId="0" applyFont="1" applyFill="1" applyBorder="1" applyAlignment="1">
      <x:alignment vertical="center" wrapText="1"/>
    </x:xf>
    <x:xf numFmtId="0" fontId="13" fillId="9" borderId="14" xfId="0" applyFont="1" applyFill="1" applyBorder="1" applyAlignment="1">
      <x:alignment vertical="center" wrapText="1"/>
    </x:xf>
    <x:xf numFmtId="0" fontId="3" fillId="12" borderId="15" xfId="0" applyFont="1" applyFill="1" applyBorder="1" applyAlignment="1">
      <x:alignment vertical="center" wrapText="1"/>
    </x:xf>
    <x:xf numFmtId="0" fontId="13" fillId="9" borderId="1" xfId="0" applyFont="1" applyFill="1" applyBorder="1" applyAlignment="1">
      <x:alignment wrapText="1"/>
    </x:xf>
    <x:xf numFmtId="0" fontId="13" fillId="9" borderId="2" xfId="0" applyFont="1" applyFill="1" applyBorder="1" applyAlignment="1">
      <x:alignment wrapText="1"/>
    </x:xf>
    <x:xf numFmtId="0" fontId="13" fillId="9" borderId="3" xfId="0" applyFont="1" applyFill="1" applyBorder="1" applyAlignment="1">
      <x:alignment wrapText="1"/>
    </x:xf>
    <x:xf numFmtId="0" fontId="1" fillId="10" borderId="0" xfId="0" applyFont="1" applyFill="1"/>
    <x:xf numFmtId="0" fontId="2" fillId="11" borderId="0" xfId="0" applyFont="1" applyFill="1" applyAlignment="1">
      <x:alignment wrapText="1"/>
    </x:xf>
  </x:cellXfs>
  <x:cellStyles count="1">
    <x:cellStyle name="Normal" xfId="0"/>
  </x:cellStyles>
  <x:dxfs count="48">
    <x:dxf>
      <x:font>
        <x:b/>
        <x:color rgb="FF991B1B"/>
      </x:font>
      <x:fill>
        <x:patternFill>
          <x:bgColor rgb="FFFEE2E2"/>
        </x:patternFill>
      </x:fill>
    </x:dxf>
    <x:dxf>
      <x:font>
        <x:color rgb="FF5B6573"/>
      </x:font>
      <x:fill>
        <x:patternFill>
          <x:bgColor rgb="FFE5E7EB"/>
        </x:patternFill>
      </x:fill>
    </x:dxf>
    <x:dxf>
      <x:font>
        <x:b/>
        <x:color rgb="FF92400E"/>
      </x:font>
      <x:fill>
        <x:patternFill>
          <x:bgColor rgb="FFFEF3C7"/>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a96a896cbbe4849" /><Relationship Type="http://schemas.openxmlformats.org/officeDocument/2006/relationships/theme" Target="/xl/theme/theme1.xml" Id="R094d18cd5f5046e9" /><Relationship Type="http://schemas.openxmlformats.org/officeDocument/2006/relationships/sharedStrings" Target="/xl/sharedStrings.xml" Id="R6589b4b1bf7a4dea" /><Relationship Type="http://schemas.openxmlformats.org/officeDocument/2006/relationships/worksheet" Target="/xl/worksheets/sheet1.xml" Id="R5511d13d7bd141cb" /><Relationship Type="http://schemas.openxmlformats.org/officeDocument/2006/relationships/worksheet" Target="/xl/worksheets/sheet2.xml" Id="Rb46653c91d0545ac" /><Relationship Type="http://schemas.openxmlformats.org/officeDocument/2006/relationships/worksheet" Target="/xl/worksheets/sheet3.xml" Id="R73ca3613c0be4beb" /><Relationship Type="http://schemas.openxmlformats.org/officeDocument/2006/relationships/worksheet" Target="/xl/worksheets/sheet4.xml" Id="Rd179033be08c4455" /><Relationship Type="http://schemas.openxmlformats.org/officeDocument/2006/relationships/worksheet" Target="/xl/worksheets/sheet5.xml" Id="Ra714e844a496486f" /><Relationship Type="http://schemas.openxmlformats.org/officeDocument/2006/relationships/worksheet" Target="/xl/worksheets/sheet6.xml" Id="R7602214304b24f14" /><Relationship Type="http://schemas.openxmlformats.org/officeDocument/2006/relationships/worksheet" Target="/xl/worksheets/sheet7.xml" Id="R838642c490ed4312" /><Relationship Type="http://schemas.openxmlformats.org/officeDocument/2006/relationships/worksheet" Target="/xl/worksheets/sheet8.xml" Id="R55f21b09fe8443ab" /><Relationship Type="http://schemas.openxmlformats.org/officeDocument/2006/relationships/worksheet" Target="/xl/worksheets/sheet9.xml" Id="R0ab3d34175864dd5" /><Relationship Type="http://schemas.openxmlformats.org/officeDocument/2006/relationships/worksheet" Target="/xl/worksheets/sheet10.xml" Id="R14e649c03a604b16" /><Relationship Type="http://schemas.openxmlformats.org/officeDocument/2006/relationships/worksheet" Target="/xl/worksheets/sheet11.xml" Id="Radf7d3c4288c43a9" /><Relationship Type="http://schemas.openxmlformats.org/officeDocument/2006/relationships/worksheet" Target="/xl/worksheets/sheet12.xml" Id="R487b678c5746426d" /><Relationship Type="http://schemas.openxmlformats.org/officeDocument/2006/relationships/worksheet" Target="/xl/worksheets/sheet13.xml" Id="R214f9868f27049ff" /><Relationship Type="http://schemas.openxmlformats.org/officeDocument/2006/relationships/worksheet" Target="/xl/worksheets/sheet14.xml" Id="R2f3d3f2b49304c55" /><Relationship Type="http://schemas.openxmlformats.org/officeDocument/2006/relationships/worksheet" Target="/xl/worksheets/sheet15.xml" Id="Re59dc1eb246940da" /><Relationship Type="http://schemas.openxmlformats.org/officeDocument/2006/relationships/worksheet" Target="/xl/worksheets/sheet16.xml" Id="Rf576c1e64bec41a9" /><Relationship Type="http://schemas.openxmlformats.org/officeDocument/2006/relationships/worksheet" Target="/xl/worksheets/sheet17.xml" Id="Rc76f271c04f84e9d" /><Relationship Type="http://schemas.openxmlformats.org/officeDocument/2006/relationships/worksheet" Target="/xl/worksheets/sheet18.xml" Id="R0d104501f0b547ed" /></Relationships>
</file>

<file path=xl/drawings/_rels/drawing1.xml.rels>&#65279;<?xml version="1.0" encoding="utf-8"?><Relationships xmlns="http://schemas.openxmlformats.org/package/2006/relationships"><Relationship Type="http://schemas.openxmlformats.org/officeDocument/2006/relationships/chart" Target="/xl/drawings/charts/chart1.xml" Id="R6410a6b616604800"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Completion by week</a:t>
            </a:r>
          </a:p>
        </c:rich>
      </c:tx>
      <c:overlay val="0"/>
    </c:title>
    <c:autoTitleDeleted val="0"/>
    <c:plotArea>
      <c:barChart>
        <c:barDir val="col"/>
        <c:grouping val="clustered"/>
        <c:varyColors val="0"/>
        <c:ser>
          <c:idx val="0"/>
          <c:order val="0"/>
          <c:tx>
            <c:v>Progress</c:v>
          </c:tx>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1</c:v>
                </c:pt>
                <c:pt idx="1">
                  <c:v>0</c:v>
                </c:pt>
                <c:pt idx="2">
                  <c:v>0</c:v>
                </c:pt>
                <c:pt idx="3">
                  <c:v>0</c:v>
                </c:pt>
                <c:pt idx="4">
                  <c:v>0</c:v>
                </c:pt>
                <c:pt idx="5">
                  <c:v>0</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Offset val="100"/>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10</xdr:row>
      <xdr:rowOff>0</xdr:rowOff>
    </xdr:from>
    <xdr:to>
      <xdr:col>16</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410a6b616604800"/>
        </a:graphicData>
      </a:graphic>
    </xdr:graphicFrame>
    <xdr:clientData/>
  </xdr:twoCellAnchor>
</xdr:wsDr>
</file>

<file path=xl/tables/table1.xml><?xml version="1.0" encoding="utf-8"?>
<x:table xmlns:x="http://schemas.openxmlformats.org/spreadsheetml/2006/main" id="1" name="MasterPlanTable" displayName="MasterPlanTable" ref="A5:T79" totalsRowShown="0">
  <x:autoFilter ref="A5:T79">
    <x:filterColumn colId="0">
      <x:filters>
        <x:filter val="W1-01"/>
        <x:filter val="W1-02"/>
        <x:filter val="W1-03"/>
        <x:filter val="W1-04"/>
        <x:filter val="W1-05"/>
        <x:filter val="W1-06"/>
        <x:filter val="W1-07"/>
        <x:filter val="W1-08"/>
        <x:filter val="W1-09"/>
        <x:filter val="W1-10"/>
        <x:filter val="W1-11"/>
        <x:filter val="W1-12"/>
      </x:filters>
    </x:filterColumn>
    <x:filterColumn colId="9">
      <x:filters>
        <x:filter val="W1-001"/>
        <x:filter val="W1-002"/>
        <x:filter val="W1-003"/>
        <x:filter val="W1-004"/>
        <x:filter val="W1-GOV-001"/>
        <x:filter val="W1-MVP-001"/>
        <x:filter val="WEEKLY-REVIEW-001"/>
      </x:filters>
    </x:filterColumn>
  </x:autoFilter>
  <x:tableColumns count="20">
    <x:tableColumn id="1" name="Step ID"/>
    <x:tableColumn id="2" name="Week"/>
    <x:tableColumn id="3" name="Seq"/>
    <x:tableColumn id="4" name="Priority"/>
    <x:tableColumn id="5" name="Workstream"/>
    <x:tableColumn id="6" name="Task / Outcome"/>
    <x:tableColumn id="7" name="Why It Matters"/>
    <x:tableColumn id="8" name="Owner"/>
    <x:tableColumn id="9" name="Effort (h)"/>
    <x:tableColumn id="10" name="Prompt ID"/>
    <x:tableColumn id="11" name="User TODO IDs"/>
    <x:tableColumn id="12" name="Acceptance Criteria"/>
    <x:tableColumn id="13" name="Verification Command"/>
    <x:tableColumn id="14" name="Expected Result"/>
    <x:tableColumn id="15" name="Evidence Path"/>
    <x:tableColumn id="16" name="Decision ID"/>
    <x:tableColumn id="17" name="Dependency"/>
    <x:tableColumn id="18" name="Rollback / Teardown"/>
    <x:tableColumn id="19" name="Status"/>
    <x:tableColumn id="20" name="Notes"/>
  </x:tableColumns>
  <x:tableStyleInfo name="TableStyleMedium2" showFirstColumn="0" showLastColumn="0" showRowStripes="1" showColumnStripes="0"/>
</x:table>
</file>

<file path=xl/tables/table2.xml><?xml version="1.0" encoding="utf-8"?>
<x:table xmlns:x="http://schemas.openxmlformats.org/spreadsheetml/2006/main" id="2" name="Week1PlanTable" displayName="Week1PlanTable" ref="A9:O21" totalsRowShown="0">
  <x:autoFilter ref="A9:O21"/>
  <x:tableColumns count="15">
    <x:tableColumn id="1" name="Step ID"/>
    <x:tableColumn id="2" name="Seq"/>
    <x:tableColumn id="3" name="Priority"/>
    <x:tableColumn id="4" name="Workstream"/>
    <x:tableColumn id="5" name="Action"/>
    <x:tableColumn id="6" name="Architecture Reason"/>
    <x:tableColumn id="7" name="Owner"/>
    <x:tableColumn id="8" name="Effort"/>
    <x:tableColumn id="9" name="Prompt"/>
    <x:tableColumn id="10" name="User TODO"/>
    <x:tableColumn id="11" name="Acceptance"/>
    <x:tableColumn id="12" name="Verify"/>
    <x:tableColumn id="13" name="Evidence"/>
    <x:tableColumn id="14" name="Rollback/Teardown"/>
    <x:tableColumn id="15" name="Status"/>
  </x:tableColumns>
  <x:tableStyleInfo name="TableStyleMedium2" showFirstColumn="0" showLastColumn="0" showRowStripes="1" showColumnStripes="0"/>
</x:table>
</file>

<file path=xl/tables/table3.xml><?xml version="1.0" encoding="utf-8"?>
<x:table xmlns:x="http://schemas.openxmlformats.org/spreadsheetml/2006/main" id="3" name="Week2PlanTable" displayName="Week2PlanTable" ref="A9:O21" totalsRowShown="0">
  <x:autoFilter ref="A9:O21">
    <x:filterColumn colId="8">
      <x:filters>
        <x:filter val="W2-LEARN-001"/>
      </x:filters>
    </x:filterColumn>
  </x:autoFilter>
  <x:tableColumns count="15">
    <x:tableColumn id="1" name="Step ID"/>
    <x:tableColumn id="2" name="Seq"/>
    <x:tableColumn id="3" name="Priority"/>
    <x:tableColumn id="4" name="Workstream"/>
    <x:tableColumn id="5" name="Action"/>
    <x:tableColumn id="6" name="Architecture Reason"/>
    <x:tableColumn id="7" name="Owner"/>
    <x:tableColumn id="8" name="Effort"/>
    <x:tableColumn id="9" name="Prompt"/>
    <x:tableColumn id="10" name="User TODO"/>
    <x:tableColumn id="11" name="Acceptance"/>
    <x:tableColumn id="12" name="Verify"/>
    <x:tableColumn id="13" name="Evidence"/>
    <x:tableColumn id="14" name="Rollback/Teardown"/>
    <x:tableColumn id="15" name="Status"/>
  </x:tableColumns>
  <x:tableStyleInfo name="TableStyleMedium2" showFirstColumn="0" showLastColumn="0" showRowStripes="1" showColumnStripes="0"/>
</x:table>
</file>

<file path=xl/tables/table4.xml><?xml version="1.0" encoding="utf-8"?>
<x:table xmlns:x="http://schemas.openxmlformats.org/spreadsheetml/2006/main" id="4" name="Week3PlanTable" displayName="Week3PlanTable" ref="A9:O21" totalsRowShown="0">
  <x:autoFilter ref="A9:O21"/>
  <x:tableColumns count="15">
    <x:tableColumn id="1" name="Step ID"/>
    <x:tableColumn id="2" name="Seq"/>
    <x:tableColumn id="3" name="Priority"/>
    <x:tableColumn id="4" name="Workstream"/>
    <x:tableColumn id="5" name="Action"/>
    <x:tableColumn id="6" name="Architecture Reason"/>
    <x:tableColumn id="7" name="Owner"/>
    <x:tableColumn id="8" name="Effort"/>
    <x:tableColumn id="9" name="Prompt"/>
    <x:tableColumn id="10" name="User TODO"/>
    <x:tableColumn id="11" name="Acceptance"/>
    <x:tableColumn id="12" name="Verify"/>
    <x:tableColumn id="13" name="Evidence"/>
    <x:tableColumn id="14" name="Rollback/Teardown"/>
    <x:tableColumn id="15" name="Status"/>
  </x:tableColumns>
  <x:tableStyleInfo name="TableStyleMedium2" showFirstColumn="0" showLastColumn="0" showRowStripes="1" showColumnStripes="0"/>
</x:table>
</file>

<file path=xl/tables/table5.xml><?xml version="1.0" encoding="utf-8"?>
<x:table xmlns:x="http://schemas.openxmlformats.org/spreadsheetml/2006/main" id="5" name="Week4PlanTable" displayName="Week4PlanTable" ref="A9:O21" totalsRowShown="0">
  <x:autoFilter ref="A9:O21"/>
  <x:tableColumns count="15">
    <x:tableColumn id="1" name="Step ID"/>
    <x:tableColumn id="2" name="Seq"/>
    <x:tableColumn id="3" name="Priority"/>
    <x:tableColumn id="4" name="Workstream"/>
    <x:tableColumn id="5" name="Action"/>
    <x:tableColumn id="6" name="Architecture Reason"/>
    <x:tableColumn id="7" name="Owner"/>
    <x:tableColumn id="8" name="Effort"/>
    <x:tableColumn id="9" name="Prompt"/>
    <x:tableColumn id="10" name="User TODO"/>
    <x:tableColumn id="11" name="Acceptance"/>
    <x:tableColumn id="12" name="Verify"/>
    <x:tableColumn id="13" name="Evidence"/>
    <x:tableColumn id="14" name="Rollback/Teardown"/>
    <x:tableColumn id="15" name="Status"/>
  </x:tableColumns>
  <x:tableStyleInfo name="TableStyleMedium2" showFirstColumn="0" showLastColumn="0" showRowStripes="1" showColumnStripes="0"/>
</x:table>
</file>

<file path=xl/tables/table6.xml><?xml version="1.0" encoding="utf-8"?>
<x:table xmlns:x="http://schemas.openxmlformats.org/spreadsheetml/2006/main" id="6" name="Week5PlanTable" displayName="Week5PlanTable" ref="A9:O22" totalsRowShown="0">
  <x:autoFilter ref="A9:O22"/>
  <x:tableColumns count="15">
    <x:tableColumn id="1" name="Step ID"/>
    <x:tableColumn id="2" name="Seq"/>
    <x:tableColumn id="3" name="Priority"/>
    <x:tableColumn id="4" name="Workstream"/>
    <x:tableColumn id="5" name="Action"/>
    <x:tableColumn id="6" name="Architecture Reason"/>
    <x:tableColumn id="7" name="Owner"/>
    <x:tableColumn id="8" name="Effort"/>
    <x:tableColumn id="9" name="Prompt"/>
    <x:tableColumn id="10" name="User TODO"/>
    <x:tableColumn id="11" name="Acceptance"/>
    <x:tableColumn id="12" name="Verify"/>
    <x:tableColumn id="13" name="Evidence"/>
    <x:tableColumn id="14" name="Rollback/Teardown"/>
    <x:tableColumn id="15" name="Status"/>
  </x:tableColumns>
  <x:tableStyleInfo name="TableStyleMedium2" showFirstColumn="0" showLastColumn="0" showRowStripes="1" showColumnStripes="0"/>
</x:table>
</file>

<file path=xl/tables/table7.xml><?xml version="1.0" encoding="utf-8"?>
<x:table xmlns:x="http://schemas.openxmlformats.org/spreadsheetml/2006/main" id="7" name="Week6PlanTable" displayName="Week6PlanTable" ref="A9:O22" totalsRowShown="0">
  <x:autoFilter ref="A9:O22"/>
  <x:tableColumns count="15">
    <x:tableColumn id="1" name="Step ID"/>
    <x:tableColumn id="2" name="Seq"/>
    <x:tableColumn id="3" name="Priority"/>
    <x:tableColumn id="4" name="Workstream"/>
    <x:tableColumn id="5" name="Action"/>
    <x:tableColumn id="6" name="Architecture Reason"/>
    <x:tableColumn id="7" name="Owner"/>
    <x:tableColumn id="8" name="Effort"/>
    <x:tableColumn id="9" name="Prompt"/>
    <x:tableColumn id="10" name="User TODO"/>
    <x:tableColumn id="11" name="Acceptance"/>
    <x:tableColumn id="12" name="Verify"/>
    <x:tableColumn id="13" name="Evidence"/>
    <x:tableColumn id="14" name="Rollback/Teardown"/>
    <x:tableColumn id="15" name="Status"/>
  </x:tableColumns>
  <x:tableStyleInfo name="TableStyleMedium2" showFirstColumn="0" showLastColumn="0" showRowStripes="1" showColumnStripes="0"/>
</x:table>
</file>

<file path=xl/tables/table8.xml><?xml version="1.0" encoding="utf-8"?>
<x:table xmlns:x="http://schemas.openxmlformats.org/spreadsheetml/2006/main" id="8" name="ArchitectureMapTable" displayName="ArchitectureMapTable" ref="A6:H24" totalsRowShown="0">
  <x:autoFilter ref="A6:H24"/>
  <x:tableColumns count="8">
    <x:tableColumn id="1" name="Layer"/>
    <x:tableColumn id="2" name="Component"/>
    <x:tableColumn id="3" name="Plain-Language Role"/>
    <x:tableColumn id="4" name="Selected Design"/>
    <x:tableColumn id="5" name="Build Week"/>
    <x:tableColumn id="6" name="Decision IDs"/>
    <x:tableColumn id="7" name="Safe Failure Behavior"/>
    <x:tableColumn id="8" name="How We Verify"/>
  </x:tableColumns>
  <x:tableStyleInfo name="TableStyleMedium2" showFirstColumn="0" showLastColumn="0" showRowStripes="1" showColumnStripes="0"/>
</x:table>
</file>

<file path=xl/tables/table9.xml><?xml version="1.0" encoding="utf-8"?>
<x:table xmlns:x="http://schemas.openxmlformats.org/spreadsheetml/2006/main" id="17" name="CodexPromptTable" displayName="CodexPromptTable" ref="A5:M39" totalsRowShown="0">
  <x:tableColumns count="13">
    <x:tableColumn id="1" name="Prompt ID"/>
    <x:tableColumn id="2" name="Week"/>
    <x:tableColumn id="3" name="Feature"/>
    <x:tableColumn id="4" name="Purpose"/>
    <x:tableColumn id="5" name="Required Inputs"/>
    <x:tableColumn id="6" name="Expected Outputs"/>
    <x:tableColumn id="7" name="Main Prompt (paste first)"/>
    <x:tableColumn id="8" name="Example Usage"/>
    <x:tableColumn id="9" name="Verification / Stop Point"/>
    <x:tableColumn id="10" name="Owner Approval"/>
    <x:tableColumn id="11" name="Covered Tracker Steps"/>
    <x:tableColumn id="12" name="Pre-Edit Review / Implementation Approval Prompt"/>
    <x:tableColumn id="13" name="Final Approval Prompt"/>
  </x:tableColumns>
  <x:tableStyleInfo name="TableStyleMedium2" showFirstColumn="0" showLastColumn="0" showRowStripes="1" showColumnStripes="0"/>
</x:table>
</file>

<file path=xl/tables/table10.xml><?xml version="1.0" encoding="utf-8"?>
<x:table xmlns:x="http://schemas.openxmlformats.org/spreadsheetml/2006/main" id="18" name="TestEvidenceTable" displayName="TestEvidenceTable" ref="A5:L39" totalsRowShown="0">
  <x:tableColumns count="12">
    <x:tableColumn id="1" name="Test ID"/>
    <x:tableColumn id="2" name="Week"/>
    <x:tableColumn id="3" name="Type"/>
    <x:tableColumn id="4" name="Scope"/>
    <x:tableColumn id="5" name="Command"/>
    <x:tableColumn id="6" name="Expected Result"/>
    <x:tableColumn id="7" name="Evidence Path"/>
    <x:tableColumn id="8" name="Status"/>
    <x:tableColumn id="9" name="Run Date"/>
    <x:tableColumn id="10" name="Actual Result"/>
    <x:tableColumn id="11" name="Defect / Follow-up"/>
    <x:tableColumn id="12" name="Owner Sign-off"/>
  </x:tableColumns>
  <x:tableStyleInfo name="TableStyleMedium2" showFirstColumn="0" showLastColumn="0" showRowStripes="1" showColumnStripes="0"/>
</x:table>
</file>

<file path=xl/tables/table11.xml><?xml version="1.0" encoding="utf-8"?>
<x:table xmlns:x="http://schemas.openxmlformats.org/spreadsheetml/2006/main" id="11" name="DecisionLogTable" displayName="DecisionLogTable" ref="A5:K23" totalsRowShown="0">
  <x:autoFilter ref="A5:K23"/>
  <x:tableColumns count="11">
    <x:tableColumn id="1" name="Decision ID"/>
    <x:tableColumn id="2" name="Decision"/>
    <x:tableColumn id="3" name="Status"/>
    <x:tableColumn id="4" name="Decision Week"/>
    <x:tableColumn id="5" name="Rationale"/>
    <x:tableColumn id="6" name="Alternatives"/>
    <x:tableColumn id="7" name="Trade-offs / Cost / Risk"/>
    <x:tableColumn id="8" name="Revisit Trigger"/>
    <x:tableColumn id="9" name="Owner"/>
    <x:tableColumn id="10" name="ADR Evidence Path"/>
    <x:tableColumn id="11" name="Review Notes"/>
  </x:tableColumns>
  <x:tableStyleInfo name="TableStyleMedium2" showFirstColumn="0" showLastColumn="0" showRowStripes="1" showColumnStripes="0"/>
</x:table>
</file>

<file path=xl/tables/table12.xml><?xml version="1.0" encoding="utf-8"?>
<x:table xmlns:x="http://schemas.openxmlformats.org/spreadsheetml/2006/main" id="12" name="OwnerTodoTable" displayName="OwnerTodoTable" ref="A5:J30" totalsRowShown="0">
  <x:autoFilter ref="A5:J30">
    <x:filterColumn colId="3">
      <x:filters>
        <x:filter val="Week 2"/>
      </x:filters>
    </x:filterColumn>
  </x:autoFilter>
  <x:tableColumns count="10">
    <x:tableColumn id="1" name="TODO ID"/>
    <x:tableColumn id="2" name="Category"/>
    <x:tableColumn id="3" name="Owner Action"/>
    <x:tableColumn id="4" name="Due Week"/>
    <x:tableColumn id="5" name="Blocking?"/>
    <x:tableColumn id="6" name="Status"/>
    <x:tableColumn id="7" name="Owner"/>
    <x:tableColumn id="8" name="Where Used"/>
    <x:tableColumn id="9" name="Decision / Notes"/>
    <x:tableColumn id="10" name="Completed Date"/>
  </x:tableColumns>
  <x:tableStyleInfo name="TableStyleMedium2" showFirstColumn="0" showLastColumn="0" showRowStripes="1" showColumnStripes="0"/>
</x:table>
</file>

<file path=xl/tables/table13.xml><?xml version="1.0" encoding="utf-8"?>
<x:table xmlns:x="http://schemas.openxmlformats.org/spreadsheetml/2006/main" id="13" name="LifecycleOrderTable" displayName="LifecycleOrderTable" ref="A11:E27" totalsRowShown="0">
  <x:autoFilter ref="A11:E27"/>
  <x:tableColumns count="5">
    <x:tableColumn id="1" name="Order"/>
    <x:tableColumn id="2" name="Action"/>
    <x:tableColumn id="3" name="Applies To"/>
    <x:tableColumn id="4" name="Verification / Required Outcome"/>
    <x:tableColumn id="5" name="Failure / Recovery Rule"/>
  </x:tableColumns>
  <x:tableStyleInfo name="TableStyleMedium2" showFirstColumn="0" showLastColumn="0" showRowStripes="1" showColumnStripes="0"/>
</x:table>
</file>

<file path=xl/tables/table14.xml><?xml version="1.0" encoding="utf-8"?>
<x:table xmlns:x="http://schemas.openxmlformats.org/spreadsheetml/2006/main" id="14" name="TechAdoptionTable" displayName="TechAdoptionTable" ref="A5:G69" totalsRowShown="0">
  <x:autoFilter ref="A5:G69"/>
  <x:tableColumns count="7">
    <x:tableColumn id="1" name="Category"/>
    <x:tableColumn id="2" name="Technology"/>
    <x:tableColumn id="3" name="Priority"/>
    <x:tableColumn id="4" name="When"/>
    <x:tableColumn id="5" name="Why / Role"/>
    <x:tableColumn id="6" name="Open Alternative / Migration"/>
    <x:tableColumn id="7" name="Cost, Residency and Privacy Note"/>
  </x:tableColumns>
  <x:tableStyleInfo name="TableStyleMedium2" showFirstColumn="0" showLastColumn="0" showRowStripes="1" showColumnStripes="0"/>
</x:table>
</file>

<file path=xl/tables/table15.xml><?xml version="1.0" encoding="utf-8"?>
<x:table xmlns:x="http://schemas.openxmlformats.org/spreadsheetml/2006/main" id="15" name="EnvironmentVariableTable" displayName="EnvironmentVariableTable" ref="A5:H38" totalsRowShown="0">
  <x:autoFilter ref="A5:H38"/>
  <x:tableColumns count="8">
    <x:tableColumn id="1" name="Variable"/>
    <x:tableColumn id="2" name="Scope"/>
    <x:tableColumn id="3" name="Secret?"/>
    <x:tableColumn id="4" name="Example / Placeholder"/>
    <x:tableColumn id="5" name="Needed By"/>
    <x:tableColumn id="6" name="Validation / Rule"/>
    <x:tableColumn id="7" name="Consumer"/>
    <x:tableColumn id="8" name="Owner Notes"/>
  </x:tableColumns>
  <x:tableStyleInfo name="TableStyleMedium2" showFirstColumn="0" showLastColumn="0" showRowStripes="1" showColumnStripes="0"/>
</x:table>
</file>

<file path=xl/tables/table16.xml><?xml version="1.0" encoding="utf-8"?>
<x:table xmlns:x="http://schemas.openxmlformats.org/spreadsheetml/2006/main" id="16" name="SourceTraceTable" displayName="SourceTraceTable" ref="A5:F8" totalsRowShown="0">
  <x:autoFilter ref="A5:F8"/>
  <x:tableColumns count="6">
    <x:tableColumn id="1" name="Source"/>
    <x:tableColumn id="2" name="Version / Type"/>
    <x:tableColumn id="3" name="Content Used"/>
    <x:tableColumn id="4" name="Authority"/>
    <x:tableColumn id="5" name="Conflict Rule"/>
    <x:tableColumn id="6" name="Review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50382890475a468a" /></Relationships>
</file>

<file path=xl/worksheets/_rels/sheet3.xml.rels>&#65279;<?xml version="1.0" encoding="utf-8"?><Relationships xmlns="http://schemas.openxmlformats.org/package/2006/relationships"><Relationship Type="http://schemas.openxmlformats.org/officeDocument/2006/relationships/table" Target="/xl/tables/table1.xml" Id="R509286ace760420f" /></Relationships>
</file>

<file path=xl/worksheets/_rels/sheet4.xml.rels>&#65279;<?xml version="1.0" encoding="utf-8"?><Relationships xmlns="http://schemas.openxmlformats.org/package/2006/relationships"><Relationship Type="http://schemas.openxmlformats.org/officeDocument/2006/relationships/table" Target="/xl/tables/table2.xml" Id="Rf2ea3e5d587f4970" /></Relationships>
</file>

<file path=xl/worksheets/_rels/sheet5.xml.rels>&#65279;<?xml version="1.0" encoding="utf-8"?><Relationships xmlns="http://schemas.openxmlformats.org/package/2006/relationships"><Relationship Type="http://schemas.openxmlformats.org/officeDocument/2006/relationships/table" Target="/xl/tables/table3.xml" Id="R4e46da64ede140ee" /></Relationships>
</file>

<file path=xl/worksheets/_rels/sheet6.xml.rels>&#65279;<?xml version="1.0" encoding="utf-8"?><Relationships xmlns="http://schemas.openxmlformats.org/package/2006/relationships"><Relationship Type="http://schemas.openxmlformats.org/officeDocument/2006/relationships/table" Target="/xl/tables/table4.xml" Id="R99dc05c3a7314844" /></Relationships>
</file>

<file path=xl/worksheets/_rels/sheet7.xml.rels>&#65279;<?xml version="1.0" encoding="utf-8"?><Relationships xmlns="http://schemas.openxmlformats.org/package/2006/relationships"><Relationship Type="http://schemas.openxmlformats.org/officeDocument/2006/relationships/table" Target="/xl/tables/table5.xml" Id="R03aecff1e1db424f" /></Relationships>
</file>

<file path=xl/worksheets/_rels/sheet8.xml.rels>&#65279;<?xml version="1.0" encoding="utf-8"?><Relationships xmlns="http://schemas.openxmlformats.org/package/2006/relationships"><Relationship Type="http://schemas.openxmlformats.org/officeDocument/2006/relationships/table" Target="/xl/tables/table6.xml" Id="R201b7861ea874320" /></Relationships>
</file>

<file path=xl/worksheets/_rels/sheet9.xml.rels>&#65279;<?xml version="1.0" encoding="utf-8"?><Relationships xmlns="http://schemas.openxmlformats.org/package/2006/relationships"><Relationship Type="http://schemas.openxmlformats.org/officeDocument/2006/relationships/table" Target="/xl/tables/table7.xml" Id="R9079b5827bd94530" /></Relationships>
</file>

<file path=xl/worksheets/_rels/sheet10.xml.rels>&#65279;<?xml version="1.0" encoding="utf-8"?><Relationships xmlns="http://schemas.openxmlformats.org/package/2006/relationships"><Relationship Type="http://schemas.openxmlformats.org/officeDocument/2006/relationships/table" Target="/xl/tables/table8.xml" Id="Rc617abfae84743b6" /></Relationships>
</file>

<file path=xl/worksheets/_rels/sheet11.xml.rels>&#65279;<?xml version="1.0" encoding="utf-8"?><Relationships xmlns="http://schemas.openxmlformats.org/package/2006/relationships"><Relationship Type="http://schemas.openxmlformats.org/officeDocument/2006/relationships/table" Target="/xl/tables/table9.xml" Id="R466a1431279c42e2" /></Relationships>
</file>

<file path=xl/worksheets/_rels/sheet12.xml.rels>&#65279;<?xml version="1.0" encoding="utf-8"?><Relationships xmlns="http://schemas.openxmlformats.org/package/2006/relationships"><Relationship Type="http://schemas.openxmlformats.org/officeDocument/2006/relationships/table" Target="/xl/tables/table10.xml" Id="Raefba318a46944fd" /></Relationships>
</file>

<file path=xl/worksheets/_rels/sheet13.xml.rels>&#65279;<?xml version="1.0" encoding="utf-8"?><Relationships xmlns="http://schemas.openxmlformats.org/package/2006/relationships"><Relationship Type="http://schemas.openxmlformats.org/officeDocument/2006/relationships/table" Target="/xl/tables/table11.xml" Id="R98ff5f0a224e4777" /></Relationships>
</file>

<file path=xl/worksheets/_rels/sheet14.xml.rels>&#65279;<?xml version="1.0" encoding="utf-8"?><Relationships xmlns="http://schemas.openxmlformats.org/package/2006/relationships"><Relationship Type="http://schemas.openxmlformats.org/officeDocument/2006/relationships/table" Target="/xl/tables/table12.xml" Id="Rf369385b12c943bf" /></Relationships>
</file>

<file path=xl/worksheets/_rels/sheet15.xml.rels>&#65279;<?xml version="1.0" encoding="utf-8"?><Relationships xmlns="http://schemas.openxmlformats.org/package/2006/relationships"><Relationship Type="http://schemas.openxmlformats.org/officeDocument/2006/relationships/table" Target="/xl/tables/table13.xml" Id="R43e376db45ea444c" /></Relationships>
</file>

<file path=xl/worksheets/_rels/sheet16.xml.rels>&#65279;<?xml version="1.0" encoding="utf-8"?><Relationships xmlns="http://schemas.openxmlformats.org/package/2006/relationships"><Relationship Type="http://schemas.openxmlformats.org/officeDocument/2006/relationships/table" Target="/xl/tables/table14.xml" Id="Ref02690547b64586" /></Relationships>
</file>

<file path=xl/worksheets/_rels/sheet17.xml.rels>&#65279;<?xml version="1.0" encoding="utf-8"?><Relationships xmlns="http://schemas.openxmlformats.org/package/2006/relationships"><Relationship Type="http://schemas.openxmlformats.org/officeDocument/2006/relationships/table" Target="/xl/tables/table15.xml" Id="R9b99b9a9c4544f67" /></Relationships>
</file>

<file path=xl/worksheets/_rels/sheet18.xml.rels>&#65279;<?xml version="1.0" encoding="utf-8"?><Relationships xmlns="http://schemas.openxmlformats.org/package/2006/relationships"><Relationship Type="http://schemas.openxmlformats.org/officeDocument/2006/relationships/table" Target="/xl/tables/table16.xml" Id="R1efb5e2bd0c0413a" /></Relationships>
</file>

<file path=xl/worksheets/sheet1.xml><?xml version="1.0" encoding="utf-8"?>
<x:worksheet xmlns:x="http://schemas.openxmlformats.org/spreadsheetml/2006/main">
  <x:sheetViews>
    <x:sheetView showGridLines="0" workbookViewId="0"/>
  </x:sheetViews>
  <x:sheetFormatPr defaultRowHeight="13.800000190734863"/>
  <x:cols>
    <x:col min="1" max="1" width="2.8984375" customWidth="1"/>
    <x:col min="2" max="2" width="21.296875" customWidth="1"/>
    <x:col min="3" max="4" width="22" customWidth="1"/>
    <x:col min="5" max="5" width="22.796875" customWidth="1"/>
    <x:col min="6" max="6" width="15.59765625" customWidth="1"/>
    <x:col min="7" max="9" width="22" customWidth="1"/>
    <x:col min="10" max="10" width="18" customWidth="1"/>
  </x:cols>
  <x:sheetData>
    <x:row r="1" ht="22.799999237060547">
      <x:c r="A1" s="32" t="s">
        <x:v>0</x:v>
      </x:c>
      <x:c r="B1" s="32"/>
      <x:c r="C1" s="32"/>
      <x:c r="D1" s="32"/>
      <x:c r="E1" s="32"/>
      <x:c r="F1" s="32"/>
      <x:c r="G1" s="32"/>
      <x:c r="H1" s="32"/>
      <x:c r="I1" s="32"/>
      <x:c r="J1" s="32"/>
    </x:row>
    <x:row r="2">
      <x:c r="A2" s="33" t="s">
        <x:v>1</x:v>
      </x:c>
      <x:c r="B2" s="33"/>
      <x:c r="C2" s="33"/>
      <x:c r="D2" s="33"/>
      <x:c r="E2" s="33"/>
      <x:c r="F2" s="33"/>
      <x:c r="G2" s="33"/>
      <x:c r="H2" s="33"/>
      <x:c r="I2" s="33"/>
      <x:c r="J2" s="33"/>
    </x:row>
    <x:row r="4">
      <x:c r="A4" s="34" t="s">
        <x:v>2</x:v>
      </x:c>
      <x:c r="B4" s="35"/>
      <x:c r="C4" s="35"/>
      <x:c r="D4" s="35"/>
      <x:c r="E4" s="34" t="s">
        <x:v>3</x:v>
      </x:c>
      <x:c r="F4" s="35"/>
      <x:c r="G4" s="35"/>
      <x:c r="H4" s="35"/>
      <x:c r="I4" s="35"/>
      <x:c r="J4" s="36"/>
    </x:row>
    <x:row r="5" ht="39.599998474121094">
      <x:c r="A5" s="21">
        <x:v>1</x:v>
      </x:c>
      <x:c r="B5" s="4" t="s">
        <x:v>4</x:v>
      </x:c>
      <x:c r="C5" s="4" t="s">
        <x:v>5</x:v>
      </x:c>
      <x:c r="E5" s="52" t="s">
        <x:v>6</x:v>
      </x:c>
      <x:c r="F5" s="53"/>
      <x:c r="G5" s="53"/>
      <x:c r="H5" s="53"/>
      <x:c r="I5" s="53"/>
      <x:c r="J5" s="54"/>
    </x:row>
    <x:row r="6" ht="39.599998474121094">
      <x:c r="A6" s="21">
        <x:v>2</x:v>
      </x:c>
      <x:c r="B6" s="5" t="s">
        <x:v>7</x:v>
      </x:c>
      <x:c r="C6" s="5" t="s">
        <x:v>8</x:v>
      </x:c>
      <x:c r="E6" s="46" t="s">
        <x:v>9</x:v>
      </x:c>
      <x:c r="F6" s="47"/>
      <x:c r="G6" s="47"/>
      <x:c r="H6" s="47"/>
      <x:c r="I6" s="47"/>
      <x:c r="J6" s="48"/>
    </x:row>
    <x:row r="7" ht="52.79999923706055">
      <x:c r="A7" s="21">
        <x:v>3</x:v>
      </x:c>
      <x:c r="B7" s="5" t="s">
        <x:v>10</x:v>
      </x:c>
      <x:c r="C7" s="5" t="s">
        <x:v>11</x:v>
      </x:c>
      <x:c r="E7" s="46" t="s">
        <x:v>12</x:v>
      </x:c>
      <x:c r="F7" s="47"/>
      <x:c r="G7" s="47"/>
      <x:c r="H7" s="47"/>
      <x:c r="I7" s="47"/>
      <x:c r="J7" s="48"/>
    </x:row>
    <x:row r="8" ht="39.599998474121094">
      <x:c r="A8" s="21">
        <x:v>4</x:v>
      </x:c>
      <x:c r="B8" s="5" t="s">
        <x:v>13</x:v>
      </x:c>
      <x:c r="C8" s="5" t="s">
        <x:v>14</x:v>
      </x:c>
      <x:c r="E8" s="46" t="s">
        <x:v>15</x:v>
      </x:c>
      <x:c r="F8" s="47"/>
      <x:c r="G8" s="47"/>
      <x:c r="H8" s="47"/>
      <x:c r="I8" s="47"/>
      <x:c r="J8" s="48"/>
    </x:row>
    <x:row r="9" ht="66">
      <x:c r="A9" s="21">
        <x:v>5</x:v>
      </x:c>
      <x:c r="B9" s="5" t="s">
        <x:v>16</x:v>
      </x:c>
      <x:c r="C9" s="5" t="s">
        <x:v>17</x:v>
      </x:c>
      <x:c r="E9" s="46" t="s">
        <x:v>18</x:v>
      </x:c>
      <x:c r="F9" s="47"/>
      <x:c r="G9" s="47"/>
      <x:c r="H9" s="47"/>
      <x:c r="I9" s="47"/>
      <x:c r="J9" s="48"/>
    </x:row>
    <x:row r="10" ht="52.79999923706055">
      <x:c r="A10" s="21">
        <x:v>6</x:v>
      </x:c>
      <x:c r="B10" s="5" t="s">
        <x:v>19</x:v>
      </x:c>
      <x:c r="C10" s="5" t="s">
        <x:v>20</x:v>
      </x:c>
      <x:c r="E10" s="46" t="s">
        <x:v>21</x:v>
      </x:c>
      <x:c r="F10" s="47"/>
      <x:c r="G10" s="47"/>
      <x:c r="H10" s="47"/>
      <x:c r="I10" s="47"/>
      <x:c r="J10" s="48"/>
    </x:row>
    <x:row r="11" ht="79.19999694824219">
      <x:c r="A11" s="21">
        <x:v>7</x:v>
      </x:c>
      <x:c r="B11" s="5" t="s">
        <x:v>22</x:v>
      </x:c>
      <x:c r="C11" s="5" t="s">
        <x:v>23</x:v>
      </x:c>
      <x:c r="E11" s="49" t="s">
        <x:v>24</x:v>
      </x:c>
      <x:c r="F11" s="50"/>
      <x:c r="G11" s="50"/>
      <x:c r="H11" s="50"/>
      <x:c r="I11" s="50"/>
      <x:c r="J11" s="51"/>
    </x:row>
    <x:row r="12" ht="66">
      <x:c r="A12" s="21">
        <x:v>8</x:v>
      </x:c>
      <x:c r="B12" s="5" t="s">
        <x:v>25</x:v>
      </x:c>
      <x:c r="C12" s="5" t="s">
        <x:v>26</x:v>
      </x:c>
    </x:row>
    <x:row r="13" ht="52.79999923706055">
      <x:c r="A13" s="21">
        <x:v>9</x:v>
      </x:c>
      <x:c r="B13" s="5" t="s">
        <x:v>27</x:v>
      </x:c>
      <x:c r="C13" s="5" t="s">
        <x:v>28</x:v>
      </x:c>
      <x:c r="E13" s="34" t="s">
        <x:v>29</x:v>
      </x:c>
      <x:c r="F13" s="35"/>
      <x:c r="G13" s="35"/>
      <x:c r="H13" s="35"/>
      <x:c r="I13" s="35"/>
      <x:c r="J13" s="36"/>
    </x:row>
    <x:row r="14" ht="52.79999923706055">
      <x:c r="A14" s="21">
        <x:v>10</x:v>
      </x:c>
      <x:c r="B14" s="6" t="s">
        <x:v>30</x:v>
      </x:c>
      <x:c r="C14" s="6" t="s">
        <x:v>31</x:v>
      </x:c>
      <x:c r="E14" s="7" t="s">
        <x:v>32</x:v>
      </x:c>
      <x:c r="F14" s="9"/>
    </x:row>
    <x:row r="15">
      <x:c r="E15" s="7" t="s">
        <x:v>33</x:v>
      </x:c>
      <x:c r="F15" s="8" t="s">
        <x:v>34</x:v>
      </x:c>
    </x:row>
    <x:row r="16">
      <x:c r="E16" s="7" t="s">
        <x:v>35</x:v>
      </x:c>
      <x:c r="F16" s="8" t="s">
        <x:v>36</x:v>
      </x:c>
    </x:row>
    <x:row r="17">
      <x:c r="E17" s="7" t="s">
        <x:v>37</x:v>
      </x:c>
      <x:c r="F17" s="8" t="s">
        <x:v>38</x:v>
      </x:c>
    </x:row>
    <x:row r="19">
      <x:c r="A19" s="40" t="s">
        <x:v>39</x:v>
      </x:c>
      <x:c r="B19" s="41"/>
      <x:c r="C19" s="41"/>
      <x:c r="D19" s="41"/>
      <x:c r="E19" s="41"/>
      <x:c r="F19" s="41"/>
      <x:c r="G19" s="41"/>
      <x:c r="H19" s="41"/>
      <x:c r="I19" s="41"/>
      <x:c r="J19" s="42"/>
    </x:row>
    <x:row r="20">
      <x:c r="A20" s="43"/>
      <x:c r="B20" s="44"/>
      <x:c r="C20" s="44"/>
      <x:c r="D20" s="44"/>
      <x:c r="E20" s="44"/>
      <x:c r="F20" s="44"/>
      <x:c r="G20" s="44"/>
      <x:c r="H20" s="44"/>
      <x:c r="I20" s="44"/>
      <x:c r="J20" s="45"/>
    </x:row>
  </x:sheetData>
  <x:mergeCells>
    <x:mergeCell ref="A1:J1"/>
    <x:mergeCell ref="A2:J2"/>
    <x:mergeCell ref="A4:J4"/>
    <x:mergeCell ref="E5:J5"/>
    <x:mergeCell ref="E6:J6"/>
    <x:mergeCell ref="E13:J13"/>
    <x:mergeCell ref="A19:J20"/>
    <x:mergeCell ref="E7:J7"/>
    <x:mergeCell ref="E8:J8"/>
    <x:mergeCell ref="E9:J9"/>
    <x:mergeCell ref="E10:J10"/>
    <x:mergeCell ref="E11:J11"/>
  </x:mergeCells>
  <x:dataValidations count="1">
    <x:dataValidation type="list" sqref="F16">
      <x:formula1>"Week 1,Week 2,Week 3,Week 4,Week 5,Week 6,Complete"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3.800000190734863"/>
  <x:cols>
    <x:col min="1" max="1" width="15" customWidth="1"/>
    <x:col min="2" max="2" width="12" customWidth="1"/>
    <x:col min="3" max="3" width="3" customWidth="1"/>
    <x:col min="4" max="4" width="15" customWidth="1"/>
    <x:col min="5" max="5" width="12" customWidth="1"/>
    <x:col min="6" max="6" width="3" customWidth="1"/>
    <x:col min="7" max="7" width="15" customWidth="1"/>
    <x:col min="8" max="8" width="12" customWidth="1"/>
    <x:col min="9" max="9" width="3" customWidth="1"/>
    <x:col min="10" max="16" width="13" customWidth="1"/>
  </x:cols>
  <x:sheetData>
    <x:row r="1" ht="31.950000762939453" customHeight="1">
      <x:c r="A1" s="32" t="s">
        <x:v>40</x:v>
      </x:c>
      <x:c r="B1" s="32"/>
      <x:c r="C1" s="32"/>
      <x:c r="D1" s="32"/>
      <x:c r="E1" s="32"/>
      <x:c r="F1" s="32"/>
      <x:c r="G1" s="32"/>
      <x:c r="H1" s="32"/>
      <x:c r="I1" s="32"/>
      <x:c r="J1" s="32"/>
      <x:c r="K1" s="32"/>
      <x:c r="L1" s="32"/>
      <x:c r="M1" s="32"/>
      <x:c r="N1" s="32"/>
      <x:c r="O1" s="32"/>
      <x:c r="P1" s="32"/>
    </x:row>
    <x:row r="2" ht="31.950000762939453" customHeight="1">
      <x:c r="A2" s="33" t="s">
        <x:v>41</x:v>
      </x:c>
      <x:c r="B2" s="33"/>
      <x:c r="C2" s="33"/>
      <x:c r="D2" s="33"/>
      <x:c r="E2" s="33"/>
      <x:c r="F2" s="33"/>
      <x:c r="G2" s="33"/>
      <x:c r="H2" s="33"/>
      <x:c r="I2" s="33"/>
      <x:c r="J2" s="33"/>
      <x:c r="K2" s="33"/>
      <x:c r="L2" s="33"/>
      <x:c r="M2" s="33"/>
      <x:c r="N2" s="33"/>
      <x:c r="O2" s="33"/>
      <x:c r="P2" s="33"/>
    </x:row>
    <x:row r="4">
      <x:c r="A4" s="61" t="s">
        <x:v>42</x:v>
      </x:c>
      <x:c r="B4" s="61"/>
      <x:c r="D4" s="61" t="s">
        <x:v>43</x:v>
      </x:c>
      <x:c r="E4" s="61"/>
      <x:c r="G4" s="61" t="s">
        <x:v>44</x:v>
      </x:c>
      <x:c r="H4" s="61"/>
      <x:c r="J4" s="61" t="s">
        <x:v>45</x:v>
      </x:c>
      <x:c r="K4" s="61"/>
    </x:row>
    <x:row r="5">
      <x:c r="A5" s="62" t="n">
        <x:f>COUNTA('02 Master Plan'!$A$6:$A$120)</x:f>
        <x:v>74</x:v>
      </x:c>
      <x:c r="B5" s="63"/>
      <x:c r="D5" s="62" t="n">
        <x:f>COUNTIF('02 Master Plan'!$S$6:$S$120,"Done")</x:f>
        <x:v>12</x:v>
      </x:c>
      <x:c r="E5" s="63"/>
      <x:c r="G5" s="69" t="n">
        <x:f>IF(B4=0,0,E4/B4)</x:f>
        <x:v>0</x:v>
      </x:c>
      <x:c r="H5" s="70"/>
      <x:c r="J5" s="62" t="n">
        <x:f>COUNTIF('02 Master Plan'!$S$6:$S$120,"Blocked")</x:f>
        <x:v>0</x:v>
      </x:c>
      <x:c r="K5" s="63"/>
    </x:row>
    <x:row r="6">
      <x:c r="A6" s="64"/>
      <x:c r="B6" s="65"/>
      <x:c r="D6" s="64"/>
      <x:c r="E6" s="65"/>
      <x:c r="G6" s="71"/>
      <x:c r="H6" s="72"/>
      <x:c r="J6" s="64"/>
      <x:c r="K6" s="65"/>
    </x:row>
    <x:row r="7">
      <x:c r="A7" s="61" t="s">
        <x:v>46</x:v>
      </x:c>
      <x:c r="B7" s="61"/>
      <x:c r="D7" s="61" t="s">
        <x:v>47</x:v>
      </x:c>
      <x:c r="E7" s="61"/>
      <x:c r="G7" s="61" t="s">
        <x:v>48</x:v>
      </x:c>
      <x:c r="H7" s="61"/>
      <x:c r="J7" s="61" t="s">
        <x:v>49</x:v>
      </x:c>
      <x:c r="K7" s="61"/>
    </x:row>
    <x:row r="8">
      <x:c r="A8" s="62" t="n">
        <x:f>COUNTIFS('13 Owner TODOs'!$F$6:$F$80,"&lt;&gt;Done",'13 Owner TODOs'!$A$6:$A$80,"&lt;&gt;")</x:f>
        <x:v>19</x:v>
      </x:c>
      <x:c r="B8" s="63"/>
      <x:c r="D8" s="62" t="n">
        <x:f>COUNTIF('11 Test Evidence'!$H$6:$H$80,"Pass")</x:f>
        <x:v>6</x:v>
      </x:c>
      <x:c r="E8" s="63"/>
      <x:c r="G8" s="62" t="n">
        <x:f>COUNTIF('12 Decision Log'!$C$6:$C$60,"Baseline Approved")+COUNTIF('12 Decision Log'!$C$6:$C$60,"Approved")</x:f>
        <x:v>18</x:v>
      </x:c>
      <x:c r="H8" s="63"/>
      <x:c r="J8" s="62" t="n">
        <x:f>COUNTIFS('11 Test Evidence'!$C$6:$C$80,"Teardown",'11 Test Evidence'!$H$6:$H$80,"Pass")</x:f>
        <x:v>1</x:v>
      </x:c>
      <x:c r="K8" s="63"/>
    </x:row>
    <x:row r="9">
      <x:c r="A9" s="64"/>
      <x:c r="B9" s="65"/>
      <x:c r="D9" s="64"/>
      <x:c r="E9" s="65"/>
      <x:c r="G9" s="64"/>
      <x:c r="H9" s="65"/>
      <x:c r="J9" s="64"/>
      <x:c r="K9" s="65"/>
    </x:row>
    <x:row r="12" ht="28.049999237060547" customHeight="1">
      <x:c r="A12" s="1" t="s">
        <x:v>50</x:v>
      </x:c>
      <x:c r="B12" s="2" t="s">
        <x:v>51</x:v>
      </x:c>
      <x:c r="C12" s="2" t="s">
        <x:v>43</x:v>
      </x:c>
      <x:c r="D12" s="2" t="s">
        <x:v>52</x:v>
      </x:c>
      <x:c r="E12" s="3" t="s">
        <x:v>45</x:v>
      </x:c>
      <x:c r="G12" s="1" t="s">
        <x:v>50</x:v>
      </x:c>
      <x:c r="H12" s="3" t="s">
        <x:v>52</x:v>
      </x:c>
    </x:row>
    <x:row r="13">
      <x:c r="A13" s="10" t="s">
        <x:v>36</x:v>
      </x:c>
      <x:c r="B13" s="10" t="n">
        <x:f>COUNTIF('02 Master Plan'!$B$6:$B$120,A13)</x:f>
        <x:v>12</x:v>
      </x:c>
      <x:c r="C13" s="10" t="n">
        <x:f>COUNTIFS('02 Master Plan'!$B$6:$B$120,A13,'02 Master Plan'!$S$6:$S$120,"Done")</x:f>
        <x:v>12</x:v>
      </x:c>
      <x:c r="D13" s="12" t="n">
        <x:f t="shared" ref="D13:D18" si="0">IF(B13=0,0,C13/B13)</x:f>
        <x:v>1</x:v>
      </x:c>
      <x:c r="E13" s="10" t="n">
        <x:f>COUNTIFS('02 Master Plan'!$B$6:$B$120,A13,'02 Master Plan'!$S$6:$S$120,"Blocked")</x:f>
        <x:v>0</x:v>
      </x:c>
      <x:c r="G13" t="str">
        <x:f t="shared" ref="G13:G18" si="1">A13</x:f>
        <x:v>Week 1</x:v>
      </x:c>
      <x:c r="H13" s="14" t="n">
        <x:f t="shared" ref="H13:H18" si="2">D13</x:f>
        <x:v>1</x:v>
      </x:c>
    </x:row>
    <x:row r="14">
      <x:c r="A14" s="11" t="s">
        <x:v>53</x:v>
      </x:c>
      <x:c r="B14" s="11" t="n">
        <x:f>COUNTIF('02 Master Plan'!$B$6:$B$120,A14)</x:f>
        <x:v>12</x:v>
      </x:c>
      <x:c r="C14" s="11" t="n">
        <x:f>COUNTIFS('02 Master Plan'!$B$6:$B$120,A14,'02 Master Plan'!$S$6:$S$120,"Done")</x:f>
        <x:v>0</x:v>
      </x:c>
      <x:c r="D14" s="13">
        <x:f t="shared" si="0"/>
        <x:v>0</x:v>
      </x:c>
      <x:c r="E14" s="11" t="n">
        <x:f>COUNTIFS('02 Master Plan'!$B$6:$B$120,A14,'02 Master Plan'!$S$6:$S$120,"Blocked")</x:f>
        <x:v>0</x:v>
      </x:c>
      <x:c r="G14" t="str">
        <x:f t="shared" si="1"/>
        <x:v>Week 2</x:v>
      </x:c>
      <x:c r="H14" s="14">
        <x:f t="shared" si="2"/>
        <x:v>0</x:v>
      </x:c>
    </x:row>
    <x:row r="15">
      <x:c r="A15" s="11" t="s">
        <x:v>54</x:v>
      </x:c>
      <x:c r="B15" s="11" t="n">
        <x:f>COUNTIF('02 Master Plan'!$B$6:$B$120,A15)</x:f>
        <x:v>12</x:v>
      </x:c>
      <x:c r="C15" s="11" t="n">
        <x:f>COUNTIFS('02 Master Plan'!$B$6:$B$120,A15,'02 Master Plan'!$S$6:$S$120,"Done")</x:f>
        <x:v>0</x:v>
      </x:c>
      <x:c r="D15" s="13">
        <x:f t="shared" si="0"/>
        <x:v>0</x:v>
      </x:c>
      <x:c r="E15" s="11" t="n">
        <x:f>COUNTIFS('02 Master Plan'!$B$6:$B$120,A15,'02 Master Plan'!$S$6:$S$120,"Blocked")</x:f>
        <x:v>0</x:v>
      </x:c>
      <x:c r="G15" t="str">
        <x:f t="shared" si="1"/>
        <x:v>Week 3</x:v>
      </x:c>
      <x:c r="H15" s="14">
        <x:f t="shared" si="2"/>
        <x:v>0</x:v>
      </x:c>
    </x:row>
    <x:row r="16">
      <x:c r="A16" s="11" t="s">
        <x:v>55</x:v>
      </x:c>
      <x:c r="B16" s="11" t="n">
        <x:f>COUNTIF('02 Master Plan'!$B$6:$B$120,A16)</x:f>
        <x:v>12</x:v>
      </x:c>
      <x:c r="C16" s="11" t="n">
        <x:f>COUNTIFS('02 Master Plan'!$B$6:$B$120,A16,'02 Master Plan'!$S$6:$S$120,"Done")</x:f>
        <x:v>0</x:v>
      </x:c>
      <x:c r="D16" s="13">
        <x:f t="shared" si="0"/>
        <x:v>0</x:v>
      </x:c>
      <x:c r="E16" s="11" t="n">
        <x:f>COUNTIFS('02 Master Plan'!$B$6:$B$120,A16,'02 Master Plan'!$S$6:$S$120,"Blocked")</x:f>
        <x:v>0</x:v>
      </x:c>
      <x:c r="G16" t="str">
        <x:f t="shared" si="1"/>
        <x:v>Week 4</x:v>
      </x:c>
      <x:c r="H16" s="14">
        <x:f t="shared" si="2"/>
        <x:v>0</x:v>
      </x:c>
    </x:row>
    <x:row r="17">
      <x:c r="A17" s="11" t="s">
        <x:v>56</x:v>
      </x:c>
      <x:c r="B17" s="11" t="n">
        <x:f>COUNTIF('02 Master Plan'!$B$6:$B$120,A17)</x:f>
        <x:v>13</x:v>
      </x:c>
      <x:c r="C17" s="11" t="n">
        <x:f>COUNTIFS('02 Master Plan'!$B$6:$B$120,A17,'02 Master Plan'!$S$6:$S$120,"Done")</x:f>
        <x:v>0</x:v>
      </x:c>
      <x:c r="D17" s="13">
        <x:f t="shared" si="0"/>
        <x:v>0</x:v>
      </x:c>
      <x:c r="E17" s="11" t="n">
        <x:f>COUNTIFS('02 Master Plan'!$B$6:$B$120,A17,'02 Master Plan'!$S$6:$S$120,"Blocked")</x:f>
        <x:v>0</x:v>
      </x:c>
      <x:c r="G17" t="str">
        <x:f t="shared" si="1"/>
        <x:v>Week 5</x:v>
      </x:c>
      <x:c r="H17" s="14">
        <x:f t="shared" si="2"/>
        <x:v>0</x:v>
      </x:c>
    </x:row>
    <x:row r="18">
      <x:c r="A18" s="11" t="s">
        <x:v>57</x:v>
      </x:c>
      <x:c r="B18" s="11" t="n">
        <x:f>COUNTIF('02 Master Plan'!$B$6:$B$120,A18)</x:f>
        <x:v>13</x:v>
      </x:c>
      <x:c r="C18" s="11" t="n">
        <x:f>COUNTIFS('02 Master Plan'!$B$6:$B$120,A18,'02 Master Plan'!$S$6:$S$120,"Done")</x:f>
        <x:v>0</x:v>
      </x:c>
      <x:c r="D18" s="13">
        <x:f t="shared" si="0"/>
        <x:v>0</x:v>
      </x:c>
      <x:c r="E18" s="11" t="n">
        <x:f>COUNTIFS('02 Master Plan'!$B$6:$B$120,A18,'02 Master Plan'!$S$6:$S$120,"Blocked")</x:f>
        <x:v>0</x:v>
      </x:c>
      <x:c r="G18" t="str">
        <x:f t="shared" si="1"/>
        <x:v>Week 6</x:v>
      </x:c>
      <x:c r="H18" s="14">
        <x:f t="shared" si="2"/>
        <x:v>0</x:v>
      </x:c>
    </x:row>
    <x:row r="21" ht="28.049999237060547" customHeight="1">
      <x:c r="A21" s="34" t="s">
        <x:v>58</x:v>
      </x:c>
      <x:c r="B21" s="35"/>
      <x:c r="C21" s="35"/>
      <x:c r="D21" s="35"/>
      <x:c r="E21" s="35"/>
      <x:c r="F21" s="35"/>
      <x:c r="G21" s="35"/>
      <x:c r="H21" s="36"/>
    </x:row>
    <x:row r="22" ht="30" customHeight="1">
      <x:c r="A22" s="66" t="s">
        <x:v>59</x:v>
      </x:c>
      <x:c r="B22" s="67"/>
      <x:c r="C22" s="67"/>
      <x:c r="D22" s="67"/>
      <x:c r="E22" s="67"/>
      <x:c r="F22" s="67"/>
      <x:c r="G22" s="67"/>
      <x:c r="H22" s="68"/>
    </x:row>
    <x:row r="23" ht="30" customHeight="1">
      <x:c r="A23" s="55" t="s">
        <x:v>60</x:v>
      </x:c>
      <x:c r="B23" s="56"/>
      <x:c r="C23" s="56"/>
      <x:c r="D23" s="56"/>
      <x:c r="E23" s="56"/>
      <x:c r="F23" s="56"/>
      <x:c r="G23" s="56"/>
      <x:c r="H23" s="57"/>
    </x:row>
    <x:row r="24" ht="30" customHeight="1">
      <x:c r="A24" s="55" t="s">
        <x:v>61</x:v>
      </x:c>
      <x:c r="B24" s="56"/>
      <x:c r="C24" s="56"/>
      <x:c r="D24" s="56"/>
      <x:c r="E24" s="56"/>
      <x:c r="F24" s="56"/>
      <x:c r="G24" s="56"/>
      <x:c r="H24" s="57"/>
    </x:row>
    <x:row r="25" ht="30" customHeight="1">
      <x:c r="A25" s="55" t="s">
        <x:v>62</x:v>
      </x:c>
      <x:c r="B25" s="56"/>
      <x:c r="C25" s="56"/>
      <x:c r="D25" s="56"/>
      <x:c r="E25" s="56"/>
      <x:c r="F25" s="56"/>
      <x:c r="G25" s="56"/>
      <x:c r="H25" s="57"/>
    </x:row>
    <x:row r="26" ht="30" customHeight="1">
      <x:c r="A26" s="58" t="s">
        <x:v>63</x:v>
      </x:c>
      <x:c r="B26" s="59"/>
      <x:c r="C26" s="59"/>
      <x:c r="D26" s="59"/>
      <x:c r="E26" s="59"/>
      <x:c r="F26" s="59"/>
      <x:c r="G26" s="59"/>
      <x:c r="H26" s="60"/>
    </x:row>
  </x:sheetData>
  <x:mergeCells>
    <x:mergeCell ref="A1:P1"/>
    <x:mergeCell ref="A2:P2"/>
    <x:mergeCell ref="A4:B4"/>
    <x:mergeCell ref="A5:B6"/>
    <x:mergeCell ref="D4:E4"/>
    <x:mergeCell ref="D5:E6"/>
    <x:mergeCell ref="G4:H4"/>
    <x:mergeCell ref="G5:H6"/>
    <x:mergeCell ref="J4:K4"/>
    <x:mergeCell ref="J5:K6"/>
    <x:mergeCell ref="A24:H24"/>
    <x:mergeCell ref="A25:H25"/>
    <x:mergeCell ref="A26:H26"/>
    <x:mergeCell ref="J7:K7"/>
    <x:mergeCell ref="J8:K9"/>
    <x:mergeCell ref="A21:H21"/>
    <x:mergeCell ref="A22:H22"/>
    <x:mergeCell ref="A23:H23"/>
    <x:mergeCell ref="A7:B7"/>
    <x:mergeCell ref="A8:B9"/>
    <x:mergeCell ref="D7:E7"/>
    <x:mergeCell ref="D8:E9"/>
    <x:mergeCell ref="G7:H7"/>
    <x:mergeCell ref="G8:H9"/>
  </x:mergeCells>
  <x:conditionalFormatting sqref="D13:D18">
    <x:cfRule type="dataBar" priority="1">
      <x:dataBar>
        <x:cfvo type="min"/>
        <x:cfvo type="max"/>
        <x:color rgb="FF0F766E"/>
      </x:dataBar>
    </x:cfRule>
    <x:cfRule type="dataBar" priority="2">
      <x:dataBar>
        <x:cfvo type="min"/>
        <x:cfvo type="max"/>
        <x:color rgb="FF0F766E"/>
      </x:dataBar>
    </x:cfRule>
    <x:cfRule type="dataBar" priority="3">
      <x:dataBar>
        <x:cfvo type="min"/>
        <x:cfvo type="max"/>
        <x:color rgb="FF0F766E"/>
      </x:dataBar>
    </x:cfRule>
    <x:cfRule type="dataBar" priority="4">
      <x:dataBar>
        <x:cfvo type="min"/>
        <x:cfvo type="max"/>
        <x:color rgb="FF0F766E"/>
      </x:dataBar>
      <x:extLst>
        <x:ext xmlns:x14="http://schemas.microsoft.com/office/spreadsheetml/2009/9/main" uri="{B025F937-C7B1-47D3-B67F-A62EFF666E3E}">
          <x14:id>{7ACD7930-3F82-D6B8-3D5C-A73611924FBF}</x14:id>
        </x:ext>
      </x:extLst>
    </x:cfRule>
  </x:conditionalFormatting>
  <x:pageMargins left="0.7" right="0.7" top="0.75" bottom="0.75" header="0.3" footer="0.3"/>
  <x:drawing xmlns:r="http://schemas.openxmlformats.org/officeDocument/2006/relationships" r:id="R50382890475a468a"/>
  <x:extLst>
    <x:ext xmlns:x14="http://schemas.microsoft.com/office/spreadsheetml/2009/9/main" xmlns:xm="http://schemas.microsoft.com/office/excel/2006/main" uri="{78C0D931-6437-407d-A8EE-F0AAD7539E65}">
      <x14:conditionalFormattings>
        <x14:conditionalFormatting>
          <x14:cfRule type="dataBar" priority="4" id="{7ACD7930-3F82-D6B8-3D5C-A73611924FBF}">
            <x14:dataBar gradient="0">
              <x14:cfvo type="min"/>
              <x14:cfvo type="max"/>
              <x14:fillColor rgb="FF0F766E"/>
              <x14:negativeFillColor auto="1"/>
              <x14:axisColor auto="1"/>
            </x14:dataBar>
          </x14:cfRule>
          <xm:sqref>D13:D18</xm:sqref>
        </x14:conditionalFormatting>
      </x14:conditionalFormattings>
    </x:ext>
  </x:extLst>
</x:worksheet>
</file>

<file path=xl/worksheets/sheet3.xml><?xml version="1.0" encoding="utf-8"?>
<x:worksheet xmlns:x="http://schemas.openxmlformats.org/spreadsheetml/2006/main">
  <x:sheetViews>
    <x:sheetView showGridLines="0" workbookViewId="0"/>
  </x:sheetViews>
  <x:sheetFormatPr defaultRowHeight="13.800000190734863"/>
  <x:cols>
    <x:col min="1" max="1" width="12" customWidth="1"/>
    <x:col min="2" max="2" width="10" customWidth="1"/>
    <x:col min="3" max="3" width="6" customWidth="1"/>
    <x:col min="4" max="4" width="10" customWidth="1"/>
    <x:col min="5" max="5" width="16" customWidth="1"/>
    <x:col min="6" max="7" width="42" customWidth="1"/>
    <x:col min="8" max="8" width="14" customWidth="1"/>
    <x:col min="9" max="9" width="10" customWidth="1"/>
    <x:col min="10" max="10" width="13" customWidth="1"/>
    <x:col min="11" max="11" width="20" customWidth="1"/>
    <x:col min="12" max="13" width="40" customWidth="1"/>
    <x:col min="14" max="14" width="36" customWidth="1"/>
    <x:col min="15" max="15" width="32" customWidth="1"/>
    <x:col min="16" max="17" width="20" customWidth="1"/>
    <x:col min="18" max="18" width="38" customWidth="1"/>
    <x:col min="19" max="19" width="16" customWidth="1"/>
    <x:col min="20" max="20" width="30" customWidth="1"/>
  </x:cols>
  <x:sheetData>
    <x:row r="1" ht="31.950000762939453" customHeight="1">
      <x:c r="A1" s="32" t="s">
        <x:v>64</x:v>
      </x:c>
      <x:c r="B1" s="32"/>
      <x:c r="C1" s="32"/>
      <x:c r="D1" s="32"/>
      <x:c r="E1" s="32"/>
      <x:c r="F1" s="32"/>
      <x:c r="G1" s="32"/>
      <x:c r="H1" s="32"/>
      <x:c r="I1" s="32"/>
      <x:c r="J1" s="32"/>
      <x:c r="K1" s="32"/>
      <x:c r="L1" s="32"/>
      <x:c r="M1" s="32"/>
      <x:c r="N1" s="32"/>
      <x:c r="O1" s="32"/>
      <x:c r="P1" s="32"/>
      <x:c r="Q1" s="32"/>
      <x:c r="R1" s="32"/>
      <x:c r="S1" s="32"/>
      <x:c r="T1" s="32"/>
    </x:row>
    <x:row r="2" ht="31.950000762939453" customHeight="1">
      <x:c r="A2" s="33" t="s">
        <x:v>65</x:v>
      </x:c>
      <x:c r="B2" s="33"/>
      <x:c r="C2" s="33"/>
      <x:c r="D2" s="33"/>
      <x:c r="E2" s="33"/>
      <x:c r="F2" s="33"/>
      <x:c r="G2" s="33"/>
      <x:c r="H2" s="33"/>
      <x:c r="I2" s="33"/>
      <x:c r="J2" s="33"/>
      <x:c r="K2" s="33"/>
      <x:c r="L2" s="33"/>
      <x:c r="M2" s="33"/>
      <x:c r="N2" s="33"/>
      <x:c r="O2" s="33"/>
      <x:c r="P2" s="33"/>
      <x:c r="Q2" s="33"/>
      <x:c r="R2" s="33"/>
      <x:c r="S2" s="33"/>
      <x:c r="T2" s="33"/>
    </x:row>
    <x:row r="5" ht="28.049999237060547" customHeight="1">
      <x:c r="A5" s="1" t="s">
        <x:v>66</x:v>
      </x:c>
      <x:c r="B5" s="2" t="s">
        <x:v>50</x:v>
      </x:c>
      <x:c r="C5" s="2" t="s">
        <x:v>67</x:v>
      </x:c>
      <x:c r="D5" s="2" t="s">
        <x:v>68</x:v>
      </x:c>
      <x:c r="E5" s="2" t="s">
        <x:v>69</x:v>
      </x:c>
      <x:c r="F5" s="2" t="s">
        <x:v>70</x:v>
      </x:c>
      <x:c r="G5" s="2" t="s">
        <x:v>71</x:v>
      </x:c>
      <x:c r="H5" s="2" t="s">
        <x:v>33</x:v>
      </x:c>
      <x:c r="I5" s="2" t="s">
        <x:v>72</x:v>
      </x:c>
      <x:c r="J5" s="2" t="s">
        <x:v>73</x:v>
      </x:c>
      <x:c r="K5" s="2" t="s">
        <x:v>74</x:v>
      </x:c>
      <x:c r="L5" s="2" t="s">
        <x:v>75</x:v>
      </x:c>
      <x:c r="M5" s="2" t="s">
        <x:v>76</x:v>
      </x:c>
      <x:c r="N5" s="2" t="s">
        <x:v>77</x:v>
      </x:c>
      <x:c r="O5" s="2" t="s">
        <x:v>78</x:v>
      </x:c>
      <x:c r="P5" s="2" t="s">
        <x:v>79</x:v>
      </x:c>
      <x:c r="Q5" s="2" t="s">
        <x:v>80</x:v>
      </x:c>
      <x:c r="R5" s="2" t="s">
        <x:v>81</x:v>
      </x:c>
      <x:c r="S5" s="2" t="s">
        <x:v>82</x:v>
      </x:c>
      <x:c r="T5" s="3" t="s">
        <x:v>83</x:v>
      </x:c>
    </x:row>
    <x:row r="6" ht="79.80000305175781">
      <x:c r="A6" s="10" t="s">
        <x:v>84</x:v>
      </x:c>
      <x:c r="B6" s="10" t="s">
        <x:v>36</x:v>
      </x:c>
      <x:c r="C6" s="10">
        <x:v>1</x:v>
      </x:c>
      <x:c r="D6" s="10" t="s">
        <x:v>85</x:v>
      </x:c>
      <x:c r="E6" s="10" t="s">
        <x:v>86</x:v>
      </x:c>
      <x:c r="F6" s="10" t="s">
        <x:v>87</x:v>
      </x:c>
      <x:c r="G6" s="10" t="s">
        <x:v>88</x:v>
      </x:c>
      <x:c r="H6" s="10" t="s">
        <x:v>89</x:v>
      </x:c>
      <x:c r="I6" s="15">
        <x:v>1</x:v>
      </x:c>
      <x:c r="J6" s="10" t="s">
        <x:v>90</x:v>
      </x:c>
      <x:c r="K6" s="10" t="s">
        <x:v>91</x:v>
      </x:c>
      <x:c r="L6" s="10" t="s">
        <x:v>92</x:v>
      </x:c>
      <x:c r="M6" s="10" t="s">
        <x:v>93</x:v>
      </x:c>
      <x:c r="N6" s="10" t="s">
        <x:v>94</x:v>
      </x:c>
      <x:c r="O6" s="10" t="s">
        <x:v>95</x:v>
      </x:c>
      <x:c r="P6" s="10" t="s">
        <x:v>96</x:v>
      </x:c>
      <x:c r="Q6" s="10" t="s">
        <x:v>97</x:v>
      </x:c>
      <x:c r="R6" s="10" t="s">
        <x:v>98</x:v>
      </x:c>
      <x:c r="S6" s="10" t="s">
        <x:v>43</x:v>
      </x:c>
      <x:c r="T6" s="10" t="s">
        <x:v>99</x:v>
      </x:c>
    </x:row>
    <x:row r="7" ht="68.4000015258789">
      <x:c r="A7" s="11" t="s">
        <x:v>100</x:v>
      </x:c>
      <x:c r="B7" s="11" t="s">
        <x:v>36</x:v>
      </x:c>
      <x:c r="C7" s="11">
        <x:v>2</x:v>
      </x:c>
      <x:c r="D7" s="11" t="s">
        <x:v>85</x:v>
      </x:c>
      <x:c r="E7" s="11" t="s">
        <x:v>101</x:v>
      </x:c>
      <x:c r="F7" s="11" t="s">
        <x:v>102</x:v>
      </x:c>
      <x:c r="G7" s="11" t="s">
        <x:v>103</x:v>
      </x:c>
      <x:c r="H7" s="11" t="s">
        <x:v>104</x:v>
      </x:c>
      <x:c r="I7" s="16">
        <x:v>0.5</x:v>
      </x:c>
      <x:c r="J7" s="11" t="s">
        <x:v>105</x:v>
      </x:c>
      <x:c r="K7" s="11" t="s">
        <x:v>97</x:v>
      </x:c>
      <x:c r="L7" s="11" t="s">
        <x:v>106</x:v>
      </x:c>
      <x:c r="M7" s="11" t="s">
        <x:v>107</x:v>
      </x:c>
      <x:c r="N7" s="11" t="s">
        <x:v>108</x:v>
      </x:c>
      <x:c r="O7" s="11" t="s">
        <x:v>109</x:v>
      </x:c>
      <x:c r="P7" s="11" t="s">
        <x:v>110</x:v>
      </x:c>
      <x:c r="Q7" s="11" t="s">
        <x:v>84</x:v>
      </x:c>
      <x:c r="R7" s="11" t="s">
        <x:v>111</x:v>
      </x:c>
      <x:c r="S7" s="11" t="s">
        <x:v>43</x:v>
      </x:c>
      <x:c r="T7" s="11" t="s">
        <x:v>112</x:v>
      </x:c>
    </x:row>
    <x:row r="8" ht="45.599998474121094">
      <x:c r="A8" s="11" t="s">
        <x:v>113</x:v>
      </x:c>
      <x:c r="B8" s="11" t="s">
        <x:v>36</x:v>
      </x:c>
      <x:c r="C8" s="11">
        <x:v>3</x:v>
      </x:c>
      <x:c r="D8" s="11" t="s">
        <x:v>85</x:v>
      </x:c>
      <x:c r="E8" s="11" t="s">
        <x:v>114</x:v>
      </x:c>
      <x:c r="F8" s="11" t="s">
        <x:v>115</x:v>
      </x:c>
      <x:c r="G8" s="11" t="s">
        <x:v>116</x:v>
      </x:c>
      <x:c r="H8" s="11" t="s">
        <x:v>117</x:v>
      </x:c>
      <x:c r="I8" s="16">
        <x:v>1.5</x:v>
      </x:c>
      <x:c r="J8" s="11" t="s">
        <x:v>118</x:v>
      </x:c>
      <x:c r="K8" s="11" t="s">
        <x:v>119</x:v>
      </x:c>
      <x:c r="L8" s="11" t="s">
        <x:v>120</x:v>
      </x:c>
      <x:c r="M8" s="11" t="s">
        <x:v>121</x:v>
      </x:c>
      <x:c r="N8" s="11" t="s">
        <x:v>122</x:v>
      </x:c>
      <x:c r="O8" s="11" t="s">
        <x:v>123</x:v>
      </x:c>
      <x:c r="P8" s="11" t="s">
        <x:v>110</x:v>
      </x:c>
      <x:c r="Q8" s="11" t="s">
        <x:v>100</x:v>
      </x:c>
      <x:c r="R8" s="11" t="s">
        <x:v>124</x:v>
      </x:c>
      <x:c r="S8" s="11" t="s">
        <x:v>43</x:v>
      </x:c>
      <x:c r="T8" s="11" t="s">
        <x:v>125</x:v>
      </x:c>
    </x:row>
    <x:row r="9" ht="45.599998474121094">
      <x:c r="A9" s="11" t="s">
        <x:v>126</x:v>
      </x:c>
      <x:c r="B9" s="11" t="s">
        <x:v>36</x:v>
      </x:c>
      <x:c r="C9" s="11">
        <x:v>4</x:v>
      </x:c>
      <x:c r="D9" s="11" t="s">
        <x:v>85</x:v>
      </x:c>
      <x:c r="E9" s="11" t="s">
        <x:v>127</x:v>
      </x:c>
      <x:c r="F9" s="11" t="s">
        <x:v>128</x:v>
      </x:c>
      <x:c r="G9" s="11" t="s">
        <x:v>129</x:v>
      </x:c>
      <x:c r="H9" s="11" t="s">
        <x:v>117</x:v>
      </x:c>
      <x:c r="I9" s="16">
        <x:v>1</x:v>
      </x:c>
      <x:c r="J9" s="11" t="s">
        <x:v>118</x:v>
      </x:c>
      <x:c r="K9" s="11" t="s">
        <x:v>130</x:v>
      </x:c>
      <x:c r="L9" s="11" t="s">
        <x:v>131</x:v>
      </x:c>
      <x:c r="M9" s="11" t="s">
        <x:v>132</x:v>
      </x:c>
      <x:c r="N9" s="11" t="s">
        <x:v>133</x:v>
      </x:c>
      <x:c r="O9" s="11" t="s">
        <x:v>134</x:v>
      </x:c>
      <x:c r="P9" s="11" t="s">
        <x:v>110</x:v>
      </x:c>
      <x:c r="Q9" s="11" t="s">
        <x:v>113</x:v>
      </x:c>
      <x:c r="R9" s="11" t="s">
        <x:v>135</x:v>
      </x:c>
      <x:c r="S9" s="11" t="s">
        <x:v>43</x:v>
      </x:c>
      <x:c r="T9" s="11" t="s">
        <x:v>125</x:v>
      </x:c>
    </x:row>
    <x:row r="10" ht="45.599998474121094">
      <x:c r="A10" s="11" t="s">
        <x:v>136</x:v>
      </x:c>
      <x:c r="B10" s="11" t="s">
        <x:v>36</x:v>
      </x:c>
      <x:c r="C10" s="11">
        <x:v>5</x:v>
      </x:c>
      <x:c r="D10" s="11" t="s">
        <x:v>85</x:v>
      </x:c>
      <x:c r="E10" s="11" t="s">
        <x:v>137</x:v>
      </x:c>
      <x:c r="F10" s="11" t="s">
        <x:v>138</x:v>
      </x:c>
      <x:c r="G10" s="11" t="s">
        <x:v>139</x:v>
      </x:c>
      <x:c r="H10" s="11" t="s">
        <x:v>117</x:v>
      </x:c>
      <x:c r="I10" s="16">
        <x:v>1.5</x:v>
      </x:c>
      <x:c r="J10" s="11" t="s">
        <x:v>140</x:v>
      </x:c>
      <x:c r="K10" s="11" t="s">
        <x:v>141</x:v>
      </x:c>
      <x:c r="L10" s="11" t="s">
        <x:v>142</x:v>
      </x:c>
      <x:c r="M10" s="11" t="s">
        <x:v>143</x:v>
      </x:c>
      <x:c r="N10" s="11" t="s">
        <x:v>144</x:v>
      </x:c>
      <x:c r="O10" s="11" t="s">
        <x:v>145</x:v>
      </x:c>
      <x:c r="P10" s="11" t="s">
        <x:v>146</x:v>
      </x:c>
      <x:c r="Q10" s="11" t="s">
        <x:v>113</x:v>
      </x:c>
      <x:c r="R10" s="11" t="s">
        <x:v>147</x:v>
      </x:c>
      <x:c r="S10" s="11" t="s">
        <x:v>43</x:v>
      </x:c>
      <x:c r="T10" s="11" t="s">
        <x:v>125</x:v>
      </x:c>
    </x:row>
    <x:row r="11" ht="45.599998474121094">
      <x:c r="A11" s="11" t="s">
        <x:v>148</x:v>
      </x:c>
      <x:c r="B11" s="11" t="s">
        <x:v>36</x:v>
      </x:c>
      <x:c r="C11" s="11">
        <x:v>6</x:v>
      </x:c>
      <x:c r="D11" s="11" t="s">
        <x:v>85</x:v>
      </x:c>
      <x:c r="E11" s="11" t="s">
        <x:v>149</x:v>
      </x:c>
      <x:c r="F11" s="11" t="s">
        <x:v>150</x:v>
      </x:c>
      <x:c r="G11" s="11" t="s">
        <x:v>151</x:v>
      </x:c>
      <x:c r="H11" s="11" t="s">
        <x:v>117</x:v>
      </x:c>
      <x:c r="I11" s="16">
        <x:v>1.25</x:v>
      </x:c>
      <x:c r="J11" s="11" t="s">
        <x:v>152</x:v>
      </x:c>
      <x:c r="K11" s="11" t="s">
        <x:v>97</x:v>
      </x:c>
      <x:c r="L11" s="11" t="s">
        <x:v>153</x:v>
      </x:c>
      <x:c r="M11" s="11" t="s">
        <x:v>154</x:v>
      </x:c>
      <x:c r="N11" s="11" t="s">
        <x:v>155</x:v>
      </x:c>
      <x:c r="O11" s="11" t="s">
        <x:v>156</x:v>
      </x:c>
      <x:c r="P11" s="11" t="s">
        <x:v>157</x:v>
      </x:c>
      <x:c r="Q11" s="11" t="s">
        <x:v>158</x:v>
      </x:c>
      <x:c r="R11" s="11" t="s">
        <x:v>159</x:v>
      </x:c>
      <x:c r="S11" s="11" t="s">
        <x:v>43</x:v>
      </x:c>
      <x:c r="T11" s="11" t="s">
        <x:v>125</x:v>
      </x:c>
    </x:row>
    <x:row r="12" ht="45.599998474121094">
      <x:c r="A12" s="11" t="s">
        <x:v>160</x:v>
      </x:c>
      <x:c r="B12" s="11" t="s">
        <x:v>36</x:v>
      </x:c>
      <x:c r="C12" s="11">
        <x:v>7</x:v>
      </x:c>
      <x:c r="D12" s="11" t="s">
        <x:v>85</x:v>
      </x:c>
      <x:c r="E12" s="11" t="s">
        <x:v>161</x:v>
      </x:c>
      <x:c r="F12" s="11" t="s">
        <x:v>162</x:v>
      </x:c>
      <x:c r="G12" s="11" t="s">
        <x:v>163</x:v>
      </x:c>
      <x:c r="H12" s="11" t="s">
        <x:v>117</x:v>
      </x:c>
      <x:c r="I12" s="16">
        <x:v>1</x:v>
      </x:c>
      <x:c r="J12" s="11" t="s">
        <x:v>118</x:v>
      </x:c>
      <x:c r="K12" s="11" t="s">
        <x:v>97</x:v>
      </x:c>
      <x:c r="L12" s="11" t="s">
        <x:v>164</x:v>
      </x:c>
      <x:c r="M12" s="11" t="s">
        <x:v>165</x:v>
      </x:c>
      <x:c r="N12" s="11" t="s">
        <x:v>166</x:v>
      </x:c>
      <x:c r="O12" s="11" t="s">
        <x:v>167</x:v>
      </x:c>
      <x:c r="P12" s="11" t="s">
        <x:v>168</x:v>
      </x:c>
      <x:c r="Q12" s="11" t="s">
        <x:v>113</x:v>
      </x:c>
      <x:c r="R12" s="11" t="s">
        <x:v>169</x:v>
      </x:c>
      <x:c r="S12" s="11" t="s">
        <x:v>43</x:v>
      </x:c>
      <x:c r="T12" s="11" t="s">
        <x:v>125</x:v>
      </x:c>
    </x:row>
    <x:row r="13" ht="45.599998474121094">
      <x:c r="A13" s="11" t="s">
        <x:v>170</x:v>
      </x:c>
      <x:c r="B13" s="11" t="s">
        <x:v>36</x:v>
      </x:c>
      <x:c r="C13" s="11">
        <x:v>8</x:v>
      </x:c>
      <x:c r="D13" s="11" t="s">
        <x:v>85</x:v>
      </x:c>
      <x:c r="E13" s="11" t="s">
        <x:v>171</x:v>
      </x:c>
      <x:c r="F13" s="11" t="s">
        <x:v>172</x:v>
      </x:c>
      <x:c r="G13" s="11" t="s">
        <x:v>173</x:v>
      </x:c>
      <x:c r="H13" s="11" t="s">
        <x:v>117</x:v>
      </x:c>
      <x:c r="I13" s="16">
        <x:v>1</x:v>
      </x:c>
      <x:c r="J13" s="11" t="s">
        <x:v>152</x:v>
      </x:c>
      <x:c r="K13" s="11" t="s">
        <x:v>174</x:v>
      </x:c>
      <x:c r="L13" s="11" t="s">
        <x:v>175</x:v>
      </x:c>
      <x:c r="M13" s="11" t="s">
        <x:v>176</x:v>
      </x:c>
      <x:c r="N13" s="11" t="s">
        <x:v>177</x:v>
      </x:c>
      <x:c r="O13" s="11" t="s">
        <x:v>178</x:v>
      </x:c>
      <x:c r="P13" s="11" t="s">
        <x:v>157</x:v>
      </x:c>
      <x:c r="Q13" s="11" t="s">
        <x:v>136</x:v>
      </x:c>
      <x:c r="R13" s="11" t="s">
        <x:v>179</x:v>
      </x:c>
      <x:c r="S13" s="11" t="s">
        <x:v>43</x:v>
      </x:c>
      <x:c r="T13" s="11" t="s">
        <x:v>125</x:v>
      </x:c>
    </x:row>
    <x:row r="14" ht="125.4000015258789">
      <x:c r="A14" s="11" t="s">
        <x:v>180</x:v>
      </x:c>
      <x:c r="B14" s="11" t="s">
        <x:v>36</x:v>
      </x:c>
      <x:c r="C14" s="11">
        <x:v>9</x:v>
      </x:c>
      <x:c r="D14" s="11" t="s">
        <x:v>85</x:v>
      </x:c>
      <x:c r="E14" s="11" t="s">
        <x:v>181</x:v>
      </x:c>
      <x:c r="F14" s="11" t="s">
        <x:v>182</x:v>
      </x:c>
      <x:c r="G14" s="11" t="s">
        <x:v>183</x:v>
      </x:c>
      <x:c r="H14" s="11" t="s">
        <x:v>117</x:v>
      </x:c>
      <x:c r="I14" s="16">
        <x:v>1.25</x:v>
      </x:c>
      <x:c r="J14" s="11" t="s">
        <x:v>184</x:v>
      </x:c>
      <x:c r="K14" s="11" t="s">
        <x:v>185</x:v>
      </x:c>
      <x:c r="L14" s="11" t="s">
        <x:v>186</x:v>
      </x:c>
      <x:c r="M14" s="11" t="s">
        <x:v>187</x:v>
      </x:c>
      <x:c r="N14" s="11" t="s">
        <x:v>188</x:v>
      </x:c>
      <x:c r="O14" s="11" t="s">
        <x:v>189</x:v>
      </x:c>
      <x:c r="P14" s="11" t="s">
        <x:v>190</x:v>
      </x:c>
      <x:c r="Q14" s="11" t="s">
        <x:v>113</x:v>
      </x:c>
      <x:c r="R14" s="11" t="s">
        <x:v>191</x:v>
      </x:c>
      <x:c r="S14" s="11" t="s">
        <x:v>43</x:v>
      </x:c>
      <x:c r="T14" s="11" t="s">
        <x:v>192</x:v>
      </x:c>
    </x:row>
    <x:row r="15" ht="125.4000015258789">
      <x:c r="A15" s="11" t="s">
        <x:v>193</x:v>
      </x:c>
      <x:c r="B15" s="11" t="s">
        <x:v>36</x:v>
      </x:c>
      <x:c r="C15" s="11">
        <x:v>10</x:v>
      </x:c>
      <x:c r="D15" s="11" t="s">
        <x:v>85</x:v>
      </x:c>
      <x:c r="E15" s="11" t="s">
        <x:v>194</x:v>
      </x:c>
      <x:c r="F15" s="11" t="s">
        <x:v>195</x:v>
      </x:c>
      <x:c r="G15" s="11" t="s">
        <x:v>196</x:v>
      </x:c>
      <x:c r="H15" s="11" t="s">
        <x:v>117</x:v>
      </x:c>
      <x:c r="I15" s="16">
        <x:v>1.5</x:v>
      </x:c>
      <x:c r="J15" s="11" t="s">
        <x:v>184</x:v>
      </x:c>
      <x:c r="K15" s="11" t="s">
        <x:v>197</x:v>
      </x:c>
      <x:c r="L15" s="11" t="s">
        <x:v>198</x:v>
      </x:c>
      <x:c r="M15" s="11" t="s">
        <x:v>199</x:v>
      </x:c>
      <x:c r="N15" s="11" t="s">
        <x:v>200</x:v>
      </x:c>
      <x:c r="O15" s="11" t="s">
        <x:v>201</x:v>
      </x:c>
      <x:c r="P15" s="11" t="s">
        <x:v>202</x:v>
      </x:c>
      <x:c r="Q15" s="11" t="s">
        <x:v>180</x:v>
      </x:c>
      <x:c r="R15" s="11" t="s">
        <x:v>203</x:v>
      </x:c>
      <x:c r="S15" s="11" t="s">
        <x:v>43</x:v>
      </x:c>
      <x:c r="T15" s="11" t="s">
        <x:v>192</x:v>
      </x:c>
    </x:row>
    <x:row r="16" ht="125.4000015258789">
      <x:c r="A16" s="11" t="s">
        <x:v>204</x:v>
      </x:c>
      <x:c r="B16" s="11" t="s">
        <x:v>36</x:v>
      </x:c>
      <x:c r="C16" s="11">
        <x:v>11</x:v>
      </x:c>
      <x:c r="D16" s="11" t="s">
        <x:v>85</x:v>
      </x:c>
      <x:c r="E16" s="11" t="s">
        <x:v>205</x:v>
      </x:c>
      <x:c r="F16" s="11" t="s">
        <x:v>206</x:v>
      </x:c>
      <x:c r="G16" s="11" t="s">
        <x:v>207</x:v>
      </x:c>
      <x:c r="H16" s="11" t="s">
        <x:v>117</x:v>
      </x:c>
      <x:c r="I16" s="16">
        <x:v>1</x:v>
      </x:c>
      <x:c r="J16" s="11" t="s">
        <x:v>184</x:v>
      </x:c>
      <x:c r="K16" s="11" t="s">
        <x:v>208</x:v>
      </x:c>
      <x:c r="L16" s="11" t="s">
        <x:v>209</x:v>
      </x:c>
      <x:c r="M16" s="11" t="s">
        <x:v>210</x:v>
      </x:c>
      <x:c r="N16" s="11" t="s">
        <x:v>211</x:v>
      </x:c>
      <x:c r="O16" s="11" t="s">
        <x:v>212</x:v>
      </x:c>
      <x:c r="P16" s="11" t="s">
        <x:v>213</x:v>
      </x:c>
      <x:c r="Q16" s="11" t="s">
        <x:v>193</x:v>
      </x:c>
      <x:c r="R16" s="11" t="s">
        <x:v>214</x:v>
      </x:c>
      <x:c r="S16" s="11" t="s">
        <x:v>43</x:v>
      </x:c>
      <x:c r="T16" s="11" t="s">
        <x:v>192</x:v>
      </x:c>
    </x:row>
    <x:row r="17" ht="91.19999694824219">
      <x:c r="A17" s="11" t="s">
        <x:v>215</x:v>
      </x:c>
      <x:c r="B17" s="11" t="s">
        <x:v>36</x:v>
      </x:c>
      <x:c r="C17" s="11">
        <x:v>12</x:v>
      </x:c>
      <x:c r="D17" s="11" t="s">
        <x:v>85</x:v>
      </x:c>
      <x:c r="E17" s="11" t="s">
        <x:v>216</x:v>
      </x:c>
      <x:c r="F17" s="11" t="s">
        <x:v>217</x:v>
      </x:c>
      <x:c r="G17" s="11" t="s">
        <x:v>218</x:v>
      </x:c>
      <x:c r="H17" s="11" t="s">
        <x:v>89</x:v>
      </x:c>
      <x:c r="I17" s="16">
        <x:v>1</x:v>
      </x:c>
      <x:c r="J17" s="11" t="s">
        <x:v>219</x:v>
      </x:c>
      <x:c r="K17" s="11" t="s">
        <x:v>220</x:v>
      </x:c>
      <x:c r="L17" s="11" t="s">
        <x:v>221</x:v>
      </x:c>
      <x:c r="M17" s="11" t="s">
        <x:v>222</x:v>
      </x:c>
      <x:c r="N17" s="11" t="s">
        <x:v>223</x:v>
      </x:c>
      <x:c r="O17" s="11" t="s">
        <x:v>224</x:v>
      </x:c>
      <x:c r="P17" s="11" t="s">
        <x:v>110</x:v>
      </x:c>
      <x:c r="Q17" s="11" t="s">
        <x:v>225</x:v>
      </x:c>
      <x:c r="R17" s="11" t="s">
        <x:v>226</x:v>
      </x:c>
      <x:c r="S17" s="11" t="s">
        <x:v>43</x:v>
      </x:c>
      <x:c r="T17" s="11" t="s">
        <x:v>227</x:v>
      </x:c>
    </x:row>
    <x:row r="18" ht="22.799999237060547" hidden="1">
      <x:c r="A18" s="11" t="s">
        <x:v>228</x:v>
      </x:c>
      <x:c r="B18" s="11" t="s">
        <x:v>53</x:v>
      </x:c>
      <x:c r="C18" s="11">
        <x:v>1</x:v>
      </x:c>
      <x:c r="D18" s="11" t="s">
        <x:v>85</x:v>
      </x:c>
      <x:c r="E18" s="11" t="s">
        <x:v>229</x:v>
      </x:c>
      <x:c r="F18" s="11" t="s">
        <x:v>230</x:v>
      </x:c>
      <x:c r="G18" s="11" t="s">
        <x:v>231</x:v>
      </x:c>
      <x:c r="H18" s="11" t="s">
        <x:v>117</x:v>
      </x:c>
      <x:c r="I18" s="16">
        <x:v>1</x:v>
      </x:c>
      <x:c r="J18" s="11" t="s">
        <x:v>232</x:v>
      </x:c>
      <x:c r="K18" s="11" t="s">
        <x:v>233</x:v>
      </x:c>
      <x:c r="L18" s="11" t="s">
        <x:v>234</x:v>
      </x:c>
      <x:c r="M18" s="11" t="s">
        <x:v>235</x:v>
      </x:c>
      <x:c r="N18" s="11" t="s">
        <x:v>236</x:v>
      </x:c>
      <x:c r="O18" s="11" t="s">
        <x:v>237</x:v>
      </x:c>
      <x:c r="P18" s="11" t="s">
        <x:v>146</x:v>
      </x:c>
      <x:c r="Q18" s="11" t="s">
        <x:v>215</x:v>
      </x:c>
      <x:c r="R18" s="11" t="s">
        <x:v>238</x:v>
      </x:c>
      <x:c r="S18" s="11" t="s">
        <x:v>239</x:v>
      </x:c>
      <x:c r="T18" s="11"/>
    </x:row>
    <x:row r="19" ht="22.799999237060547" hidden="1">
      <x:c r="A19" s="11" t="s">
        <x:v>240</x:v>
      </x:c>
      <x:c r="B19" s="11" t="s">
        <x:v>53</x:v>
      </x:c>
      <x:c r="C19" s="11">
        <x:v>2</x:v>
      </x:c>
      <x:c r="D19" s="11" t="s">
        <x:v>85</x:v>
      </x:c>
      <x:c r="E19" s="11" t="s">
        <x:v>241</x:v>
      </x:c>
      <x:c r="F19" s="11" t="s">
        <x:v>242</x:v>
      </x:c>
      <x:c r="G19" s="11" t="s">
        <x:v>243</x:v>
      </x:c>
      <x:c r="H19" s="11" t="s">
        <x:v>117</x:v>
      </x:c>
      <x:c r="I19" s="16">
        <x:v>1.25</x:v>
      </x:c>
      <x:c r="J19" s="11" t="s">
        <x:v>232</x:v>
      </x:c>
      <x:c r="K19" s="11" t="s">
        <x:v>97</x:v>
      </x:c>
      <x:c r="L19" s="11" t="s">
        <x:v>244</x:v>
      </x:c>
      <x:c r="M19" s="11" t="s">
        <x:v>245</x:v>
      </x:c>
      <x:c r="N19" s="11" t="s">
        <x:v>246</x:v>
      </x:c>
      <x:c r="O19" s="11" t="s">
        <x:v>247</x:v>
      </x:c>
      <x:c r="P19" s="11" t="s">
        <x:v>248</x:v>
      </x:c>
      <x:c r="Q19" s="11" t="s">
        <x:v>228</x:v>
      </x:c>
      <x:c r="R19" s="11" t="s">
        <x:v>249</x:v>
      </x:c>
      <x:c r="S19" s="11" t="s">
        <x:v>239</x:v>
      </x:c>
      <x:c r="T19" s="11"/>
    </x:row>
    <x:row r="20" ht="22.799999237060547" hidden="1">
      <x:c r="A20" s="11" t="s">
        <x:v>250</x:v>
      </x:c>
      <x:c r="B20" s="11" t="s">
        <x:v>53</x:v>
      </x:c>
      <x:c r="C20" s="11">
        <x:v>3</x:v>
      </x:c>
      <x:c r="D20" s="11" t="s">
        <x:v>85</x:v>
      </x:c>
      <x:c r="E20" s="11" t="s">
        <x:v>251</x:v>
      </x:c>
      <x:c r="F20" s="11" t="s">
        <x:v>252</x:v>
      </x:c>
      <x:c r="G20" s="11" t="s">
        <x:v>253</x:v>
      </x:c>
      <x:c r="H20" s="11" t="s">
        <x:v>117</x:v>
      </x:c>
      <x:c r="I20" s="16">
        <x:v>1</x:v>
      </x:c>
      <x:c r="J20" s="11" t="s">
        <x:v>254</x:v>
      </x:c>
      <x:c r="K20" s="11" t="s">
        <x:v>97</x:v>
      </x:c>
      <x:c r="L20" s="11" t="s">
        <x:v>255</x:v>
      </x:c>
      <x:c r="M20" s="11" t="s">
        <x:v>256</x:v>
      </x:c>
      <x:c r="N20" s="11" t="s">
        <x:v>257</x:v>
      </x:c>
      <x:c r="O20" s="11" t="s">
        <x:v>258</x:v>
      </x:c>
      <x:c r="P20" s="11" t="s">
        <x:v>259</x:v>
      </x:c>
      <x:c r="Q20" s="11" t="s">
        <x:v>215</x:v>
      </x:c>
      <x:c r="R20" s="11" t="s">
        <x:v>260</x:v>
      </x:c>
      <x:c r="S20" s="11" t="s">
        <x:v>239</x:v>
      </x:c>
      <x:c r="T20" s="11"/>
    </x:row>
    <x:row r="21" ht="22.799999237060547" hidden="1">
      <x:c r="A21" s="11" t="s">
        <x:v>261</x:v>
      </x:c>
      <x:c r="B21" s="11" t="s">
        <x:v>53</x:v>
      </x:c>
      <x:c r="C21" s="11">
        <x:v>4</x:v>
      </x:c>
      <x:c r="D21" s="11" t="s">
        <x:v>85</x:v>
      </x:c>
      <x:c r="E21" s="11" t="s">
        <x:v>262</x:v>
      </x:c>
      <x:c r="F21" s="11" t="s">
        <x:v>263</x:v>
      </x:c>
      <x:c r="G21" s="11" t="s">
        <x:v>264</x:v>
      </x:c>
      <x:c r="H21" s="11" t="s">
        <x:v>117</x:v>
      </x:c>
      <x:c r="I21" s="16">
        <x:v>1.5</x:v>
      </x:c>
      <x:c r="J21" s="11" t="s">
        <x:v>232</x:v>
      </x:c>
      <x:c r="K21" s="11" t="s">
        <x:v>265</x:v>
      </x:c>
      <x:c r="L21" s="11" t="s">
        <x:v>266</x:v>
      </x:c>
      <x:c r="M21" s="11" t="s">
        <x:v>267</x:v>
      </x:c>
      <x:c r="N21" s="11" t="s">
        <x:v>268</x:v>
      </x:c>
      <x:c r="O21" s="11" t="s">
        <x:v>269</x:v>
      </x:c>
      <x:c r="P21" s="11" t="s">
        <x:v>259</x:v>
      </x:c>
      <x:c r="Q21" s="11" t="s">
        <x:v>270</x:v>
      </x:c>
      <x:c r="R21" s="11" t="s">
        <x:v>271</x:v>
      </x:c>
      <x:c r="S21" s="11" t="s">
        <x:v>239</x:v>
      </x:c>
      <x:c r="T21" s="11"/>
    </x:row>
    <x:row r="22" ht="22.799999237060547" hidden="1">
      <x:c r="A22" s="11" t="s">
        <x:v>272</x:v>
      </x:c>
      <x:c r="B22" s="11" t="s">
        <x:v>53</x:v>
      </x:c>
      <x:c r="C22" s="11">
        <x:v>5</x:v>
      </x:c>
      <x:c r="D22" s="11" t="s">
        <x:v>85</x:v>
      </x:c>
      <x:c r="E22" s="11" t="s">
        <x:v>273</x:v>
      </x:c>
      <x:c r="F22" s="11" t="s">
        <x:v>274</x:v>
      </x:c>
      <x:c r="G22" s="11" t="s">
        <x:v>275</x:v>
      </x:c>
      <x:c r="H22" s="11" t="s">
        <x:v>117</x:v>
      </x:c>
      <x:c r="I22" s="16">
        <x:v>1.25</x:v>
      </x:c>
      <x:c r="J22" s="11" t="s">
        <x:v>276</x:v>
      </x:c>
      <x:c r="K22" s="11" t="s">
        <x:v>277</x:v>
      </x:c>
      <x:c r="L22" s="11" t="s">
        <x:v>278</x:v>
      </x:c>
      <x:c r="M22" s="11" t="s">
        <x:v>279</x:v>
      </x:c>
      <x:c r="N22" s="11" t="s">
        <x:v>280</x:v>
      </x:c>
      <x:c r="O22" s="11" t="s">
        <x:v>281</x:v>
      </x:c>
      <x:c r="P22" s="11" t="s">
        <x:v>146</x:v>
      </x:c>
      <x:c r="Q22" s="11" t="s">
        <x:v>228</x:v>
      </x:c>
      <x:c r="R22" s="11" t="s">
        <x:v>282</x:v>
      </x:c>
      <x:c r="S22" s="11" t="s">
        <x:v>239</x:v>
      </x:c>
      <x:c r="T22" s="11"/>
    </x:row>
    <x:row r="23" ht="22.799999237060547" hidden="1">
      <x:c r="A23" s="11" t="s">
        <x:v>283</x:v>
      </x:c>
      <x:c r="B23" s="11" t="s">
        <x:v>53</x:v>
      </x:c>
      <x:c r="C23" s="11">
        <x:v>6</x:v>
      </x:c>
      <x:c r="D23" s="11" t="s">
        <x:v>85</x:v>
      </x:c>
      <x:c r="E23" s="11" t="s">
        <x:v>284</x:v>
      </x:c>
      <x:c r="F23" s="11" t="s">
        <x:v>285</x:v>
      </x:c>
      <x:c r="G23" s="11" t="s">
        <x:v>286</x:v>
      </x:c>
      <x:c r="H23" s="11" t="s">
        <x:v>117</x:v>
      </x:c>
      <x:c r="I23" s="16">
        <x:v>1.5</x:v>
      </x:c>
      <x:c r="J23" s="11" t="s">
        <x:v>287</x:v>
      </x:c>
      <x:c r="K23" s="11" t="s">
        <x:v>288</x:v>
      </x:c>
      <x:c r="L23" s="11" t="s">
        <x:v>289</x:v>
      </x:c>
      <x:c r="M23" s="11" t="s">
        <x:v>290</x:v>
      </x:c>
      <x:c r="N23" s="11" t="s">
        <x:v>291</x:v>
      </x:c>
      <x:c r="O23" s="11" t="s">
        <x:v>292</x:v>
      </x:c>
      <x:c r="P23" s="11" t="s">
        <x:v>157</x:v>
      </x:c>
      <x:c r="Q23" s="11" t="s">
        <x:v>293</x:v>
      </x:c>
      <x:c r="R23" s="11" t="s">
        <x:v>294</x:v>
      </x:c>
      <x:c r="S23" s="11" t="s">
        <x:v>239</x:v>
      </x:c>
      <x:c r="T23" s="11"/>
    </x:row>
    <x:row r="24" ht="22.799999237060547" hidden="1">
      <x:c r="A24" s="11" t="s">
        <x:v>295</x:v>
      </x:c>
      <x:c r="B24" s="11" t="s">
        <x:v>53</x:v>
      </x:c>
      <x:c r="C24" s="11">
        <x:v>7</x:v>
      </x:c>
      <x:c r="D24" s="11" t="s">
        <x:v>85</x:v>
      </x:c>
      <x:c r="E24" s="11" t="s">
        <x:v>296</x:v>
      </x:c>
      <x:c r="F24" s="11" t="s">
        <x:v>297</x:v>
      </x:c>
      <x:c r="G24" s="11" t="s">
        <x:v>298</x:v>
      </x:c>
      <x:c r="H24" s="11" t="s">
        <x:v>117</x:v>
      </x:c>
      <x:c r="I24" s="16">
        <x:v>1</x:v>
      </x:c>
      <x:c r="J24" s="11" t="s">
        <x:v>287</x:v>
      </x:c>
      <x:c r="K24" s="11" t="s">
        <x:v>299</x:v>
      </x:c>
      <x:c r="L24" s="11" t="s">
        <x:v>300</x:v>
      </x:c>
      <x:c r="M24" s="11" t="s">
        <x:v>301</x:v>
      </x:c>
      <x:c r="N24" s="11" t="s">
        <x:v>302</x:v>
      </x:c>
      <x:c r="O24" s="11" t="s">
        <x:v>303</x:v>
      </x:c>
      <x:c r="P24" s="11" t="s">
        <x:v>304</x:v>
      </x:c>
      <x:c r="Q24" s="11" t="s">
        <x:v>283</x:v>
      </x:c>
      <x:c r="R24" s="11" t="s">
        <x:v>305</x:v>
      </x:c>
      <x:c r="S24" s="11" t="s">
        <x:v>239</x:v>
      </x:c>
      <x:c r="T24" s="11"/>
    </x:row>
    <x:row r="25" ht="22.799999237060547" hidden="1">
      <x:c r="A25" s="11" t="s">
        <x:v>306</x:v>
      </x:c>
      <x:c r="B25" s="11" t="s">
        <x:v>53</x:v>
      </x:c>
      <x:c r="C25" s="11">
        <x:v>8</x:v>
      </x:c>
      <x:c r="D25" s="11" t="s">
        <x:v>85</x:v>
      </x:c>
      <x:c r="E25" s="11" t="s">
        <x:v>307</x:v>
      </x:c>
      <x:c r="F25" s="11" t="s">
        <x:v>308</x:v>
      </x:c>
      <x:c r="G25" s="11" t="s">
        <x:v>309</x:v>
      </x:c>
      <x:c r="H25" s="11" t="s">
        <x:v>117</x:v>
      </x:c>
      <x:c r="I25" s="16">
        <x:v>1</x:v>
      </x:c>
      <x:c r="J25" s="11" t="s">
        <x:v>232</x:v>
      </x:c>
      <x:c r="K25" s="11" t="s">
        <x:v>310</x:v>
      </x:c>
      <x:c r="L25" s="11" t="s">
        <x:v>311</x:v>
      </x:c>
      <x:c r="M25" s="11" t="s">
        <x:v>312</x:v>
      </x:c>
      <x:c r="N25" s="11" t="s">
        <x:v>313</x:v>
      </x:c>
      <x:c r="O25" s="11" t="s">
        <x:v>314</x:v>
      </x:c>
      <x:c r="P25" s="11" t="s">
        <x:v>304</x:v>
      </x:c>
      <x:c r="Q25" s="11" t="s">
        <x:v>261</x:v>
      </x:c>
      <x:c r="R25" s="11" t="s">
        <x:v>315</x:v>
      </x:c>
      <x:c r="S25" s="11" t="s">
        <x:v>239</x:v>
      </x:c>
      <x:c r="T25" s="11"/>
    </x:row>
    <x:row r="26" ht="34.20000076293945" hidden="1">
      <x:c r="A26" s="11" t="s">
        <x:v>316</x:v>
      </x:c>
      <x:c r="B26" s="11" t="s">
        <x:v>53</x:v>
      </x:c>
      <x:c r="C26" s="11">
        <x:v>9</x:v>
      </x:c>
      <x:c r="D26" s="11" t="s">
        <x:v>85</x:v>
      </x:c>
      <x:c r="E26" s="11" t="s">
        <x:v>317</x:v>
      </x:c>
      <x:c r="F26" s="11" t="s">
        <x:v>318</x:v>
      </x:c>
      <x:c r="G26" s="11" t="s">
        <x:v>319</x:v>
      </x:c>
      <x:c r="H26" s="11" t="s">
        <x:v>104</x:v>
      </x:c>
      <x:c r="I26" s="16">
        <x:v>1</x:v>
      </x:c>
      <x:c r="J26" s="11" t="s">
        <x:v>254</x:v>
      </x:c>
      <x:c r="K26" s="11" t="s">
        <x:v>320</x:v>
      </x:c>
      <x:c r="L26" s="11" t="s">
        <x:v>321</x:v>
      </x:c>
      <x:c r="M26" s="11" t="s">
        <x:v>322</x:v>
      </x:c>
      <x:c r="N26" s="11" t="s">
        <x:v>323</x:v>
      </x:c>
      <x:c r="O26" s="11" t="s">
        <x:v>324</x:v>
      </x:c>
      <x:c r="P26" s="11" t="s">
        <x:v>325</x:v>
      </x:c>
      <x:c r="Q26" s="11" t="s">
        <x:v>326</x:v>
      </x:c>
      <x:c r="R26" s="11" t="s">
        <x:v>327</x:v>
      </x:c>
      <x:c r="S26" s="11" t="s">
        <x:v>239</x:v>
      </x:c>
      <x:c r="T26" s="11"/>
    </x:row>
    <x:row r="27" ht="22.799999237060547" hidden="1">
      <x:c r="A27" s="11" t="s">
        <x:v>328</x:v>
      </x:c>
      <x:c r="B27" s="11" t="s">
        <x:v>53</x:v>
      </x:c>
      <x:c r="C27" s="11">
        <x:v>10</x:v>
      </x:c>
      <x:c r="D27" s="11" t="s">
        <x:v>85</x:v>
      </x:c>
      <x:c r="E27" s="11" t="s">
        <x:v>194</x:v>
      </x:c>
      <x:c r="F27" s="11" t="s">
        <x:v>329</x:v>
      </x:c>
      <x:c r="G27" s="11" t="s">
        <x:v>330</x:v>
      </x:c>
      <x:c r="H27" s="11" t="s">
        <x:v>104</x:v>
      </x:c>
      <x:c r="I27" s="16">
        <x:v>1</x:v>
      </x:c>
      <x:c r="J27" s="11" t="s">
        <x:v>254</x:v>
      </x:c>
      <x:c r="K27" s="11" t="s">
        <x:v>331</x:v>
      </x:c>
      <x:c r="L27" s="11" t="s">
        <x:v>332</x:v>
      </x:c>
      <x:c r="M27" s="11" t="s">
        <x:v>333</x:v>
      </x:c>
      <x:c r="N27" s="11" t="s">
        <x:v>334</x:v>
      </x:c>
      <x:c r="O27" s="11" t="s">
        <x:v>335</x:v>
      </x:c>
      <x:c r="P27" s="11" t="s">
        <x:v>336</x:v>
      </x:c>
      <x:c r="Q27" s="11" t="s">
        <x:v>316</x:v>
      </x:c>
      <x:c r="R27" s="11" t="s">
        <x:v>337</x:v>
      </x:c>
      <x:c r="S27" s="11" t="s">
        <x:v>239</x:v>
      </x:c>
      <x:c r="T27" s="11"/>
    </x:row>
    <x:row r="28" ht="22.799999237060547" hidden="1">
      <x:c r="A28" s="11" t="s">
        <x:v>338</x:v>
      </x:c>
      <x:c r="B28" s="11" t="s">
        <x:v>53</x:v>
      </x:c>
      <x:c r="C28" s="11">
        <x:v>11</x:v>
      </x:c>
      <x:c r="D28" s="11" t="s">
        <x:v>339</x:v>
      </x:c>
      <x:c r="E28" s="11" t="s">
        <x:v>340</x:v>
      </x:c>
      <x:c r="F28" s="11" t="s">
        <x:v>341</x:v>
      </x:c>
      <x:c r="G28" s="11" t="s">
        <x:v>342</x:v>
      </x:c>
      <x:c r="H28" s="11" t="s">
        <x:v>89</x:v>
      </x:c>
      <x:c r="I28" s="16">
        <x:v>0.75</x:v>
      </x:c>
      <x:c r="J28" s="11" t="s">
        <x:v>343</x:v>
      </x:c>
      <x:c r="K28" s="11" t="s">
        <x:v>97</x:v>
      </x:c>
      <x:c r="L28" s="11" t="s">
        <x:v>344</x:v>
      </x:c>
      <x:c r="M28" s="11" t="s">
        <x:v>345</x:v>
      </x:c>
      <x:c r="N28" s="11" t="s">
        <x:v>346</x:v>
      </x:c>
      <x:c r="O28" s="11" t="s">
        <x:v>347</x:v>
      </x:c>
      <x:c r="P28" s="11" t="s">
        <x:v>348</x:v>
      </x:c>
      <x:c r="Q28" s="11" t="s">
        <x:v>316</x:v>
      </x:c>
      <x:c r="R28" s="11" t="s">
        <x:v>349</x:v>
      </x:c>
      <x:c r="S28" s="11" t="s">
        <x:v>239</x:v>
      </x:c>
      <x:c r="T28" s="11"/>
    </x:row>
    <x:row r="29" ht="22.799999237060547" hidden="1">
      <x:c r="A29" s="11" t="s">
        <x:v>350</x:v>
      </x:c>
      <x:c r="B29" s="11" t="s">
        <x:v>53</x:v>
      </x:c>
      <x:c r="C29" s="11">
        <x:v>12</x:v>
      </x:c>
      <x:c r="D29" s="11" t="s">
        <x:v>85</x:v>
      </x:c>
      <x:c r="E29" s="11" t="s">
        <x:v>216</x:v>
      </x:c>
      <x:c r="F29" s="11" t="s">
        <x:v>351</x:v>
      </x:c>
      <x:c r="G29" s="11" t="s">
        <x:v>352</x:v>
      </x:c>
      <x:c r="H29" s="11" t="s">
        <x:v>89</x:v>
      </x:c>
      <x:c r="I29" s="16">
        <x:v>0.75</x:v>
      </x:c>
      <x:c r="J29" s="11" t="s">
        <x:v>219</x:v>
      </x:c>
      <x:c r="K29" s="11" t="s">
        <x:v>353</x:v>
      </x:c>
      <x:c r="L29" s="11" t="s">
        <x:v>354</x:v>
      </x:c>
      <x:c r="M29" s="11" t="s">
        <x:v>355</x:v>
      </x:c>
      <x:c r="N29" s="11" t="s">
        <x:v>356</x:v>
      </x:c>
      <x:c r="O29" s="11" t="s">
        <x:v>357</x:v>
      </x:c>
      <x:c r="P29" s="11" t="s">
        <x:v>110</x:v>
      </x:c>
      <x:c r="Q29" s="11" t="s">
        <x:v>358</x:v>
      </x:c>
      <x:c r="R29" s="11" t="s">
        <x:v>359</x:v>
      </x:c>
      <x:c r="S29" s="11" t="s">
        <x:v>239</x:v>
      </x:c>
      <x:c r="T29" s="11"/>
    </x:row>
    <x:row r="30" ht="22.799999237060547" hidden="1">
      <x:c r="A30" s="11" t="s">
        <x:v>360</x:v>
      </x:c>
      <x:c r="B30" s="11" t="s">
        <x:v>54</x:v>
      </x:c>
      <x:c r="C30" s="11">
        <x:v>1</x:v>
      </x:c>
      <x:c r="D30" s="11" t="s">
        <x:v>85</x:v>
      </x:c>
      <x:c r="E30" s="11" t="s">
        <x:v>361</x:v>
      </x:c>
      <x:c r="F30" s="11" t="s">
        <x:v>362</x:v>
      </x:c>
      <x:c r="G30" s="11" t="s">
        <x:v>363</x:v>
      </x:c>
      <x:c r="H30" s="11" t="s">
        <x:v>117</x:v>
      </x:c>
      <x:c r="I30" s="16">
        <x:v>1</x:v>
      </x:c>
      <x:c r="J30" s="11" t="s">
        <x:v>364</x:v>
      </x:c>
      <x:c r="K30" s="11" t="s">
        <x:v>365</x:v>
      </x:c>
      <x:c r="L30" s="11" t="s">
        <x:v>366</x:v>
      </x:c>
      <x:c r="M30" s="11" t="s">
        <x:v>367</x:v>
      </x:c>
      <x:c r="N30" s="11" t="s">
        <x:v>368</x:v>
      </x:c>
      <x:c r="O30" s="11" t="s">
        <x:v>369</x:v>
      </x:c>
      <x:c r="P30" s="11" t="s">
        <x:v>370</x:v>
      </x:c>
      <x:c r="Q30" s="11" t="s">
        <x:v>350</x:v>
      </x:c>
      <x:c r="R30" s="11" t="s">
        <x:v>371</x:v>
      </x:c>
      <x:c r="S30" s="11" t="s">
        <x:v>239</x:v>
      </x:c>
      <x:c r="T30" s="11"/>
    </x:row>
    <x:row r="31" ht="22.799999237060547" hidden="1">
      <x:c r="A31" s="11" t="s">
        <x:v>372</x:v>
      </x:c>
      <x:c r="B31" s="11" t="s">
        <x:v>54</x:v>
      </x:c>
      <x:c r="C31" s="11">
        <x:v>2</x:v>
      </x:c>
      <x:c r="D31" s="11" t="s">
        <x:v>85</x:v>
      </x:c>
      <x:c r="E31" s="11" t="s">
        <x:v>373</x:v>
      </x:c>
      <x:c r="F31" s="11" t="s">
        <x:v>374</x:v>
      </x:c>
      <x:c r="G31" s="11" t="s">
        <x:v>375</x:v>
      </x:c>
      <x:c r="H31" s="11" t="s">
        <x:v>117</x:v>
      </x:c>
      <x:c r="I31" s="16">
        <x:v>1.25</x:v>
      </x:c>
      <x:c r="J31" s="11" t="s">
        <x:v>364</x:v>
      </x:c>
      <x:c r="K31" s="11" t="s">
        <x:v>376</x:v>
      </x:c>
      <x:c r="L31" s="11" t="s">
        <x:v>377</x:v>
      </x:c>
      <x:c r="M31" s="11" t="s">
        <x:v>378</x:v>
      </x:c>
      <x:c r="N31" s="11" t="s">
        <x:v>379</x:v>
      </x:c>
      <x:c r="O31" s="11" t="s">
        <x:v>380</x:v>
      </x:c>
      <x:c r="P31" s="11" t="s">
        <x:v>381</x:v>
      </x:c>
      <x:c r="Q31" s="11" t="s">
        <x:v>360</x:v>
      </x:c>
      <x:c r="R31" s="11" t="s">
        <x:v>382</x:v>
      </x:c>
      <x:c r="S31" s="11" t="s">
        <x:v>239</x:v>
      </x:c>
      <x:c r="T31" s="11"/>
    </x:row>
    <x:row r="32" ht="22.799999237060547" hidden="1">
      <x:c r="A32" s="11" t="s">
        <x:v>383</x:v>
      </x:c>
      <x:c r="B32" s="11" t="s">
        <x:v>54</x:v>
      </x:c>
      <x:c r="C32" s="11">
        <x:v>3</x:v>
      </x:c>
      <x:c r="D32" s="11" t="s">
        <x:v>85</x:v>
      </x:c>
      <x:c r="E32" s="11" t="s">
        <x:v>384</x:v>
      </x:c>
      <x:c r="F32" s="11" t="s">
        <x:v>385</x:v>
      </x:c>
      <x:c r="G32" s="11" t="s">
        <x:v>386</x:v>
      </x:c>
      <x:c r="H32" s="11" t="s">
        <x:v>117</x:v>
      </x:c>
      <x:c r="I32" s="16">
        <x:v>0.75</x:v>
      </x:c>
      <x:c r="J32" s="11" t="s">
        <x:v>364</x:v>
      </x:c>
      <x:c r="K32" s="11" t="s">
        <x:v>97</x:v>
      </x:c>
      <x:c r="L32" s="11" t="s">
        <x:v>387</x:v>
      </x:c>
      <x:c r="M32" s="11" t="s">
        <x:v>388</x:v>
      </x:c>
      <x:c r="N32" s="11" t="s">
        <x:v>389</x:v>
      </x:c>
      <x:c r="O32" s="11" t="s">
        <x:v>390</x:v>
      </x:c>
      <x:c r="P32" s="11" t="s">
        <x:v>391</x:v>
      </x:c>
      <x:c r="Q32" s="11" t="s">
        <x:v>360</x:v>
      </x:c>
      <x:c r="R32" s="11" t="s">
        <x:v>392</x:v>
      </x:c>
      <x:c r="S32" s="11" t="s">
        <x:v>239</x:v>
      </x:c>
      <x:c r="T32" s="11"/>
    </x:row>
    <x:row r="33" ht="22.799999237060547" hidden="1">
      <x:c r="A33" s="11" t="s">
        <x:v>393</x:v>
      </x:c>
      <x:c r="B33" s="11" t="s">
        <x:v>54</x:v>
      </x:c>
      <x:c r="C33" s="11">
        <x:v>4</x:v>
      </x:c>
      <x:c r="D33" s="11" t="s">
        <x:v>85</x:v>
      </x:c>
      <x:c r="E33" s="11" t="s">
        <x:v>394</x:v>
      </x:c>
      <x:c r="F33" s="11" t="s">
        <x:v>395</x:v>
      </x:c>
      <x:c r="G33" s="11" t="s">
        <x:v>396</x:v>
      </x:c>
      <x:c r="H33" s="11" t="s">
        <x:v>117</x:v>
      </x:c>
      <x:c r="I33" s="16">
        <x:v>1.5</x:v>
      </x:c>
      <x:c r="J33" s="11" t="s">
        <x:v>364</x:v>
      </x:c>
      <x:c r="K33" s="11" t="s">
        <x:v>397</x:v>
      </x:c>
      <x:c r="L33" s="11" t="s">
        <x:v>398</x:v>
      </x:c>
      <x:c r="M33" s="11" t="s">
        <x:v>399</x:v>
      </x:c>
      <x:c r="N33" s="11" t="s">
        <x:v>400</x:v>
      </x:c>
      <x:c r="O33" s="11" t="s">
        <x:v>401</x:v>
      </x:c>
      <x:c r="P33" s="11" t="s">
        <x:v>391</x:v>
      </x:c>
      <x:c r="Q33" s="11" t="s">
        <x:v>402</x:v>
      </x:c>
      <x:c r="R33" s="11" t="s">
        <x:v>403</x:v>
      </x:c>
      <x:c r="S33" s="11" t="s">
        <x:v>239</x:v>
      </x:c>
      <x:c r="T33" s="11"/>
    </x:row>
    <x:row r="34" hidden="1">
      <x:c r="A34" s="11" t="s">
        <x:v>404</x:v>
      </x:c>
      <x:c r="B34" s="11" t="s">
        <x:v>54</x:v>
      </x:c>
      <x:c r="C34" s="11">
        <x:v>5</x:v>
      </x:c>
      <x:c r="D34" s="11" t="s">
        <x:v>85</x:v>
      </x:c>
      <x:c r="E34" s="11" t="s">
        <x:v>405</x:v>
      </x:c>
      <x:c r="F34" s="11" t="s">
        <x:v>406</x:v>
      </x:c>
      <x:c r="G34" s="11" t="s">
        <x:v>407</x:v>
      </x:c>
      <x:c r="H34" s="11" t="s">
        <x:v>117</x:v>
      </x:c>
      <x:c r="I34" s="16">
        <x:v>1</x:v>
      </x:c>
      <x:c r="J34" s="11" t="s">
        <x:v>408</x:v>
      </x:c>
      <x:c r="K34" s="11" t="s">
        <x:v>409</x:v>
      </x:c>
      <x:c r="L34" s="11" t="s">
        <x:v>410</x:v>
      </x:c>
      <x:c r="M34" s="11" t="s">
        <x:v>411</x:v>
      </x:c>
      <x:c r="N34" s="11" t="s">
        <x:v>412</x:v>
      </x:c>
      <x:c r="O34" s="11" t="s">
        <x:v>413</x:v>
      </x:c>
      <x:c r="P34" s="11" t="s">
        <x:v>304</x:v>
      </x:c>
      <x:c r="Q34" s="11" t="s">
        <x:v>393</x:v>
      </x:c>
      <x:c r="R34" s="11" t="s">
        <x:v>414</x:v>
      </x:c>
      <x:c r="S34" s="11" t="s">
        <x:v>239</x:v>
      </x:c>
      <x:c r="T34" s="11"/>
    </x:row>
    <x:row r="35" ht="22.799999237060547" hidden="1">
      <x:c r="A35" s="11" t="s">
        <x:v>415</x:v>
      </x:c>
      <x:c r="B35" s="11" t="s">
        <x:v>54</x:v>
      </x:c>
      <x:c r="C35" s="11">
        <x:v>6</x:v>
      </x:c>
      <x:c r="D35" s="11" t="s">
        <x:v>85</x:v>
      </x:c>
      <x:c r="E35" s="11" t="s">
        <x:v>416</x:v>
      </x:c>
      <x:c r="F35" s="11" t="s">
        <x:v>417</x:v>
      </x:c>
      <x:c r="G35" s="11" t="s">
        <x:v>418</x:v>
      </x:c>
      <x:c r="H35" s="11" t="s">
        <x:v>89</x:v>
      </x:c>
      <x:c r="I35" s="16">
        <x:v>1.25</x:v>
      </x:c>
      <x:c r="J35" s="11" t="s">
        <x:v>419</x:v>
      </x:c>
      <x:c r="K35" s="11" t="s">
        <x:v>420</x:v>
      </x:c>
      <x:c r="L35" s="11" t="s">
        <x:v>421</x:v>
      </x:c>
      <x:c r="M35" s="11" t="s">
        <x:v>422</x:v>
      </x:c>
      <x:c r="N35" s="11" t="s">
        <x:v>423</x:v>
      </x:c>
      <x:c r="O35" s="11" t="s">
        <x:v>424</x:v>
      </x:c>
      <x:c r="P35" s="11" t="s">
        <x:v>157</x:v>
      </x:c>
      <x:c r="Q35" s="11" t="s">
        <x:v>316</x:v>
      </x:c>
      <x:c r="R35" s="11" t="s">
        <x:v>425</x:v>
      </x:c>
      <x:c r="S35" s="11" t="s">
        <x:v>239</x:v>
      </x:c>
      <x:c r="T35" s="11"/>
    </x:row>
    <x:row r="36" ht="22.799999237060547" hidden="1">
      <x:c r="A36" s="11" t="s">
        <x:v>426</x:v>
      </x:c>
      <x:c r="B36" s="11" t="s">
        <x:v>54</x:v>
      </x:c>
      <x:c r="C36" s="11">
        <x:v>7</x:v>
      </x:c>
      <x:c r="D36" s="11" t="s">
        <x:v>85</x:v>
      </x:c>
      <x:c r="E36" s="11" t="s">
        <x:v>427</x:v>
      </x:c>
      <x:c r="F36" s="11" t="s">
        <x:v>428</x:v>
      </x:c>
      <x:c r="G36" s="11" t="s">
        <x:v>429</x:v>
      </x:c>
      <x:c r="H36" s="11" t="s">
        <x:v>117</x:v>
      </x:c>
      <x:c r="I36" s="16">
        <x:v>1.5</x:v>
      </x:c>
      <x:c r="J36" s="11" t="s">
        <x:v>419</x:v>
      </x:c>
      <x:c r="K36" s="11" t="s">
        <x:v>430</x:v>
      </x:c>
      <x:c r="L36" s="11" t="s">
        <x:v>431</x:v>
      </x:c>
      <x:c r="M36" s="11" t="s">
        <x:v>432</x:v>
      </x:c>
      <x:c r="N36" s="11" t="s">
        <x:v>433</x:v>
      </x:c>
      <x:c r="O36" s="11" t="s">
        <x:v>434</x:v>
      </x:c>
      <x:c r="P36" s="11" t="s">
        <x:v>157</x:v>
      </x:c>
      <x:c r="Q36" s="11" t="s">
        <x:v>435</x:v>
      </x:c>
      <x:c r="R36" s="11" t="s">
        <x:v>436</x:v>
      </x:c>
      <x:c r="S36" s="11" t="s">
        <x:v>239</x:v>
      </x:c>
      <x:c r="T36" s="11"/>
    </x:row>
    <x:row r="37" ht="22.799999237060547" hidden="1">
      <x:c r="A37" s="11" t="s">
        <x:v>437</x:v>
      </x:c>
      <x:c r="B37" s="11" t="s">
        <x:v>54</x:v>
      </x:c>
      <x:c r="C37" s="11">
        <x:v>8</x:v>
      </x:c>
      <x:c r="D37" s="11" t="s">
        <x:v>85</x:v>
      </x:c>
      <x:c r="E37" s="11" t="s">
        <x:v>438</x:v>
      </x:c>
      <x:c r="F37" s="11" t="s">
        <x:v>439</x:v>
      </x:c>
      <x:c r="G37" s="11" t="s">
        <x:v>440</x:v>
      </x:c>
      <x:c r="H37" s="11" t="s">
        <x:v>117</x:v>
      </x:c>
      <x:c r="I37" s="16">
        <x:v>1</x:v>
      </x:c>
      <x:c r="J37" s="11" t="s">
        <x:v>408</x:v>
      </x:c>
      <x:c r="K37" s="11" t="s">
        <x:v>310</x:v>
      </x:c>
      <x:c r="L37" s="11" t="s">
        <x:v>441</x:v>
      </x:c>
      <x:c r="M37" s="11" t="s">
        <x:v>442</x:v>
      </x:c>
      <x:c r="N37" s="11" t="s">
        <x:v>443</x:v>
      </x:c>
      <x:c r="O37" s="11" t="s">
        <x:v>444</x:v>
      </x:c>
      <x:c r="P37" s="11" t="s">
        <x:v>304</x:v>
      </x:c>
      <x:c r="Q37" s="11" t="s">
        <x:v>404</x:v>
      </x:c>
      <x:c r="R37" s="11" t="s">
        <x:v>445</x:v>
      </x:c>
      <x:c r="S37" s="11" t="s">
        <x:v>239</x:v>
      </x:c>
      <x:c r="T37" s="11"/>
    </x:row>
    <x:row r="38" ht="22.799999237060547" hidden="1">
      <x:c r="A38" s="11" t="s">
        <x:v>446</x:v>
      </x:c>
      <x:c r="B38" s="11" t="s">
        <x:v>54</x:v>
      </x:c>
      <x:c r="C38" s="11">
        <x:v>9</x:v>
      </x:c>
      <x:c r="D38" s="11" t="s">
        <x:v>85</x:v>
      </x:c>
      <x:c r="E38" s="11" t="s">
        <x:v>447</x:v>
      </x:c>
      <x:c r="F38" s="11" t="s">
        <x:v>448</x:v>
      </x:c>
      <x:c r="G38" s="11" t="s">
        <x:v>449</x:v>
      </x:c>
      <x:c r="H38" s="11" t="s">
        <x:v>117</x:v>
      </x:c>
      <x:c r="I38" s="16">
        <x:v>0.75</x:v>
      </x:c>
      <x:c r="J38" s="11" t="s">
        <x:v>450</x:v>
      </x:c>
      <x:c r="K38" s="11" t="s">
        <x:v>451</x:v>
      </x:c>
      <x:c r="L38" s="11" t="s">
        <x:v>452</x:v>
      </x:c>
      <x:c r="M38" s="11" t="s">
        <x:v>453</x:v>
      </x:c>
      <x:c r="N38" s="11" t="s">
        <x:v>454</x:v>
      </x:c>
      <x:c r="O38" s="11" t="s">
        <x:v>455</x:v>
      </x:c>
      <x:c r="P38" s="11" t="s">
        <x:v>456</x:v>
      </x:c>
      <x:c r="Q38" s="11" t="s">
        <x:v>393</x:v>
      </x:c>
      <x:c r="R38" s="11" t="s">
        <x:v>457</x:v>
      </x:c>
      <x:c r="S38" s="11" t="s">
        <x:v>239</x:v>
      </x:c>
      <x:c r="T38" s="11"/>
    </x:row>
    <x:row r="39" ht="22.799999237060547" hidden="1">
      <x:c r="A39" s="11" t="s">
        <x:v>458</x:v>
      </x:c>
      <x:c r="B39" s="11" t="s">
        <x:v>54</x:v>
      </x:c>
      <x:c r="C39" s="11">
        <x:v>10</x:v>
      </x:c>
      <x:c r="D39" s="11" t="s">
        <x:v>85</x:v>
      </x:c>
      <x:c r="E39" s="11" t="s">
        <x:v>459</x:v>
      </x:c>
      <x:c r="F39" s="11" t="s">
        <x:v>460</x:v>
      </x:c>
      <x:c r="G39" s="11" t="s">
        <x:v>461</x:v>
      </x:c>
      <x:c r="H39" s="11" t="s">
        <x:v>104</x:v>
      </x:c>
      <x:c r="I39" s="16">
        <x:v>0.75</x:v>
      </x:c>
      <x:c r="J39" s="11" t="s">
        <x:v>419</x:v>
      </x:c>
      <x:c r="K39" s="11" t="s">
        <x:v>462</x:v>
      </x:c>
      <x:c r="L39" s="11" t="s">
        <x:v>463</x:v>
      </x:c>
      <x:c r="M39" s="11" t="s">
        <x:v>464</x:v>
      </x:c>
      <x:c r="N39" s="11" t="s">
        <x:v>465</x:v>
      </x:c>
      <x:c r="O39" s="11" t="s">
        <x:v>466</x:v>
      </x:c>
      <x:c r="P39" s="11" t="s">
        <x:v>157</x:v>
      </x:c>
      <x:c r="Q39" s="11" t="s">
        <x:v>426</x:v>
      </x:c>
      <x:c r="R39" s="11" t="s">
        <x:v>467</x:v>
      </x:c>
      <x:c r="S39" s="11" t="s">
        <x:v>239</x:v>
      </x:c>
      <x:c r="T39" s="11"/>
    </x:row>
    <x:row r="40" ht="22.799999237060547" hidden="1">
      <x:c r="A40" s="11" t="s">
        <x:v>468</x:v>
      </x:c>
      <x:c r="B40" s="11" t="s">
        <x:v>54</x:v>
      </x:c>
      <x:c r="C40" s="11">
        <x:v>11</x:v>
      </x:c>
      <x:c r="D40" s="11" t="s">
        <x:v>85</x:v>
      </x:c>
      <x:c r="E40" s="11" t="s">
        <x:v>469</x:v>
      </x:c>
      <x:c r="F40" s="11" t="s">
        <x:v>470</x:v>
      </x:c>
      <x:c r="G40" s="11" t="s">
        <x:v>471</x:v>
      </x:c>
      <x:c r="H40" s="11" t="s">
        <x:v>104</x:v>
      </x:c>
      <x:c r="I40" s="16">
        <x:v>1</x:v>
      </x:c>
      <x:c r="J40" s="11" t="s">
        <x:v>472</x:v>
      </x:c>
      <x:c r="K40" s="11" t="s">
        <x:v>97</x:v>
      </x:c>
      <x:c r="L40" s="11" t="s">
        <x:v>473</x:v>
      </x:c>
      <x:c r="M40" s="11" t="s">
        <x:v>474</x:v>
      </x:c>
      <x:c r="N40" s="11" t="s">
        <x:v>475</x:v>
      </x:c>
      <x:c r="O40" s="11" t="s">
        <x:v>476</x:v>
      </x:c>
      <x:c r="P40" s="11" t="s">
        <x:v>477</x:v>
      </x:c>
      <x:c r="Q40" s="11" t="s">
        <x:v>458</x:v>
      </x:c>
      <x:c r="R40" s="11" t="s">
        <x:v>478</x:v>
      </x:c>
      <x:c r="S40" s="11" t="s">
        <x:v>239</x:v>
      </x:c>
      <x:c r="T40" s="11"/>
    </x:row>
    <x:row r="41" ht="22.799999237060547" hidden="1">
      <x:c r="A41" s="11" t="s">
        <x:v>479</x:v>
      </x:c>
      <x:c r="B41" s="11" t="s">
        <x:v>54</x:v>
      </x:c>
      <x:c r="C41" s="11">
        <x:v>12</x:v>
      </x:c>
      <x:c r="D41" s="11" t="s">
        <x:v>85</x:v>
      </x:c>
      <x:c r="E41" s="11" t="s">
        <x:v>216</x:v>
      </x:c>
      <x:c r="F41" s="11" t="s">
        <x:v>480</x:v>
      </x:c>
      <x:c r="G41" s="11" t="s">
        <x:v>481</x:v>
      </x:c>
      <x:c r="H41" s="11" t="s">
        <x:v>89</x:v>
      </x:c>
      <x:c r="I41" s="16">
        <x:v>0.75</x:v>
      </x:c>
      <x:c r="J41" s="11" t="s">
        <x:v>219</x:v>
      </x:c>
      <x:c r="K41" s="11" t="s">
        <x:v>482</x:v>
      </x:c>
      <x:c r="L41" s="11" t="s">
        <x:v>483</x:v>
      </x:c>
      <x:c r="M41" s="11" t="s">
        <x:v>484</x:v>
      </x:c>
      <x:c r="N41" s="11" t="s">
        <x:v>485</x:v>
      </x:c>
      <x:c r="O41" s="11" t="s">
        <x:v>486</x:v>
      </x:c>
      <x:c r="P41" s="11" t="s">
        <x:v>110</x:v>
      </x:c>
      <x:c r="Q41" s="11" t="s">
        <x:v>487</x:v>
      </x:c>
      <x:c r="R41" s="11" t="s">
        <x:v>488</x:v>
      </x:c>
      <x:c r="S41" s="11" t="s">
        <x:v>239</x:v>
      </x:c>
      <x:c r="T41" s="11"/>
    </x:row>
    <x:row r="42" ht="22.799999237060547" hidden="1">
      <x:c r="A42" s="11" t="s">
        <x:v>489</x:v>
      </x:c>
      <x:c r="B42" s="11" t="s">
        <x:v>55</x:v>
      </x:c>
      <x:c r="C42" s="11">
        <x:v>1</x:v>
      </x:c>
      <x:c r="D42" s="11" t="s">
        <x:v>85</x:v>
      </x:c>
      <x:c r="E42" s="11" t="s">
        <x:v>490</x:v>
      </x:c>
      <x:c r="F42" s="11" t="s">
        <x:v>491</x:v>
      </x:c>
      <x:c r="G42" s="11" t="s">
        <x:v>492</x:v>
      </x:c>
      <x:c r="H42" s="11" t="s">
        <x:v>117</x:v>
      </x:c>
      <x:c r="I42" s="16">
        <x:v>1.5</x:v>
      </x:c>
      <x:c r="J42" s="11" t="s">
        <x:v>493</x:v>
      </x:c>
      <x:c r="K42" s="11" t="s">
        <x:v>310</x:v>
      </x:c>
      <x:c r="L42" s="11" t="s">
        <x:v>494</x:v>
      </x:c>
      <x:c r="M42" s="11" t="s">
        <x:v>495</x:v>
      </x:c>
      <x:c r="N42" s="11" t="s">
        <x:v>496</x:v>
      </x:c>
      <x:c r="O42" s="11" t="s">
        <x:v>497</x:v>
      </x:c>
      <x:c r="P42" s="11" t="s">
        <x:v>498</x:v>
      </x:c>
      <x:c r="Q42" s="11" t="s">
        <x:v>479</x:v>
      </x:c>
      <x:c r="R42" s="11" t="s">
        <x:v>499</x:v>
      </x:c>
      <x:c r="S42" s="11" t="s">
        <x:v>239</x:v>
      </x:c>
      <x:c r="T42" s="11"/>
    </x:row>
    <x:row r="43" ht="22.799999237060547" hidden="1">
      <x:c r="A43" s="11" t="s">
        <x:v>500</x:v>
      </x:c>
      <x:c r="B43" s="11" t="s">
        <x:v>55</x:v>
      </x:c>
      <x:c r="C43" s="11">
        <x:v>2</x:v>
      </x:c>
      <x:c r="D43" s="11" t="s">
        <x:v>85</x:v>
      </x:c>
      <x:c r="E43" s="11" t="s">
        <x:v>307</x:v>
      </x:c>
      <x:c r="F43" s="11" t="s">
        <x:v>501</x:v>
      </x:c>
      <x:c r="G43" s="11" t="s">
        <x:v>502</x:v>
      </x:c>
      <x:c r="H43" s="11" t="s">
        <x:v>117</x:v>
      </x:c>
      <x:c r="I43" s="16">
        <x:v>1</x:v>
      </x:c>
      <x:c r="J43" s="11" t="s">
        <x:v>493</x:v>
      </x:c>
      <x:c r="K43" s="11" t="s">
        <x:v>310</x:v>
      </x:c>
      <x:c r="L43" s="11" t="s">
        <x:v>503</x:v>
      </x:c>
      <x:c r="M43" s="11" t="s">
        <x:v>504</x:v>
      </x:c>
      <x:c r="N43" s="11" t="s">
        <x:v>505</x:v>
      </x:c>
      <x:c r="O43" s="11" t="s">
        <x:v>506</x:v>
      </x:c>
      <x:c r="P43" s="11" t="s">
        <x:v>304</x:v>
      </x:c>
      <x:c r="Q43" s="11" t="s">
        <x:v>489</x:v>
      </x:c>
      <x:c r="R43" s="11" t="s">
        <x:v>507</x:v>
      </x:c>
      <x:c r="S43" s="11" t="s">
        <x:v>239</x:v>
      </x:c>
      <x:c r="T43" s="11"/>
    </x:row>
    <x:row r="44" ht="22.799999237060547" hidden="1">
      <x:c r="A44" s="11" t="s">
        <x:v>508</x:v>
      </x:c>
      <x:c r="B44" s="11" t="s">
        <x:v>55</x:v>
      </x:c>
      <x:c r="C44" s="11">
        <x:v>3</x:v>
      </x:c>
      <x:c r="D44" s="11" t="s">
        <x:v>85</x:v>
      </x:c>
      <x:c r="E44" s="11" t="s">
        <x:v>509</x:v>
      </x:c>
      <x:c r="F44" s="11" t="s">
        <x:v>510</x:v>
      </x:c>
      <x:c r="G44" s="11" t="s">
        <x:v>511</x:v>
      </x:c>
      <x:c r="H44" s="11" t="s">
        <x:v>117</x:v>
      </x:c>
      <x:c r="I44" s="16">
        <x:v>1.25</x:v>
      </x:c>
      <x:c r="J44" s="11" t="s">
        <x:v>512</x:v>
      </x:c>
      <x:c r="K44" s="11" t="s">
        <x:v>482</x:v>
      </x:c>
      <x:c r="L44" s="11" t="s">
        <x:v>513</x:v>
      </x:c>
      <x:c r="M44" s="11" t="s">
        <x:v>514</x:v>
      </x:c>
      <x:c r="N44" s="11" t="s">
        <x:v>515</x:v>
      </x:c>
      <x:c r="O44" s="11" t="s">
        <x:v>516</x:v>
      </x:c>
      <x:c r="P44" s="11" t="s">
        <x:v>517</x:v>
      </x:c>
      <x:c r="Q44" s="11" t="s">
        <x:v>500</x:v>
      </x:c>
      <x:c r="R44" s="11" t="s">
        <x:v>518</x:v>
      </x:c>
      <x:c r="S44" s="11" t="s">
        <x:v>239</x:v>
      </x:c>
      <x:c r="T44" s="11"/>
    </x:row>
    <x:row r="45" ht="22.799999237060547" hidden="1">
      <x:c r="A45" s="11" t="s">
        <x:v>519</x:v>
      </x:c>
      <x:c r="B45" s="11" t="s">
        <x:v>55</x:v>
      </x:c>
      <x:c r="C45" s="11">
        <x:v>4</x:v>
      </x:c>
      <x:c r="D45" s="11" t="s">
        <x:v>85</x:v>
      </x:c>
      <x:c r="E45" s="11" t="s">
        <x:v>520</x:v>
      </x:c>
      <x:c r="F45" s="11" t="s">
        <x:v>521</x:v>
      </x:c>
      <x:c r="G45" s="11" t="s">
        <x:v>522</x:v>
      </x:c>
      <x:c r="H45" s="11" t="s">
        <x:v>117</x:v>
      </x:c>
      <x:c r="I45" s="16">
        <x:v>0.75</x:v>
      </x:c>
      <x:c r="J45" s="11" t="s">
        <x:v>512</x:v>
      </x:c>
      <x:c r="K45" s="11" t="s">
        <x:v>97</x:v>
      </x:c>
      <x:c r="L45" s="11" t="s">
        <x:v>523</x:v>
      </x:c>
      <x:c r="M45" s="11" t="s">
        <x:v>524</x:v>
      </x:c>
      <x:c r="N45" s="11" t="s">
        <x:v>525</x:v>
      </x:c>
      <x:c r="O45" s="11" t="s">
        <x:v>526</x:v>
      </x:c>
      <x:c r="P45" s="11" t="s">
        <x:v>517</x:v>
      </x:c>
      <x:c r="Q45" s="11" t="s">
        <x:v>508</x:v>
      </x:c>
      <x:c r="R45" s="11" t="s">
        <x:v>527</x:v>
      </x:c>
      <x:c r="S45" s="11" t="s">
        <x:v>239</x:v>
      </x:c>
      <x:c r="T45" s="11"/>
    </x:row>
    <x:row r="46" ht="22.799999237060547" hidden="1">
      <x:c r="A46" s="11" t="s">
        <x:v>528</x:v>
      </x:c>
      <x:c r="B46" s="11" t="s">
        <x:v>55</x:v>
      </x:c>
      <x:c r="C46" s="11">
        <x:v>5</x:v>
      </x:c>
      <x:c r="D46" s="11" t="s">
        <x:v>85</x:v>
      </x:c>
      <x:c r="E46" s="11" t="s">
        <x:v>529</x:v>
      </x:c>
      <x:c r="F46" s="11" t="s">
        <x:v>530</x:v>
      </x:c>
      <x:c r="G46" s="11" t="s">
        <x:v>531</x:v>
      </x:c>
      <x:c r="H46" s="11" t="s">
        <x:v>117</x:v>
      </x:c>
      <x:c r="I46" s="16">
        <x:v>1.25</x:v>
      </x:c>
      <x:c r="J46" s="11" t="s">
        <x:v>512</x:v>
      </x:c>
      <x:c r="K46" s="11" t="s">
        <x:v>482</x:v>
      </x:c>
      <x:c r="L46" s="11" t="s">
        <x:v>532</x:v>
      </x:c>
      <x:c r="M46" s="11" t="s">
        <x:v>533</x:v>
      </x:c>
      <x:c r="N46" s="11" t="s">
        <x:v>534</x:v>
      </x:c>
      <x:c r="O46" s="11" t="s">
        <x:v>535</x:v>
      </x:c>
      <x:c r="P46" s="11" t="s">
        <x:v>536</x:v>
      </x:c>
      <x:c r="Q46" s="11" t="s">
        <x:v>537</x:v>
      </x:c>
      <x:c r="R46" s="11" t="s">
        <x:v>538</x:v>
      </x:c>
      <x:c r="S46" s="11" t="s">
        <x:v>239</x:v>
      </x:c>
      <x:c r="T46" s="11"/>
    </x:row>
    <x:row r="47" ht="22.799999237060547" hidden="1">
      <x:c r="A47" s="11" t="s">
        <x:v>539</x:v>
      </x:c>
      <x:c r="B47" s="11" t="s">
        <x:v>55</x:v>
      </x:c>
      <x:c r="C47" s="11">
        <x:v>6</x:v>
      </x:c>
      <x:c r="D47" s="11" t="s">
        <x:v>85</x:v>
      </x:c>
      <x:c r="E47" s="11" t="s">
        <x:v>540</x:v>
      </x:c>
      <x:c r="F47" s="11" t="s">
        <x:v>541</x:v>
      </x:c>
      <x:c r="G47" s="11" t="s">
        <x:v>542</x:v>
      </x:c>
      <x:c r="H47" s="11" t="s">
        <x:v>117</x:v>
      </x:c>
      <x:c r="I47" s="16">
        <x:v>1</x:v>
      </x:c>
      <x:c r="J47" s="11" t="s">
        <x:v>512</x:v>
      </x:c>
      <x:c r="K47" s="11" t="s">
        <x:v>543</x:v>
      </x:c>
      <x:c r="L47" s="11" t="s">
        <x:v>544</x:v>
      </x:c>
      <x:c r="M47" s="11" t="s">
        <x:v>545</x:v>
      </x:c>
      <x:c r="N47" s="11" t="s">
        <x:v>546</x:v>
      </x:c>
      <x:c r="O47" s="11" t="s">
        <x:v>547</x:v>
      </x:c>
      <x:c r="P47" s="11" t="s">
        <x:v>517</x:v>
      </x:c>
      <x:c r="Q47" s="11" t="s">
        <x:v>508</x:v>
      </x:c>
      <x:c r="R47" s="11" t="s">
        <x:v>548</x:v>
      </x:c>
      <x:c r="S47" s="11" t="s">
        <x:v>239</x:v>
      </x:c>
      <x:c r="T47" s="11"/>
    </x:row>
    <x:row r="48" hidden="1">
      <x:c r="A48" s="11" t="s">
        <x:v>549</x:v>
      </x:c>
      <x:c r="B48" s="11" t="s">
        <x:v>55</x:v>
      </x:c>
      <x:c r="C48" s="11">
        <x:v>7</x:v>
      </x:c>
      <x:c r="D48" s="11" t="s">
        <x:v>85</x:v>
      </x:c>
      <x:c r="E48" s="11" t="s">
        <x:v>550</x:v>
      </x:c>
      <x:c r="F48" s="11" t="s">
        <x:v>551</x:v>
      </x:c>
      <x:c r="G48" s="11" t="s">
        <x:v>552</x:v>
      </x:c>
      <x:c r="H48" s="11" t="s">
        <x:v>117</x:v>
      </x:c>
      <x:c r="I48" s="16">
        <x:v>0.75</x:v>
      </x:c>
      <x:c r="J48" s="11" t="s">
        <x:v>512</x:v>
      </x:c>
      <x:c r="K48" s="11" t="s">
        <x:v>553</x:v>
      </x:c>
      <x:c r="L48" s="11" t="s">
        <x:v>554</x:v>
      </x:c>
      <x:c r="M48" s="11" t="s">
        <x:v>555</x:v>
      </x:c>
      <x:c r="N48" s="11" t="s">
        <x:v>556</x:v>
      </x:c>
      <x:c r="O48" s="11" t="s">
        <x:v>557</x:v>
      </x:c>
      <x:c r="P48" s="11" t="s">
        <x:v>304</x:v>
      </x:c>
      <x:c r="Q48" s="11" t="s">
        <x:v>528</x:v>
      </x:c>
      <x:c r="R48" s="11" t="s">
        <x:v>558</x:v>
      </x:c>
      <x:c r="S48" s="11" t="s">
        <x:v>239</x:v>
      </x:c>
      <x:c r="T48" s="11"/>
    </x:row>
    <x:row r="49" ht="22.799999237060547" hidden="1">
      <x:c r="A49" s="11" t="s">
        <x:v>559</x:v>
      </x:c>
      <x:c r="B49" s="11" t="s">
        <x:v>55</x:v>
      </x:c>
      <x:c r="C49" s="11">
        <x:v>8</x:v>
      </x:c>
      <x:c r="D49" s="11" t="s">
        <x:v>85</x:v>
      </x:c>
      <x:c r="E49" s="11" t="s">
        <x:v>560</x:v>
      </x:c>
      <x:c r="F49" s="11" t="s">
        <x:v>561</x:v>
      </x:c>
      <x:c r="G49" s="11" t="s">
        <x:v>562</x:v>
      </x:c>
      <x:c r="H49" s="11" t="s">
        <x:v>117</x:v>
      </x:c>
      <x:c r="I49" s="16">
        <x:v>1</x:v>
      </x:c>
      <x:c r="J49" s="11" t="s">
        <x:v>450</x:v>
      </x:c>
      <x:c r="K49" s="11" t="s">
        <x:v>451</x:v>
      </x:c>
      <x:c r="L49" s="11" t="s">
        <x:v>563</x:v>
      </x:c>
      <x:c r="M49" s="11" t="s">
        <x:v>564</x:v>
      </x:c>
      <x:c r="N49" s="11" t="s">
        <x:v>565</x:v>
      </x:c>
      <x:c r="O49" s="11" t="s">
        <x:v>566</x:v>
      </x:c>
      <x:c r="P49" s="11" t="s">
        <x:v>456</x:v>
      </x:c>
      <x:c r="Q49" s="11" t="s">
        <x:v>567</x:v>
      </x:c>
      <x:c r="R49" s="11" t="s">
        <x:v>568</x:v>
      </x:c>
      <x:c r="S49" s="11" t="s">
        <x:v>239</x:v>
      </x:c>
      <x:c r="T49" s="11"/>
    </x:row>
    <x:row r="50" ht="22.799999237060547" hidden="1">
      <x:c r="A50" s="11" t="s">
        <x:v>569</x:v>
      </x:c>
      <x:c r="B50" s="11" t="s">
        <x:v>55</x:v>
      </x:c>
      <x:c r="C50" s="11">
        <x:v>9</x:v>
      </x:c>
      <x:c r="D50" s="11" t="s">
        <x:v>85</x:v>
      </x:c>
      <x:c r="E50" s="11" t="s">
        <x:v>570</x:v>
      </x:c>
      <x:c r="F50" s="11" t="s">
        <x:v>571</x:v>
      </x:c>
      <x:c r="G50" s="11" t="s">
        <x:v>572</x:v>
      </x:c>
      <x:c r="H50" s="11" t="s">
        <x:v>117</x:v>
      </x:c>
      <x:c r="I50" s="16">
        <x:v>1</x:v>
      </x:c>
      <x:c r="J50" s="11" t="s">
        <x:v>512</x:v>
      </x:c>
      <x:c r="K50" s="11" t="s">
        <x:v>97</x:v>
      </x:c>
      <x:c r="L50" s="11" t="s">
        <x:v>573</x:v>
      </x:c>
      <x:c r="M50" s="11" t="s">
        <x:v>574</x:v>
      </x:c>
      <x:c r="N50" s="11" t="s">
        <x:v>575</x:v>
      </x:c>
      <x:c r="O50" s="11" t="s">
        <x:v>576</x:v>
      </x:c>
      <x:c r="P50" s="11" t="s">
        <x:v>577</x:v>
      </x:c>
      <x:c r="Q50" s="11" t="s">
        <x:v>578</x:v>
      </x:c>
      <x:c r="R50" s="11" t="s">
        <x:v>579</x:v>
      </x:c>
      <x:c r="S50" s="11" t="s">
        <x:v>239</x:v>
      </x:c>
      <x:c r="T50" s="11"/>
    </x:row>
    <x:row r="51" hidden="1">
      <x:c r="A51" s="11" t="s">
        <x:v>580</x:v>
      </x:c>
      <x:c r="B51" s="11" t="s">
        <x:v>55</x:v>
      </x:c>
      <x:c r="C51" s="11">
        <x:v>10</x:v>
      </x:c>
      <x:c r="D51" s="11" t="s">
        <x:v>339</x:v>
      </x:c>
      <x:c r="E51" s="11" t="s">
        <x:v>581</x:v>
      </x:c>
      <x:c r="F51" s="11" t="s">
        <x:v>582</x:v>
      </x:c>
      <x:c r="G51" s="11" t="s">
        <x:v>583</x:v>
      </x:c>
      <x:c r="H51" s="11" t="s">
        <x:v>117</x:v>
      </x:c>
      <x:c r="I51" s="16">
        <x:v>0.75</x:v>
      </x:c>
      <x:c r="J51" s="11" t="s">
        <x:v>493</x:v>
      </x:c>
      <x:c r="K51" s="11" t="s">
        <x:v>543</x:v>
      </x:c>
      <x:c r="L51" s="11" t="s">
        <x:v>584</x:v>
      </x:c>
      <x:c r="M51" s="11" t="s">
        <x:v>585</x:v>
      </x:c>
      <x:c r="N51" s="11" t="s">
        <x:v>586</x:v>
      </x:c>
      <x:c r="O51" s="11" t="s">
        <x:v>587</x:v>
      </x:c>
      <x:c r="P51" s="11" t="s">
        <x:v>588</x:v>
      </x:c>
      <x:c r="Q51" s="11" t="s">
        <x:v>589</x:v>
      </x:c>
      <x:c r="R51" s="11" t="s">
        <x:v>590</x:v>
      </x:c>
      <x:c r="S51" s="11" t="s">
        <x:v>239</x:v>
      </x:c>
      <x:c r="T51" s="11"/>
    </x:row>
    <x:row r="52" ht="22.799999237060547" hidden="1">
      <x:c r="A52" s="11" t="s">
        <x:v>591</x:v>
      </x:c>
      <x:c r="B52" s="11" t="s">
        <x:v>55</x:v>
      </x:c>
      <x:c r="C52" s="11">
        <x:v>11</x:v>
      </x:c>
      <x:c r="D52" s="11" t="s">
        <x:v>85</x:v>
      </x:c>
      <x:c r="E52" s="11" t="s">
        <x:v>592</x:v>
      </x:c>
      <x:c r="F52" s="11" t="s">
        <x:v>593</x:v>
      </x:c>
      <x:c r="G52" s="11" t="s">
        <x:v>594</x:v>
      </x:c>
      <x:c r="H52" s="11" t="s">
        <x:v>104</x:v>
      </x:c>
      <x:c r="I52" s="16">
        <x:v>1</x:v>
      </x:c>
      <x:c r="J52" s="11" t="s">
        <x:v>595</x:v>
      </x:c>
      <x:c r="K52" s="11" t="s">
        <x:v>97</x:v>
      </x:c>
      <x:c r="L52" s="11" t="s">
        <x:v>596</x:v>
      </x:c>
      <x:c r="M52" s="11" t="s">
        <x:v>597</x:v>
      </x:c>
      <x:c r="N52" s="11" t="s">
        <x:v>598</x:v>
      </x:c>
      <x:c r="O52" s="11" t="s">
        <x:v>599</x:v>
      </x:c>
      <x:c r="P52" s="11" t="s">
        <x:v>477</x:v>
      </x:c>
      <x:c r="Q52" s="11" t="s">
        <x:v>600</x:v>
      </x:c>
      <x:c r="R52" s="11" t="s">
        <x:v>601</x:v>
      </x:c>
      <x:c r="S52" s="11" t="s">
        <x:v>239</x:v>
      </x:c>
      <x:c r="T52" s="11"/>
    </x:row>
    <x:row r="53" ht="22.799999237060547" hidden="1">
      <x:c r="A53" s="11" t="s">
        <x:v>602</x:v>
      </x:c>
      <x:c r="B53" s="11" t="s">
        <x:v>55</x:v>
      </x:c>
      <x:c r="C53" s="11">
        <x:v>12</x:v>
      </x:c>
      <x:c r="D53" s="11" t="s">
        <x:v>85</x:v>
      </x:c>
      <x:c r="E53" s="11" t="s">
        <x:v>216</x:v>
      </x:c>
      <x:c r="F53" s="11" t="s">
        <x:v>603</x:v>
      </x:c>
      <x:c r="G53" s="11" t="s">
        <x:v>604</x:v>
      </x:c>
      <x:c r="H53" s="11" t="s">
        <x:v>89</x:v>
      </x:c>
      <x:c r="I53" s="16">
        <x:v>0.75</x:v>
      </x:c>
      <x:c r="J53" s="11" t="s">
        <x:v>219</x:v>
      </x:c>
      <x:c r="K53" s="11" t="s">
        <x:v>605</x:v>
      </x:c>
      <x:c r="L53" s="11" t="s">
        <x:v>606</x:v>
      </x:c>
      <x:c r="M53" s="11" t="s">
        <x:v>607</x:v>
      </x:c>
      <x:c r="N53" s="11" t="s">
        <x:v>608</x:v>
      </x:c>
      <x:c r="O53" s="11" t="s">
        <x:v>609</x:v>
      </x:c>
      <x:c r="P53" s="11" t="s">
        <x:v>110</x:v>
      </x:c>
      <x:c r="Q53" s="11" t="s">
        <x:v>610</x:v>
      </x:c>
      <x:c r="R53" s="11" t="s">
        <x:v>611</x:v>
      </x:c>
      <x:c r="S53" s="11" t="s">
        <x:v>239</x:v>
      </x:c>
      <x:c r="T53" s="11"/>
    </x:row>
    <x:row r="54" ht="34.20000076293945" hidden="1">
      <x:c r="A54" s="11" t="s">
        <x:v>612</x:v>
      </x:c>
      <x:c r="B54" s="11" t="s">
        <x:v>56</x:v>
      </x:c>
      <x:c r="C54" s="11">
        <x:v>1</x:v>
      </x:c>
      <x:c r="D54" s="11" t="s">
        <x:v>85</x:v>
      </x:c>
      <x:c r="E54" s="11" t="s">
        <x:v>613</x:v>
      </x:c>
      <x:c r="F54" s="11" t="s">
        <x:v>614</x:v>
      </x:c>
      <x:c r="G54" s="11" t="s">
        <x:v>615</x:v>
      </x:c>
      <x:c r="H54" s="11" t="s">
        <x:v>89</x:v>
      </x:c>
      <x:c r="I54" s="16">
        <x:v>1</x:v>
      </x:c>
      <x:c r="J54" s="11" t="s">
        <x:v>616</x:v>
      </x:c>
      <x:c r="K54" s="11" t="s">
        <x:v>617</x:v>
      </x:c>
      <x:c r="L54" s="11" t="s">
        <x:v>618</x:v>
      </x:c>
      <x:c r="M54" s="11" t="s">
        <x:v>619</x:v>
      </x:c>
      <x:c r="N54" s="11" t="s">
        <x:v>620</x:v>
      </x:c>
      <x:c r="O54" s="11" t="s">
        <x:v>621</x:v>
      </x:c>
      <x:c r="P54" s="11" t="s">
        <x:v>168</x:v>
      </x:c>
      <x:c r="Q54" s="11" t="s">
        <x:v>602</x:v>
      </x:c>
      <x:c r="R54" s="11" t="s">
        <x:v>622</x:v>
      </x:c>
      <x:c r="S54" s="11" t="s">
        <x:v>239</x:v>
      </x:c>
      <x:c r="T54" s="11"/>
    </x:row>
    <x:row r="55" ht="22.799999237060547" hidden="1">
      <x:c r="A55" s="11" t="s">
        <x:v>623</x:v>
      </x:c>
      <x:c r="B55" s="11" t="s">
        <x:v>56</x:v>
      </x:c>
      <x:c r="C55" s="11">
        <x:v>2</x:v>
      </x:c>
      <x:c r="D55" s="11" t="s">
        <x:v>85</x:v>
      </x:c>
      <x:c r="E55" s="11" t="s">
        <x:v>624</x:v>
      </x:c>
      <x:c r="F55" s="11" t="s">
        <x:v>625</x:v>
      </x:c>
      <x:c r="G55" s="11" t="s">
        <x:v>626</x:v>
      </x:c>
      <x:c r="H55" s="11" t="s">
        <x:v>117</x:v>
      </x:c>
      <x:c r="I55" s="16">
        <x:v>1.25</x:v>
      </x:c>
      <x:c r="J55" s="11" t="s">
        <x:v>627</x:v>
      </x:c>
      <x:c r="K55" s="11" t="s">
        <x:v>185</x:v>
      </x:c>
      <x:c r="L55" s="11" t="s">
        <x:v>628</x:v>
      </x:c>
      <x:c r="M55" s="11" t="s">
        <x:v>629</x:v>
      </x:c>
      <x:c r="N55" s="11" t="s">
        <x:v>630</x:v>
      </x:c>
      <x:c r="O55" s="11" t="s">
        <x:v>631</x:v>
      </x:c>
      <x:c r="P55" s="11" t="s">
        <x:v>190</x:v>
      </x:c>
      <x:c r="Q55" s="11" t="s">
        <x:v>612</x:v>
      </x:c>
      <x:c r="R55" s="11" t="s">
        <x:v>632</x:v>
      </x:c>
      <x:c r="S55" s="11" t="s">
        <x:v>239</x:v>
      </x:c>
      <x:c r="T55" s="11"/>
    </x:row>
    <x:row r="56" ht="22.799999237060547" hidden="1">
      <x:c r="A56" s="11" t="s">
        <x:v>633</x:v>
      </x:c>
      <x:c r="B56" s="11" t="s">
        <x:v>56</x:v>
      </x:c>
      <x:c r="C56" s="11">
        <x:v>3</x:v>
      </x:c>
      <x:c r="D56" s="11" t="s">
        <x:v>85</x:v>
      </x:c>
      <x:c r="E56" s="11" t="s">
        <x:v>634</x:v>
      </x:c>
      <x:c r="F56" s="11" t="s">
        <x:v>635</x:v>
      </x:c>
      <x:c r="G56" s="11" t="s">
        <x:v>636</x:v>
      </x:c>
      <x:c r="H56" s="11" t="s">
        <x:v>117</x:v>
      </x:c>
      <x:c r="I56" s="16">
        <x:v>1.25</x:v>
      </x:c>
      <x:c r="J56" s="11" t="s">
        <x:v>627</x:v>
      </x:c>
      <x:c r="K56" s="11" t="s">
        <x:v>637</x:v>
      </x:c>
      <x:c r="L56" s="11" t="s">
        <x:v>638</x:v>
      </x:c>
      <x:c r="M56" s="11" t="s">
        <x:v>639</x:v>
      </x:c>
      <x:c r="N56" s="11" t="s">
        <x:v>640</x:v>
      </x:c>
      <x:c r="O56" s="11" t="s">
        <x:v>641</x:v>
      </x:c>
      <x:c r="P56" s="11" t="s">
        <x:v>642</x:v>
      </x:c>
      <x:c r="Q56" s="11" t="s">
        <x:v>643</x:v>
      </x:c>
      <x:c r="R56" s="11" t="s">
        <x:v>644</x:v>
      </x:c>
      <x:c r="S56" s="11" t="s">
        <x:v>239</x:v>
      </x:c>
      <x:c r="T56" s="11"/>
    </x:row>
    <x:row r="57" ht="22.799999237060547" hidden="1">
      <x:c r="A57" s="11" t="s">
        <x:v>645</x:v>
      </x:c>
      <x:c r="B57" s="11" t="s">
        <x:v>56</x:v>
      </x:c>
      <x:c r="C57" s="11">
        <x:v>4</x:v>
      </x:c>
      <x:c r="D57" s="11" t="s">
        <x:v>85</x:v>
      </x:c>
      <x:c r="E57" s="11" t="s">
        <x:v>646</x:v>
      </x:c>
      <x:c r="F57" s="11" t="s">
        <x:v>647</x:v>
      </x:c>
      <x:c r="G57" s="11" t="s">
        <x:v>648</x:v>
      </x:c>
      <x:c r="H57" s="11" t="s">
        <x:v>117</x:v>
      </x:c>
      <x:c r="I57" s="16">
        <x:v>1.25</x:v>
      </x:c>
      <x:c r="J57" s="11" t="s">
        <x:v>627</x:v>
      </x:c>
      <x:c r="K57" s="11" t="s">
        <x:v>649</x:v>
      </x:c>
      <x:c r="L57" s="11" t="s">
        <x:v>650</x:v>
      </x:c>
      <x:c r="M57" s="11" t="s">
        <x:v>651</x:v>
      </x:c>
      <x:c r="N57" s="11" t="s">
        <x:v>652</x:v>
      </x:c>
      <x:c r="O57" s="11" t="s">
        <x:v>653</x:v>
      </x:c>
      <x:c r="P57" s="11" t="s">
        <x:v>654</x:v>
      </x:c>
      <x:c r="Q57" s="11" t="s">
        <x:v>612</x:v>
      </x:c>
      <x:c r="R57" s="11" t="s">
        <x:v>655</x:v>
      </x:c>
      <x:c r="S57" s="11" t="s">
        <x:v>239</x:v>
      </x:c>
      <x:c r="T57" s="11"/>
    </x:row>
    <x:row r="58" ht="22.799999237060547" hidden="1">
      <x:c r="A58" s="11" t="s">
        <x:v>656</x:v>
      </x:c>
      <x:c r="B58" s="11" t="s">
        <x:v>56</x:v>
      </x:c>
      <x:c r="C58" s="11">
        <x:v>5</x:v>
      </x:c>
      <x:c r="D58" s="11" t="s">
        <x:v>85</x:v>
      </x:c>
      <x:c r="E58" s="11" t="s">
        <x:v>657</x:v>
      </x:c>
      <x:c r="F58" s="11" t="s">
        <x:v>658</x:v>
      </x:c>
      <x:c r="G58" s="11" t="s">
        <x:v>659</x:v>
      </x:c>
      <x:c r="H58" s="11" t="s">
        <x:v>117</x:v>
      </x:c>
      <x:c r="I58" s="16">
        <x:v>1.5</x:v>
      </x:c>
      <x:c r="J58" s="11" t="s">
        <x:v>627</x:v>
      </x:c>
      <x:c r="K58" s="11" t="s">
        <x:v>660</x:v>
      </x:c>
      <x:c r="L58" s="11" t="s">
        <x:v>661</x:v>
      </x:c>
      <x:c r="M58" s="11" t="s">
        <x:v>662</x:v>
      </x:c>
      <x:c r="N58" s="11" t="s">
        <x:v>663</x:v>
      </x:c>
      <x:c r="O58" s="11" t="s">
        <x:v>664</x:v>
      </x:c>
      <x:c r="P58" s="11" t="s">
        <x:v>665</x:v>
      </x:c>
      <x:c r="Q58" s="11" t="s">
        <x:v>666</x:v>
      </x:c>
      <x:c r="R58" s="11" t="s">
        <x:v>667</x:v>
      </x:c>
      <x:c r="S58" s="11" t="s">
        <x:v>239</x:v>
      </x:c>
      <x:c r="T58" s="11"/>
    </x:row>
    <x:row r="59" ht="22.799999237060547" hidden="1">
      <x:c r="A59" s="11" t="s">
        <x:v>668</x:v>
      </x:c>
      <x:c r="B59" s="11" t="s">
        <x:v>56</x:v>
      </x:c>
      <x:c r="C59" s="11">
        <x:v>6</x:v>
      </x:c>
      <x:c r="D59" s="11" t="s">
        <x:v>85</x:v>
      </x:c>
      <x:c r="E59" s="11" t="s">
        <x:v>669</x:v>
      </x:c>
      <x:c r="F59" s="11" t="s">
        <x:v>670</x:v>
      </x:c>
      <x:c r="G59" s="11" t="s">
        <x:v>671</x:v>
      </x:c>
      <x:c r="H59" s="11" t="s">
        <x:v>117</x:v>
      </x:c>
      <x:c r="I59" s="16">
        <x:v>1</x:v>
      </x:c>
      <x:c r="J59" s="11" t="s">
        <x:v>672</x:v>
      </x:c>
      <x:c r="K59" s="11" t="s">
        <x:v>673</x:v>
      </x:c>
      <x:c r="L59" s="11" t="s">
        <x:v>674</x:v>
      </x:c>
      <x:c r="M59" s="11" t="s">
        <x:v>675</x:v>
      </x:c>
      <x:c r="N59" s="11" t="s">
        <x:v>676</x:v>
      </x:c>
      <x:c r="O59" s="11" t="s">
        <x:v>677</x:v>
      </x:c>
      <x:c r="P59" s="11" t="s">
        <x:v>678</x:v>
      </x:c>
      <x:c r="Q59" s="11" t="s">
        <x:v>679</x:v>
      </x:c>
      <x:c r="R59" s="11" t="s">
        <x:v>680</x:v>
      </x:c>
      <x:c r="S59" s="11" t="s">
        <x:v>239</x:v>
      </x:c>
      <x:c r="T59" s="11"/>
    </x:row>
    <x:row r="60" ht="22.799999237060547" hidden="1">
      <x:c r="A60" s="11" t="s">
        <x:v>681</x:v>
      </x:c>
      <x:c r="B60" s="11" t="s">
        <x:v>56</x:v>
      </x:c>
      <x:c r="C60" s="11">
        <x:v>7</x:v>
      </x:c>
      <x:c r="D60" s="11" t="s">
        <x:v>85</x:v>
      </x:c>
      <x:c r="E60" s="11" t="s">
        <x:v>682</x:v>
      </x:c>
      <x:c r="F60" s="11" t="s">
        <x:v>683</x:v>
      </x:c>
      <x:c r="G60" s="11" t="s">
        <x:v>684</x:v>
      </x:c>
      <x:c r="H60" s="11" t="s">
        <x:v>117</x:v>
      </x:c>
      <x:c r="I60" s="16">
        <x:v>1.5</x:v>
      </x:c>
      <x:c r="J60" s="11" t="s">
        <x:v>685</x:v>
      </x:c>
      <x:c r="K60" s="11" t="s">
        <x:v>686</x:v>
      </x:c>
      <x:c r="L60" s="11" t="s">
        <x:v>687</x:v>
      </x:c>
      <x:c r="M60" s="11" t="s">
        <x:v>688</x:v>
      </x:c>
      <x:c r="N60" s="11" t="s">
        <x:v>689</x:v>
      </x:c>
      <x:c r="O60" s="11" t="s">
        <x:v>690</x:v>
      </x:c>
      <x:c r="P60" s="11" t="s">
        <x:v>168</x:v>
      </x:c>
      <x:c r="Q60" s="11" t="s">
        <x:v>691</x:v>
      </x:c>
      <x:c r="R60" s="11" t="s">
        <x:v>692</x:v>
      </x:c>
      <x:c r="S60" s="11" t="s">
        <x:v>239</x:v>
      </x:c>
      <x:c r="T60" s="11"/>
    </x:row>
    <x:row r="61" ht="22.799999237060547" hidden="1">
      <x:c r="A61" s="11" t="s">
        <x:v>693</x:v>
      </x:c>
      <x:c r="B61" s="11" t="s">
        <x:v>56</x:v>
      </x:c>
      <x:c r="C61" s="11">
        <x:v>8</x:v>
      </x:c>
      <x:c r="D61" s="11" t="s">
        <x:v>85</x:v>
      </x:c>
      <x:c r="E61" s="11" t="s">
        <x:v>694</x:v>
      </x:c>
      <x:c r="F61" s="11" t="s">
        <x:v>695</x:v>
      </x:c>
      <x:c r="G61" s="11" t="s">
        <x:v>696</x:v>
      </x:c>
      <x:c r="H61" s="11" t="s">
        <x:v>117</x:v>
      </x:c>
      <x:c r="I61" s="16">
        <x:v>1</x:v>
      </x:c>
      <x:c r="J61" s="11" t="s">
        <x:v>685</x:v>
      </x:c>
      <x:c r="K61" s="11" t="s">
        <x:v>97</x:v>
      </x:c>
      <x:c r="L61" s="11" t="s">
        <x:v>697</x:v>
      </x:c>
      <x:c r="M61" s="11" t="s">
        <x:v>698</x:v>
      </x:c>
      <x:c r="N61" s="11" t="s">
        <x:v>699</x:v>
      </x:c>
      <x:c r="O61" s="11" t="s">
        <x:v>700</x:v>
      </x:c>
      <x:c r="P61" s="11" t="s">
        <x:v>157</x:v>
      </x:c>
      <x:c r="Q61" s="11" t="s">
        <x:v>681</x:v>
      </x:c>
      <x:c r="R61" s="11" t="s">
        <x:v>701</x:v>
      </x:c>
      <x:c r="S61" s="11" t="s">
        <x:v>239</x:v>
      </x:c>
      <x:c r="T61" s="11"/>
    </x:row>
    <x:row r="62" ht="22.799999237060547" hidden="1">
      <x:c r="A62" s="11" t="s">
        <x:v>702</x:v>
      </x:c>
      <x:c r="B62" s="11" t="s">
        <x:v>56</x:v>
      </x:c>
      <x:c r="C62" s="11">
        <x:v>9</x:v>
      </x:c>
      <x:c r="D62" s="11" t="s">
        <x:v>85</x:v>
      </x:c>
      <x:c r="E62" s="11" t="s">
        <x:v>703</x:v>
      </x:c>
      <x:c r="F62" s="11" t="s">
        <x:v>704</x:v>
      </x:c>
      <x:c r="G62" s="11" t="s">
        <x:v>705</x:v>
      </x:c>
      <x:c r="H62" s="11" t="s">
        <x:v>104</x:v>
      </x:c>
      <x:c r="I62" s="16">
        <x:v>1</x:v>
      </x:c>
      <x:c r="J62" s="11" t="s">
        <x:v>706</x:v>
      </x:c>
      <x:c r="K62" s="11" t="s">
        <x:v>543</x:v>
      </x:c>
      <x:c r="L62" s="11" t="s">
        <x:v>707</x:v>
      </x:c>
      <x:c r="M62" s="11" t="s">
        <x:v>708</x:v>
      </x:c>
      <x:c r="N62" s="11" t="s">
        <x:v>709</x:v>
      </x:c>
      <x:c r="O62" s="11" t="s">
        <x:v>710</x:v>
      </x:c>
      <x:c r="P62" s="11" t="s">
        <x:v>168</x:v>
      </x:c>
      <x:c r="Q62" s="11" t="s">
        <x:v>711</x:v>
      </x:c>
      <x:c r="R62" s="11" t="s">
        <x:v>712</x:v>
      </x:c>
      <x:c r="S62" s="11" t="s">
        <x:v>239</x:v>
      </x:c>
      <x:c r="T62" s="11"/>
    </x:row>
    <x:row r="63" ht="22.799999237060547" hidden="1">
      <x:c r="A63" s="11" t="s">
        <x:v>713</x:v>
      </x:c>
      <x:c r="B63" s="11" t="s">
        <x:v>56</x:v>
      </x:c>
      <x:c r="C63" s="11">
        <x:v>10</x:v>
      </x:c>
      <x:c r="D63" s="11" t="s">
        <x:v>85</x:v>
      </x:c>
      <x:c r="E63" s="11" t="s">
        <x:v>714</x:v>
      </x:c>
      <x:c r="F63" s="11" t="s">
        <x:v>715</x:v>
      </x:c>
      <x:c r="G63" s="11" t="s">
        <x:v>716</x:v>
      </x:c>
      <x:c r="H63" s="11" t="s">
        <x:v>89</x:v>
      </x:c>
      <x:c r="I63" s="16">
        <x:v>1.5</x:v>
      </x:c>
      <x:c r="J63" s="11" t="s">
        <x:v>706</x:v>
      </x:c>
      <x:c r="K63" s="11" t="s">
        <x:v>331</x:v>
      </x:c>
      <x:c r="L63" s="11" t="s">
        <x:v>717</x:v>
      </x:c>
      <x:c r="M63" s="11" t="s">
        <x:v>718</x:v>
      </x:c>
      <x:c r="N63" s="11" t="s">
        <x:v>719</x:v>
      </x:c>
      <x:c r="O63" s="11" t="s">
        <x:v>720</x:v>
      </x:c>
      <x:c r="P63" s="11" t="s">
        <x:v>477</x:v>
      </x:c>
      <x:c r="Q63" s="11" t="s">
        <x:v>702</x:v>
      </x:c>
      <x:c r="R63" s="11" t="s">
        <x:v>721</x:v>
      </x:c>
      <x:c r="S63" s="11" t="s">
        <x:v>239</x:v>
      </x:c>
      <x:c r="T63" s="11"/>
    </x:row>
    <x:row r="64" ht="22.799999237060547" hidden="1">
      <x:c r="A64" s="11" t="s">
        <x:v>722</x:v>
      </x:c>
      <x:c r="B64" s="11" t="s">
        <x:v>56</x:v>
      </x:c>
      <x:c r="C64" s="11">
        <x:v>11</x:v>
      </x:c>
      <x:c r="D64" s="11" t="s">
        <x:v>85</x:v>
      </x:c>
      <x:c r="E64" s="11" t="s">
        <x:v>723</x:v>
      </x:c>
      <x:c r="F64" s="11" t="s">
        <x:v>724</x:v>
      </x:c>
      <x:c r="G64" s="11" t="s">
        <x:v>725</x:v>
      </x:c>
      <x:c r="H64" s="11" t="s">
        <x:v>104</x:v>
      </x:c>
      <x:c r="I64" s="16">
        <x:v>0.75</x:v>
      </x:c>
      <x:c r="J64" s="11" t="s">
        <x:v>706</x:v>
      </x:c>
      <x:c r="K64" s="11" t="s">
        <x:v>331</x:v>
      </x:c>
      <x:c r="L64" s="11" t="s">
        <x:v>726</x:v>
      </x:c>
      <x:c r="M64" s="11" t="s">
        <x:v>727</x:v>
      </x:c>
      <x:c r="N64" s="11" t="s">
        <x:v>728</x:v>
      </x:c>
      <x:c r="O64" s="11" t="s">
        <x:v>729</x:v>
      </x:c>
      <x:c r="P64" s="11" t="s">
        <x:v>730</x:v>
      </x:c>
      <x:c r="Q64" s="11" t="s">
        <x:v>713</x:v>
      </x:c>
      <x:c r="R64" s="11" t="s">
        <x:v>731</x:v>
      </x:c>
      <x:c r="S64" s="11" t="s">
        <x:v>239</x:v>
      </x:c>
      <x:c r="T64" s="11"/>
    </x:row>
    <x:row r="65" ht="22.799999237060547" hidden="1">
      <x:c r="A65" s="11" t="s">
        <x:v>732</x:v>
      </x:c>
      <x:c r="B65" s="11" t="s">
        <x:v>56</x:v>
      </x:c>
      <x:c r="C65" s="11">
        <x:v>12</x:v>
      </x:c>
      <x:c r="D65" s="11" t="s">
        <x:v>85</x:v>
      </x:c>
      <x:c r="E65" s="11" t="s">
        <x:v>733</x:v>
      </x:c>
      <x:c r="F65" s="11" t="s">
        <x:v>734</x:v>
      </x:c>
      <x:c r="G65" s="11" t="s">
        <x:v>735</x:v>
      </x:c>
      <x:c r="H65" s="11" t="s">
        <x:v>104</x:v>
      </x:c>
      <x:c r="I65" s="16">
        <x:v>1</x:v>
      </x:c>
      <x:c r="J65" s="11" t="s">
        <x:v>706</x:v>
      </x:c>
      <x:c r="K65" s="11" t="s">
        <x:v>208</x:v>
      </x:c>
      <x:c r="L65" s="11" t="s">
        <x:v>736</x:v>
      </x:c>
      <x:c r="M65" s="11" t="s">
        <x:v>737</x:v>
      </x:c>
      <x:c r="N65" s="11" t="s">
        <x:v>738</x:v>
      </x:c>
      <x:c r="O65" s="11" t="s">
        <x:v>739</x:v>
      </x:c>
      <x:c r="P65" s="11" t="s">
        <x:v>213</x:v>
      </x:c>
      <x:c r="Q65" s="11" t="s">
        <x:v>722</x:v>
      </x:c>
      <x:c r="R65" s="11" t="s">
        <x:v>740</x:v>
      </x:c>
      <x:c r="S65" s="11" t="s">
        <x:v>239</x:v>
      </x:c>
      <x:c r="T65" s="11"/>
    </x:row>
    <x:row r="66" ht="22.799999237060547" hidden="1">
      <x:c r="A66" s="11" t="s">
        <x:v>741</x:v>
      </x:c>
      <x:c r="B66" s="11" t="s">
        <x:v>56</x:v>
      </x:c>
      <x:c r="C66" s="11">
        <x:v>13</x:v>
      </x:c>
      <x:c r="D66" s="11" t="s">
        <x:v>85</x:v>
      </x:c>
      <x:c r="E66" s="11" t="s">
        <x:v>216</x:v>
      </x:c>
      <x:c r="F66" s="11" t="s">
        <x:v>742</x:v>
      </x:c>
      <x:c r="G66" s="11" t="s">
        <x:v>743</x:v>
      </x:c>
      <x:c r="H66" s="11" t="s">
        <x:v>89</x:v>
      </x:c>
      <x:c r="I66" s="16">
        <x:v>0.75</x:v>
      </x:c>
      <x:c r="J66" s="11" t="s">
        <x:v>219</x:v>
      </x:c>
      <x:c r="K66" s="11" t="s">
        <x:v>744</x:v>
      </x:c>
      <x:c r="L66" s="11" t="s">
        <x:v>745</x:v>
      </x:c>
      <x:c r="M66" s="11" t="s">
        <x:v>746</x:v>
      </x:c>
      <x:c r="N66" s="11" t="s">
        <x:v>747</x:v>
      </x:c>
      <x:c r="O66" s="11" t="s">
        <x:v>748</x:v>
      </x:c>
      <x:c r="P66" s="11" t="s">
        <x:v>110</x:v>
      </x:c>
      <x:c r="Q66" s="11" t="s">
        <x:v>749</x:v>
      </x:c>
      <x:c r="R66" s="11" t="s">
        <x:v>750</x:v>
      </x:c>
      <x:c r="S66" s="11" t="s">
        <x:v>239</x:v>
      </x:c>
      <x:c r="T66" s="11"/>
    </x:row>
    <x:row r="67" ht="22.799999237060547" hidden="1">
      <x:c r="A67" s="11" t="s">
        <x:v>751</x:v>
      </x:c>
      <x:c r="B67" s="11" t="s">
        <x:v>57</x:v>
      </x:c>
      <x:c r="C67" s="11">
        <x:v>1</x:v>
      </x:c>
      <x:c r="D67" s="11" t="s">
        <x:v>85</x:v>
      </x:c>
      <x:c r="E67" s="11" t="s">
        <x:v>752</x:v>
      </x:c>
      <x:c r="F67" s="11" t="s">
        <x:v>753</x:v>
      </x:c>
      <x:c r="G67" s="11" t="s">
        <x:v>754</x:v>
      </x:c>
      <x:c r="H67" s="11" t="s">
        <x:v>104</x:v>
      </x:c>
      <x:c r="I67" s="16">
        <x:v>0.75</x:v>
      </x:c>
      <x:c r="J67" s="11" t="s">
        <x:v>685</x:v>
      </x:c>
      <x:c r="K67" s="11" t="s">
        <x:v>755</x:v>
      </x:c>
      <x:c r="L67" s="11" t="s">
        <x:v>756</x:v>
      </x:c>
      <x:c r="M67" s="11" t="s">
        <x:v>757</x:v>
      </x:c>
      <x:c r="N67" s="11" t="s">
        <x:v>758</x:v>
      </x:c>
      <x:c r="O67" s="11" t="s">
        <x:v>759</x:v>
      </x:c>
      <x:c r="P67" s="11" t="s">
        <x:v>760</x:v>
      </x:c>
      <x:c r="Q67" s="11" t="s">
        <x:v>761</x:v>
      </x:c>
      <x:c r="R67" s="11" t="s">
        <x:v>762</x:v>
      </x:c>
      <x:c r="S67" s="11" t="s">
        <x:v>239</x:v>
      </x:c>
      <x:c r="T67" s="11"/>
    </x:row>
    <x:row r="68" ht="22.799999237060547" hidden="1">
      <x:c r="A68" s="11" t="s">
        <x:v>763</x:v>
      </x:c>
      <x:c r="B68" s="11" t="s">
        <x:v>57</x:v>
      </x:c>
      <x:c r="C68" s="11">
        <x:v>2</x:v>
      </x:c>
      <x:c r="D68" s="11" t="s">
        <x:v>85</x:v>
      </x:c>
      <x:c r="E68" s="11" t="s">
        <x:v>764</x:v>
      </x:c>
      <x:c r="F68" s="11" t="s">
        <x:v>765</x:v>
      </x:c>
      <x:c r="G68" s="11" t="s">
        <x:v>766</x:v>
      </x:c>
      <x:c r="H68" s="11" t="s">
        <x:v>117</x:v>
      </x:c>
      <x:c r="I68" s="16">
        <x:v>1.5</x:v>
      </x:c>
      <x:c r="J68" s="11" t="s">
        <x:v>767</x:v>
      </x:c>
      <x:c r="K68" s="11" t="s">
        <x:v>755</x:v>
      </x:c>
      <x:c r="L68" s="11" t="s">
        <x:v>768</x:v>
      </x:c>
      <x:c r="M68" s="11" t="s">
        <x:v>769</x:v>
      </x:c>
      <x:c r="N68" s="11" t="s">
        <x:v>770</x:v>
      </x:c>
      <x:c r="O68" s="11" t="s">
        <x:v>771</x:v>
      </x:c>
      <x:c r="P68" s="11" t="s">
        <x:v>772</x:v>
      </x:c>
      <x:c r="Q68" s="11" t="s">
        <x:v>751</x:v>
      </x:c>
      <x:c r="R68" s="11" t="s">
        <x:v>773</x:v>
      </x:c>
      <x:c r="S68" s="11" t="s">
        <x:v>239</x:v>
      </x:c>
      <x:c r="T68" s="11"/>
    </x:row>
    <x:row r="69" ht="22.799999237060547" hidden="1">
      <x:c r="A69" s="11" t="s">
        <x:v>774</x:v>
      </x:c>
      <x:c r="B69" s="11" t="s">
        <x:v>57</x:v>
      </x:c>
      <x:c r="C69" s="11">
        <x:v>3</x:v>
      </x:c>
      <x:c r="D69" s="11" t="s">
        <x:v>85</x:v>
      </x:c>
      <x:c r="E69" s="11" t="s">
        <x:v>775</x:v>
      </x:c>
      <x:c r="F69" s="11" t="s">
        <x:v>776</x:v>
      </x:c>
      <x:c r="G69" s="11" t="s">
        <x:v>777</x:v>
      </x:c>
      <x:c r="H69" s="11" t="s">
        <x:v>117</x:v>
      </x:c>
      <x:c r="I69" s="16">
        <x:v>1</x:v>
      </x:c>
      <x:c r="J69" s="11" t="s">
        <x:v>767</x:v>
      </x:c>
      <x:c r="K69" s="11" t="s">
        <x:v>778</x:v>
      </x:c>
      <x:c r="L69" s="11" t="s">
        <x:v>779</x:v>
      </x:c>
      <x:c r="M69" s="11" t="s">
        <x:v>780</x:v>
      </x:c>
      <x:c r="N69" s="11" t="s">
        <x:v>781</x:v>
      </x:c>
      <x:c r="O69" s="11" t="s">
        <x:v>782</x:v>
      </x:c>
      <x:c r="P69" s="11" t="s">
        <x:v>304</x:v>
      </x:c>
      <x:c r="Q69" s="11" t="s">
        <x:v>783</x:v>
      </x:c>
      <x:c r="R69" s="11" t="s">
        <x:v>784</x:v>
      </x:c>
      <x:c r="S69" s="11" t="s">
        <x:v>239</x:v>
      </x:c>
      <x:c r="T69" s="11"/>
    </x:row>
    <x:row r="70" ht="22.799999237060547" hidden="1">
      <x:c r="A70" s="11" t="s">
        <x:v>785</x:v>
      </x:c>
      <x:c r="B70" s="11" t="s">
        <x:v>57</x:v>
      </x:c>
      <x:c r="C70" s="11">
        <x:v>4</x:v>
      </x:c>
      <x:c r="D70" s="11" t="s">
        <x:v>85</x:v>
      </x:c>
      <x:c r="E70" s="11" t="s">
        <x:v>786</x:v>
      </x:c>
      <x:c r="F70" s="11" t="s">
        <x:v>787</x:v>
      </x:c>
      <x:c r="G70" s="11" t="s">
        <x:v>788</x:v>
      </x:c>
      <x:c r="H70" s="11" t="s">
        <x:v>117</x:v>
      </x:c>
      <x:c r="I70" s="16">
        <x:v>1</x:v>
      </x:c>
      <x:c r="J70" s="11" t="s">
        <x:v>767</x:v>
      </x:c>
      <x:c r="K70" s="11" t="s">
        <x:v>789</x:v>
      </x:c>
      <x:c r="L70" s="11" t="s">
        <x:v>790</x:v>
      </x:c>
      <x:c r="M70" s="11" t="s">
        <x:v>791</x:v>
      </x:c>
      <x:c r="N70" s="11" t="s">
        <x:v>792</x:v>
      </x:c>
      <x:c r="O70" s="11" t="s">
        <x:v>793</x:v>
      </x:c>
      <x:c r="P70" s="11" t="s">
        <x:v>794</x:v>
      </x:c>
      <x:c r="Q70" s="11" t="s">
        <x:v>774</x:v>
      </x:c>
      <x:c r="R70" s="11" t="s">
        <x:v>795</x:v>
      </x:c>
      <x:c r="S70" s="11" t="s">
        <x:v>239</x:v>
      </x:c>
      <x:c r="T70" s="11"/>
    </x:row>
    <x:row r="71" ht="22.799999237060547" hidden="1">
      <x:c r="A71" s="11" t="s">
        <x:v>796</x:v>
      </x:c>
      <x:c r="B71" s="11" t="s">
        <x:v>57</x:v>
      </x:c>
      <x:c r="C71" s="11">
        <x:v>5</x:v>
      </x:c>
      <x:c r="D71" s="11" t="s">
        <x:v>85</x:v>
      </x:c>
      <x:c r="E71" s="11" t="s">
        <x:v>797</x:v>
      </x:c>
      <x:c r="F71" s="11" t="s">
        <x:v>798</x:v>
      </x:c>
      <x:c r="G71" s="11" t="s">
        <x:v>799</x:v>
      </x:c>
      <x:c r="H71" s="11" t="s">
        <x:v>117</x:v>
      </x:c>
      <x:c r="I71" s="16">
        <x:v>1</x:v>
      </x:c>
      <x:c r="J71" s="11" t="s">
        <x:v>767</x:v>
      </x:c>
      <x:c r="K71" s="11" t="s">
        <x:v>462</x:v>
      </x:c>
      <x:c r="L71" s="11" t="s">
        <x:v>800</x:v>
      </x:c>
      <x:c r="M71" s="11" t="s">
        <x:v>769</x:v>
      </x:c>
      <x:c r="N71" s="11" t="s">
        <x:v>801</x:v>
      </x:c>
      <x:c r="O71" s="11" t="s">
        <x:v>802</x:v>
      </x:c>
      <x:c r="P71" s="11" t="s">
        <x:v>772</x:v>
      </x:c>
      <x:c r="Q71" s="11" t="s">
        <x:v>763</x:v>
      </x:c>
      <x:c r="R71" s="11" t="s">
        <x:v>803</x:v>
      </x:c>
      <x:c r="S71" s="11" t="s">
        <x:v>239</x:v>
      </x:c>
      <x:c r="T71" s="11"/>
    </x:row>
    <x:row r="72" ht="22.799999237060547" hidden="1">
      <x:c r="A72" s="11" t="s">
        <x:v>804</x:v>
      </x:c>
      <x:c r="B72" s="11" t="s">
        <x:v>57</x:v>
      </x:c>
      <x:c r="C72" s="11">
        <x:v>6</x:v>
      </x:c>
      <x:c r="D72" s="11" t="s">
        <x:v>85</x:v>
      </x:c>
      <x:c r="E72" s="11" t="s">
        <x:v>805</x:v>
      </x:c>
      <x:c r="F72" s="11" t="s">
        <x:v>806</x:v>
      </x:c>
      <x:c r="G72" s="11" t="s">
        <x:v>807</x:v>
      </x:c>
      <x:c r="H72" s="11" t="s">
        <x:v>117</x:v>
      </x:c>
      <x:c r="I72" s="16">
        <x:v>1.25</x:v>
      </x:c>
      <x:c r="J72" s="11" t="s">
        <x:v>808</x:v>
      </x:c>
      <x:c r="K72" s="11" t="s">
        <x:v>451</x:v>
      </x:c>
      <x:c r="L72" s="11" t="s">
        <x:v>809</x:v>
      </x:c>
      <x:c r="M72" s="11" t="s">
        <x:v>564</x:v>
      </x:c>
      <x:c r="N72" s="11" t="s">
        <x:v>810</x:v>
      </x:c>
      <x:c r="O72" s="11" t="s">
        <x:v>811</x:v>
      </x:c>
      <x:c r="P72" s="11" t="s">
        <x:v>456</x:v>
      </x:c>
      <x:c r="Q72" s="11" t="s">
        <x:v>812</x:v>
      </x:c>
      <x:c r="R72" s="11" t="s">
        <x:v>813</x:v>
      </x:c>
      <x:c r="S72" s="11" t="s">
        <x:v>239</x:v>
      </x:c>
      <x:c r="T72" s="11"/>
    </x:row>
    <x:row r="73" ht="22.799999237060547" hidden="1">
      <x:c r="A73" s="11" t="s">
        <x:v>814</x:v>
      </x:c>
      <x:c r="B73" s="11" t="s">
        <x:v>57</x:v>
      </x:c>
      <x:c r="C73" s="11">
        <x:v>7</x:v>
      </x:c>
      <x:c r="D73" s="11" t="s">
        <x:v>85</x:v>
      </x:c>
      <x:c r="E73" s="11" t="s">
        <x:v>815</x:v>
      </x:c>
      <x:c r="F73" s="11" t="s">
        <x:v>816</x:v>
      </x:c>
      <x:c r="G73" s="11" t="s">
        <x:v>817</x:v>
      </x:c>
      <x:c r="H73" s="11" t="s">
        <x:v>104</x:v>
      </x:c>
      <x:c r="I73" s="16">
        <x:v>1</x:v>
      </x:c>
      <x:c r="J73" s="11" t="s">
        <x:v>808</x:v>
      </x:c>
      <x:c r="K73" s="11" t="s">
        <x:v>818</x:v>
      </x:c>
      <x:c r="L73" s="11" t="s">
        <x:v>819</x:v>
      </x:c>
      <x:c r="M73" s="11" t="s">
        <x:v>820</x:v>
      </x:c>
      <x:c r="N73" s="11" t="s">
        <x:v>821</x:v>
      </x:c>
      <x:c r="O73" s="11" t="s">
        <x:v>822</x:v>
      </x:c>
      <x:c r="P73" s="11" t="s">
        <x:v>157</x:v>
      </x:c>
      <x:c r="Q73" s="11" t="s">
        <x:v>804</x:v>
      </x:c>
      <x:c r="R73" s="11" t="s">
        <x:v>823</x:v>
      </x:c>
      <x:c r="S73" s="11" t="s">
        <x:v>239</x:v>
      </x:c>
      <x:c r="T73" s="11"/>
    </x:row>
    <x:row r="74" ht="22.799999237060547" hidden="1">
      <x:c r="A74" s="11" t="s">
        <x:v>824</x:v>
      </x:c>
      <x:c r="B74" s="11" t="s">
        <x:v>57</x:v>
      </x:c>
      <x:c r="C74" s="11">
        <x:v>8</x:v>
      </x:c>
      <x:c r="D74" s="11" t="s">
        <x:v>85</x:v>
      </x:c>
      <x:c r="E74" s="11" t="s">
        <x:v>825</x:v>
      </x:c>
      <x:c r="F74" s="11" t="s">
        <x:v>826</x:v>
      </x:c>
      <x:c r="G74" s="11" t="s">
        <x:v>827</x:v>
      </x:c>
      <x:c r="H74" s="11" t="s">
        <x:v>828</x:v>
      </x:c>
      <x:c r="I74" s="16">
        <x:v>1</x:v>
      </x:c>
      <x:c r="J74" s="11" t="s">
        <x:v>808</x:v>
      </x:c>
      <x:c r="K74" s="11" t="s">
        <x:v>451</x:v>
      </x:c>
      <x:c r="L74" s="11" t="s">
        <x:v>829</x:v>
      </x:c>
      <x:c r="M74" s="11" t="s">
        <x:v>830</x:v>
      </x:c>
      <x:c r="N74" s="11" t="s">
        <x:v>831</x:v>
      </x:c>
      <x:c r="O74" s="11" t="s">
        <x:v>832</x:v>
      </x:c>
      <x:c r="P74" s="11" t="s">
        <x:v>833</x:v>
      </x:c>
      <x:c r="Q74" s="11" t="s">
        <x:v>834</x:v>
      </x:c>
      <x:c r="R74" s="11" t="s">
        <x:v>835</x:v>
      </x:c>
      <x:c r="S74" s="11" t="s">
        <x:v>239</x:v>
      </x:c>
      <x:c r="T74" s="11"/>
    </x:row>
    <x:row r="75" ht="22.799999237060547" hidden="1">
      <x:c r="A75" s="11" t="s">
        <x:v>836</x:v>
      </x:c>
      <x:c r="B75" s="11" t="s">
        <x:v>57</x:v>
      </x:c>
      <x:c r="C75" s="11">
        <x:v>9</x:v>
      </x:c>
      <x:c r="D75" s="11" t="s">
        <x:v>85</x:v>
      </x:c>
      <x:c r="E75" s="11" t="s">
        <x:v>837</x:v>
      </x:c>
      <x:c r="F75" s="11" t="s">
        <x:v>838</x:v>
      </x:c>
      <x:c r="G75" s="11" t="s">
        <x:v>839</x:v>
      </x:c>
      <x:c r="H75" s="11" t="s">
        <x:v>104</x:v>
      </x:c>
      <x:c r="I75" s="16">
        <x:v>1</x:v>
      </x:c>
      <x:c r="J75" s="11" t="s">
        <x:v>808</x:v>
      </x:c>
      <x:c r="K75" s="11" t="s">
        <x:v>840</x:v>
      </x:c>
      <x:c r="L75" s="11" t="s">
        <x:v>841</x:v>
      </x:c>
      <x:c r="M75" s="11" t="s">
        <x:v>842</x:v>
      </x:c>
      <x:c r="N75" s="11" t="s">
        <x:v>843</x:v>
      </x:c>
      <x:c r="O75" s="11" t="s">
        <x:v>844</x:v>
      </x:c>
      <x:c r="P75" s="11" t="s">
        <x:v>157</x:v>
      </x:c>
      <x:c r="Q75" s="11" t="s">
        <x:v>845</x:v>
      </x:c>
      <x:c r="R75" s="11" t="s">
        <x:v>846</x:v>
      </x:c>
      <x:c r="S75" s="11" t="s">
        <x:v>239</x:v>
      </x:c>
      <x:c r="T75" s="11"/>
    </x:row>
    <x:row r="76" ht="22.799999237060547" hidden="1">
      <x:c r="A76" s="11" t="s">
        <x:v>847</x:v>
      </x:c>
      <x:c r="B76" s="11" t="s">
        <x:v>57</x:v>
      </x:c>
      <x:c r="C76" s="11">
        <x:v>10</x:v>
      </x:c>
      <x:c r="D76" s="11" t="s">
        <x:v>85</x:v>
      </x:c>
      <x:c r="E76" s="11" t="s">
        <x:v>848</x:v>
      </x:c>
      <x:c r="F76" s="11" t="s">
        <x:v>849</x:v>
      </x:c>
      <x:c r="G76" s="11" t="s">
        <x:v>850</x:v>
      </x:c>
      <x:c r="H76" s="11" t="s">
        <x:v>104</x:v>
      </x:c>
      <x:c r="I76" s="16">
        <x:v>1.25</x:v>
      </x:c>
      <x:c r="J76" s="11" t="s">
        <x:v>851</x:v>
      </x:c>
      <x:c r="K76" s="11" t="s">
        <x:v>430</x:v>
      </x:c>
      <x:c r="L76" s="11" t="s">
        <x:v>852</x:v>
      </x:c>
      <x:c r="M76" s="11" t="s">
        <x:v>853</x:v>
      </x:c>
      <x:c r="N76" s="11" t="s">
        <x:v>854</x:v>
      </x:c>
      <x:c r="O76" s="11" t="s">
        <x:v>855</x:v>
      </x:c>
      <x:c r="P76" s="11" t="s">
        <x:v>157</x:v>
      </x:c>
      <x:c r="Q76" s="11" t="s">
        <x:v>856</x:v>
      </x:c>
      <x:c r="R76" s="11" t="s">
        <x:v>857</x:v>
      </x:c>
      <x:c r="S76" s="11" t="s">
        <x:v>239</x:v>
      </x:c>
      <x:c r="T76" s="11"/>
    </x:row>
    <x:row r="77" ht="22.799999237060547" hidden="1">
      <x:c r="A77" s="11" t="s">
        <x:v>858</x:v>
      </x:c>
      <x:c r="B77" s="11" t="s">
        <x:v>57</x:v>
      </x:c>
      <x:c r="C77" s="11">
        <x:v>11</x:v>
      </x:c>
      <x:c r="D77" s="11" t="s">
        <x:v>85</x:v>
      </x:c>
      <x:c r="E77" s="11" t="s">
        <x:v>859</x:v>
      </x:c>
      <x:c r="F77" s="11" t="s">
        <x:v>860</x:v>
      </x:c>
      <x:c r="G77" s="11" t="s">
        <x:v>861</x:v>
      </x:c>
      <x:c r="H77" s="11" t="s">
        <x:v>89</x:v>
      </x:c>
      <x:c r="I77" s="16">
        <x:v>0.75</x:v>
      </x:c>
      <x:c r="J77" s="11" t="s">
        <x:v>851</x:v>
      </x:c>
      <x:c r="K77" s="11" t="s">
        <x:v>331</x:v>
      </x:c>
      <x:c r="L77" s="11" t="s">
        <x:v>862</x:v>
      </x:c>
      <x:c r="M77" s="11" t="s">
        <x:v>863</x:v>
      </x:c>
      <x:c r="N77" s="11" t="s">
        <x:v>864</x:v>
      </x:c>
      <x:c r="O77" s="11" t="s">
        <x:v>865</x:v>
      </x:c>
      <x:c r="P77" s="11" t="s">
        <x:v>477</x:v>
      </x:c>
      <x:c r="Q77" s="11" t="s">
        <x:v>847</x:v>
      </x:c>
      <x:c r="R77" s="11" t="s">
        <x:v>866</x:v>
      </x:c>
      <x:c r="S77" s="11" t="s">
        <x:v>239</x:v>
      </x:c>
      <x:c r="T77" s="11"/>
    </x:row>
    <x:row r="78" ht="22.799999237060547" hidden="1">
      <x:c r="A78" s="11" t="s">
        <x:v>867</x:v>
      </x:c>
      <x:c r="B78" s="11" t="s">
        <x:v>57</x:v>
      </x:c>
      <x:c r="C78" s="11">
        <x:v>12</x:v>
      </x:c>
      <x:c r="D78" s="11" t="s">
        <x:v>85</x:v>
      </x:c>
      <x:c r="E78" s="11" t="s">
        <x:v>868</x:v>
      </x:c>
      <x:c r="F78" s="11" t="s">
        <x:v>869</x:v>
      </x:c>
      <x:c r="G78" s="11" t="s">
        <x:v>870</x:v>
      </x:c>
      <x:c r="H78" s="11" t="s">
        <x:v>89</x:v>
      </x:c>
      <x:c r="I78" s="16">
        <x:v>1.25</x:v>
      </x:c>
      <x:c r="J78" s="11" t="s">
        <x:v>706</x:v>
      </x:c>
      <x:c r="K78" s="11" t="s">
        <x:v>197</x:v>
      </x:c>
      <x:c r="L78" s="11" t="s">
        <x:v>871</x:v>
      </x:c>
      <x:c r="M78" s="11" t="s">
        <x:v>872</x:v>
      </x:c>
      <x:c r="N78" s="11" t="s">
        <x:v>873</x:v>
      </x:c>
      <x:c r="O78" s="11" t="s">
        <x:v>874</x:v>
      </x:c>
      <x:c r="P78" s="11" t="s">
        <x:v>875</x:v>
      </x:c>
      <x:c r="Q78" s="11" t="s">
        <x:v>858</x:v>
      </x:c>
      <x:c r="R78" s="11" t="s">
        <x:v>876</x:v>
      </x:c>
      <x:c r="S78" s="11" t="s">
        <x:v>239</x:v>
      </x:c>
      <x:c r="T78" s="11"/>
    </x:row>
    <x:row r="79" ht="22.799999237060547" hidden="1">
      <x:c r="A79" s="11" t="s">
        <x:v>877</x:v>
      </x:c>
      <x:c r="B79" s="11" t="s">
        <x:v>57</x:v>
      </x:c>
      <x:c r="C79" s="11">
        <x:v>13</x:v>
      </x:c>
      <x:c r="D79" s="11" t="s">
        <x:v>85</x:v>
      </x:c>
      <x:c r="E79" s="11" t="s">
        <x:v>878</x:v>
      </x:c>
      <x:c r="F79" s="11" t="s">
        <x:v>879</x:v>
      </x:c>
      <x:c r="G79" s="11" t="s">
        <x:v>880</x:v>
      </x:c>
      <x:c r="H79" s="11" t="s">
        <x:v>89</x:v>
      </x:c>
      <x:c r="I79" s="16">
        <x:v>1</x:v>
      </x:c>
      <x:c r="J79" s="11" t="s">
        <x:v>851</x:v>
      </x:c>
      <x:c r="K79" s="11" t="s">
        <x:v>97</x:v>
      </x:c>
      <x:c r="L79" s="11" t="s">
        <x:v>881</x:v>
      </x:c>
      <x:c r="M79" s="11" t="s">
        <x:v>882</x:v>
      </x:c>
      <x:c r="N79" s="11" t="s">
        <x:v>883</x:v>
      </x:c>
      <x:c r="O79" s="11" t="s">
        <x:v>884</x:v>
      </x:c>
      <x:c r="P79" s="11" t="s">
        <x:v>110</x:v>
      </x:c>
      <x:c r="Q79" s="11" t="s">
        <x:v>885</x:v>
      </x:c>
      <x:c r="R79" s="11" t="s">
        <x:v>886</x:v>
      </x:c>
      <x:c r="S79" s="11" t="s">
        <x:v>239</x:v>
      </x:c>
      <x:c r="T79" s="11"/>
    </x:row>
  </x:sheetData>
  <x:mergeCells>
    <x:mergeCell ref="A1:T1"/>
    <x:mergeCell ref="A2:T2"/>
  </x:mergeCells>
  <x:conditionalFormatting sqref="S6:S79">
    <x:cfRule type="containsText" dxfId="47" priority="1" operator="containsText" text="Done"/>
    <x:cfRule type="containsText" dxfId="46" priority="2" operator="containsText" text="Blocked"/>
    <x:cfRule type="containsText" dxfId="45" priority="3" operator="containsText" text="In Progress"/>
    <x:cfRule type="containsText" dxfId="44" priority="4" operator="containsText" text="Ready for Review"/>
  </x:conditionalFormatting>
  <x:dataValidations count="1">
    <x:dataValidation type="list" sqref="S6:S79">
      <x:formula1>"Not Started,In Progress,Blocked,Ready for Review,Done,Deferred"</x:formula1>
    </x:dataValidation>
  </x:dataValidations>
  <x:pageMargins left="0.7" right="0.7" top="0.75" bottom="0.75" header="0.3" footer="0.3"/>
  <x:tableParts count="1">
    <x:tablePart xmlns:r="http://schemas.openxmlformats.org/officeDocument/2006/relationships" r:id="R509286ace760420f"/>
  </x:tableParts>
</x:worksheet>
</file>

<file path=xl/worksheets/sheet4.xml><?xml version="1.0" encoding="utf-8"?>
<x:worksheet xmlns:x="http://schemas.openxmlformats.org/spreadsheetml/2006/main">
  <x:sheetViews>
    <x:sheetView showGridLines="0" workbookViewId="0"/>
  </x:sheetViews>
  <x:sheetFormatPr defaultRowHeight="13.800000190734863"/>
  <x:cols>
    <x:col min="1" max="1" width="9" customWidth="1"/>
    <x:col min="2" max="2" width="22" customWidth="1"/>
    <x:col min="3" max="3" width="31" customWidth="1"/>
    <x:col min="4" max="4" width="42" customWidth="1"/>
    <x:col min="5" max="5" width="38" customWidth="1"/>
    <x:col min="6" max="6" width="42" customWidth="1"/>
    <x:col min="7" max="7" width="45" customWidth="1"/>
    <x:col min="8" max="8" width="8" customWidth="1"/>
    <x:col min="9" max="9" width="13" customWidth="1"/>
    <x:col min="10" max="10" width="18" customWidth="1"/>
    <x:col min="11" max="11" width="36" customWidth="1"/>
    <x:col min="12" max="12" width="38" customWidth="1"/>
    <x:col min="13" max="13" width="28" customWidth="1"/>
    <x:col min="14" max="14" width="36" customWidth="1"/>
    <x:col min="15" max="15" width="16" customWidth="1"/>
  </x:cols>
  <x:sheetData>
    <x:row r="1" ht="31.950000762939453" customHeight="1">
      <x:c r="A1" s="32" t="s">
        <x:v>887</x:v>
      </x:c>
      <x:c r="B1" s="32"/>
      <x:c r="C1" s="32"/>
      <x:c r="D1" s="32"/>
      <x:c r="E1" s="32"/>
      <x:c r="F1" s="32"/>
      <x:c r="G1" s="32"/>
      <x:c r="H1" s="32"/>
      <x:c r="I1" s="32"/>
      <x:c r="J1" s="32"/>
      <x:c r="K1" s="32"/>
      <x:c r="L1" s="32"/>
      <x:c r="M1" s="32"/>
      <x:c r="N1" s="32"/>
      <x:c r="O1" s="32"/>
    </x:row>
    <x:row r="2" ht="31.950000762939453" customHeight="1">
      <x:c r="A2" s="33" t="s">
        <x:v>888</x:v>
      </x:c>
      <x:c r="B2" s="33"/>
      <x:c r="C2" s="33"/>
      <x:c r="D2" s="33"/>
      <x:c r="E2" s="33"/>
      <x:c r="F2" s="33"/>
      <x:c r="G2" s="33"/>
      <x:c r="H2" s="33"/>
      <x:c r="I2" s="33"/>
      <x:c r="J2" s="33"/>
      <x:c r="K2" s="33"/>
      <x:c r="L2" s="33"/>
      <x:c r="M2" s="33"/>
      <x:c r="N2" s="33"/>
      <x:c r="O2" s="33"/>
    </x:row>
    <x:row r="4" ht="28.049999237060547" customHeight="1">
      <x:c r="A4" s="34" t="s">
        <x:v>52</x:v>
      </x:c>
      <x:c r="B4" s="36"/>
      <x:c r="D4" s="34" t="s">
        <x:v>45</x:v>
      </x:c>
      <x:c r="E4" s="36"/>
      <x:c r="G4" s="34" t="s">
        <x:v>889</x:v>
      </x:c>
      <x:c r="H4" s="35"/>
      <x:c r="I4" s="35"/>
      <x:c r="J4" s="35"/>
      <x:c r="K4" s="35"/>
      <x:c r="L4" s="35"/>
      <x:c r="M4" s="35"/>
      <x:c r="N4" s="35"/>
      <x:c r="O4" s="36"/>
    </x:row>
    <x:row r="5">
      <x:c r="A5" s="75" t="n">
        <x:f>IF(COUNTA(O10:O40)=0,0,COUNTIF(O10:O40,"Done")/COUNTA(A10:A40))</x:f>
        <x:v>0.5714285714285714</x:v>
      </x:c>
      <x:c r="B5" s="76"/>
      <x:c r="D5" s="79" t="n">
        <x:f>COUNTIF(O10:O40,"Blocked")</x:f>
        <x:v>0</x:v>
      </x:c>
      <x:c r="E5" s="80"/>
      <x:c r="G5" s="83" t="s">
        <x:v>890</x:v>
      </x:c>
      <x:c r="H5" s="84"/>
      <x:c r="I5" s="84"/>
      <x:c r="J5" s="84"/>
      <x:c r="K5" s="84"/>
      <x:c r="L5" s="84"/>
      <x:c r="M5" s="84"/>
      <x:c r="N5" s="84"/>
      <x:c r="O5" s="85"/>
    </x:row>
    <x:row r="6">
      <x:c r="A6" s="77"/>
      <x:c r="B6" s="78"/>
      <x:c r="D6" s="81"/>
      <x:c r="E6" s="82"/>
      <x:c r="G6" s="86"/>
      <x:c r="H6" s="87"/>
      <x:c r="I6" s="87"/>
      <x:c r="J6" s="87"/>
      <x:c r="K6" s="87"/>
      <x:c r="L6" s="87"/>
      <x:c r="M6" s="87"/>
      <x:c r="N6" s="87"/>
      <x:c r="O6" s="88"/>
    </x:row>
    <x:row r="9" ht="28.049999237060547" customHeight="1">
      <x:c r="A9" s="1" t="s">
        <x:v>66</x:v>
      </x:c>
      <x:c r="B9" s="2" t="s">
        <x:v>67</x:v>
      </x:c>
      <x:c r="C9" s="2" t="s">
        <x:v>68</x:v>
      </x:c>
      <x:c r="D9" s="2" t="s">
        <x:v>69</x:v>
      </x:c>
      <x:c r="E9" s="2" t="s">
        <x:v>891</x:v>
      </x:c>
      <x:c r="F9" s="2" t="s">
        <x:v>892</x:v>
      </x:c>
      <x:c r="G9" s="2" t="s">
        <x:v>33</x:v>
      </x:c>
      <x:c r="H9" s="2" t="s">
        <x:v>893</x:v>
      </x:c>
      <x:c r="I9" s="2" t="s">
        <x:v>894</x:v>
      </x:c>
      <x:c r="J9" s="2" t="s">
        <x:v>895</x:v>
      </x:c>
      <x:c r="K9" s="2" t="s">
        <x:v>896</x:v>
      </x:c>
      <x:c r="L9" s="2" t="s">
        <x:v>897</x:v>
      </x:c>
      <x:c r="M9" s="2" t="s">
        <x:v>898</x:v>
      </x:c>
      <x:c r="N9" s="2" t="s">
        <x:v>899</x:v>
      </x:c>
      <x:c r="O9" s="3" t="s">
        <x:v>82</x:v>
      </x:c>
    </x:row>
    <x:row r="10" ht="22.799999237060547">
      <x:c r="A10" s="10" t="s">
        <x:v>84</x:v>
      </x:c>
      <x:c r="B10" s="10">
        <x:v>1</x:v>
      </x:c>
      <x:c r="C10" s="10" t="s">
        <x:v>85</x:v>
      </x:c>
      <x:c r="D10" s="10" t="s">
        <x:v>86</x:v>
      </x:c>
      <x:c r="E10" s="10" t="s">
        <x:v>87</x:v>
      </x:c>
      <x:c r="F10" s="10" t="s">
        <x:v>88</x:v>
      </x:c>
      <x:c r="G10" s="10" t="s">
        <x:v>89</x:v>
      </x:c>
      <x:c r="H10" s="15">
        <x:v>1</x:v>
      </x:c>
      <x:c r="I10" s="10" t="s">
        <x:v>90</x:v>
      </x:c>
      <x:c r="J10" s="10" t="s">
        <x:v>91</x:v>
      </x:c>
      <x:c r="K10" s="10" t="s">
        <x:v>92</x:v>
      </x:c>
      <x:c r="L10" s="10" t="s">
        <x:v>93</x:v>
      </x:c>
      <x:c r="M10" s="10" t="s">
        <x:v>95</x:v>
      </x:c>
      <x:c r="N10" s="10" t="s">
        <x:v>98</x:v>
      </x:c>
      <x:c r="O10" s="10" t="s">
        <x:v>43</x:v>
      </x:c>
    </x:row>
    <x:row r="11" ht="22.799999237060547">
      <x:c r="A11" s="11" t="s">
        <x:v>100</x:v>
      </x:c>
      <x:c r="B11" s="11">
        <x:v>2</x:v>
      </x:c>
      <x:c r="C11" s="11" t="s">
        <x:v>85</x:v>
      </x:c>
      <x:c r="D11" s="11" t="s">
        <x:v>101</x:v>
      </x:c>
      <x:c r="E11" s="11" t="s">
        <x:v>102</x:v>
      </x:c>
      <x:c r="F11" s="11" t="s">
        <x:v>103</x:v>
      </x:c>
      <x:c r="G11" s="11" t="s">
        <x:v>104</x:v>
      </x:c>
      <x:c r="H11" s="16">
        <x:v>0.5</x:v>
      </x:c>
      <x:c r="I11" s="11" t="s">
        <x:v>105</x:v>
      </x:c>
      <x:c r="J11" s="11" t="s">
        <x:v>97</x:v>
      </x:c>
      <x:c r="K11" s="11" t="s">
        <x:v>106</x:v>
      </x:c>
      <x:c r="L11" s="11" t="s">
        <x:v>107</x:v>
      </x:c>
      <x:c r="M11" s="11" t="s">
        <x:v>109</x:v>
      </x:c>
      <x:c r="N11" s="11" t="s">
        <x:v>111</x:v>
      </x:c>
      <x:c r="O11" s="11" t="s">
        <x:v>43</x:v>
      </x:c>
    </x:row>
    <x:row r="12" ht="22.799999237060547">
      <x:c r="A12" s="11" t="s">
        <x:v>113</x:v>
      </x:c>
      <x:c r="B12" s="11">
        <x:v>3</x:v>
      </x:c>
      <x:c r="C12" s="11" t="s">
        <x:v>85</x:v>
      </x:c>
      <x:c r="D12" s="11" t="s">
        <x:v>114</x:v>
      </x:c>
      <x:c r="E12" s="11" t="s">
        <x:v>115</x:v>
      </x:c>
      <x:c r="F12" s="11" t="s">
        <x:v>116</x:v>
      </x:c>
      <x:c r="G12" s="11" t="s">
        <x:v>117</x:v>
      </x:c>
      <x:c r="H12" s="16">
        <x:v>1.5</x:v>
      </x:c>
      <x:c r="I12" s="11" t="s">
        <x:v>118</x:v>
      </x:c>
      <x:c r="J12" s="11" t="s">
        <x:v>119</x:v>
      </x:c>
      <x:c r="K12" s="11" t="s">
        <x:v>120</x:v>
      </x:c>
      <x:c r="L12" s="11" t="s">
        <x:v>121</x:v>
      </x:c>
      <x:c r="M12" s="11" t="s">
        <x:v>123</x:v>
      </x:c>
      <x:c r="N12" s="11" t="s">
        <x:v>124</x:v>
      </x:c>
      <x:c r="O12" s="11" t="s">
        <x:v>43</x:v>
      </x:c>
    </x:row>
    <x:row r="13" ht="22.799999237060547">
      <x:c r="A13" s="11" t="s">
        <x:v>126</x:v>
      </x:c>
      <x:c r="B13" s="11">
        <x:v>4</x:v>
      </x:c>
      <x:c r="C13" s="11" t="s">
        <x:v>85</x:v>
      </x:c>
      <x:c r="D13" s="11" t="s">
        <x:v>127</x:v>
      </x:c>
      <x:c r="E13" s="11" t="s">
        <x:v>128</x:v>
      </x:c>
      <x:c r="F13" s="11" t="s">
        <x:v>129</x:v>
      </x:c>
      <x:c r="G13" s="11" t="s">
        <x:v>117</x:v>
      </x:c>
      <x:c r="H13" s="16">
        <x:v>1</x:v>
      </x:c>
      <x:c r="I13" s="11" t="s">
        <x:v>118</x:v>
      </x:c>
      <x:c r="J13" s="11" t="s">
        <x:v>130</x:v>
      </x:c>
      <x:c r="K13" s="11" t="s">
        <x:v>131</x:v>
      </x:c>
      <x:c r="L13" s="11" t="s">
        <x:v>132</x:v>
      </x:c>
      <x:c r="M13" s="11" t="s">
        <x:v>134</x:v>
      </x:c>
      <x:c r="N13" s="11" t="s">
        <x:v>135</x:v>
      </x:c>
      <x:c r="O13" s="11" t="s">
        <x:v>43</x:v>
      </x:c>
    </x:row>
    <x:row r="14" ht="22.799999237060547">
      <x:c r="A14" s="11" t="s">
        <x:v>136</x:v>
      </x:c>
      <x:c r="B14" s="11">
        <x:v>5</x:v>
      </x:c>
      <x:c r="C14" s="11" t="s">
        <x:v>85</x:v>
      </x:c>
      <x:c r="D14" s="11" t="s">
        <x:v>137</x:v>
      </x:c>
      <x:c r="E14" s="11" t="s">
        <x:v>138</x:v>
      </x:c>
      <x:c r="F14" s="11" t="s">
        <x:v>139</x:v>
      </x:c>
      <x:c r="G14" s="11" t="s">
        <x:v>117</x:v>
      </x:c>
      <x:c r="H14" s="16">
        <x:v>1.5</x:v>
      </x:c>
      <x:c r="I14" s="11" t="s">
        <x:v>140</x:v>
      </x:c>
      <x:c r="J14" s="11" t="s">
        <x:v>141</x:v>
      </x:c>
      <x:c r="K14" s="11" t="s">
        <x:v>142</x:v>
      </x:c>
      <x:c r="L14" s="11" t="s">
        <x:v>143</x:v>
      </x:c>
      <x:c r="M14" s="11" t="s">
        <x:v>145</x:v>
      </x:c>
      <x:c r="N14" s="11" t="s">
        <x:v>147</x:v>
      </x:c>
      <x:c r="O14" s="11" t="s">
        <x:v>43</x:v>
      </x:c>
    </x:row>
    <x:row r="15" ht="22.799999237060547">
      <x:c r="A15" s="11" t="s">
        <x:v>148</x:v>
      </x:c>
      <x:c r="B15" s="11">
        <x:v>6</x:v>
      </x:c>
      <x:c r="C15" s="11" t="s">
        <x:v>85</x:v>
      </x:c>
      <x:c r="D15" s="11" t="s">
        <x:v>149</x:v>
      </x:c>
      <x:c r="E15" s="11" t="s">
        <x:v>150</x:v>
      </x:c>
      <x:c r="F15" s="11" t="s">
        <x:v>151</x:v>
      </x:c>
      <x:c r="G15" s="11" t="s">
        <x:v>117</x:v>
      </x:c>
      <x:c r="H15" s="16">
        <x:v>1.25</x:v>
      </x:c>
      <x:c r="I15" s="11" t="s">
        <x:v>152</x:v>
      </x:c>
      <x:c r="J15" s="11" t="s">
        <x:v>97</x:v>
      </x:c>
      <x:c r="K15" s="11" t="s">
        <x:v>153</x:v>
      </x:c>
      <x:c r="L15" s="11" t="s">
        <x:v>154</x:v>
      </x:c>
      <x:c r="M15" s="11" t="s">
        <x:v>156</x:v>
      </x:c>
      <x:c r="N15" s="11" t="s">
        <x:v>159</x:v>
      </x:c>
      <x:c r="O15" s="11" t="s">
        <x:v>43</x:v>
      </x:c>
    </x:row>
    <x:row r="16" ht="22.799999237060547">
      <x:c r="A16" s="11" t="s">
        <x:v>160</x:v>
      </x:c>
      <x:c r="B16" s="11">
        <x:v>7</x:v>
      </x:c>
      <x:c r="C16" s="11" t="s">
        <x:v>85</x:v>
      </x:c>
      <x:c r="D16" s="11" t="s">
        <x:v>161</x:v>
      </x:c>
      <x:c r="E16" s="11" t="s">
        <x:v>162</x:v>
      </x:c>
      <x:c r="F16" s="11" t="s">
        <x:v>163</x:v>
      </x:c>
      <x:c r="G16" s="11" t="s">
        <x:v>117</x:v>
      </x:c>
      <x:c r="H16" s="16">
        <x:v>1</x:v>
      </x:c>
      <x:c r="I16" s="11" t="s">
        <x:v>118</x:v>
      </x:c>
      <x:c r="J16" s="11" t="s">
        <x:v>97</x:v>
      </x:c>
      <x:c r="K16" s="11" t="s">
        <x:v>164</x:v>
      </x:c>
      <x:c r="L16" s="11" t="s">
        <x:v>165</x:v>
      </x:c>
      <x:c r="M16" s="11" t="s">
        <x:v>167</x:v>
      </x:c>
      <x:c r="N16" s="11" t="s">
        <x:v>169</x:v>
      </x:c>
      <x:c r="O16" s="11" t="s">
        <x:v>43</x:v>
      </x:c>
    </x:row>
    <x:row r="17" ht="22.799999237060547">
      <x:c r="A17" s="11" t="s">
        <x:v>170</x:v>
      </x:c>
      <x:c r="B17" s="11">
        <x:v>8</x:v>
      </x:c>
      <x:c r="C17" s="11" t="s">
        <x:v>85</x:v>
      </x:c>
      <x:c r="D17" s="11" t="s">
        <x:v>171</x:v>
      </x:c>
      <x:c r="E17" s="11" t="s">
        <x:v>172</x:v>
      </x:c>
      <x:c r="F17" s="11" t="s">
        <x:v>173</x:v>
      </x:c>
      <x:c r="G17" s="11" t="s">
        <x:v>117</x:v>
      </x:c>
      <x:c r="H17" s="16">
        <x:v>1</x:v>
      </x:c>
      <x:c r="I17" s="11" t="s">
        <x:v>152</x:v>
      </x:c>
      <x:c r="J17" s="11" t="s">
        <x:v>174</x:v>
      </x:c>
      <x:c r="K17" s="11" t="s">
        <x:v>175</x:v>
      </x:c>
      <x:c r="L17" s="11" t="s">
        <x:v>176</x:v>
      </x:c>
      <x:c r="M17" s="11" t="s">
        <x:v>178</x:v>
      </x:c>
      <x:c r="N17" s="11" t="s">
        <x:v>179</x:v>
      </x:c>
      <x:c r="O17" s="11" t="s">
        <x:v>43</x:v>
      </x:c>
    </x:row>
    <x:row r="18" ht="34.20000076293945">
      <x:c r="A18" s="11" t="s">
        <x:v>180</x:v>
      </x:c>
      <x:c r="B18" s="11">
        <x:v>9</x:v>
      </x:c>
      <x:c r="C18" s="11" t="s">
        <x:v>85</x:v>
      </x:c>
      <x:c r="D18" s="11" t="s">
        <x:v>181</x:v>
      </x:c>
      <x:c r="E18" s="11" t="s">
        <x:v>182</x:v>
      </x:c>
      <x:c r="F18" s="11" t="s">
        <x:v>183</x:v>
      </x:c>
      <x:c r="G18" s="11" t="s">
        <x:v>117</x:v>
      </x:c>
      <x:c r="H18" s="16">
        <x:v>1.25</x:v>
      </x:c>
      <x:c r="I18" s="11" t="s">
        <x:v>184</x:v>
      </x:c>
      <x:c r="J18" s="11" t="s">
        <x:v>185</x:v>
      </x:c>
      <x:c r="K18" s="11" t="s">
        <x:v>186</x:v>
      </x:c>
      <x:c r="L18" s="11" t="s">
        <x:v>187</x:v>
      </x:c>
      <x:c r="M18" s="11" t="s">
        <x:v>189</x:v>
      </x:c>
      <x:c r="N18" s="11" t="s">
        <x:v>191</x:v>
      </x:c>
      <x:c r="O18" s="11" t="s">
        <x:v>43</x:v>
      </x:c>
    </x:row>
    <x:row r="19" ht="22.799999237060547">
      <x:c r="A19" s="11" t="s">
        <x:v>193</x:v>
      </x:c>
      <x:c r="B19" s="11">
        <x:v>10</x:v>
      </x:c>
      <x:c r="C19" s="11" t="s">
        <x:v>85</x:v>
      </x:c>
      <x:c r="D19" s="11" t="s">
        <x:v>194</x:v>
      </x:c>
      <x:c r="E19" s="11" t="s">
        <x:v>195</x:v>
      </x:c>
      <x:c r="F19" s="11" t="s">
        <x:v>196</x:v>
      </x:c>
      <x:c r="G19" s="11" t="s">
        <x:v>117</x:v>
      </x:c>
      <x:c r="H19" s="16">
        <x:v>1.5</x:v>
      </x:c>
      <x:c r="I19" s="11" t="s">
        <x:v>184</x:v>
      </x:c>
      <x:c r="J19" s="11" t="s">
        <x:v>197</x:v>
      </x:c>
      <x:c r="K19" s="11" t="s">
        <x:v>198</x:v>
      </x:c>
      <x:c r="L19" s="11" t="s">
        <x:v>199</x:v>
      </x:c>
      <x:c r="M19" s="11" t="s">
        <x:v>201</x:v>
      </x:c>
      <x:c r="N19" s="11" t="s">
        <x:v>203</x:v>
      </x:c>
      <x:c r="O19" s="11" t="s">
        <x:v>43</x:v>
      </x:c>
    </x:row>
    <x:row r="20" ht="22.799999237060547">
      <x:c r="A20" s="11" t="s">
        <x:v>204</x:v>
      </x:c>
      <x:c r="B20" s="11">
        <x:v>11</x:v>
      </x:c>
      <x:c r="C20" s="11" t="s">
        <x:v>85</x:v>
      </x:c>
      <x:c r="D20" s="11" t="s">
        <x:v>205</x:v>
      </x:c>
      <x:c r="E20" s="11" t="s">
        <x:v>206</x:v>
      </x:c>
      <x:c r="F20" s="11" t="s">
        <x:v>207</x:v>
      </x:c>
      <x:c r="G20" s="11" t="s">
        <x:v>117</x:v>
      </x:c>
      <x:c r="H20" s="16">
        <x:v>1</x:v>
      </x:c>
      <x:c r="I20" s="11" t="s">
        <x:v>184</x:v>
      </x:c>
      <x:c r="J20" s="11" t="s">
        <x:v>208</x:v>
      </x:c>
      <x:c r="K20" s="11" t="s">
        <x:v>209</x:v>
      </x:c>
      <x:c r="L20" s="11" t="s">
        <x:v>210</x:v>
      </x:c>
      <x:c r="M20" s="11" t="s">
        <x:v>212</x:v>
      </x:c>
      <x:c r="N20" s="11" t="s">
        <x:v>214</x:v>
      </x:c>
      <x:c r="O20" s="11" t="s">
        <x:v>43</x:v>
      </x:c>
    </x:row>
    <x:row r="21" ht="22.799999237060547">
      <x:c r="A21" s="11" t="s">
        <x:v>215</x:v>
      </x:c>
      <x:c r="B21" s="11">
        <x:v>12</x:v>
      </x:c>
      <x:c r="C21" s="11" t="s">
        <x:v>85</x:v>
      </x:c>
      <x:c r="D21" s="11" t="s">
        <x:v>216</x:v>
      </x:c>
      <x:c r="E21" s="11" t="s">
        <x:v>217</x:v>
      </x:c>
      <x:c r="F21" s="11" t="s">
        <x:v>218</x:v>
      </x:c>
      <x:c r="G21" s="11" t="s">
        <x:v>89</x:v>
      </x:c>
      <x:c r="H21" s="16">
        <x:v>1</x:v>
      </x:c>
      <x:c r="I21" s="11" t="s">
        <x:v>219</x:v>
      </x:c>
      <x:c r="J21" s="11" t="s">
        <x:v>220</x:v>
      </x:c>
      <x:c r="K21" s="11" t="s">
        <x:v>221</x:v>
      </x:c>
      <x:c r="L21" s="11" t="s">
        <x:v>222</x:v>
      </x:c>
      <x:c r="M21" s="11" t="s">
        <x:v>224</x:v>
      </x:c>
      <x:c r="N21" s="11" t="s">
        <x:v>226</x:v>
      </x:c>
      <x:c r="O21" s="11" t="s">
        <x:v>43</x:v>
      </x:c>
    </x:row>
    <x:row r="23" ht="24" customHeight="1">
      <x:c r="A23" s="73" t="s">
        <x:v>900</x:v>
      </x:c>
      <x:c r="B23" s="73"/>
      <x:c r="C23" s="73"/>
      <x:c r="D23" s="73"/>
      <x:c r="E23" s="73"/>
      <x:c r="F23" s="73"/>
      <x:c r="G23" s="73"/>
      <x:c r="H23" s="74"/>
      <x:c r="I23" s="74"/>
      <x:c r="J23" s="74"/>
      <x:c r="K23" s="74"/>
      <x:c r="L23" s="74"/>
      <x:c r="M23" s="74"/>
      <x:c r="N23" s="74"/>
      <x:c r="O23" s="74"/>
    </x:row>
    <x:row r="24" ht="34.04999923706055" customHeight="1">
      <x:c r="A24" s="24" t="s">
        <x:v>901</x:v>
      </x:c>
      <x:c r="B24" s="24" t="s">
        <x:v>73</x:v>
      </x:c>
      <x:c r="C24" s="24" t="s">
        <x:v>902</x:v>
      </x:c>
      <x:c r="D24" s="24" t="s">
        <x:v>903</x:v>
      </x:c>
      <x:c r="E24" s="24" t="s">
        <x:v>904</x:v>
      </x:c>
      <x:c r="F24" s="24" t="s">
        <x:v>905</x:v>
      </x:c>
      <x:c r="G24" s="24" t="s">
        <x:v>906</x:v>
      </x:c>
    </x:row>
    <x:row r="25" ht="48" customHeight="1">
      <x:c r="A25" s="26">
        <x:v>1</x:v>
      </x:c>
      <x:c r="B25" s="26" t="s">
        <x:v>90</x:v>
      </x:c>
      <x:c r="C25" s="26" t="s">
        <x:v>907</x:v>
      </x:c>
      <x:c r="D25" s="26" t="s">
        <x:v>908</x:v>
      </x:c>
      <x:c r="E25" s="26" t="s">
        <x:v>909</x:v>
      </x:c>
      <x:c r="F25" s="26" t="s">
        <x:v>910</x:v>
      </x:c>
      <x:c r="G25" s="26" t="s">
        <x:v>911</x:v>
      </x:c>
    </x:row>
    <x:row r="26" ht="48" customHeight="1">
      <x:c r="A26" s="25">
        <x:v>2</x:v>
      </x:c>
      <x:c r="B26" s="25" t="s">
        <x:v>105</x:v>
      </x:c>
      <x:c r="C26" s="25" t="s">
        <x:v>912</x:v>
      </x:c>
      <x:c r="D26" s="25" t="s">
        <x:v>913</x:v>
      </x:c>
      <x:c r="E26" s="25" t="s">
        <x:v>914</x:v>
      </x:c>
      <x:c r="F26" s="25" t="s">
        <x:v>915</x:v>
      </x:c>
      <x:c r="G26" s="25" t="s">
        <x:v>916</x:v>
      </x:c>
    </x:row>
    <x:row r="27" ht="48" customHeight="1">
      <x:c r="A27" s="26">
        <x:v>3</x:v>
      </x:c>
      <x:c r="B27" s="26" t="s">
        <x:v>118</x:v>
      </x:c>
      <x:c r="C27" s="26" t="s">
        <x:v>917</x:v>
      </x:c>
      <x:c r="D27" s="26" t="s">
        <x:v>918</x:v>
      </x:c>
      <x:c r="E27" s="26" t="s">
        <x:v>919</x:v>
      </x:c>
      <x:c r="F27" s="26" t="s">
        <x:v>920</x:v>
      </x:c>
      <x:c r="G27" s="26" t="s">
        <x:v>921</x:v>
      </x:c>
    </x:row>
    <x:row r="28" ht="48" customHeight="1">
      <x:c r="A28" s="25">
        <x:v>4</x:v>
      </x:c>
      <x:c r="B28" s="25" t="s">
        <x:v>140</x:v>
      </x:c>
      <x:c r="C28" s="25" t="s">
        <x:v>922</x:v>
      </x:c>
      <x:c r="D28" s="25" t="s">
        <x:v>923</x:v>
      </x:c>
      <x:c r="E28" s="25" t="s">
        <x:v>924</x:v>
      </x:c>
      <x:c r="F28" s="25" t="s">
        <x:v>925</x:v>
      </x:c>
      <x:c r="G28" s="25" t="s">
        <x:v>143</x:v>
      </x:c>
    </x:row>
    <x:row r="29" ht="48" customHeight="1">
      <x:c r="A29" s="26">
        <x:v>5</x:v>
      </x:c>
      <x:c r="B29" s="26" t="s">
        <x:v>152</x:v>
      </x:c>
      <x:c r="C29" s="26" t="s">
        <x:v>926</x:v>
      </x:c>
      <x:c r="D29" s="26" t="s">
        <x:v>927</x:v>
      </x:c>
      <x:c r="E29" s="26" t="s">
        <x:v>928</x:v>
      </x:c>
      <x:c r="F29" s="26" t="s">
        <x:v>929</x:v>
      </x:c>
      <x:c r="G29" s="26" t="s">
        <x:v>154</x:v>
      </x:c>
    </x:row>
    <x:row r="30" ht="48" customHeight="1">
      <x:c r="A30" s="25">
        <x:v>6</x:v>
      </x:c>
      <x:c r="B30" s="25" t="s">
        <x:v>184</x:v>
      </x:c>
      <x:c r="C30" s="25" t="s">
        <x:v>930</x:v>
      </x:c>
      <x:c r="D30" s="25" t="s">
        <x:v>931</x:v>
      </x:c>
      <x:c r="E30" s="25" t="s">
        <x:v>932</x:v>
      </x:c>
      <x:c r="F30" s="25" t="s">
        <x:v>933</x:v>
      </x:c>
      <x:c r="G30" s="25" t="s">
        <x:v>934</x:v>
      </x:c>
    </x:row>
    <x:row r="31" ht="48" customHeight="1">
      <x:c r="A31" s="26">
        <x:v>7</x:v>
      </x:c>
      <x:c r="B31" s="26" t="s">
        <x:v>219</x:v>
      </x:c>
      <x:c r="C31" s="26" t="s">
        <x:v>935</x:v>
      </x:c>
      <x:c r="D31" s="26" t="s">
        <x:v>936</x:v>
      </x:c>
      <x:c r="E31" s="26" t="s">
        <x:v>937</x:v>
      </x:c>
      <x:c r="F31" s="26" t="s">
        <x:v>938</x:v>
      </x:c>
      <x:c r="G31" s="26" t="s">
        <x:v>939</x:v>
      </x:c>
    </x:row>
  </x:sheetData>
  <x:mergeCells>
    <x:mergeCell ref="A23:O23"/>
    <x:mergeCell ref="A1:O1"/>
    <x:mergeCell ref="A2:O2"/>
    <x:mergeCell ref="A4:B4"/>
    <x:mergeCell ref="A5:B6"/>
    <x:mergeCell ref="D4:E4"/>
    <x:mergeCell ref="D5:E6"/>
    <x:mergeCell ref="G4:O4"/>
    <x:mergeCell ref="G5:O6"/>
  </x:mergeCells>
  <x:conditionalFormatting sqref="O10:O21">
    <x:cfRule type="containsText" dxfId="43" priority="1" operator="containsText" text="Done"/>
    <x:cfRule type="containsText" dxfId="42" priority="2" operator="containsText" text="Blocked"/>
    <x:cfRule type="containsText" dxfId="41" priority="3" operator="containsText" text="In Progress"/>
    <x:cfRule type="containsText" dxfId="40" priority="4" operator="containsText" text="Ready for Review"/>
  </x:conditionalFormatting>
  <x:dataValidations count="1">
    <x:dataValidation type="list" sqref="O10:O21">
      <x:formula1>"Not Started,In Progress,Blocked,Ready for Review,Done,Deferred"</x:formula1>
    </x:dataValidation>
  </x:dataValidations>
  <x:pageMargins left="0.7" right="0.7" top="0.75" bottom="0.75" header="0.3" footer="0.3"/>
  <x:tableParts count="1">
    <x:tablePart xmlns:r="http://schemas.openxmlformats.org/officeDocument/2006/relationships" r:id="Rf2ea3e5d587f4970"/>
  </x:tableParts>
</x:worksheet>
</file>

<file path=xl/worksheets/sheet5.xml><?xml version="1.0" encoding="utf-8"?>
<x:worksheet xmlns:x="http://schemas.openxmlformats.org/spreadsheetml/2006/main">
  <x:sheetViews>
    <x:sheetView showGridLines="0" workbookViewId="0"/>
  </x:sheetViews>
  <x:sheetFormatPr defaultRowHeight="13.800000190734863"/>
  <x:cols>
    <x:col min="1" max="1" width="9" customWidth="1"/>
    <x:col min="2" max="2" width="22" customWidth="1"/>
    <x:col min="3" max="3" width="31" customWidth="1"/>
    <x:col min="4" max="4" width="42" customWidth="1"/>
    <x:col min="5" max="5" width="38" customWidth="1"/>
    <x:col min="6" max="6" width="42" customWidth="1"/>
    <x:col min="7" max="7" width="45" customWidth="1"/>
    <x:col min="8" max="8" width="8" customWidth="1"/>
    <x:col min="9" max="9" width="13" customWidth="1"/>
    <x:col min="10" max="10" width="18" customWidth="1"/>
    <x:col min="11" max="11" width="36" customWidth="1"/>
    <x:col min="12" max="12" width="38" customWidth="1"/>
    <x:col min="13" max="13" width="28" customWidth="1"/>
    <x:col min="14" max="14" width="36" customWidth="1"/>
    <x:col min="15" max="15" width="16" customWidth="1"/>
  </x:cols>
  <x:sheetData>
    <x:row r="1" ht="31.950000762939453" customHeight="1">
      <x:c r="A1" s="32" t="s">
        <x:v>940</x:v>
      </x:c>
      <x:c r="B1" s="32"/>
      <x:c r="C1" s="32"/>
      <x:c r="D1" s="32"/>
      <x:c r="E1" s="32"/>
      <x:c r="F1" s="32"/>
      <x:c r="G1" s="32"/>
      <x:c r="H1" s="32"/>
      <x:c r="I1" s="32"/>
      <x:c r="J1" s="32"/>
      <x:c r="K1" s="32"/>
      <x:c r="L1" s="32"/>
      <x:c r="M1" s="32"/>
      <x:c r="N1" s="32"/>
      <x:c r="O1" s="32"/>
    </x:row>
    <x:row r="2" ht="31.950000762939453" customHeight="1">
      <x:c r="A2" s="33" t="s">
        <x:v>941</x:v>
      </x:c>
      <x:c r="B2" s="33"/>
      <x:c r="C2" s="33"/>
      <x:c r="D2" s="33"/>
      <x:c r="E2" s="33"/>
      <x:c r="F2" s="33"/>
      <x:c r="G2" s="33"/>
      <x:c r="H2" s="33"/>
      <x:c r="I2" s="33"/>
      <x:c r="J2" s="33"/>
      <x:c r="K2" s="33"/>
      <x:c r="L2" s="33"/>
      <x:c r="M2" s="33"/>
      <x:c r="N2" s="33"/>
      <x:c r="O2" s="33"/>
    </x:row>
    <x:row r="4" ht="28.049999237060547" customHeight="1">
      <x:c r="A4" s="34" t="s">
        <x:v>52</x:v>
      </x:c>
      <x:c r="B4" s="36"/>
      <x:c r="D4" s="34" t="s">
        <x:v>45</x:v>
      </x:c>
      <x:c r="E4" s="36"/>
      <x:c r="G4" s="34" t="s">
        <x:v>889</x:v>
      </x:c>
      <x:c r="H4" s="35"/>
      <x:c r="I4" s="35"/>
      <x:c r="J4" s="35"/>
      <x:c r="K4" s="35"/>
      <x:c r="L4" s="35"/>
      <x:c r="M4" s="35"/>
      <x:c r="N4" s="35"/>
      <x:c r="O4" s="36"/>
    </x:row>
    <x:row r="5">
      <x:c r="A5" s="75" t="n">
        <x:f>IF(COUNTA(O10:O40)=0,0,COUNTIF(O10:O40,"Done")/COUNTA(A10:A40))</x:f>
        <x:v>0</x:v>
      </x:c>
      <x:c r="B5" s="76"/>
      <x:c r="D5" s="79" t="n">
        <x:f>COUNTIF(O10:O40,"Blocked")</x:f>
        <x:v>0</x:v>
      </x:c>
      <x:c r="E5" s="80"/>
      <x:c r="G5" s="83" t="s">
        <x:v>942</x:v>
      </x:c>
      <x:c r="H5" s="84"/>
      <x:c r="I5" s="84"/>
      <x:c r="J5" s="84"/>
      <x:c r="K5" s="84"/>
      <x:c r="L5" s="84"/>
      <x:c r="M5" s="84"/>
      <x:c r="N5" s="84"/>
      <x:c r="O5" s="85"/>
    </x:row>
    <x:row r="6">
      <x:c r="A6" s="77"/>
      <x:c r="B6" s="78"/>
      <x:c r="D6" s="81"/>
      <x:c r="E6" s="82"/>
      <x:c r="G6" s="86"/>
      <x:c r="H6" s="87"/>
      <x:c r="I6" s="87"/>
      <x:c r="J6" s="87"/>
      <x:c r="K6" s="87"/>
      <x:c r="L6" s="87"/>
      <x:c r="M6" s="87"/>
      <x:c r="N6" s="87"/>
      <x:c r="O6" s="88"/>
    </x:row>
    <x:row r="9" ht="28.049999237060547" customHeight="1">
      <x:c r="A9" s="1" t="s">
        <x:v>66</x:v>
      </x:c>
      <x:c r="B9" s="2" t="s">
        <x:v>67</x:v>
      </x:c>
      <x:c r="C9" s="2" t="s">
        <x:v>68</x:v>
      </x:c>
      <x:c r="D9" s="2" t="s">
        <x:v>69</x:v>
      </x:c>
      <x:c r="E9" s="2" t="s">
        <x:v>891</x:v>
      </x:c>
      <x:c r="F9" s="2" t="s">
        <x:v>892</x:v>
      </x:c>
      <x:c r="G9" s="2" t="s">
        <x:v>33</x:v>
      </x:c>
      <x:c r="H9" s="2" t="s">
        <x:v>893</x:v>
      </x:c>
      <x:c r="I9" s="2" t="s">
        <x:v>894</x:v>
      </x:c>
      <x:c r="J9" s="2" t="s">
        <x:v>895</x:v>
      </x:c>
      <x:c r="K9" s="2" t="s">
        <x:v>896</x:v>
      </x:c>
      <x:c r="L9" s="2" t="s">
        <x:v>897</x:v>
      </x:c>
      <x:c r="M9" s="2" t="s">
        <x:v>898</x:v>
      </x:c>
      <x:c r="N9" s="2" t="s">
        <x:v>899</x:v>
      </x:c>
      <x:c r="O9" s="3" t="s">
        <x:v>82</x:v>
      </x:c>
    </x:row>
    <x:row r="10" ht="22.799999237060547" hidden="1">
      <x:c r="A10" s="10" t="s">
        <x:v>228</x:v>
      </x:c>
      <x:c r="B10" s="10">
        <x:v>1</x:v>
      </x:c>
      <x:c r="C10" s="10" t="s">
        <x:v>85</x:v>
      </x:c>
      <x:c r="D10" s="10" t="s">
        <x:v>229</x:v>
      </x:c>
      <x:c r="E10" s="10" t="s">
        <x:v>230</x:v>
      </x:c>
      <x:c r="F10" s="10" t="s">
        <x:v>231</x:v>
      </x:c>
      <x:c r="G10" s="10" t="s">
        <x:v>117</x:v>
      </x:c>
      <x:c r="H10" s="15">
        <x:v>1</x:v>
      </x:c>
      <x:c r="I10" s="10" t="s">
        <x:v>232</x:v>
      </x:c>
      <x:c r="J10" s="10" t="s">
        <x:v>233</x:v>
      </x:c>
      <x:c r="K10" s="10" t="s">
        <x:v>234</x:v>
      </x:c>
      <x:c r="L10" s="10" t="s">
        <x:v>235</x:v>
      </x:c>
      <x:c r="M10" s="10" t="s">
        <x:v>237</x:v>
      </x:c>
      <x:c r="N10" s="10" t="s">
        <x:v>238</x:v>
      </x:c>
      <x:c r="O10" s="10" t="s">
        <x:v>239</x:v>
      </x:c>
    </x:row>
    <x:row r="11" ht="22.799999237060547" hidden="1">
      <x:c r="A11" s="11" t="s">
        <x:v>240</x:v>
      </x:c>
      <x:c r="B11" s="11">
        <x:v>2</x:v>
      </x:c>
      <x:c r="C11" s="11" t="s">
        <x:v>85</x:v>
      </x:c>
      <x:c r="D11" s="11" t="s">
        <x:v>241</x:v>
      </x:c>
      <x:c r="E11" s="11" t="s">
        <x:v>242</x:v>
      </x:c>
      <x:c r="F11" s="11" t="s">
        <x:v>243</x:v>
      </x:c>
      <x:c r="G11" s="11" t="s">
        <x:v>117</x:v>
      </x:c>
      <x:c r="H11" s="16">
        <x:v>1.25</x:v>
      </x:c>
      <x:c r="I11" s="11" t="s">
        <x:v>232</x:v>
      </x:c>
      <x:c r="J11" s="11" t="s">
        <x:v>97</x:v>
      </x:c>
      <x:c r="K11" s="11" t="s">
        <x:v>244</x:v>
      </x:c>
      <x:c r="L11" s="11" t="s">
        <x:v>245</x:v>
      </x:c>
      <x:c r="M11" s="11" t="s">
        <x:v>247</x:v>
      </x:c>
      <x:c r="N11" s="11" t="s">
        <x:v>249</x:v>
      </x:c>
      <x:c r="O11" s="11" t="s">
        <x:v>239</x:v>
      </x:c>
    </x:row>
    <x:row r="12" ht="22.799999237060547" hidden="1">
      <x:c r="A12" s="11" t="s">
        <x:v>250</x:v>
      </x:c>
      <x:c r="B12" s="11">
        <x:v>3</x:v>
      </x:c>
      <x:c r="C12" s="11" t="s">
        <x:v>85</x:v>
      </x:c>
      <x:c r="D12" s="11" t="s">
        <x:v>251</x:v>
      </x:c>
      <x:c r="E12" s="11" t="s">
        <x:v>252</x:v>
      </x:c>
      <x:c r="F12" s="11" t="s">
        <x:v>253</x:v>
      </x:c>
      <x:c r="G12" s="11" t="s">
        <x:v>117</x:v>
      </x:c>
      <x:c r="H12" s="16">
        <x:v>1</x:v>
      </x:c>
      <x:c r="I12" s="11" t="s">
        <x:v>254</x:v>
      </x:c>
      <x:c r="J12" s="11" t="s">
        <x:v>97</x:v>
      </x:c>
      <x:c r="K12" s="11" t="s">
        <x:v>255</x:v>
      </x:c>
      <x:c r="L12" s="11" t="s">
        <x:v>256</x:v>
      </x:c>
      <x:c r="M12" s="11" t="s">
        <x:v>258</x:v>
      </x:c>
      <x:c r="N12" s="11" t="s">
        <x:v>260</x:v>
      </x:c>
      <x:c r="O12" s="11" t="s">
        <x:v>239</x:v>
      </x:c>
    </x:row>
    <x:row r="13" ht="22.799999237060547" hidden="1">
      <x:c r="A13" s="11" t="s">
        <x:v>261</x:v>
      </x:c>
      <x:c r="B13" s="11">
        <x:v>4</x:v>
      </x:c>
      <x:c r="C13" s="11" t="s">
        <x:v>85</x:v>
      </x:c>
      <x:c r="D13" s="11" t="s">
        <x:v>262</x:v>
      </x:c>
      <x:c r="E13" s="11" t="s">
        <x:v>263</x:v>
      </x:c>
      <x:c r="F13" s="11" t="s">
        <x:v>264</x:v>
      </x:c>
      <x:c r="G13" s="11" t="s">
        <x:v>117</x:v>
      </x:c>
      <x:c r="H13" s="16">
        <x:v>1.5</x:v>
      </x:c>
      <x:c r="I13" s="11" t="s">
        <x:v>232</x:v>
      </x:c>
      <x:c r="J13" s="11" t="s">
        <x:v>265</x:v>
      </x:c>
      <x:c r="K13" s="11" t="s">
        <x:v>266</x:v>
      </x:c>
      <x:c r="L13" s="11" t="s">
        <x:v>267</x:v>
      </x:c>
      <x:c r="M13" s="11" t="s">
        <x:v>269</x:v>
      </x:c>
      <x:c r="N13" s="11" t="s">
        <x:v>271</x:v>
      </x:c>
      <x:c r="O13" s="11" t="s">
        <x:v>239</x:v>
      </x:c>
    </x:row>
    <x:row r="14" ht="22.799999237060547" hidden="1">
      <x:c r="A14" s="11" t="s">
        <x:v>272</x:v>
      </x:c>
      <x:c r="B14" s="11">
        <x:v>5</x:v>
      </x:c>
      <x:c r="C14" s="11" t="s">
        <x:v>85</x:v>
      </x:c>
      <x:c r="D14" s="11" t="s">
        <x:v>273</x:v>
      </x:c>
      <x:c r="E14" s="11" t="s">
        <x:v>274</x:v>
      </x:c>
      <x:c r="F14" s="11" t="s">
        <x:v>275</x:v>
      </x:c>
      <x:c r="G14" s="11" t="s">
        <x:v>117</x:v>
      </x:c>
      <x:c r="H14" s="16">
        <x:v>1.25</x:v>
      </x:c>
      <x:c r="I14" s="11" t="s">
        <x:v>276</x:v>
      </x:c>
      <x:c r="J14" s="11" t="s">
        <x:v>277</x:v>
      </x:c>
      <x:c r="K14" s="11" t="s">
        <x:v>278</x:v>
      </x:c>
      <x:c r="L14" s="11" t="s">
        <x:v>279</x:v>
      </x:c>
      <x:c r="M14" s="11" t="s">
        <x:v>281</x:v>
      </x:c>
      <x:c r="N14" s="11" t="s">
        <x:v>282</x:v>
      </x:c>
      <x:c r="O14" s="11" t="s">
        <x:v>239</x:v>
      </x:c>
    </x:row>
    <x:row r="15" ht="22.799999237060547" hidden="1">
      <x:c r="A15" s="11" t="s">
        <x:v>283</x:v>
      </x:c>
      <x:c r="B15" s="11">
        <x:v>6</x:v>
      </x:c>
      <x:c r="C15" s="11" t="s">
        <x:v>85</x:v>
      </x:c>
      <x:c r="D15" s="11" t="s">
        <x:v>284</x:v>
      </x:c>
      <x:c r="E15" s="11" t="s">
        <x:v>285</x:v>
      </x:c>
      <x:c r="F15" s="11" t="s">
        <x:v>286</x:v>
      </x:c>
      <x:c r="G15" s="11" t="s">
        <x:v>117</x:v>
      </x:c>
      <x:c r="H15" s="16">
        <x:v>1.5</x:v>
      </x:c>
      <x:c r="I15" s="11" t="s">
        <x:v>287</x:v>
      </x:c>
      <x:c r="J15" s="11" t="s">
        <x:v>288</x:v>
      </x:c>
      <x:c r="K15" s="11" t="s">
        <x:v>289</x:v>
      </x:c>
      <x:c r="L15" s="11" t="s">
        <x:v>290</x:v>
      </x:c>
      <x:c r="M15" s="11" t="s">
        <x:v>292</x:v>
      </x:c>
      <x:c r="N15" s="11" t="s">
        <x:v>294</x:v>
      </x:c>
      <x:c r="O15" s="11" t="s">
        <x:v>239</x:v>
      </x:c>
    </x:row>
    <x:row r="16" ht="22.799999237060547" hidden="1">
      <x:c r="A16" s="11" t="s">
        <x:v>295</x:v>
      </x:c>
      <x:c r="B16" s="11">
        <x:v>7</x:v>
      </x:c>
      <x:c r="C16" s="11" t="s">
        <x:v>85</x:v>
      </x:c>
      <x:c r="D16" s="11" t="s">
        <x:v>296</x:v>
      </x:c>
      <x:c r="E16" s="11" t="s">
        <x:v>297</x:v>
      </x:c>
      <x:c r="F16" s="11" t="s">
        <x:v>298</x:v>
      </x:c>
      <x:c r="G16" s="11" t="s">
        <x:v>117</x:v>
      </x:c>
      <x:c r="H16" s="16">
        <x:v>1</x:v>
      </x:c>
      <x:c r="I16" s="11" t="s">
        <x:v>287</x:v>
      </x:c>
      <x:c r="J16" s="11" t="s">
        <x:v>299</x:v>
      </x:c>
      <x:c r="K16" s="11" t="s">
        <x:v>300</x:v>
      </x:c>
      <x:c r="L16" s="11" t="s">
        <x:v>301</x:v>
      </x:c>
      <x:c r="M16" s="11" t="s">
        <x:v>303</x:v>
      </x:c>
      <x:c r="N16" s="11" t="s">
        <x:v>305</x:v>
      </x:c>
      <x:c r="O16" s="11" t="s">
        <x:v>239</x:v>
      </x:c>
    </x:row>
    <x:row r="17" ht="22.799999237060547" hidden="1">
      <x:c r="A17" s="11" t="s">
        <x:v>306</x:v>
      </x:c>
      <x:c r="B17" s="11">
        <x:v>8</x:v>
      </x:c>
      <x:c r="C17" s="11" t="s">
        <x:v>85</x:v>
      </x:c>
      <x:c r="D17" s="11" t="s">
        <x:v>307</x:v>
      </x:c>
      <x:c r="E17" s="11" t="s">
        <x:v>308</x:v>
      </x:c>
      <x:c r="F17" s="11" t="s">
        <x:v>309</x:v>
      </x:c>
      <x:c r="G17" s="11" t="s">
        <x:v>117</x:v>
      </x:c>
      <x:c r="H17" s="16">
        <x:v>1</x:v>
      </x:c>
      <x:c r="I17" s="11" t="s">
        <x:v>232</x:v>
      </x:c>
      <x:c r="J17" s="11" t="s">
        <x:v>310</x:v>
      </x:c>
      <x:c r="K17" s="11" t="s">
        <x:v>311</x:v>
      </x:c>
      <x:c r="L17" s="11" t="s">
        <x:v>312</x:v>
      </x:c>
      <x:c r="M17" s="11" t="s">
        <x:v>314</x:v>
      </x:c>
      <x:c r="N17" s="11" t="s">
        <x:v>315</x:v>
      </x:c>
      <x:c r="O17" s="11" t="s">
        <x:v>239</x:v>
      </x:c>
    </x:row>
    <x:row r="18" ht="34.20000076293945" hidden="1">
      <x:c r="A18" s="11" t="s">
        <x:v>316</x:v>
      </x:c>
      <x:c r="B18" s="11">
        <x:v>9</x:v>
      </x:c>
      <x:c r="C18" s="11" t="s">
        <x:v>85</x:v>
      </x:c>
      <x:c r="D18" s="11" t="s">
        <x:v>317</x:v>
      </x:c>
      <x:c r="E18" s="11" t="s">
        <x:v>318</x:v>
      </x:c>
      <x:c r="F18" s="11" t="s">
        <x:v>319</x:v>
      </x:c>
      <x:c r="G18" s="11" t="s">
        <x:v>104</x:v>
      </x:c>
      <x:c r="H18" s="16">
        <x:v>1</x:v>
      </x:c>
      <x:c r="I18" s="11" t="s">
        <x:v>254</x:v>
      </x:c>
      <x:c r="J18" s="11" t="s">
        <x:v>320</x:v>
      </x:c>
      <x:c r="K18" s="11" t="s">
        <x:v>321</x:v>
      </x:c>
      <x:c r="L18" s="11" t="s">
        <x:v>322</x:v>
      </x:c>
      <x:c r="M18" s="11" t="s">
        <x:v>324</x:v>
      </x:c>
      <x:c r="N18" s="11" t="s">
        <x:v>327</x:v>
      </x:c>
      <x:c r="O18" s="11" t="s">
        <x:v>239</x:v>
      </x:c>
    </x:row>
    <x:row r="19" ht="22.799999237060547" hidden="1">
      <x:c r="A19" s="11" t="s">
        <x:v>328</x:v>
      </x:c>
      <x:c r="B19" s="11">
        <x:v>10</x:v>
      </x:c>
      <x:c r="C19" s="11" t="s">
        <x:v>85</x:v>
      </x:c>
      <x:c r="D19" s="11" t="s">
        <x:v>194</x:v>
      </x:c>
      <x:c r="E19" s="11" t="s">
        <x:v>329</x:v>
      </x:c>
      <x:c r="F19" s="11" t="s">
        <x:v>330</x:v>
      </x:c>
      <x:c r="G19" s="11" t="s">
        <x:v>104</x:v>
      </x:c>
      <x:c r="H19" s="16">
        <x:v>1</x:v>
      </x:c>
      <x:c r="I19" s="11" t="s">
        <x:v>254</x:v>
      </x:c>
      <x:c r="J19" s="11" t="s">
        <x:v>331</x:v>
      </x:c>
      <x:c r="K19" s="11" t="s">
        <x:v>332</x:v>
      </x:c>
      <x:c r="L19" s="11" t="s">
        <x:v>333</x:v>
      </x:c>
      <x:c r="M19" s="11" t="s">
        <x:v>335</x:v>
      </x:c>
      <x:c r="N19" s="11" t="s">
        <x:v>337</x:v>
      </x:c>
      <x:c r="O19" s="11" t="s">
        <x:v>239</x:v>
      </x:c>
    </x:row>
    <x:row r="20" ht="22.799999237060547">
      <x:c r="A20" s="11" t="s">
        <x:v>338</x:v>
      </x:c>
      <x:c r="B20" s="11">
        <x:v>11</x:v>
      </x:c>
      <x:c r="C20" s="11" t="s">
        <x:v>339</x:v>
      </x:c>
      <x:c r="D20" s="11" t="s">
        <x:v>340</x:v>
      </x:c>
      <x:c r="E20" s="11" t="s">
        <x:v>341</x:v>
      </x:c>
      <x:c r="F20" s="11" t="s">
        <x:v>342</x:v>
      </x:c>
      <x:c r="G20" s="11" t="s">
        <x:v>89</x:v>
      </x:c>
      <x:c r="H20" s="16">
        <x:v>0.75</x:v>
      </x:c>
      <x:c r="I20" s="11" t="s">
        <x:v>343</x:v>
      </x:c>
      <x:c r="J20" s="11" t="s">
        <x:v>97</x:v>
      </x:c>
      <x:c r="K20" s="11" t="s">
        <x:v>344</x:v>
      </x:c>
      <x:c r="L20" s="11" t="s">
        <x:v>345</x:v>
      </x:c>
      <x:c r="M20" s="11" t="s">
        <x:v>347</x:v>
      </x:c>
      <x:c r="N20" s="11" t="s">
        <x:v>349</x:v>
      </x:c>
      <x:c r="O20" s="11" t="s">
        <x:v>239</x:v>
      </x:c>
    </x:row>
    <x:row r="21" ht="22.799999237060547" hidden="1">
      <x:c r="A21" s="11" t="s">
        <x:v>350</x:v>
      </x:c>
      <x:c r="B21" s="11">
        <x:v>12</x:v>
      </x:c>
      <x:c r="C21" s="11" t="s">
        <x:v>85</x:v>
      </x:c>
      <x:c r="D21" s="11" t="s">
        <x:v>216</x:v>
      </x:c>
      <x:c r="E21" s="11" t="s">
        <x:v>351</x:v>
      </x:c>
      <x:c r="F21" s="11" t="s">
        <x:v>352</x:v>
      </x:c>
      <x:c r="G21" s="11" t="s">
        <x:v>89</x:v>
      </x:c>
      <x:c r="H21" s="16">
        <x:v>0.75</x:v>
      </x:c>
      <x:c r="I21" s="11" t="s">
        <x:v>219</x:v>
      </x:c>
      <x:c r="J21" s="11" t="s">
        <x:v>353</x:v>
      </x:c>
      <x:c r="K21" s="11" t="s">
        <x:v>354</x:v>
      </x:c>
      <x:c r="L21" s="11" t="s">
        <x:v>355</x:v>
      </x:c>
      <x:c r="M21" s="11" t="s">
        <x:v>357</x:v>
      </x:c>
      <x:c r="N21" s="11" t="s">
        <x:v>359</x:v>
      </x:c>
      <x:c r="O21" s="11" t="s">
        <x:v>239</x:v>
      </x:c>
    </x:row>
    <x:row r="23" ht="24" customHeight="1">
      <x:c r="A23" s="73" t="s">
        <x:v>900</x:v>
      </x:c>
      <x:c r="B23" s="73"/>
      <x:c r="C23" s="73"/>
      <x:c r="D23" s="73"/>
      <x:c r="E23" s="73"/>
      <x:c r="F23" s="73"/>
      <x:c r="G23" s="73"/>
      <x:c r="H23" s="74"/>
      <x:c r="I23" s="74"/>
      <x:c r="J23" s="74"/>
      <x:c r="K23" s="74"/>
      <x:c r="L23" s="74"/>
      <x:c r="M23" s="74"/>
      <x:c r="N23" s="74"/>
      <x:c r="O23" s="74"/>
    </x:row>
    <x:row r="24" ht="34.04999923706055" customHeight="1">
      <x:c r="A24" s="24" t="s">
        <x:v>901</x:v>
      </x:c>
      <x:c r="B24" s="24" t="s">
        <x:v>73</x:v>
      </x:c>
      <x:c r="C24" s="24" t="s">
        <x:v>902</x:v>
      </x:c>
      <x:c r="D24" s="24" t="s">
        <x:v>903</x:v>
      </x:c>
      <x:c r="E24" s="24" t="s">
        <x:v>904</x:v>
      </x:c>
      <x:c r="F24" s="24" t="s">
        <x:v>905</x:v>
      </x:c>
      <x:c r="G24" s="24" t="s">
        <x:v>906</x:v>
      </x:c>
    </x:row>
    <x:row r="25" ht="48" customHeight="1">
      <x:c r="A25" s="26">
        <x:v>1</x:v>
      </x:c>
      <x:c r="B25" s="26" t="s">
        <x:v>232</x:v>
      </x:c>
      <x:c r="C25" s="26" t="s">
        <x:v>943</x:v>
      </x:c>
      <x:c r="D25" s="26" t="s">
        <x:v>944</x:v>
      </x:c>
      <x:c r="E25" s="26" t="s">
        <x:v>945</x:v>
      </x:c>
      <x:c r="F25" s="26" t="s">
        <x:v>946</x:v>
      </x:c>
      <x:c r="G25" s="26" t="s">
        <x:v>947</x:v>
      </x:c>
    </x:row>
    <x:row r="26" ht="48" customHeight="1">
      <x:c r="A26" s="25">
        <x:v>2</x:v>
      </x:c>
      <x:c r="B26" s="25" t="s">
        <x:v>276</x:v>
      </x:c>
      <x:c r="C26" s="25" t="s">
        <x:v>948</x:v>
      </x:c>
      <x:c r="D26" s="25" t="s">
        <x:v>949</x:v>
      </x:c>
      <x:c r="E26" s="25" t="s">
        <x:v>950</x:v>
      </x:c>
      <x:c r="F26" s="25" t="s">
        <x:v>951</x:v>
      </x:c>
      <x:c r="G26" s="25" t="s">
        <x:v>279</x:v>
      </x:c>
    </x:row>
    <x:row r="27" ht="48" customHeight="1">
      <x:c r="A27" s="26">
        <x:v>3</x:v>
      </x:c>
      <x:c r="B27" s="26" t="s">
        <x:v>287</x:v>
      </x:c>
      <x:c r="C27" s="26" t="s">
        <x:v>952</x:v>
      </x:c>
      <x:c r="D27" s="26" t="s">
        <x:v>953</x:v>
      </x:c>
      <x:c r="E27" s="26" t="s">
        <x:v>954</x:v>
      </x:c>
      <x:c r="F27" s="26" t="s">
        <x:v>955</x:v>
      </x:c>
      <x:c r="G27" s="26" t="s">
        <x:v>956</x:v>
      </x:c>
    </x:row>
    <x:row r="28" ht="48" customHeight="1">
      <x:c r="A28" s="25">
        <x:v>4</x:v>
      </x:c>
      <x:c r="B28" s="25" t="s">
        <x:v>254</x:v>
      </x:c>
      <x:c r="C28" s="25" t="s">
        <x:v>957</x:v>
      </x:c>
      <x:c r="D28" s="25" t="s">
        <x:v>958</x:v>
      </x:c>
      <x:c r="E28" s="25" t="s">
        <x:v>959</x:v>
      </x:c>
      <x:c r="F28" s="25" t="s">
        <x:v>960</x:v>
      </x:c>
      <x:c r="G28" s="25" t="s">
        <x:v>961</x:v>
      </x:c>
    </x:row>
    <x:row r="29" ht="48" customHeight="1">
      <x:c r="A29" s="26">
        <x:v>5</x:v>
      </x:c>
      <x:c r="B29" s="26" t="s">
        <x:v>343</x:v>
      </x:c>
      <x:c r="C29" s="26" t="s">
        <x:v>962</x:v>
      </x:c>
      <x:c r="D29" s="26" t="s">
        <x:v>963</x:v>
      </x:c>
      <x:c r="E29" s="26" t="s">
        <x:v>964</x:v>
      </x:c>
      <x:c r="F29" s="26" t="s">
        <x:v>347</x:v>
      </x:c>
      <x:c r="G29" s="26" t="s">
        <x:v>965</x:v>
      </x:c>
    </x:row>
    <x:row r="30" ht="48" customHeight="1">
      <x:c r="A30" s="25">
        <x:v>6</x:v>
      </x:c>
      <x:c r="B30" s="25" t="s">
        <x:v>219</x:v>
      </x:c>
      <x:c r="C30" s="25" t="s">
        <x:v>935</x:v>
      </x:c>
      <x:c r="D30" s="25" t="s">
        <x:v>936</x:v>
      </x:c>
      <x:c r="E30" s="25" t="s">
        <x:v>937</x:v>
      </x:c>
      <x:c r="F30" s="25" t="s">
        <x:v>938</x:v>
      </x:c>
      <x:c r="G30" s="25" t="s">
        <x:v>939</x:v>
      </x:c>
    </x:row>
  </x:sheetData>
  <x:mergeCells>
    <x:mergeCell ref="A23:O23"/>
    <x:mergeCell ref="A1:O1"/>
    <x:mergeCell ref="A2:O2"/>
    <x:mergeCell ref="A4:B4"/>
    <x:mergeCell ref="A5:B6"/>
    <x:mergeCell ref="D4:E4"/>
    <x:mergeCell ref="D5:E6"/>
    <x:mergeCell ref="G4:O4"/>
    <x:mergeCell ref="G5:O6"/>
  </x:mergeCells>
  <x:conditionalFormatting sqref="O10:O21">
    <x:cfRule type="containsText" dxfId="39" priority="1" operator="containsText" text="Done"/>
    <x:cfRule type="containsText" dxfId="38" priority="2" operator="containsText" text="Blocked"/>
    <x:cfRule type="containsText" dxfId="37" priority="3" operator="containsText" text="In Progress"/>
    <x:cfRule type="containsText" dxfId="36" priority="4" operator="containsText" text="Ready for Review"/>
  </x:conditionalFormatting>
  <x:dataValidations count="1">
    <x:dataValidation type="list" sqref="O10:O21">
      <x:formula1>"Not Started,In Progress,Blocked,Ready for Review,Done,Deferred"</x:formula1>
    </x:dataValidation>
  </x:dataValidations>
  <x:pageMargins left="0.7" right="0.7" top="0.75" bottom="0.75" header="0.3" footer="0.3"/>
  <x:tableParts count="1">
    <x:tablePart xmlns:r="http://schemas.openxmlformats.org/officeDocument/2006/relationships" r:id="R4e46da64ede140ee"/>
  </x:tableParts>
</x:worksheet>
</file>

<file path=xl/worksheets/sheet6.xml><?xml version="1.0" encoding="utf-8"?>
<x:worksheet xmlns:x="http://schemas.openxmlformats.org/spreadsheetml/2006/main">
  <x:sheetViews>
    <x:sheetView showGridLines="0" workbookViewId="0"/>
  </x:sheetViews>
  <x:sheetFormatPr defaultRowHeight="13.800000190734863"/>
  <x:cols>
    <x:col min="1" max="1" width="9" customWidth="1"/>
    <x:col min="2" max="2" width="22" customWidth="1"/>
    <x:col min="3" max="3" width="31" customWidth="1"/>
    <x:col min="4" max="4" width="42" customWidth="1"/>
    <x:col min="5" max="5" width="38" customWidth="1"/>
    <x:col min="6" max="6" width="42" customWidth="1"/>
    <x:col min="7" max="7" width="45" customWidth="1"/>
    <x:col min="8" max="8" width="8" customWidth="1"/>
    <x:col min="9" max="9" width="13" customWidth="1"/>
    <x:col min="10" max="10" width="18" customWidth="1"/>
    <x:col min="11" max="11" width="36" customWidth="1"/>
    <x:col min="12" max="12" width="38" customWidth="1"/>
    <x:col min="13" max="13" width="28" customWidth="1"/>
    <x:col min="14" max="14" width="36" customWidth="1"/>
    <x:col min="15" max="15" width="16" customWidth="1"/>
  </x:cols>
  <x:sheetData>
    <x:row r="1" ht="31.950000762939453" customHeight="1">
      <x:c r="A1" s="32" t="s">
        <x:v>966</x:v>
      </x:c>
      <x:c r="B1" s="32"/>
      <x:c r="C1" s="32"/>
      <x:c r="D1" s="32"/>
      <x:c r="E1" s="32"/>
      <x:c r="F1" s="32"/>
      <x:c r="G1" s="32"/>
      <x:c r="H1" s="32"/>
      <x:c r="I1" s="32"/>
      <x:c r="J1" s="32"/>
      <x:c r="K1" s="32"/>
      <x:c r="L1" s="32"/>
      <x:c r="M1" s="32"/>
      <x:c r="N1" s="32"/>
      <x:c r="O1" s="32"/>
    </x:row>
    <x:row r="2" ht="31.950000762939453" customHeight="1">
      <x:c r="A2" s="33" t="s">
        <x:v>967</x:v>
      </x:c>
      <x:c r="B2" s="33"/>
      <x:c r="C2" s="33"/>
      <x:c r="D2" s="33"/>
      <x:c r="E2" s="33"/>
      <x:c r="F2" s="33"/>
      <x:c r="G2" s="33"/>
      <x:c r="H2" s="33"/>
      <x:c r="I2" s="33"/>
      <x:c r="J2" s="33"/>
      <x:c r="K2" s="33"/>
      <x:c r="L2" s="33"/>
      <x:c r="M2" s="33"/>
      <x:c r="N2" s="33"/>
      <x:c r="O2" s="33"/>
    </x:row>
    <x:row r="4" ht="28.049999237060547" customHeight="1">
      <x:c r="A4" s="34" t="s">
        <x:v>52</x:v>
      </x:c>
      <x:c r="B4" s="36"/>
      <x:c r="D4" s="34" t="s">
        <x:v>45</x:v>
      </x:c>
      <x:c r="E4" s="36"/>
      <x:c r="G4" s="34" t="s">
        <x:v>889</x:v>
      </x:c>
      <x:c r="H4" s="35"/>
      <x:c r="I4" s="35"/>
      <x:c r="J4" s="35"/>
      <x:c r="K4" s="35"/>
      <x:c r="L4" s="35"/>
      <x:c r="M4" s="35"/>
      <x:c r="N4" s="35"/>
      <x:c r="O4" s="36"/>
    </x:row>
    <x:row r="5">
      <x:c r="A5" s="75" t="n">
        <x:f>IF(COUNTA(O10:O40)=0,0,COUNTIF(O10:O40,"Done")/COUNTA(A10:A40))</x:f>
        <x:v>0</x:v>
      </x:c>
      <x:c r="B5" s="76"/>
      <x:c r="D5" s="79" t="n">
        <x:f>COUNTIF(O10:O40,"Blocked")</x:f>
        <x:v>0</x:v>
      </x:c>
      <x:c r="E5" s="80"/>
      <x:c r="G5" s="83" t="s">
        <x:v>968</x:v>
      </x:c>
      <x:c r="H5" s="84"/>
      <x:c r="I5" s="84"/>
      <x:c r="J5" s="84"/>
      <x:c r="K5" s="84"/>
      <x:c r="L5" s="84"/>
      <x:c r="M5" s="84"/>
      <x:c r="N5" s="84"/>
      <x:c r="O5" s="85"/>
    </x:row>
    <x:row r="6">
      <x:c r="A6" s="77"/>
      <x:c r="B6" s="78"/>
      <x:c r="D6" s="81"/>
      <x:c r="E6" s="82"/>
      <x:c r="G6" s="86"/>
      <x:c r="H6" s="87"/>
      <x:c r="I6" s="87"/>
      <x:c r="J6" s="87"/>
      <x:c r="K6" s="87"/>
      <x:c r="L6" s="87"/>
      <x:c r="M6" s="87"/>
      <x:c r="N6" s="87"/>
      <x:c r="O6" s="88"/>
    </x:row>
    <x:row r="9" ht="28.049999237060547" customHeight="1">
      <x:c r="A9" s="1" t="s">
        <x:v>66</x:v>
      </x:c>
      <x:c r="B9" s="2" t="s">
        <x:v>67</x:v>
      </x:c>
      <x:c r="C9" s="2" t="s">
        <x:v>68</x:v>
      </x:c>
      <x:c r="D9" s="2" t="s">
        <x:v>69</x:v>
      </x:c>
      <x:c r="E9" s="2" t="s">
        <x:v>891</x:v>
      </x:c>
      <x:c r="F9" s="2" t="s">
        <x:v>892</x:v>
      </x:c>
      <x:c r="G9" s="2" t="s">
        <x:v>33</x:v>
      </x:c>
      <x:c r="H9" s="2" t="s">
        <x:v>893</x:v>
      </x:c>
      <x:c r="I9" s="2" t="s">
        <x:v>894</x:v>
      </x:c>
      <x:c r="J9" s="2" t="s">
        <x:v>895</x:v>
      </x:c>
      <x:c r="K9" s="2" t="s">
        <x:v>896</x:v>
      </x:c>
      <x:c r="L9" s="2" t="s">
        <x:v>897</x:v>
      </x:c>
      <x:c r="M9" s="2" t="s">
        <x:v>898</x:v>
      </x:c>
      <x:c r="N9" s="2" t="s">
        <x:v>899</x:v>
      </x:c>
      <x:c r="O9" s="3" t="s">
        <x:v>82</x:v>
      </x:c>
    </x:row>
    <x:row r="10" ht="22.799999237060547">
      <x:c r="A10" s="10" t="s">
        <x:v>360</x:v>
      </x:c>
      <x:c r="B10" s="10">
        <x:v>1</x:v>
      </x:c>
      <x:c r="C10" s="10" t="s">
        <x:v>85</x:v>
      </x:c>
      <x:c r="D10" s="10" t="s">
        <x:v>361</x:v>
      </x:c>
      <x:c r="E10" s="10" t="s">
        <x:v>362</x:v>
      </x:c>
      <x:c r="F10" s="10" t="s">
        <x:v>363</x:v>
      </x:c>
      <x:c r="G10" s="10" t="s">
        <x:v>117</x:v>
      </x:c>
      <x:c r="H10" s="15">
        <x:v>1</x:v>
      </x:c>
      <x:c r="I10" s="10" t="s">
        <x:v>364</x:v>
      </x:c>
      <x:c r="J10" s="10" t="s">
        <x:v>365</x:v>
      </x:c>
      <x:c r="K10" s="10" t="s">
        <x:v>366</x:v>
      </x:c>
      <x:c r="L10" s="10" t="s">
        <x:v>367</x:v>
      </x:c>
      <x:c r="M10" s="10" t="s">
        <x:v>369</x:v>
      </x:c>
      <x:c r="N10" s="10" t="s">
        <x:v>371</x:v>
      </x:c>
      <x:c r="O10" s="10" t="s">
        <x:v>239</x:v>
      </x:c>
    </x:row>
    <x:row r="11" ht="22.799999237060547">
      <x:c r="A11" s="11" t="s">
        <x:v>372</x:v>
      </x:c>
      <x:c r="B11" s="11">
        <x:v>2</x:v>
      </x:c>
      <x:c r="C11" s="11" t="s">
        <x:v>85</x:v>
      </x:c>
      <x:c r="D11" s="11" t="s">
        <x:v>373</x:v>
      </x:c>
      <x:c r="E11" s="11" t="s">
        <x:v>374</x:v>
      </x:c>
      <x:c r="F11" s="11" t="s">
        <x:v>375</x:v>
      </x:c>
      <x:c r="G11" s="11" t="s">
        <x:v>117</x:v>
      </x:c>
      <x:c r="H11" s="16">
        <x:v>1.25</x:v>
      </x:c>
      <x:c r="I11" s="11" t="s">
        <x:v>364</x:v>
      </x:c>
      <x:c r="J11" s="11" t="s">
        <x:v>376</x:v>
      </x:c>
      <x:c r="K11" s="11" t="s">
        <x:v>377</x:v>
      </x:c>
      <x:c r="L11" s="11" t="s">
        <x:v>378</x:v>
      </x:c>
      <x:c r="M11" s="11" t="s">
        <x:v>380</x:v>
      </x:c>
      <x:c r="N11" s="11" t="s">
        <x:v>382</x:v>
      </x:c>
      <x:c r="O11" s="11" t="s">
        <x:v>239</x:v>
      </x:c>
    </x:row>
    <x:row r="12" ht="22.799999237060547">
      <x:c r="A12" s="11" t="s">
        <x:v>383</x:v>
      </x:c>
      <x:c r="B12" s="11">
        <x:v>3</x:v>
      </x:c>
      <x:c r="C12" s="11" t="s">
        <x:v>85</x:v>
      </x:c>
      <x:c r="D12" s="11" t="s">
        <x:v>384</x:v>
      </x:c>
      <x:c r="E12" s="11" t="s">
        <x:v>385</x:v>
      </x:c>
      <x:c r="F12" s="11" t="s">
        <x:v>386</x:v>
      </x:c>
      <x:c r="G12" s="11" t="s">
        <x:v>117</x:v>
      </x:c>
      <x:c r="H12" s="16">
        <x:v>0.75</x:v>
      </x:c>
      <x:c r="I12" s="11" t="s">
        <x:v>364</x:v>
      </x:c>
      <x:c r="J12" s="11" t="s">
        <x:v>97</x:v>
      </x:c>
      <x:c r="K12" s="11" t="s">
        <x:v>387</x:v>
      </x:c>
      <x:c r="L12" s="11" t="s">
        <x:v>388</x:v>
      </x:c>
      <x:c r="M12" s="11" t="s">
        <x:v>390</x:v>
      </x:c>
      <x:c r="N12" s="11" t="s">
        <x:v>392</x:v>
      </x:c>
      <x:c r="O12" s="11" t="s">
        <x:v>239</x:v>
      </x:c>
    </x:row>
    <x:row r="13" ht="22.799999237060547">
      <x:c r="A13" s="11" t="s">
        <x:v>393</x:v>
      </x:c>
      <x:c r="B13" s="11">
        <x:v>4</x:v>
      </x:c>
      <x:c r="C13" s="11" t="s">
        <x:v>85</x:v>
      </x:c>
      <x:c r="D13" s="11" t="s">
        <x:v>394</x:v>
      </x:c>
      <x:c r="E13" s="11" t="s">
        <x:v>395</x:v>
      </x:c>
      <x:c r="F13" s="11" t="s">
        <x:v>396</x:v>
      </x:c>
      <x:c r="G13" s="11" t="s">
        <x:v>117</x:v>
      </x:c>
      <x:c r="H13" s="16">
        <x:v>1.5</x:v>
      </x:c>
      <x:c r="I13" s="11" t="s">
        <x:v>364</x:v>
      </x:c>
      <x:c r="J13" s="11" t="s">
        <x:v>397</x:v>
      </x:c>
      <x:c r="K13" s="11" t="s">
        <x:v>398</x:v>
      </x:c>
      <x:c r="L13" s="11" t="s">
        <x:v>399</x:v>
      </x:c>
      <x:c r="M13" s="11" t="s">
        <x:v>401</x:v>
      </x:c>
      <x:c r="N13" s="11" t="s">
        <x:v>403</x:v>
      </x:c>
      <x:c r="O13" s="11" t="s">
        <x:v>239</x:v>
      </x:c>
    </x:row>
    <x:row r="14" ht="22.799999237060547">
      <x:c r="A14" s="11" t="s">
        <x:v>404</x:v>
      </x:c>
      <x:c r="B14" s="11">
        <x:v>5</x:v>
      </x:c>
      <x:c r="C14" s="11" t="s">
        <x:v>85</x:v>
      </x:c>
      <x:c r="D14" s="11" t="s">
        <x:v>405</x:v>
      </x:c>
      <x:c r="E14" s="11" t="s">
        <x:v>406</x:v>
      </x:c>
      <x:c r="F14" s="11" t="s">
        <x:v>407</x:v>
      </x:c>
      <x:c r="G14" s="11" t="s">
        <x:v>117</x:v>
      </x:c>
      <x:c r="H14" s="16">
        <x:v>1</x:v>
      </x:c>
      <x:c r="I14" s="11" t="s">
        <x:v>408</x:v>
      </x:c>
      <x:c r="J14" s="11" t="s">
        <x:v>409</x:v>
      </x:c>
      <x:c r="K14" s="11" t="s">
        <x:v>410</x:v>
      </x:c>
      <x:c r="L14" s="11" t="s">
        <x:v>411</x:v>
      </x:c>
      <x:c r="M14" s="11" t="s">
        <x:v>413</x:v>
      </x:c>
      <x:c r="N14" s="11" t="s">
        <x:v>414</x:v>
      </x:c>
      <x:c r="O14" s="11" t="s">
        <x:v>239</x:v>
      </x:c>
    </x:row>
    <x:row r="15" ht="22.799999237060547">
      <x:c r="A15" s="11" t="s">
        <x:v>415</x:v>
      </x:c>
      <x:c r="B15" s="11">
        <x:v>6</x:v>
      </x:c>
      <x:c r="C15" s="11" t="s">
        <x:v>85</x:v>
      </x:c>
      <x:c r="D15" s="11" t="s">
        <x:v>416</x:v>
      </x:c>
      <x:c r="E15" s="11" t="s">
        <x:v>417</x:v>
      </x:c>
      <x:c r="F15" s="11" t="s">
        <x:v>418</x:v>
      </x:c>
      <x:c r="G15" s="11" t="s">
        <x:v>89</x:v>
      </x:c>
      <x:c r="H15" s="16">
        <x:v>1.25</x:v>
      </x:c>
      <x:c r="I15" s="11" t="s">
        <x:v>419</x:v>
      </x:c>
      <x:c r="J15" s="11" t="s">
        <x:v>420</x:v>
      </x:c>
      <x:c r="K15" s="11" t="s">
        <x:v>421</x:v>
      </x:c>
      <x:c r="L15" s="11" t="s">
        <x:v>422</x:v>
      </x:c>
      <x:c r="M15" s="11" t="s">
        <x:v>424</x:v>
      </x:c>
      <x:c r="N15" s="11" t="s">
        <x:v>425</x:v>
      </x:c>
      <x:c r="O15" s="11" t="s">
        <x:v>239</x:v>
      </x:c>
    </x:row>
    <x:row r="16" ht="22.799999237060547">
      <x:c r="A16" s="11" t="s">
        <x:v>426</x:v>
      </x:c>
      <x:c r="B16" s="11">
        <x:v>7</x:v>
      </x:c>
      <x:c r="C16" s="11" t="s">
        <x:v>85</x:v>
      </x:c>
      <x:c r="D16" s="11" t="s">
        <x:v>427</x:v>
      </x:c>
      <x:c r="E16" s="11" t="s">
        <x:v>428</x:v>
      </x:c>
      <x:c r="F16" s="11" t="s">
        <x:v>429</x:v>
      </x:c>
      <x:c r="G16" s="11" t="s">
        <x:v>117</x:v>
      </x:c>
      <x:c r="H16" s="16">
        <x:v>1.5</x:v>
      </x:c>
      <x:c r="I16" s="11" t="s">
        <x:v>419</x:v>
      </x:c>
      <x:c r="J16" s="11" t="s">
        <x:v>430</x:v>
      </x:c>
      <x:c r="K16" s="11" t="s">
        <x:v>431</x:v>
      </x:c>
      <x:c r="L16" s="11" t="s">
        <x:v>432</x:v>
      </x:c>
      <x:c r="M16" s="11" t="s">
        <x:v>434</x:v>
      </x:c>
      <x:c r="N16" s="11" t="s">
        <x:v>436</x:v>
      </x:c>
      <x:c r="O16" s="11" t="s">
        <x:v>239</x:v>
      </x:c>
    </x:row>
    <x:row r="17" ht="22.799999237060547">
      <x:c r="A17" s="11" t="s">
        <x:v>437</x:v>
      </x:c>
      <x:c r="B17" s="11">
        <x:v>8</x:v>
      </x:c>
      <x:c r="C17" s="11" t="s">
        <x:v>85</x:v>
      </x:c>
      <x:c r="D17" s="11" t="s">
        <x:v>438</x:v>
      </x:c>
      <x:c r="E17" s="11" t="s">
        <x:v>439</x:v>
      </x:c>
      <x:c r="F17" s="11" t="s">
        <x:v>440</x:v>
      </x:c>
      <x:c r="G17" s="11" t="s">
        <x:v>117</x:v>
      </x:c>
      <x:c r="H17" s="16">
        <x:v>1</x:v>
      </x:c>
      <x:c r="I17" s="11" t="s">
        <x:v>408</x:v>
      </x:c>
      <x:c r="J17" s="11" t="s">
        <x:v>310</x:v>
      </x:c>
      <x:c r="K17" s="11" t="s">
        <x:v>441</x:v>
      </x:c>
      <x:c r="L17" s="11" t="s">
        <x:v>442</x:v>
      </x:c>
      <x:c r="M17" s="11" t="s">
        <x:v>444</x:v>
      </x:c>
      <x:c r="N17" s="11" t="s">
        <x:v>445</x:v>
      </x:c>
      <x:c r="O17" s="11" t="s">
        <x:v>239</x:v>
      </x:c>
    </x:row>
    <x:row r="18" ht="22.799999237060547">
      <x:c r="A18" s="11" t="s">
        <x:v>446</x:v>
      </x:c>
      <x:c r="B18" s="11">
        <x:v>9</x:v>
      </x:c>
      <x:c r="C18" s="11" t="s">
        <x:v>85</x:v>
      </x:c>
      <x:c r="D18" s="11" t="s">
        <x:v>447</x:v>
      </x:c>
      <x:c r="E18" s="11" t="s">
        <x:v>448</x:v>
      </x:c>
      <x:c r="F18" s="11" t="s">
        <x:v>449</x:v>
      </x:c>
      <x:c r="G18" s="11" t="s">
        <x:v>117</x:v>
      </x:c>
      <x:c r="H18" s="16">
        <x:v>0.75</x:v>
      </x:c>
      <x:c r="I18" s="11" t="s">
        <x:v>450</x:v>
      </x:c>
      <x:c r="J18" s="11" t="s">
        <x:v>451</x:v>
      </x:c>
      <x:c r="K18" s="11" t="s">
        <x:v>452</x:v>
      </x:c>
      <x:c r="L18" s="11" t="s">
        <x:v>453</x:v>
      </x:c>
      <x:c r="M18" s="11" t="s">
        <x:v>455</x:v>
      </x:c>
      <x:c r="N18" s="11" t="s">
        <x:v>457</x:v>
      </x:c>
      <x:c r="O18" s="11" t="s">
        <x:v>239</x:v>
      </x:c>
    </x:row>
    <x:row r="19" ht="22.799999237060547">
      <x:c r="A19" s="11" t="s">
        <x:v>458</x:v>
      </x:c>
      <x:c r="B19" s="11">
        <x:v>10</x:v>
      </x:c>
      <x:c r="C19" s="11" t="s">
        <x:v>85</x:v>
      </x:c>
      <x:c r="D19" s="11" t="s">
        <x:v>459</x:v>
      </x:c>
      <x:c r="E19" s="11" t="s">
        <x:v>460</x:v>
      </x:c>
      <x:c r="F19" s="11" t="s">
        <x:v>461</x:v>
      </x:c>
      <x:c r="G19" s="11" t="s">
        <x:v>104</x:v>
      </x:c>
      <x:c r="H19" s="16">
        <x:v>0.75</x:v>
      </x:c>
      <x:c r="I19" s="11" t="s">
        <x:v>419</x:v>
      </x:c>
      <x:c r="J19" s="11" t="s">
        <x:v>462</x:v>
      </x:c>
      <x:c r="K19" s="11" t="s">
        <x:v>463</x:v>
      </x:c>
      <x:c r="L19" s="11" t="s">
        <x:v>464</x:v>
      </x:c>
      <x:c r="M19" s="11" t="s">
        <x:v>466</x:v>
      </x:c>
      <x:c r="N19" s="11" t="s">
        <x:v>467</x:v>
      </x:c>
      <x:c r="O19" s="11" t="s">
        <x:v>239</x:v>
      </x:c>
    </x:row>
    <x:row r="20" ht="22.799999237060547">
      <x:c r="A20" s="11" t="s">
        <x:v>468</x:v>
      </x:c>
      <x:c r="B20" s="11">
        <x:v>11</x:v>
      </x:c>
      <x:c r="C20" s="11" t="s">
        <x:v>85</x:v>
      </x:c>
      <x:c r="D20" s="11" t="s">
        <x:v>469</x:v>
      </x:c>
      <x:c r="E20" s="11" t="s">
        <x:v>470</x:v>
      </x:c>
      <x:c r="F20" s="11" t="s">
        <x:v>471</x:v>
      </x:c>
      <x:c r="G20" s="11" t="s">
        <x:v>104</x:v>
      </x:c>
      <x:c r="H20" s="16">
        <x:v>1</x:v>
      </x:c>
      <x:c r="I20" s="11" t="s">
        <x:v>472</x:v>
      </x:c>
      <x:c r="J20" s="11" t="s">
        <x:v>97</x:v>
      </x:c>
      <x:c r="K20" s="11" t="s">
        <x:v>473</x:v>
      </x:c>
      <x:c r="L20" s="11" t="s">
        <x:v>474</x:v>
      </x:c>
      <x:c r="M20" s="11" t="s">
        <x:v>476</x:v>
      </x:c>
      <x:c r="N20" s="11" t="s">
        <x:v>478</x:v>
      </x:c>
      <x:c r="O20" s="11" t="s">
        <x:v>239</x:v>
      </x:c>
    </x:row>
    <x:row r="21" ht="22.799999237060547">
      <x:c r="A21" s="11" t="s">
        <x:v>479</x:v>
      </x:c>
      <x:c r="B21" s="11">
        <x:v>12</x:v>
      </x:c>
      <x:c r="C21" s="11" t="s">
        <x:v>85</x:v>
      </x:c>
      <x:c r="D21" s="11" t="s">
        <x:v>216</x:v>
      </x:c>
      <x:c r="E21" s="11" t="s">
        <x:v>480</x:v>
      </x:c>
      <x:c r="F21" s="11" t="s">
        <x:v>481</x:v>
      </x:c>
      <x:c r="G21" s="11" t="s">
        <x:v>89</x:v>
      </x:c>
      <x:c r="H21" s="16">
        <x:v>0.75</x:v>
      </x:c>
      <x:c r="I21" s="11" t="s">
        <x:v>219</x:v>
      </x:c>
      <x:c r="J21" s="11" t="s">
        <x:v>482</x:v>
      </x:c>
      <x:c r="K21" s="11" t="s">
        <x:v>483</x:v>
      </x:c>
      <x:c r="L21" s="11" t="s">
        <x:v>484</x:v>
      </x:c>
      <x:c r="M21" s="11" t="s">
        <x:v>486</x:v>
      </x:c>
      <x:c r="N21" s="11" t="s">
        <x:v>488</x:v>
      </x:c>
      <x:c r="O21" s="11" t="s">
        <x:v>239</x:v>
      </x:c>
    </x:row>
    <x:row r="23" ht="24" customHeight="1">
      <x:c r="A23" s="73" t="s">
        <x:v>900</x:v>
      </x:c>
      <x:c r="B23" s="73"/>
      <x:c r="C23" s="73"/>
      <x:c r="D23" s="73"/>
      <x:c r="E23" s="73"/>
      <x:c r="F23" s="73"/>
      <x:c r="G23" s="73"/>
      <x:c r="H23" s="74"/>
      <x:c r="I23" s="74"/>
      <x:c r="J23" s="74"/>
      <x:c r="K23" s="74"/>
      <x:c r="L23" s="74"/>
      <x:c r="M23" s="74"/>
      <x:c r="N23" s="74"/>
      <x:c r="O23" s="74"/>
    </x:row>
    <x:row r="24" ht="34.04999923706055" customHeight="1">
      <x:c r="A24" s="24" t="s">
        <x:v>901</x:v>
      </x:c>
      <x:c r="B24" s="24" t="s">
        <x:v>73</x:v>
      </x:c>
      <x:c r="C24" s="24" t="s">
        <x:v>902</x:v>
      </x:c>
      <x:c r="D24" s="24" t="s">
        <x:v>903</x:v>
      </x:c>
      <x:c r="E24" s="24" t="s">
        <x:v>904</x:v>
      </x:c>
      <x:c r="F24" s="24" t="s">
        <x:v>905</x:v>
      </x:c>
      <x:c r="G24" s="24" t="s">
        <x:v>906</x:v>
      </x:c>
    </x:row>
    <x:row r="25" ht="48" customHeight="1">
      <x:c r="A25" s="26">
        <x:v>1</x:v>
      </x:c>
      <x:c r="B25" s="26" t="s">
        <x:v>364</x:v>
      </x:c>
      <x:c r="C25" s="26" t="s">
        <x:v>969</x:v>
      </x:c>
      <x:c r="D25" s="26" t="s">
        <x:v>970</x:v>
      </x:c>
      <x:c r="E25" s="26" t="s">
        <x:v>971</x:v>
      </x:c>
      <x:c r="F25" s="26" t="s">
        <x:v>972</x:v>
      </x:c>
      <x:c r="G25" s="26" t="s">
        <x:v>973</x:v>
      </x:c>
    </x:row>
    <x:row r="26" ht="48" customHeight="1">
      <x:c r="A26" s="25">
        <x:v>2</x:v>
      </x:c>
      <x:c r="B26" s="25" t="s">
        <x:v>419</x:v>
      </x:c>
      <x:c r="C26" s="25" t="s">
        <x:v>974</x:v>
      </x:c>
      <x:c r="D26" s="25" t="s">
        <x:v>975</x:v>
      </x:c>
      <x:c r="E26" s="25" t="s">
        <x:v>976</x:v>
      </x:c>
      <x:c r="F26" s="25" t="s">
        <x:v>977</x:v>
      </x:c>
      <x:c r="G26" s="25" t="s">
        <x:v>432</x:v>
      </x:c>
    </x:row>
    <x:row r="27" ht="48" customHeight="1">
      <x:c r="A27" s="26">
        <x:v>3</x:v>
      </x:c>
      <x:c r="B27" s="26" t="s">
        <x:v>408</x:v>
      </x:c>
      <x:c r="C27" s="26" t="s">
        <x:v>978</x:v>
      </x:c>
      <x:c r="D27" s="26" t="s">
        <x:v>979</x:v>
      </x:c>
      <x:c r="E27" s="26" t="s">
        <x:v>980</x:v>
      </x:c>
      <x:c r="F27" s="26" t="s">
        <x:v>981</x:v>
      </x:c>
      <x:c r="G27" s="26" t="s">
        <x:v>411</x:v>
      </x:c>
    </x:row>
    <x:row r="28" ht="48" customHeight="1">
      <x:c r="A28" s="25">
        <x:v>4</x:v>
      </x:c>
      <x:c r="B28" s="25" t="s">
        <x:v>472</x:v>
      </x:c>
      <x:c r="C28" s="25" t="s">
        <x:v>982</x:v>
      </x:c>
      <x:c r="D28" s="25" t="s">
        <x:v>983</x:v>
      </x:c>
      <x:c r="E28" s="25" t="s">
        <x:v>984</x:v>
      </x:c>
      <x:c r="F28" s="25" t="s">
        <x:v>985</x:v>
      </x:c>
      <x:c r="G28" s="25" t="s">
        <x:v>986</x:v>
      </x:c>
    </x:row>
    <x:row r="29" ht="48" customHeight="1">
      <x:c r="A29" s="26">
        <x:v>5</x:v>
      </x:c>
      <x:c r="B29" s="26" t="s">
        <x:v>219</x:v>
      </x:c>
      <x:c r="C29" s="26" t="s">
        <x:v>935</x:v>
      </x:c>
      <x:c r="D29" s="26" t="s">
        <x:v>936</x:v>
      </x:c>
      <x:c r="E29" s="26" t="s">
        <x:v>937</x:v>
      </x:c>
      <x:c r="F29" s="26" t="s">
        <x:v>938</x:v>
      </x:c>
      <x:c r="G29" s="26" t="s">
        <x:v>939</x:v>
      </x:c>
    </x:row>
  </x:sheetData>
  <x:mergeCells>
    <x:mergeCell ref="A23:O23"/>
    <x:mergeCell ref="A1:O1"/>
    <x:mergeCell ref="A2:O2"/>
    <x:mergeCell ref="A4:B4"/>
    <x:mergeCell ref="A5:B6"/>
    <x:mergeCell ref="D4:E4"/>
    <x:mergeCell ref="D5:E6"/>
    <x:mergeCell ref="G4:O4"/>
    <x:mergeCell ref="G5:O6"/>
  </x:mergeCells>
  <x:conditionalFormatting sqref="O10:O21">
    <x:cfRule type="containsText" dxfId="35" priority="1" operator="containsText" text="Done"/>
    <x:cfRule type="containsText" dxfId="34" priority="2" operator="containsText" text="Blocked"/>
    <x:cfRule type="containsText" dxfId="33" priority="3" operator="containsText" text="In Progress"/>
    <x:cfRule type="containsText" dxfId="32" priority="4" operator="containsText" text="Ready for Review"/>
  </x:conditionalFormatting>
  <x:dataValidations count="1">
    <x:dataValidation type="list" sqref="O10:O21">
      <x:formula1>"Not Started,In Progress,Blocked,Ready for Review,Done,Deferred"</x:formula1>
    </x:dataValidation>
  </x:dataValidations>
  <x:pageMargins left="0.7" right="0.7" top="0.75" bottom="0.75" header="0.3" footer="0.3"/>
  <x:tableParts count="1">
    <x:tablePart xmlns:r="http://schemas.openxmlformats.org/officeDocument/2006/relationships" r:id="R99dc05c3a7314844"/>
  </x:tableParts>
</x:worksheet>
</file>

<file path=xl/worksheets/sheet7.xml><?xml version="1.0" encoding="utf-8"?>
<x:worksheet xmlns:x="http://schemas.openxmlformats.org/spreadsheetml/2006/main">
  <x:sheetViews>
    <x:sheetView showGridLines="0" workbookViewId="0"/>
  </x:sheetViews>
  <x:sheetFormatPr defaultRowHeight="13.800000190734863"/>
  <x:cols>
    <x:col min="1" max="1" width="9" customWidth="1"/>
    <x:col min="2" max="2" width="22" customWidth="1"/>
    <x:col min="3" max="3" width="31" customWidth="1"/>
    <x:col min="4" max="4" width="42" customWidth="1"/>
    <x:col min="5" max="5" width="38" customWidth="1"/>
    <x:col min="6" max="6" width="42" customWidth="1"/>
    <x:col min="7" max="7" width="45" customWidth="1"/>
    <x:col min="8" max="8" width="8" customWidth="1"/>
    <x:col min="9" max="9" width="13" customWidth="1"/>
    <x:col min="10" max="10" width="18" customWidth="1"/>
    <x:col min="11" max="11" width="36" customWidth="1"/>
    <x:col min="12" max="12" width="38" customWidth="1"/>
    <x:col min="13" max="13" width="28" customWidth="1"/>
    <x:col min="14" max="14" width="36" customWidth="1"/>
    <x:col min="15" max="15" width="16" customWidth="1"/>
  </x:cols>
  <x:sheetData>
    <x:row r="1" ht="31.950000762939453" customHeight="1">
      <x:c r="A1" s="32" t="s">
        <x:v>987</x:v>
      </x:c>
      <x:c r="B1" s="32"/>
      <x:c r="C1" s="32"/>
      <x:c r="D1" s="32"/>
      <x:c r="E1" s="32"/>
      <x:c r="F1" s="32"/>
      <x:c r="G1" s="32"/>
      <x:c r="H1" s="32"/>
      <x:c r="I1" s="32"/>
      <x:c r="J1" s="32"/>
      <x:c r="K1" s="32"/>
      <x:c r="L1" s="32"/>
      <x:c r="M1" s="32"/>
      <x:c r="N1" s="32"/>
      <x:c r="O1" s="32"/>
    </x:row>
    <x:row r="2" ht="31.950000762939453" customHeight="1">
      <x:c r="A2" s="33" t="s">
        <x:v>988</x:v>
      </x:c>
      <x:c r="B2" s="33"/>
      <x:c r="C2" s="33"/>
      <x:c r="D2" s="33"/>
      <x:c r="E2" s="33"/>
      <x:c r="F2" s="33"/>
      <x:c r="G2" s="33"/>
      <x:c r="H2" s="33"/>
      <x:c r="I2" s="33"/>
      <x:c r="J2" s="33"/>
      <x:c r="K2" s="33"/>
      <x:c r="L2" s="33"/>
      <x:c r="M2" s="33"/>
      <x:c r="N2" s="33"/>
      <x:c r="O2" s="33"/>
    </x:row>
    <x:row r="4" ht="28.049999237060547" customHeight="1">
      <x:c r="A4" s="34" t="s">
        <x:v>52</x:v>
      </x:c>
      <x:c r="B4" s="36"/>
      <x:c r="D4" s="34" t="s">
        <x:v>45</x:v>
      </x:c>
      <x:c r="E4" s="36"/>
      <x:c r="G4" s="34" t="s">
        <x:v>889</x:v>
      </x:c>
      <x:c r="H4" s="35"/>
      <x:c r="I4" s="35"/>
      <x:c r="J4" s="35"/>
      <x:c r="K4" s="35"/>
      <x:c r="L4" s="35"/>
      <x:c r="M4" s="35"/>
      <x:c r="N4" s="35"/>
      <x:c r="O4" s="36"/>
    </x:row>
    <x:row r="5">
      <x:c r="A5" s="75" t="n">
        <x:f>IF(COUNTA(O10:O40)=0,0,COUNTIF(O10:O40,"Done")/COUNTA(A10:A40))</x:f>
        <x:v>0</x:v>
      </x:c>
      <x:c r="B5" s="76"/>
      <x:c r="D5" s="79" t="n">
        <x:f>COUNTIF(O10:O40,"Blocked")</x:f>
        <x:v>0</x:v>
      </x:c>
      <x:c r="E5" s="80"/>
      <x:c r="G5" s="83" t="s">
        <x:v>989</x:v>
      </x:c>
      <x:c r="H5" s="84"/>
      <x:c r="I5" s="84"/>
      <x:c r="J5" s="84"/>
      <x:c r="K5" s="84"/>
      <x:c r="L5" s="84"/>
      <x:c r="M5" s="84"/>
      <x:c r="N5" s="84"/>
      <x:c r="O5" s="85"/>
    </x:row>
    <x:row r="6">
      <x:c r="A6" s="77"/>
      <x:c r="B6" s="78"/>
      <x:c r="D6" s="81"/>
      <x:c r="E6" s="82"/>
      <x:c r="G6" s="86"/>
      <x:c r="H6" s="87"/>
      <x:c r="I6" s="87"/>
      <x:c r="J6" s="87"/>
      <x:c r="K6" s="87"/>
      <x:c r="L6" s="87"/>
      <x:c r="M6" s="87"/>
      <x:c r="N6" s="87"/>
      <x:c r="O6" s="88"/>
    </x:row>
    <x:row r="9" ht="28.049999237060547" customHeight="1">
      <x:c r="A9" s="1" t="s">
        <x:v>66</x:v>
      </x:c>
      <x:c r="B9" s="2" t="s">
        <x:v>67</x:v>
      </x:c>
      <x:c r="C9" s="2" t="s">
        <x:v>68</x:v>
      </x:c>
      <x:c r="D9" s="2" t="s">
        <x:v>69</x:v>
      </x:c>
      <x:c r="E9" s="2" t="s">
        <x:v>891</x:v>
      </x:c>
      <x:c r="F9" s="2" t="s">
        <x:v>892</x:v>
      </x:c>
      <x:c r="G9" s="2" t="s">
        <x:v>33</x:v>
      </x:c>
      <x:c r="H9" s="2" t="s">
        <x:v>893</x:v>
      </x:c>
      <x:c r="I9" s="2" t="s">
        <x:v>894</x:v>
      </x:c>
      <x:c r="J9" s="2" t="s">
        <x:v>895</x:v>
      </x:c>
      <x:c r="K9" s="2" t="s">
        <x:v>896</x:v>
      </x:c>
      <x:c r="L9" s="2" t="s">
        <x:v>897</x:v>
      </x:c>
      <x:c r="M9" s="2" t="s">
        <x:v>898</x:v>
      </x:c>
      <x:c r="N9" s="2" t="s">
        <x:v>899</x:v>
      </x:c>
      <x:c r="O9" s="3" t="s">
        <x:v>82</x:v>
      </x:c>
    </x:row>
    <x:row r="10" ht="22.799999237060547">
      <x:c r="A10" s="10" t="s">
        <x:v>489</x:v>
      </x:c>
      <x:c r="B10" s="10">
        <x:v>1</x:v>
      </x:c>
      <x:c r="C10" s="10" t="s">
        <x:v>85</x:v>
      </x:c>
      <x:c r="D10" s="10" t="s">
        <x:v>490</x:v>
      </x:c>
      <x:c r="E10" s="10" t="s">
        <x:v>491</x:v>
      </x:c>
      <x:c r="F10" s="10" t="s">
        <x:v>492</x:v>
      </x:c>
      <x:c r="G10" s="10" t="s">
        <x:v>117</x:v>
      </x:c>
      <x:c r="H10" s="15">
        <x:v>1.5</x:v>
      </x:c>
      <x:c r="I10" s="10" t="s">
        <x:v>493</x:v>
      </x:c>
      <x:c r="J10" s="10" t="s">
        <x:v>310</x:v>
      </x:c>
      <x:c r="K10" s="10" t="s">
        <x:v>494</x:v>
      </x:c>
      <x:c r="L10" s="10" t="s">
        <x:v>495</x:v>
      </x:c>
      <x:c r="M10" s="10" t="s">
        <x:v>497</x:v>
      </x:c>
      <x:c r="N10" s="10" t="s">
        <x:v>499</x:v>
      </x:c>
      <x:c r="O10" s="10" t="s">
        <x:v>239</x:v>
      </x:c>
    </x:row>
    <x:row r="11" ht="22.799999237060547">
      <x:c r="A11" s="11" t="s">
        <x:v>500</x:v>
      </x:c>
      <x:c r="B11" s="11">
        <x:v>2</x:v>
      </x:c>
      <x:c r="C11" s="11" t="s">
        <x:v>85</x:v>
      </x:c>
      <x:c r="D11" s="11" t="s">
        <x:v>307</x:v>
      </x:c>
      <x:c r="E11" s="11" t="s">
        <x:v>501</x:v>
      </x:c>
      <x:c r="F11" s="11" t="s">
        <x:v>502</x:v>
      </x:c>
      <x:c r="G11" s="11" t="s">
        <x:v>117</x:v>
      </x:c>
      <x:c r="H11" s="16">
        <x:v>1</x:v>
      </x:c>
      <x:c r="I11" s="11" t="s">
        <x:v>493</x:v>
      </x:c>
      <x:c r="J11" s="11" t="s">
        <x:v>310</x:v>
      </x:c>
      <x:c r="K11" s="11" t="s">
        <x:v>503</x:v>
      </x:c>
      <x:c r="L11" s="11" t="s">
        <x:v>504</x:v>
      </x:c>
      <x:c r="M11" s="11" t="s">
        <x:v>506</x:v>
      </x:c>
      <x:c r="N11" s="11" t="s">
        <x:v>507</x:v>
      </x:c>
      <x:c r="O11" s="11" t="s">
        <x:v>239</x:v>
      </x:c>
    </x:row>
    <x:row r="12" ht="22.799999237060547">
      <x:c r="A12" s="11" t="s">
        <x:v>508</x:v>
      </x:c>
      <x:c r="B12" s="11">
        <x:v>3</x:v>
      </x:c>
      <x:c r="C12" s="11" t="s">
        <x:v>85</x:v>
      </x:c>
      <x:c r="D12" s="11" t="s">
        <x:v>509</x:v>
      </x:c>
      <x:c r="E12" s="11" t="s">
        <x:v>510</x:v>
      </x:c>
      <x:c r="F12" s="11" t="s">
        <x:v>511</x:v>
      </x:c>
      <x:c r="G12" s="11" t="s">
        <x:v>117</x:v>
      </x:c>
      <x:c r="H12" s="16">
        <x:v>1.25</x:v>
      </x:c>
      <x:c r="I12" s="11" t="s">
        <x:v>512</x:v>
      </x:c>
      <x:c r="J12" s="11" t="s">
        <x:v>482</x:v>
      </x:c>
      <x:c r="K12" s="11" t="s">
        <x:v>513</x:v>
      </x:c>
      <x:c r="L12" s="11" t="s">
        <x:v>514</x:v>
      </x:c>
      <x:c r="M12" s="11" t="s">
        <x:v>516</x:v>
      </x:c>
      <x:c r="N12" s="11" t="s">
        <x:v>518</x:v>
      </x:c>
      <x:c r="O12" s="11" t="s">
        <x:v>239</x:v>
      </x:c>
    </x:row>
    <x:row r="13">
      <x:c r="A13" s="11" t="s">
        <x:v>519</x:v>
      </x:c>
      <x:c r="B13" s="11">
        <x:v>4</x:v>
      </x:c>
      <x:c r="C13" s="11" t="s">
        <x:v>85</x:v>
      </x:c>
      <x:c r="D13" s="11" t="s">
        <x:v>520</x:v>
      </x:c>
      <x:c r="E13" s="11" t="s">
        <x:v>521</x:v>
      </x:c>
      <x:c r="F13" s="11" t="s">
        <x:v>522</x:v>
      </x:c>
      <x:c r="G13" s="11" t="s">
        <x:v>117</x:v>
      </x:c>
      <x:c r="H13" s="16">
        <x:v>0.75</x:v>
      </x:c>
      <x:c r="I13" s="11" t="s">
        <x:v>512</x:v>
      </x:c>
      <x:c r="J13" s="11" t="s">
        <x:v>97</x:v>
      </x:c>
      <x:c r="K13" s="11" t="s">
        <x:v>523</x:v>
      </x:c>
      <x:c r="L13" s="11" t="s">
        <x:v>524</x:v>
      </x:c>
      <x:c r="M13" s="11" t="s">
        <x:v>526</x:v>
      </x:c>
      <x:c r="N13" s="11" t="s">
        <x:v>527</x:v>
      </x:c>
      <x:c r="O13" s="11" t="s">
        <x:v>239</x:v>
      </x:c>
    </x:row>
    <x:row r="14" ht="22.799999237060547">
      <x:c r="A14" s="11" t="s">
        <x:v>528</x:v>
      </x:c>
      <x:c r="B14" s="11">
        <x:v>5</x:v>
      </x:c>
      <x:c r="C14" s="11" t="s">
        <x:v>85</x:v>
      </x:c>
      <x:c r="D14" s="11" t="s">
        <x:v>529</x:v>
      </x:c>
      <x:c r="E14" s="11" t="s">
        <x:v>530</x:v>
      </x:c>
      <x:c r="F14" s="11" t="s">
        <x:v>531</x:v>
      </x:c>
      <x:c r="G14" s="11" t="s">
        <x:v>117</x:v>
      </x:c>
      <x:c r="H14" s="16">
        <x:v>1.25</x:v>
      </x:c>
      <x:c r="I14" s="11" t="s">
        <x:v>512</x:v>
      </x:c>
      <x:c r="J14" s="11" t="s">
        <x:v>482</x:v>
      </x:c>
      <x:c r="K14" s="11" t="s">
        <x:v>532</x:v>
      </x:c>
      <x:c r="L14" s="11" t="s">
        <x:v>533</x:v>
      </x:c>
      <x:c r="M14" s="11" t="s">
        <x:v>535</x:v>
      </x:c>
      <x:c r="N14" s="11" t="s">
        <x:v>538</x:v>
      </x:c>
      <x:c r="O14" s="11" t="s">
        <x:v>239</x:v>
      </x:c>
    </x:row>
    <x:row r="15" ht="22.799999237060547">
      <x:c r="A15" s="11" t="s">
        <x:v>539</x:v>
      </x:c>
      <x:c r="B15" s="11">
        <x:v>6</x:v>
      </x:c>
      <x:c r="C15" s="11" t="s">
        <x:v>85</x:v>
      </x:c>
      <x:c r="D15" s="11" t="s">
        <x:v>540</x:v>
      </x:c>
      <x:c r="E15" s="11" t="s">
        <x:v>541</x:v>
      </x:c>
      <x:c r="F15" s="11" t="s">
        <x:v>542</x:v>
      </x:c>
      <x:c r="G15" s="11" t="s">
        <x:v>117</x:v>
      </x:c>
      <x:c r="H15" s="16">
        <x:v>1</x:v>
      </x:c>
      <x:c r="I15" s="11" t="s">
        <x:v>512</x:v>
      </x:c>
      <x:c r="J15" s="11" t="s">
        <x:v>543</x:v>
      </x:c>
      <x:c r="K15" s="11" t="s">
        <x:v>544</x:v>
      </x:c>
      <x:c r="L15" s="11" t="s">
        <x:v>545</x:v>
      </x:c>
      <x:c r="M15" s="11" t="s">
        <x:v>547</x:v>
      </x:c>
      <x:c r="N15" s="11" t="s">
        <x:v>548</x:v>
      </x:c>
      <x:c r="O15" s="11" t="s">
        <x:v>239</x:v>
      </x:c>
    </x:row>
    <x:row r="16" ht="22.799999237060547">
      <x:c r="A16" s="11" t="s">
        <x:v>549</x:v>
      </x:c>
      <x:c r="B16" s="11">
        <x:v>7</x:v>
      </x:c>
      <x:c r="C16" s="11" t="s">
        <x:v>85</x:v>
      </x:c>
      <x:c r="D16" s="11" t="s">
        <x:v>550</x:v>
      </x:c>
      <x:c r="E16" s="11" t="s">
        <x:v>551</x:v>
      </x:c>
      <x:c r="F16" s="11" t="s">
        <x:v>552</x:v>
      </x:c>
      <x:c r="G16" s="11" t="s">
        <x:v>117</x:v>
      </x:c>
      <x:c r="H16" s="16">
        <x:v>0.75</x:v>
      </x:c>
      <x:c r="I16" s="11" t="s">
        <x:v>512</x:v>
      </x:c>
      <x:c r="J16" s="11" t="s">
        <x:v>553</x:v>
      </x:c>
      <x:c r="K16" s="11" t="s">
        <x:v>554</x:v>
      </x:c>
      <x:c r="L16" s="11" t="s">
        <x:v>555</x:v>
      </x:c>
      <x:c r="M16" s="11" t="s">
        <x:v>557</x:v>
      </x:c>
      <x:c r="N16" s="11" t="s">
        <x:v>558</x:v>
      </x:c>
      <x:c r="O16" s="11" t="s">
        <x:v>239</x:v>
      </x:c>
    </x:row>
    <x:row r="17" ht="22.799999237060547">
      <x:c r="A17" s="11" t="s">
        <x:v>559</x:v>
      </x:c>
      <x:c r="B17" s="11">
        <x:v>8</x:v>
      </x:c>
      <x:c r="C17" s="11" t="s">
        <x:v>85</x:v>
      </x:c>
      <x:c r="D17" s="11" t="s">
        <x:v>560</x:v>
      </x:c>
      <x:c r="E17" s="11" t="s">
        <x:v>561</x:v>
      </x:c>
      <x:c r="F17" s="11" t="s">
        <x:v>562</x:v>
      </x:c>
      <x:c r="G17" s="11" t="s">
        <x:v>117</x:v>
      </x:c>
      <x:c r="H17" s="16">
        <x:v>1</x:v>
      </x:c>
      <x:c r="I17" s="11" t="s">
        <x:v>450</x:v>
      </x:c>
      <x:c r="J17" s="11" t="s">
        <x:v>451</x:v>
      </x:c>
      <x:c r="K17" s="11" t="s">
        <x:v>563</x:v>
      </x:c>
      <x:c r="L17" s="11" t="s">
        <x:v>564</x:v>
      </x:c>
      <x:c r="M17" s="11" t="s">
        <x:v>566</x:v>
      </x:c>
      <x:c r="N17" s="11" t="s">
        <x:v>568</x:v>
      </x:c>
      <x:c r="O17" s="11" t="s">
        <x:v>239</x:v>
      </x:c>
    </x:row>
    <x:row r="18" ht="22.799999237060547">
      <x:c r="A18" s="11" t="s">
        <x:v>569</x:v>
      </x:c>
      <x:c r="B18" s="11">
        <x:v>9</x:v>
      </x:c>
      <x:c r="C18" s="11" t="s">
        <x:v>85</x:v>
      </x:c>
      <x:c r="D18" s="11" t="s">
        <x:v>570</x:v>
      </x:c>
      <x:c r="E18" s="11" t="s">
        <x:v>571</x:v>
      </x:c>
      <x:c r="F18" s="11" t="s">
        <x:v>572</x:v>
      </x:c>
      <x:c r="G18" s="11" t="s">
        <x:v>117</x:v>
      </x:c>
      <x:c r="H18" s="16">
        <x:v>1</x:v>
      </x:c>
      <x:c r="I18" s="11" t="s">
        <x:v>512</x:v>
      </x:c>
      <x:c r="J18" s="11" t="s">
        <x:v>97</x:v>
      </x:c>
      <x:c r="K18" s="11" t="s">
        <x:v>573</x:v>
      </x:c>
      <x:c r="L18" s="11" t="s">
        <x:v>574</x:v>
      </x:c>
      <x:c r="M18" s="11" t="s">
        <x:v>576</x:v>
      </x:c>
      <x:c r="N18" s="11" t="s">
        <x:v>579</x:v>
      </x:c>
      <x:c r="O18" s="11" t="s">
        <x:v>239</x:v>
      </x:c>
    </x:row>
    <x:row r="19" ht="22.799999237060547">
      <x:c r="A19" s="11" t="s">
        <x:v>580</x:v>
      </x:c>
      <x:c r="B19" s="11">
        <x:v>10</x:v>
      </x:c>
      <x:c r="C19" s="11" t="s">
        <x:v>339</x:v>
      </x:c>
      <x:c r="D19" s="11" t="s">
        <x:v>581</x:v>
      </x:c>
      <x:c r="E19" s="11" t="s">
        <x:v>582</x:v>
      </x:c>
      <x:c r="F19" s="11" t="s">
        <x:v>583</x:v>
      </x:c>
      <x:c r="G19" s="11" t="s">
        <x:v>117</x:v>
      </x:c>
      <x:c r="H19" s="16">
        <x:v>0.75</x:v>
      </x:c>
      <x:c r="I19" s="11" t="s">
        <x:v>493</x:v>
      </x:c>
      <x:c r="J19" s="11" t="s">
        <x:v>543</x:v>
      </x:c>
      <x:c r="K19" s="11" t="s">
        <x:v>584</x:v>
      </x:c>
      <x:c r="L19" s="11" t="s">
        <x:v>585</x:v>
      </x:c>
      <x:c r="M19" s="11" t="s">
        <x:v>587</x:v>
      </x:c>
      <x:c r="N19" s="11" t="s">
        <x:v>590</x:v>
      </x:c>
      <x:c r="O19" s="11" t="s">
        <x:v>239</x:v>
      </x:c>
    </x:row>
    <x:row r="20" ht="22.799999237060547">
      <x:c r="A20" s="11" t="s">
        <x:v>591</x:v>
      </x:c>
      <x:c r="B20" s="11">
        <x:v>11</x:v>
      </x:c>
      <x:c r="C20" s="11" t="s">
        <x:v>85</x:v>
      </x:c>
      <x:c r="D20" s="11" t="s">
        <x:v>592</x:v>
      </x:c>
      <x:c r="E20" s="11" t="s">
        <x:v>593</x:v>
      </x:c>
      <x:c r="F20" s="11" t="s">
        <x:v>594</x:v>
      </x:c>
      <x:c r="G20" s="11" t="s">
        <x:v>104</x:v>
      </x:c>
      <x:c r="H20" s="16">
        <x:v>1</x:v>
      </x:c>
      <x:c r="I20" s="11" t="s">
        <x:v>595</x:v>
      </x:c>
      <x:c r="J20" s="11" t="s">
        <x:v>97</x:v>
      </x:c>
      <x:c r="K20" s="11" t="s">
        <x:v>596</x:v>
      </x:c>
      <x:c r="L20" s="11" t="s">
        <x:v>597</x:v>
      </x:c>
      <x:c r="M20" s="11" t="s">
        <x:v>599</x:v>
      </x:c>
      <x:c r="N20" s="11" t="s">
        <x:v>601</x:v>
      </x:c>
      <x:c r="O20" s="11" t="s">
        <x:v>239</x:v>
      </x:c>
    </x:row>
    <x:row r="21" ht="22.799999237060547">
      <x:c r="A21" s="11" t="s">
        <x:v>602</x:v>
      </x:c>
      <x:c r="B21" s="11">
        <x:v>12</x:v>
      </x:c>
      <x:c r="C21" s="11" t="s">
        <x:v>85</x:v>
      </x:c>
      <x:c r="D21" s="11" t="s">
        <x:v>216</x:v>
      </x:c>
      <x:c r="E21" s="11" t="s">
        <x:v>603</x:v>
      </x:c>
      <x:c r="F21" s="11" t="s">
        <x:v>604</x:v>
      </x:c>
      <x:c r="G21" s="11" t="s">
        <x:v>89</x:v>
      </x:c>
      <x:c r="H21" s="16">
        <x:v>0.75</x:v>
      </x:c>
      <x:c r="I21" s="11" t="s">
        <x:v>219</x:v>
      </x:c>
      <x:c r="J21" s="11" t="s">
        <x:v>605</x:v>
      </x:c>
      <x:c r="K21" s="11" t="s">
        <x:v>606</x:v>
      </x:c>
      <x:c r="L21" s="11" t="s">
        <x:v>607</x:v>
      </x:c>
      <x:c r="M21" s="11" t="s">
        <x:v>609</x:v>
      </x:c>
      <x:c r="N21" s="11" t="s">
        <x:v>611</x:v>
      </x:c>
      <x:c r="O21" s="11" t="s">
        <x:v>239</x:v>
      </x:c>
    </x:row>
    <x:row r="23" ht="24" customHeight="1">
      <x:c r="A23" s="73" t="s">
        <x:v>900</x:v>
      </x:c>
      <x:c r="B23" s="73"/>
      <x:c r="C23" s="73"/>
      <x:c r="D23" s="73"/>
      <x:c r="E23" s="73"/>
      <x:c r="F23" s="73"/>
      <x:c r="G23" s="73"/>
      <x:c r="H23" s="74"/>
      <x:c r="I23" s="74"/>
      <x:c r="J23" s="74"/>
      <x:c r="K23" s="74"/>
      <x:c r="L23" s="74"/>
      <x:c r="M23" s="74"/>
      <x:c r="N23" s="74"/>
      <x:c r="O23" s="74"/>
    </x:row>
    <x:row r="24" ht="34.04999923706055" customHeight="1">
      <x:c r="A24" s="24" t="s">
        <x:v>901</x:v>
      </x:c>
      <x:c r="B24" s="24" t="s">
        <x:v>73</x:v>
      </x:c>
      <x:c r="C24" s="24" t="s">
        <x:v>902</x:v>
      </x:c>
      <x:c r="D24" s="24" t="s">
        <x:v>903</x:v>
      </x:c>
      <x:c r="E24" s="24" t="s">
        <x:v>904</x:v>
      </x:c>
      <x:c r="F24" s="24" t="s">
        <x:v>905</x:v>
      </x:c>
      <x:c r="G24" s="24" t="s">
        <x:v>906</x:v>
      </x:c>
    </x:row>
    <x:row r="25" ht="48" customHeight="1">
      <x:c r="A25" s="26">
        <x:v>1</x:v>
      </x:c>
      <x:c r="B25" s="26" t="s">
        <x:v>493</x:v>
      </x:c>
      <x:c r="C25" s="26" t="s">
        <x:v>990</x:v>
      </x:c>
      <x:c r="D25" s="26" t="s">
        <x:v>991</x:v>
      </x:c>
      <x:c r="E25" s="26" t="s">
        <x:v>992</x:v>
      </x:c>
      <x:c r="F25" s="26" t="s">
        <x:v>993</x:v>
      </x:c>
      <x:c r="G25" s="26" t="s">
        <x:v>994</x:v>
      </x:c>
    </x:row>
    <x:row r="26" ht="48" customHeight="1">
      <x:c r="A26" s="25">
        <x:v>2</x:v>
      </x:c>
      <x:c r="B26" s="25" t="s">
        <x:v>512</x:v>
      </x:c>
      <x:c r="C26" s="25" t="s">
        <x:v>995</x:v>
      </x:c>
      <x:c r="D26" s="25" t="s">
        <x:v>996</x:v>
      </x:c>
      <x:c r="E26" s="25" t="s">
        <x:v>997</x:v>
      </x:c>
      <x:c r="F26" s="25" t="s">
        <x:v>998</x:v>
      </x:c>
      <x:c r="G26" s="25" t="s">
        <x:v>514</x:v>
      </x:c>
    </x:row>
    <x:row r="27" ht="48" customHeight="1">
      <x:c r="A27" s="26">
        <x:v>3</x:v>
      </x:c>
      <x:c r="B27" s="26" t="s">
        <x:v>450</x:v>
      </x:c>
      <x:c r="C27" s="26" t="s">
        <x:v>999</x:v>
      </x:c>
      <x:c r="D27" s="26" t="s">
        <x:v>1000</x:v>
      </x:c>
      <x:c r="E27" s="26" t="s">
        <x:v>1001</x:v>
      </x:c>
      <x:c r="F27" s="26" t="s">
        <x:v>1002</x:v>
      </x:c>
      <x:c r="G27" s="26" t="s">
        <x:v>453</x:v>
      </x:c>
    </x:row>
    <x:row r="28" ht="48" customHeight="1">
      <x:c r="A28" s="25">
        <x:v>4</x:v>
      </x:c>
      <x:c r="B28" s="25" t="s">
        <x:v>595</x:v>
      </x:c>
      <x:c r="C28" s="25" t="s">
        <x:v>1003</x:v>
      </x:c>
      <x:c r="D28" s="25" t="s">
        <x:v>1004</x:v>
      </x:c>
      <x:c r="E28" s="25" t="s">
        <x:v>1005</x:v>
      </x:c>
      <x:c r="F28" s="25" t="s">
        <x:v>1006</x:v>
      </x:c>
      <x:c r="G28" s="25" t="s">
        <x:v>1007</x:v>
      </x:c>
    </x:row>
    <x:row r="29" ht="48" customHeight="1">
      <x:c r="A29" s="26">
        <x:v>5</x:v>
      </x:c>
      <x:c r="B29" s="26" t="s">
        <x:v>219</x:v>
      </x:c>
      <x:c r="C29" s="26" t="s">
        <x:v>935</x:v>
      </x:c>
      <x:c r="D29" s="26" t="s">
        <x:v>936</x:v>
      </x:c>
      <x:c r="E29" s="26" t="s">
        <x:v>937</x:v>
      </x:c>
      <x:c r="F29" s="26" t="s">
        <x:v>938</x:v>
      </x:c>
      <x:c r="G29" s="26" t="s">
        <x:v>939</x:v>
      </x:c>
    </x:row>
  </x:sheetData>
  <x:mergeCells>
    <x:mergeCell ref="A23:O23"/>
    <x:mergeCell ref="A1:O1"/>
    <x:mergeCell ref="A2:O2"/>
    <x:mergeCell ref="A4:B4"/>
    <x:mergeCell ref="A5:B6"/>
    <x:mergeCell ref="D4:E4"/>
    <x:mergeCell ref="D5:E6"/>
    <x:mergeCell ref="G4:O4"/>
    <x:mergeCell ref="G5:O6"/>
  </x:mergeCells>
  <x:conditionalFormatting sqref="O10:O21">
    <x:cfRule type="containsText" dxfId="31" priority="1" operator="containsText" text="Done"/>
    <x:cfRule type="containsText" dxfId="30" priority="2" operator="containsText" text="Blocked"/>
    <x:cfRule type="containsText" dxfId="29" priority="3" operator="containsText" text="In Progress"/>
    <x:cfRule type="containsText" dxfId="28" priority="4" operator="containsText" text="Ready for Review"/>
  </x:conditionalFormatting>
  <x:dataValidations count="1">
    <x:dataValidation type="list" sqref="O10:O21">
      <x:formula1>"Not Started,In Progress,Blocked,Ready for Review,Done,Deferred"</x:formula1>
    </x:dataValidation>
  </x:dataValidations>
  <x:pageMargins left="0.7" right="0.7" top="0.75" bottom="0.75" header="0.3" footer="0.3"/>
  <x:tableParts count="1">
    <x:tablePart xmlns:r="http://schemas.openxmlformats.org/officeDocument/2006/relationships" r:id="R03aecff1e1db424f"/>
  </x:tableParts>
</x:worksheet>
</file>

<file path=xl/worksheets/sheet8.xml><?xml version="1.0" encoding="utf-8"?>
<x:worksheet xmlns:x="http://schemas.openxmlformats.org/spreadsheetml/2006/main">
  <x:sheetViews>
    <x:sheetView showGridLines="0" workbookViewId="0"/>
  </x:sheetViews>
  <x:sheetFormatPr defaultRowHeight="13.800000190734863"/>
  <x:cols>
    <x:col min="1" max="1" width="9" customWidth="1"/>
    <x:col min="2" max="2" width="22" customWidth="1"/>
    <x:col min="3" max="3" width="31" customWidth="1"/>
    <x:col min="4" max="4" width="42" customWidth="1"/>
    <x:col min="5" max="5" width="38" customWidth="1"/>
    <x:col min="6" max="6" width="42" customWidth="1"/>
    <x:col min="7" max="7" width="45" customWidth="1"/>
    <x:col min="8" max="8" width="8" customWidth="1"/>
    <x:col min="9" max="9" width="13" customWidth="1"/>
    <x:col min="10" max="10" width="18" customWidth="1"/>
    <x:col min="11" max="11" width="36" customWidth="1"/>
    <x:col min="12" max="12" width="38" customWidth="1"/>
    <x:col min="13" max="13" width="28" customWidth="1"/>
    <x:col min="14" max="14" width="36" customWidth="1"/>
    <x:col min="15" max="15" width="16" customWidth="1"/>
  </x:cols>
  <x:sheetData>
    <x:row r="1" ht="31.950000762939453" customHeight="1">
      <x:c r="A1" s="32" t="s">
        <x:v>1008</x:v>
      </x:c>
      <x:c r="B1" s="32"/>
      <x:c r="C1" s="32"/>
      <x:c r="D1" s="32"/>
      <x:c r="E1" s="32"/>
      <x:c r="F1" s="32"/>
      <x:c r="G1" s="32"/>
      <x:c r="H1" s="32"/>
      <x:c r="I1" s="32"/>
      <x:c r="J1" s="32"/>
      <x:c r="K1" s="32"/>
      <x:c r="L1" s="32"/>
      <x:c r="M1" s="32"/>
      <x:c r="N1" s="32"/>
      <x:c r="O1" s="32"/>
    </x:row>
    <x:row r="2" ht="31.950000762939453" customHeight="1">
      <x:c r="A2" s="33" t="s">
        <x:v>1009</x:v>
      </x:c>
      <x:c r="B2" s="33"/>
      <x:c r="C2" s="33"/>
      <x:c r="D2" s="33"/>
      <x:c r="E2" s="33"/>
      <x:c r="F2" s="33"/>
      <x:c r="G2" s="33"/>
      <x:c r="H2" s="33"/>
      <x:c r="I2" s="33"/>
      <x:c r="J2" s="33"/>
      <x:c r="K2" s="33"/>
      <x:c r="L2" s="33"/>
      <x:c r="M2" s="33"/>
      <x:c r="N2" s="33"/>
      <x:c r="O2" s="33"/>
    </x:row>
    <x:row r="4" ht="28.049999237060547" customHeight="1">
      <x:c r="A4" s="34" t="s">
        <x:v>52</x:v>
      </x:c>
      <x:c r="B4" s="36"/>
      <x:c r="D4" s="34" t="s">
        <x:v>45</x:v>
      </x:c>
      <x:c r="E4" s="36"/>
      <x:c r="G4" s="34" t="s">
        <x:v>889</x:v>
      </x:c>
      <x:c r="H4" s="35"/>
      <x:c r="I4" s="35"/>
      <x:c r="J4" s="35"/>
      <x:c r="K4" s="35"/>
      <x:c r="L4" s="35"/>
      <x:c r="M4" s="35"/>
      <x:c r="N4" s="35"/>
      <x:c r="O4" s="36"/>
    </x:row>
    <x:row r="5">
      <x:c r="A5" s="75" t="n">
        <x:f>IF(COUNTA(O10:O40)=0,0,COUNTIF(O10:O40,"Done")/COUNTA(A10:A40))</x:f>
        <x:v>0</x:v>
      </x:c>
      <x:c r="B5" s="76"/>
      <x:c r="D5" s="79" t="n">
        <x:f>COUNTIF(O10:O40,"Blocked")</x:f>
        <x:v>0</x:v>
      </x:c>
      <x:c r="E5" s="80"/>
      <x:c r="G5" s="83" t="s">
        <x:v>1010</x:v>
      </x:c>
      <x:c r="H5" s="84"/>
      <x:c r="I5" s="84"/>
      <x:c r="J5" s="84"/>
      <x:c r="K5" s="84"/>
      <x:c r="L5" s="84"/>
      <x:c r="M5" s="84"/>
      <x:c r="N5" s="84"/>
      <x:c r="O5" s="85"/>
    </x:row>
    <x:row r="6">
      <x:c r="A6" s="77"/>
      <x:c r="B6" s="78"/>
      <x:c r="D6" s="81"/>
      <x:c r="E6" s="82"/>
      <x:c r="G6" s="86"/>
      <x:c r="H6" s="87"/>
      <x:c r="I6" s="87"/>
      <x:c r="J6" s="87"/>
      <x:c r="K6" s="87"/>
      <x:c r="L6" s="87"/>
      <x:c r="M6" s="87"/>
      <x:c r="N6" s="87"/>
      <x:c r="O6" s="88"/>
    </x:row>
    <x:row r="9" ht="28.049999237060547" customHeight="1">
      <x:c r="A9" s="1" t="s">
        <x:v>66</x:v>
      </x:c>
      <x:c r="B9" s="2" t="s">
        <x:v>67</x:v>
      </x:c>
      <x:c r="C9" s="2" t="s">
        <x:v>68</x:v>
      </x:c>
      <x:c r="D9" s="2" t="s">
        <x:v>69</x:v>
      </x:c>
      <x:c r="E9" s="2" t="s">
        <x:v>891</x:v>
      </x:c>
      <x:c r="F9" s="2" t="s">
        <x:v>892</x:v>
      </x:c>
      <x:c r="G9" s="2" t="s">
        <x:v>33</x:v>
      </x:c>
      <x:c r="H9" s="2" t="s">
        <x:v>893</x:v>
      </x:c>
      <x:c r="I9" s="2" t="s">
        <x:v>894</x:v>
      </x:c>
      <x:c r="J9" s="2" t="s">
        <x:v>895</x:v>
      </x:c>
      <x:c r="K9" s="2" t="s">
        <x:v>896</x:v>
      </x:c>
      <x:c r="L9" s="2" t="s">
        <x:v>897</x:v>
      </x:c>
      <x:c r="M9" s="2" t="s">
        <x:v>898</x:v>
      </x:c>
      <x:c r="N9" s="2" t="s">
        <x:v>899</x:v>
      </x:c>
      <x:c r="O9" s="3" t="s">
        <x:v>82</x:v>
      </x:c>
    </x:row>
    <x:row r="10" ht="34.20000076293945">
      <x:c r="A10" s="10" t="s">
        <x:v>612</x:v>
      </x:c>
      <x:c r="B10" s="10">
        <x:v>1</x:v>
      </x:c>
      <x:c r="C10" s="10" t="s">
        <x:v>85</x:v>
      </x:c>
      <x:c r="D10" s="10" t="s">
        <x:v>613</x:v>
      </x:c>
      <x:c r="E10" s="10" t="s">
        <x:v>614</x:v>
      </x:c>
      <x:c r="F10" s="10" t="s">
        <x:v>615</x:v>
      </x:c>
      <x:c r="G10" s="10" t="s">
        <x:v>89</x:v>
      </x:c>
      <x:c r="H10" s="15">
        <x:v>1</x:v>
      </x:c>
      <x:c r="I10" s="10" t="s">
        <x:v>616</x:v>
      </x:c>
      <x:c r="J10" s="10" t="s">
        <x:v>617</x:v>
      </x:c>
      <x:c r="K10" s="10" t="s">
        <x:v>618</x:v>
      </x:c>
      <x:c r="L10" s="10" t="s">
        <x:v>619</x:v>
      </x:c>
      <x:c r="M10" s="10" t="s">
        <x:v>621</x:v>
      </x:c>
      <x:c r="N10" s="10" t="s">
        <x:v>622</x:v>
      </x:c>
      <x:c r="O10" s="10" t="s">
        <x:v>239</x:v>
      </x:c>
    </x:row>
    <x:row r="11" ht="22.799999237060547">
      <x:c r="A11" s="11" t="s">
        <x:v>623</x:v>
      </x:c>
      <x:c r="B11" s="11">
        <x:v>2</x:v>
      </x:c>
      <x:c r="C11" s="11" t="s">
        <x:v>85</x:v>
      </x:c>
      <x:c r="D11" s="11" t="s">
        <x:v>624</x:v>
      </x:c>
      <x:c r="E11" s="11" t="s">
        <x:v>625</x:v>
      </x:c>
      <x:c r="F11" s="11" t="s">
        <x:v>626</x:v>
      </x:c>
      <x:c r="G11" s="11" t="s">
        <x:v>117</x:v>
      </x:c>
      <x:c r="H11" s="16">
        <x:v>1.25</x:v>
      </x:c>
      <x:c r="I11" s="11" t="s">
        <x:v>627</x:v>
      </x:c>
      <x:c r="J11" s="11" t="s">
        <x:v>185</x:v>
      </x:c>
      <x:c r="K11" s="11" t="s">
        <x:v>628</x:v>
      </x:c>
      <x:c r="L11" s="11" t="s">
        <x:v>629</x:v>
      </x:c>
      <x:c r="M11" s="11" t="s">
        <x:v>631</x:v>
      </x:c>
      <x:c r="N11" s="11" t="s">
        <x:v>632</x:v>
      </x:c>
      <x:c r="O11" s="11" t="s">
        <x:v>239</x:v>
      </x:c>
    </x:row>
    <x:row r="12" ht="22.799999237060547">
      <x:c r="A12" s="11" t="s">
        <x:v>633</x:v>
      </x:c>
      <x:c r="B12" s="11">
        <x:v>3</x:v>
      </x:c>
      <x:c r="C12" s="11" t="s">
        <x:v>85</x:v>
      </x:c>
      <x:c r="D12" s="11" t="s">
        <x:v>634</x:v>
      </x:c>
      <x:c r="E12" s="11" t="s">
        <x:v>635</x:v>
      </x:c>
      <x:c r="F12" s="11" t="s">
        <x:v>636</x:v>
      </x:c>
      <x:c r="G12" s="11" t="s">
        <x:v>117</x:v>
      </x:c>
      <x:c r="H12" s="16">
        <x:v>1.25</x:v>
      </x:c>
      <x:c r="I12" s="11" t="s">
        <x:v>627</x:v>
      </x:c>
      <x:c r="J12" s="11" t="s">
        <x:v>637</x:v>
      </x:c>
      <x:c r="K12" s="11" t="s">
        <x:v>638</x:v>
      </x:c>
      <x:c r="L12" s="11" t="s">
        <x:v>639</x:v>
      </x:c>
      <x:c r="M12" s="11" t="s">
        <x:v>641</x:v>
      </x:c>
      <x:c r="N12" s="11" t="s">
        <x:v>644</x:v>
      </x:c>
      <x:c r="O12" s="11" t="s">
        <x:v>239</x:v>
      </x:c>
    </x:row>
    <x:row r="13" ht="22.799999237060547">
      <x:c r="A13" s="11" t="s">
        <x:v>645</x:v>
      </x:c>
      <x:c r="B13" s="11">
        <x:v>4</x:v>
      </x:c>
      <x:c r="C13" s="11" t="s">
        <x:v>85</x:v>
      </x:c>
      <x:c r="D13" s="11" t="s">
        <x:v>646</x:v>
      </x:c>
      <x:c r="E13" s="11" t="s">
        <x:v>647</x:v>
      </x:c>
      <x:c r="F13" s="11" t="s">
        <x:v>648</x:v>
      </x:c>
      <x:c r="G13" s="11" t="s">
        <x:v>117</x:v>
      </x:c>
      <x:c r="H13" s="16">
        <x:v>1.25</x:v>
      </x:c>
      <x:c r="I13" s="11" t="s">
        <x:v>627</x:v>
      </x:c>
      <x:c r="J13" s="11" t="s">
        <x:v>649</x:v>
      </x:c>
      <x:c r="K13" s="11" t="s">
        <x:v>650</x:v>
      </x:c>
      <x:c r="L13" s="11" t="s">
        <x:v>651</x:v>
      </x:c>
      <x:c r="M13" s="11" t="s">
        <x:v>653</x:v>
      </x:c>
      <x:c r="N13" s="11" t="s">
        <x:v>655</x:v>
      </x:c>
      <x:c r="O13" s="11" t="s">
        <x:v>239</x:v>
      </x:c>
    </x:row>
    <x:row r="14" ht="22.799999237060547">
      <x:c r="A14" s="11" t="s">
        <x:v>656</x:v>
      </x:c>
      <x:c r="B14" s="11">
        <x:v>5</x:v>
      </x:c>
      <x:c r="C14" s="11" t="s">
        <x:v>85</x:v>
      </x:c>
      <x:c r="D14" s="11" t="s">
        <x:v>657</x:v>
      </x:c>
      <x:c r="E14" s="11" t="s">
        <x:v>658</x:v>
      </x:c>
      <x:c r="F14" s="11" t="s">
        <x:v>659</x:v>
      </x:c>
      <x:c r="G14" s="11" t="s">
        <x:v>117</x:v>
      </x:c>
      <x:c r="H14" s="16">
        <x:v>1.5</x:v>
      </x:c>
      <x:c r="I14" s="11" t="s">
        <x:v>627</x:v>
      </x:c>
      <x:c r="J14" s="11" t="s">
        <x:v>660</x:v>
      </x:c>
      <x:c r="K14" s="11" t="s">
        <x:v>661</x:v>
      </x:c>
      <x:c r="L14" s="11" t="s">
        <x:v>662</x:v>
      </x:c>
      <x:c r="M14" s="11" t="s">
        <x:v>664</x:v>
      </x:c>
      <x:c r="N14" s="11" t="s">
        <x:v>667</x:v>
      </x:c>
      <x:c r="O14" s="11" t="s">
        <x:v>239</x:v>
      </x:c>
    </x:row>
    <x:row r="15" ht="22.799999237060547">
      <x:c r="A15" s="11" t="s">
        <x:v>668</x:v>
      </x:c>
      <x:c r="B15" s="11">
        <x:v>6</x:v>
      </x:c>
      <x:c r="C15" s="11" t="s">
        <x:v>85</x:v>
      </x:c>
      <x:c r="D15" s="11" t="s">
        <x:v>669</x:v>
      </x:c>
      <x:c r="E15" s="11" t="s">
        <x:v>670</x:v>
      </x:c>
      <x:c r="F15" s="11" t="s">
        <x:v>671</x:v>
      </x:c>
      <x:c r="G15" s="11" t="s">
        <x:v>117</x:v>
      </x:c>
      <x:c r="H15" s="16">
        <x:v>1</x:v>
      </x:c>
      <x:c r="I15" s="11" t="s">
        <x:v>672</x:v>
      </x:c>
      <x:c r="J15" s="11" t="s">
        <x:v>673</x:v>
      </x:c>
      <x:c r="K15" s="11" t="s">
        <x:v>674</x:v>
      </x:c>
      <x:c r="L15" s="11" t="s">
        <x:v>675</x:v>
      </x:c>
      <x:c r="M15" s="11" t="s">
        <x:v>677</x:v>
      </x:c>
      <x:c r="N15" s="11" t="s">
        <x:v>680</x:v>
      </x:c>
      <x:c r="O15" s="11" t="s">
        <x:v>239</x:v>
      </x:c>
    </x:row>
    <x:row r="16" ht="22.799999237060547">
      <x:c r="A16" s="11" t="s">
        <x:v>681</x:v>
      </x:c>
      <x:c r="B16" s="11">
        <x:v>7</x:v>
      </x:c>
      <x:c r="C16" s="11" t="s">
        <x:v>85</x:v>
      </x:c>
      <x:c r="D16" s="11" t="s">
        <x:v>682</x:v>
      </x:c>
      <x:c r="E16" s="11" t="s">
        <x:v>683</x:v>
      </x:c>
      <x:c r="F16" s="11" t="s">
        <x:v>684</x:v>
      </x:c>
      <x:c r="G16" s="11" t="s">
        <x:v>117</x:v>
      </x:c>
      <x:c r="H16" s="16">
        <x:v>1.5</x:v>
      </x:c>
      <x:c r="I16" s="11" t="s">
        <x:v>685</x:v>
      </x:c>
      <x:c r="J16" s="11" t="s">
        <x:v>686</x:v>
      </x:c>
      <x:c r="K16" s="11" t="s">
        <x:v>687</x:v>
      </x:c>
      <x:c r="L16" s="11" t="s">
        <x:v>688</x:v>
      </x:c>
      <x:c r="M16" s="11" t="s">
        <x:v>690</x:v>
      </x:c>
      <x:c r="N16" s="11" t="s">
        <x:v>692</x:v>
      </x:c>
      <x:c r="O16" s="11" t="s">
        <x:v>239</x:v>
      </x:c>
    </x:row>
    <x:row r="17" ht="22.799999237060547">
      <x:c r="A17" s="11" t="s">
        <x:v>693</x:v>
      </x:c>
      <x:c r="B17" s="11">
        <x:v>8</x:v>
      </x:c>
      <x:c r="C17" s="11" t="s">
        <x:v>85</x:v>
      </x:c>
      <x:c r="D17" s="11" t="s">
        <x:v>694</x:v>
      </x:c>
      <x:c r="E17" s="11" t="s">
        <x:v>695</x:v>
      </x:c>
      <x:c r="F17" s="11" t="s">
        <x:v>696</x:v>
      </x:c>
      <x:c r="G17" s="11" t="s">
        <x:v>117</x:v>
      </x:c>
      <x:c r="H17" s="16">
        <x:v>1</x:v>
      </x:c>
      <x:c r="I17" s="11" t="s">
        <x:v>685</x:v>
      </x:c>
      <x:c r="J17" s="11" t="s">
        <x:v>97</x:v>
      </x:c>
      <x:c r="K17" s="11" t="s">
        <x:v>697</x:v>
      </x:c>
      <x:c r="L17" s="11" t="s">
        <x:v>698</x:v>
      </x:c>
      <x:c r="M17" s="11" t="s">
        <x:v>700</x:v>
      </x:c>
      <x:c r="N17" s="11" t="s">
        <x:v>701</x:v>
      </x:c>
      <x:c r="O17" s="11" t="s">
        <x:v>239</x:v>
      </x:c>
    </x:row>
    <x:row r="18" ht="22.799999237060547">
      <x:c r="A18" s="11" t="s">
        <x:v>702</x:v>
      </x:c>
      <x:c r="B18" s="11">
        <x:v>9</x:v>
      </x:c>
      <x:c r="C18" s="11" t="s">
        <x:v>85</x:v>
      </x:c>
      <x:c r="D18" s="11" t="s">
        <x:v>703</x:v>
      </x:c>
      <x:c r="E18" s="11" t="s">
        <x:v>704</x:v>
      </x:c>
      <x:c r="F18" s="11" t="s">
        <x:v>705</x:v>
      </x:c>
      <x:c r="G18" s="11" t="s">
        <x:v>104</x:v>
      </x:c>
      <x:c r="H18" s="16">
        <x:v>1</x:v>
      </x:c>
      <x:c r="I18" s="11" t="s">
        <x:v>706</x:v>
      </x:c>
      <x:c r="J18" s="11" t="s">
        <x:v>543</x:v>
      </x:c>
      <x:c r="K18" s="11" t="s">
        <x:v>707</x:v>
      </x:c>
      <x:c r="L18" s="11" t="s">
        <x:v>708</x:v>
      </x:c>
      <x:c r="M18" s="11" t="s">
        <x:v>710</x:v>
      </x:c>
      <x:c r="N18" s="11" t="s">
        <x:v>712</x:v>
      </x:c>
      <x:c r="O18" s="11" t="s">
        <x:v>239</x:v>
      </x:c>
    </x:row>
    <x:row r="19" ht="22.799999237060547">
      <x:c r="A19" s="11" t="s">
        <x:v>713</x:v>
      </x:c>
      <x:c r="B19" s="11">
        <x:v>10</x:v>
      </x:c>
      <x:c r="C19" s="11" t="s">
        <x:v>85</x:v>
      </x:c>
      <x:c r="D19" s="11" t="s">
        <x:v>714</x:v>
      </x:c>
      <x:c r="E19" s="11" t="s">
        <x:v>715</x:v>
      </x:c>
      <x:c r="F19" s="11" t="s">
        <x:v>716</x:v>
      </x:c>
      <x:c r="G19" s="11" t="s">
        <x:v>89</x:v>
      </x:c>
      <x:c r="H19" s="16">
        <x:v>1.5</x:v>
      </x:c>
      <x:c r="I19" s="11" t="s">
        <x:v>706</x:v>
      </x:c>
      <x:c r="J19" s="11" t="s">
        <x:v>331</x:v>
      </x:c>
      <x:c r="K19" s="11" t="s">
        <x:v>717</x:v>
      </x:c>
      <x:c r="L19" s="11" t="s">
        <x:v>718</x:v>
      </x:c>
      <x:c r="M19" s="11" t="s">
        <x:v>720</x:v>
      </x:c>
      <x:c r="N19" s="11" t="s">
        <x:v>721</x:v>
      </x:c>
      <x:c r="O19" s="11" t="s">
        <x:v>239</x:v>
      </x:c>
    </x:row>
    <x:row r="20" ht="22.799999237060547">
      <x:c r="A20" s="11" t="s">
        <x:v>722</x:v>
      </x:c>
      <x:c r="B20" s="11">
        <x:v>11</x:v>
      </x:c>
      <x:c r="C20" s="11" t="s">
        <x:v>85</x:v>
      </x:c>
      <x:c r="D20" s="11" t="s">
        <x:v>723</x:v>
      </x:c>
      <x:c r="E20" s="11" t="s">
        <x:v>724</x:v>
      </x:c>
      <x:c r="F20" s="11" t="s">
        <x:v>725</x:v>
      </x:c>
      <x:c r="G20" s="11" t="s">
        <x:v>104</x:v>
      </x:c>
      <x:c r="H20" s="16">
        <x:v>0.75</x:v>
      </x:c>
      <x:c r="I20" s="11" t="s">
        <x:v>706</x:v>
      </x:c>
      <x:c r="J20" s="11" t="s">
        <x:v>331</x:v>
      </x:c>
      <x:c r="K20" s="11" t="s">
        <x:v>726</x:v>
      </x:c>
      <x:c r="L20" s="11" t="s">
        <x:v>727</x:v>
      </x:c>
      <x:c r="M20" s="11" t="s">
        <x:v>729</x:v>
      </x:c>
      <x:c r="N20" s="11" t="s">
        <x:v>731</x:v>
      </x:c>
      <x:c r="O20" s="11" t="s">
        <x:v>239</x:v>
      </x:c>
    </x:row>
    <x:row r="21" ht="22.799999237060547">
      <x:c r="A21" s="11" t="s">
        <x:v>732</x:v>
      </x:c>
      <x:c r="B21" s="11">
        <x:v>12</x:v>
      </x:c>
      <x:c r="C21" s="11" t="s">
        <x:v>85</x:v>
      </x:c>
      <x:c r="D21" s="11" t="s">
        <x:v>733</x:v>
      </x:c>
      <x:c r="E21" s="11" t="s">
        <x:v>734</x:v>
      </x:c>
      <x:c r="F21" s="11" t="s">
        <x:v>735</x:v>
      </x:c>
      <x:c r="G21" s="11" t="s">
        <x:v>104</x:v>
      </x:c>
      <x:c r="H21" s="16">
        <x:v>1</x:v>
      </x:c>
      <x:c r="I21" s="11" t="s">
        <x:v>706</x:v>
      </x:c>
      <x:c r="J21" s="11" t="s">
        <x:v>208</x:v>
      </x:c>
      <x:c r="K21" s="11" t="s">
        <x:v>736</x:v>
      </x:c>
      <x:c r="L21" s="11" t="s">
        <x:v>737</x:v>
      </x:c>
      <x:c r="M21" s="11" t="s">
        <x:v>739</x:v>
      </x:c>
      <x:c r="N21" s="11" t="s">
        <x:v>740</x:v>
      </x:c>
      <x:c r="O21" s="11" t="s">
        <x:v>239</x:v>
      </x:c>
    </x:row>
    <x:row r="22" ht="22.799999237060547">
      <x:c r="A22" s="11" t="s">
        <x:v>741</x:v>
      </x:c>
      <x:c r="B22" s="11">
        <x:v>13</x:v>
      </x:c>
      <x:c r="C22" s="11" t="s">
        <x:v>85</x:v>
      </x:c>
      <x:c r="D22" s="11" t="s">
        <x:v>216</x:v>
      </x:c>
      <x:c r="E22" s="11" t="s">
        <x:v>742</x:v>
      </x:c>
      <x:c r="F22" s="11" t="s">
        <x:v>743</x:v>
      </x:c>
      <x:c r="G22" s="11" t="s">
        <x:v>89</x:v>
      </x:c>
      <x:c r="H22" s="16">
        <x:v>0.75</x:v>
      </x:c>
      <x:c r="I22" s="11" t="s">
        <x:v>219</x:v>
      </x:c>
      <x:c r="J22" s="11" t="s">
        <x:v>744</x:v>
      </x:c>
      <x:c r="K22" s="11" t="s">
        <x:v>745</x:v>
      </x:c>
      <x:c r="L22" s="11" t="s">
        <x:v>746</x:v>
      </x:c>
      <x:c r="M22" s="11" t="s">
        <x:v>748</x:v>
      </x:c>
      <x:c r="N22" s="11" t="s">
        <x:v>750</x:v>
      </x:c>
      <x:c r="O22" s="11" t="s">
        <x:v>239</x:v>
      </x:c>
    </x:row>
    <x:row r="23" ht="24" customHeight="1">
      <x:c r="A23" s="27" t="s">
        <x:v>900</x:v>
      </x:c>
      <x:c r="B23" s="27"/>
      <x:c r="C23" s="27"/>
      <x:c r="D23" s="27"/>
      <x:c r="E23" s="27"/>
      <x:c r="F23" s="27"/>
      <x:c r="G23" s="27"/>
    </x:row>
    <x:row r="24" ht="34.04999923706055" customHeight="1">
      <x:c r="A24" s="89" t="s">
        <x:v>901</x:v>
      </x:c>
      <x:c r="B24" s="89" t="s">
        <x:v>73</x:v>
      </x:c>
      <x:c r="C24" s="89" t="s">
        <x:v>902</x:v>
      </x:c>
      <x:c r="D24" s="89" t="s">
        <x:v>903</x:v>
      </x:c>
      <x:c r="E24" s="89" t="s">
        <x:v>904</x:v>
      </x:c>
      <x:c r="F24" s="89" t="s">
        <x:v>905</x:v>
      </x:c>
      <x:c r="G24" s="89" t="s">
        <x:v>906</x:v>
      </x:c>
      <x:c r="H24" s="74"/>
      <x:c r="I24" s="74"/>
      <x:c r="J24" s="74"/>
      <x:c r="K24" s="74"/>
      <x:c r="L24" s="74"/>
      <x:c r="M24" s="74"/>
      <x:c r="N24" s="74"/>
      <x:c r="O24" s="74"/>
    </x:row>
    <x:row r="25" ht="48" customHeight="1">
      <x:c r="A25" s="26">
        <x:v>1</x:v>
      </x:c>
      <x:c r="B25" s="26" t="s">
        <x:v>616</x:v>
      </x:c>
      <x:c r="C25" s="26" t="s">
        <x:v>1011</x:v>
      </x:c>
      <x:c r="D25" s="26" t="s">
        <x:v>1012</x:v>
      </x:c>
      <x:c r="E25" s="26" t="s">
        <x:v>1013</x:v>
      </x:c>
      <x:c r="F25" s="26" t="s">
        <x:v>1014</x:v>
      </x:c>
      <x:c r="G25" s="26" t="s">
        <x:v>1015</x:v>
      </x:c>
    </x:row>
    <x:row r="26" ht="48" customHeight="1">
      <x:c r="A26" s="25">
        <x:v>2</x:v>
      </x:c>
      <x:c r="B26" s="25" t="s">
        <x:v>627</x:v>
      </x:c>
      <x:c r="C26" s="25" t="s">
        <x:v>1016</x:v>
      </x:c>
      <x:c r="D26" s="25" t="s">
        <x:v>1017</x:v>
      </x:c>
      <x:c r="E26" s="25" t="s">
        <x:v>1018</x:v>
      </x:c>
      <x:c r="F26" s="25" t="s">
        <x:v>1019</x:v>
      </x:c>
      <x:c r="G26" s="25" t="s">
        <x:v>1020</x:v>
      </x:c>
    </x:row>
    <x:row r="27" ht="48" customHeight="1">
      <x:c r="A27" s="26">
        <x:v>3</x:v>
      </x:c>
      <x:c r="B27" s="26" t="s">
        <x:v>685</x:v>
      </x:c>
      <x:c r="C27" s="26" t="s">
        <x:v>1021</x:v>
      </x:c>
      <x:c r="D27" s="26" t="s">
        <x:v>1022</x:v>
      </x:c>
      <x:c r="E27" s="26" t="s">
        <x:v>1023</x:v>
      </x:c>
      <x:c r="F27" s="26" t="s">
        <x:v>1024</x:v>
      </x:c>
      <x:c r="G27" s="26" t="s">
        <x:v>1025</x:v>
      </x:c>
    </x:row>
    <x:row r="28" ht="48" customHeight="1">
      <x:c r="A28" s="25">
        <x:v>4</x:v>
      </x:c>
      <x:c r="B28" s="25" t="s">
        <x:v>672</x:v>
      </x:c>
      <x:c r="C28" s="25" t="s">
        <x:v>1026</x:v>
      </x:c>
      <x:c r="D28" s="25" t="s">
        <x:v>1027</x:v>
      </x:c>
      <x:c r="E28" s="25" t="s">
        <x:v>1028</x:v>
      </x:c>
      <x:c r="F28" s="25" t="s">
        <x:v>1029</x:v>
      </x:c>
      <x:c r="G28" s="25" t="s">
        <x:v>675</x:v>
      </x:c>
    </x:row>
    <x:row r="29" ht="48" customHeight="1">
      <x:c r="A29" s="26">
        <x:v>5</x:v>
      </x:c>
      <x:c r="B29" s="26" t="s">
        <x:v>706</x:v>
      </x:c>
      <x:c r="C29" s="26" t="s">
        <x:v>1030</x:v>
      </x:c>
      <x:c r="D29" s="26" t="s">
        <x:v>1031</x:v>
      </x:c>
      <x:c r="E29" s="26" t="s">
        <x:v>1032</x:v>
      </x:c>
      <x:c r="F29" s="26" t="s">
        <x:v>1033</x:v>
      </x:c>
      <x:c r="G29" s="26" t="s">
        <x:v>1034</x:v>
      </x:c>
    </x:row>
    <x:row r="30" ht="48" customHeight="1">
      <x:c r="A30" s="25">
        <x:v>6</x:v>
      </x:c>
      <x:c r="B30" s="25" t="s">
        <x:v>219</x:v>
      </x:c>
      <x:c r="C30" s="25" t="s">
        <x:v>935</x:v>
      </x:c>
      <x:c r="D30" s="25" t="s">
        <x:v>936</x:v>
      </x:c>
      <x:c r="E30" s="25" t="s">
        <x:v>937</x:v>
      </x:c>
      <x:c r="F30" s="25" t="s">
        <x:v>938</x:v>
      </x:c>
      <x:c r="G30" s="25" t="s">
        <x:v>939</x:v>
      </x:c>
    </x:row>
  </x:sheetData>
  <x:mergeCells>
    <x:mergeCell ref="A24:O24"/>
    <x:mergeCell ref="A1:O1"/>
    <x:mergeCell ref="A2:O2"/>
    <x:mergeCell ref="A4:B4"/>
    <x:mergeCell ref="A5:B6"/>
    <x:mergeCell ref="D4:E4"/>
    <x:mergeCell ref="D5:E6"/>
    <x:mergeCell ref="G4:O4"/>
    <x:mergeCell ref="G5:O6"/>
  </x:mergeCells>
  <x:conditionalFormatting sqref="O10:O22">
    <x:cfRule type="containsText" dxfId="27" priority="1" operator="containsText" text="Done"/>
    <x:cfRule type="containsText" dxfId="26" priority="2" operator="containsText" text="Blocked"/>
    <x:cfRule type="containsText" dxfId="25" priority="3" operator="containsText" text="In Progress"/>
    <x:cfRule type="containsText" dxfId="24" priority="4" operator="containsText" text="Ready for Review"/>
  </x:conditionalFormatting>
  <x:dataValidations count="1">
    <x:dataValidation type="list" sqref="O10:O22">
      <x:formula1>"Not Started,In Progress,Blocked,Ready for Review,Done,Deferred"</x:formula1>
    </x:dataValidation>
  </x:dataValidations>
  <x:pageMargins left="0.7" right="0.7" top="0.75" bottom="0.75" header="0.3" footer="0.3"/>
  <x:tableParts count="1">
    <x:tablePart xmlns:r="http://schemas.openxmlformats.org/officeDocument/2006/relationships" r:id="R201b7861ea874320"/>
  </x:tableParts>
</x:worksheet>
</file>

<file path=xl/worksheets/sheet9.xml><?xml version="1.0" encoding="utf-8"?>
<x:worksheet xmlns:x="http://schemas.openxmlformats.org/spreadsheetml/2006/main">
  <x:sheetViews>
    <x:sheetView showGridLines="0" workbookViewId="0"/>
  </x:sheetViews>
  <x:sheetFormatPr defaultRowHeight="13.800000190734863"/>
  <x:cols>
    <x:col min="1" max="1" width="9" customWidth="1"/>
    <x:col min="2" max="2" width="22" customWidth="1"/>
    <x:col min="3" max="3" width="31" customWidth="1"/>
    <x:col min="4" max="4" width="42" customWidth="1"/>
    <x:col min="5" max="5" width="38" customWidth="1"/>
    <x:col min="6" max="6" width="42" customWidth="1"/>
    <x:col min="7" max="7" width="45" customWidth="1"/>
    <x:col min="8" max="8" width="8" customWidth="1"/>
    <x:col min="9" max="9" width="13" customWidth="1"/>
    <x:col min="10" max="10" width="18" customWidth="1"/>
    <x:col min="11" max="11" width="36" customWidth="1"/>
    <x:col min="12" max="12" width="38" customWidth="1"/>
    <x:col min="13" max="13" width="28" customWidth="1"/>
    <x:col min="14" max="14" width="36" customWidth="1"/>
    <x:col min="15" max="15" width="16" customWidth="1"/>
  </x:cols>
  <x:sheetData>
    <x:row r="1" ht="31.950000762939453" customHeight="1">
      <x:c r="A1" s="32" t="s">
        <x:v>1035</x:v>
      </x:c>
      <x:c r="B1" s="32"/>
      <x:c r="C1" s="32"/>
      <x:c r="D1" s="32"/>
      <x:c r="E1" s="32"/>
      <x:c r="F1" s="32"/>
      <x:c r="G1" s="32"/>
      <x:c r="H1" s="32"/>
      <x:c r="I1" s="32"/>
      <x:c r="J1" s="32"/>
      <x:c r="K1" s="32"/>
      <x:c r="L1" s="32"/>
      <x:c r="M1" s="32"/>
      <x:c r="N1" s="32"/>
      <x:c r="O1" s="32"/>
    </x:row>
    <x:row r="2" ht="31.950000762939453" customHeight="1">
      <x:c r="A2" s="33" t="s">
        <x:v>1036</x:v>
      </x:c>
      <x:c r="B2" s="33"/>
      <x:c r="C2" s="33"/>
      <x:c r="D2" s="33"/>
      <x:c r="E2" s="33"/>
      <x:c r="F2" s="33"/>
      <x:c r="G2" s="33"/>
      <x:c r="H2" s="33"/>
      <x:c r="I2" s="33"/>
      <x:c r="J2" s="33"/>
      <x:c r="K2" s="33"/>
      <x:c r="L2" s="33"/>
      <x:c r="M2" s="33"/>
      <x:c r="N2" s="33"/>
      <x:c r="O2" s="33"/>
    </x:row>
    <x:row r="4" ht="28.049999237060547" customHeight="1">
      <x:c r="A4" s="34" t="s">
        <x:v>52</x:v>
      </x:c>
      <x:c r="B4" s="36"/>
      <x:c r="D4" s="34" t="s">
        <x:v>45</x:v>
      </x:c>
      <x:c r="E4" s="36"/>
      <x:c r="G4" s="34" t="s">
        <x:v>889</x:v>
      </x:c>
      <x:c r="H4" s="35"/>
      <x:c r="I4" s="35"/>
      <x:c r="J4" s="35"/>
      <x:c r="K4" s="35"/>
      <x:c r="L4" s="35"/>
      <x:c r="M4" s="35"/>
      <x:c r="N4" s="35"/>
      <x:c r="O4" s="36"/>
    </x:row>
    <x:row r="5">
      <x:c r="A5" s="75" t="n">
        <x:f>IF(COUNTA(O10:O40)=0,0,COUNTIF(O10:O40,"Done")/COUNTA(A10:A40))</x:f>
        <x:v>0</x:v>
      </x:c>
      <x:c r="B5" s="76"/>
      <x:c r="D5" s="79" t="n">
        <x:f>COUNTIF(O10:O40,"Blocked")</x:f>
        <x:v>0</x:v>
      </x:c>
      <x:c r="E5" s="80"/>
      <x:c r="G5" s="83" t="s">
        <x:v>1037</x:v>
      </x:c>
      <x:c r="H5" s="84"/>
      <x:c r="I5" s="84"/>
      <x:c r="J5" s="84"/>
      <x:c r="K5" s="84"/>
      <x:c r="L5" s="84"/>
      <x:c r="M5" s="84"/>
      <x:c r="N5" s="84"/>
      <x:c r="O5" s="85"/>
    </x:row>
    <x:row r="6">
      <x:c r="A6" s="77"/>
      <x:c r="B6" s="78"/>
      <x:c r="D6" s="81"/>
      <x:c r="E6" s="82"/>
      <x:c r="G6" s="86"/>
      <x:c r="H6" s="87"/>
      <x:c r="I6" s="87"/>
      <x:c r="J6" s="87"/>
      <x:c r="K6" s="87"/>
      <x:c r="L6" s="87"/>
      <x:c r="M6" s="87"/>
      <x:c r="N6" s="87"/>
      <x:c r="O6" s="88"/>
    </x:row>
    <x:row r="9" ht="28.049999237060547" customHeight="1">
      <x:c r="A9" s="1" t="s">
        <x:v>66</x:v>
      </x:c>
      <x:c r="B9" s="2" t="s">
        <x:v>67</x:v>
      </x:c>
      <x:c r="C9" s="2" t="s">
        <x:v>68</x:v>
      </x:c>
      <x:c r="D9" s="2" t="s">
        <x:v>69</x:v>
      </x:c>
      <x:c r="E9" s="2" t="s">
        <x:v>891</x:v>
      </x:c>
      <x:c r="F9" s="2" t="s">
        <x:v>892</x:v>
      </x:c>
      <x:c r="G9" s="2" t="s">
        <x:v>33</x:v>
      </x:c>
      <x:c r="H9" s="2" t="s">
        <x:v>893</x:v>
      </x:c>
      <x:c r="I9" s="2" t="s">
        <x:v>894</x:v>
      </x:c>
      <x:c r="J9" s="2" t="s">
        <x:v>895</x:v>
      </x:c>
      <x:c r="K9" s="2" t="s">
        <x:v>896</x:v>
      </x:c>
      <x:c r="L9" s="2" t="s">
        <x:v>897</x:v>
      </x:c>
      <x:c r="M9" s="2" t="s">
        <x:v>898</x:v>
      </x:c>
      <x:c r="N9" s="2" t="s">
        <x:v>899</x:v>
      </x:c>
      <x:c r="O9" s="3" t="s">
        <x:v>82</x:v>
      </x:c>
    </x:row>
    <x:row r="10" ht="22.799999237060547">
      <x:c r="A10" s="10" t="s">
        <x:v>751</x:v>
      </x:c>
      <x:c r="B10" s="10">
        <x:v>1</x:v>
      </x:c>
      <x:c r="C10" s="10" t="s">
        <x:v>85</x:v>
      </x:c>
      <x:c r="D10" s="10" t="s">
        <x:v>752</x:v>
      </x:c>
      <x:c r="E10" s="10" t="s">
        <x:v>753</x:v>
      </x:c>
      <x:c r="F10" s="10" t="s">
        <x:v>754</x:v>
      </x:c>
      <x:c r="G10" s="10" t="s">
        <x:v>104</x:v>
      </x:c>
      <x:c r="H10" s="15">
        <x:v>0.75</x:v>
      </x:c>
      <x:c r="I10" s="10" t="s">
        <x:v>685</x:v>
      </x:c>
      <x:c r="J10" s="10" t="s">
        <x:v>755</x:v>
      </x:c>
      <x:c r="K10" s="10" t="s">
        <x:v>756</x:v>
      </x:c>
      <x:c r="L10" s="10" t="s">
        <x:v>757</x:v>
      </x:c>
      <x:c r="M10" s="10" t="s">
        <x:v>759</x:v>
      </x:c>
      <x:c r="N10" s="10" t="s">
        <x:v>762</x:v>
      </x:c>
      <x:c r="O10" s="10" t="s">
        <x:v>239</x:v>
      </x:c>
    </x:row>
    <x:row r="11" ht="22.799999237060547">
      <x:c r="A11" s="11" t="s">
        <x:v>763</x:v>
      </x:c>
      <x:c r="B11" s="11">
        <x:v>2</x:v>
      </x:c>
      <x:c r="C11" s="11" t="s">
        <x:v>85</x:v>
      </x:c>
      <x:c r="D11" s="11" t="s">
        <x:v>764</x:v>
      </x:c>
      <x:c r="E11" s="11" t="s">
        <x:v>765</x:v>
      </x:c>
      <x:c r="F11" s="11" t="s">
        <x:v>766</x:v>
      </x:c>
      <x:c r="G11" s="11" t="s">
        <x:v>117</x:v>
      </x:c>
      <x:c r="H11" s="16">
        <x:v>1.5</x:v>
      </x:c>
      <x:c r="I11" s="11" t="s">
        <x:v>767</x:v>
      </x:c>
      <x:c r="J11" s="11" t="s">
        <x:v>755</x:v>
      </x:c>
      <x:c r="K11" s="11" t="s">
        <x:v>768</x:v>
      </x:c>
      <x:c r="L11" s="11" t="s">
        <x:v>769</x:v>
      </x:c>
      <x:c r="M11" s="11" t="s">
        <x:v>771</x:v>
      </x:c>
      <x:c r="N11" s="11" t="s">
        <x:v>773</x:v>
      </x:c>
      <x:c r="O11" s="11" t="s">
        <x:v>239</x:v>
      </x:c>
    </x:row>
    <x:row r="12" ht="22.799999237060547">
      <x:c r="A12" s="11" t="s">
        <x:v>774</x:v>
      </x:c>
      <x:c r="B12" s="11">
        <x:v>3</x:v>
      </x:c>
      <x:c r="C12" s="11" t="s">
        <x:v>85</x:v>
      </x:c>
      <x:c r="D12" s="11" t="s">
        <x:v>775</x:v>
      </x:c>
      <x:c r="E12" s="11" t="s">
        <x:v>776</x:v>
      </x:c>
      <x:c r="F12" s="11" t="s">
        <x:v>777</x:v>
      </x:c>
      <x:c r="G12" s="11" t="s">
        <x:v>117</x:v>
      </x:c>
      <x:c r="H12" s="16">
        <x:v>1</x:v>
      </x:c>
      <x:c r="I12" s="11" t="s">
        <x:v>767</x:v>
      </x:c>
      <x:c r="J12" s="11" t="s">
        <x:v>778</x:v>
      </x:c>
      <x:c r="K12" s="11" t="s">
        <x:v>779</x:v>
      </x:c>
      <x:c r="L12" s="11" t="s">
        <x:v>780</x:v>
      </x:c>
      <x:c r="M12" s="11" t="s">
        <x:v>782</x:v>
      </x:c>
      <x:c r="N12" s="11" t="s">
        <x:v>784</x:v>
      </x:c>
      <x:c r="O12" s="11" t="s">
        <x:v>239</x:v>
      </x:c>
    </x:row>
    <x:row r="13" ht="22.799999237060547">
      <x:c r="A13" s="11" t="s">
        <x:v>785</x:v>
      </x:c>
      <x:c r="B13" s="11">
        <x:v>4</x:v>
      </x:c>
      <x:c r="C13" s="11" t="s">
        <x:v>85</x:v>
      </x:c>
      <x:c r="D13" s="11" t="s">
        <x:v>786</x:v>
      </x:c>
      <x:c r="E13" s="11" t="s">
        <x:v>787</x:v>
      </x:c>
      <x:c r="F13" s="11" t="s">
        <x:v>788</x:v>
      </x:c>
      <x:c r="G13" s="11" t="s">
        <x:v>117</x:v>
      </x:c>
      <x:c r="H13" s="16">
        <x:v>1</x:v>
      </x:c>
      <x:c r="I13" s="11" t="s">
        <x:v>767</x:v>
      </x:c>
      <x:c r="J13" s="11" t="s">
        <x:v>789</x:v>
      </x:c>
      <x:c r="K13" s="11" t="s">
        <x:v>790</x:v>
      </x:c>
      <x:c r="L13" s="11" t="s">
        <x:v>791</x:v>
      </x:c>
      <x:c r="M13" s="11" t="s">
        <x:v>793</x:v>
      </x:c>
      <x:c r="N13" s="11" t="s">
        <x:v>795</x:v>
      </x:c>
      <x:c r="O13" s="11" t="s">
        <x:v>239</x:v>
      </x:c>
    </x:row>
    <x:row r="14" ht="22.799999237060547">
      <x:c r="A14" s="11" t="s">
        <x:v>796</x:v>
      </x:c>
      <x:c r="B14" s="11">
        <x:v>5</x:v>
      </x:c>
      <x:c r="C14" s="11" t="s">
        <x:v>85</x:v>
      </x:c>
      <x:c r="D14" s="11" t="s">
        <x:v>797</x:v>
      </x:c>
      <x:c r="E14" s="11" t="s">
        <x:v>798</x:v>
      </x:c>
      <x:c r="F14" s="11" t="s">
        <x:v>799</x:v>
      </x:c>
      <x:c r="G14" s="11" t="s">
        <x:v>117</x:v>
      </x:c>
      <x:c r="H14" s="16">
        <x:v>1</x:v>
      </x:c>
      <x:c r="I14" s="11" t="s">
        <x:v>767</x:v>
      </x:c>
      <x:c r="J14" s="11" t="s">
        <x:v>462</x:v>
      </x:c>
      <x:c r="K14" s="11" t="s">
        <x:v>800</x:v>
      </x:c>
      <x:c r="L14" s="11" t="s">
        <x:v>769</x:v>
      </x:c>
      <x:c r="M14" s="11" t="s">
        <x:v>802</x:v>
      </x:c>
      <x:c r="N14" s="11" t="s">
        <x:v>803</x:v>
      </x:c>
      <x:c r="O14" s="11" t="s">
        <x:v>239</x:v>
      </x:c>
    </x:row>
    <x:row r="15" ht="22.799999237060547">
      <x:c r="A15" s="11" t="s">
        <x:v>804</x:v>
      </x:c>
      <x:c r="B15" s="11">
        <x:v>6</x:v>
      </x:c>
      <x:c r="C15" s="11" t="s">
        <x:v>85</x:v>
      </x:c>
      <x:c r="D15" s="11" t="s">
        <x:v>805</x:v>
      </x:c>
      <x:c r="E15" s="11" t="s">
        <x:v>806</x:v>
      </x:c>
      <x:c r="F15" s="11" t="s">
        <x:v>807</x:v>
      </x:c>
      <x:c r="G15" s="11" t="s">
        <x:v>117</x:v>
      </x:c>
      <x:c r="H15" s="16">
        <x:v>1.25</x:v>
      </x:c>
      <x:c r="I15" s="11" t="s">
        <x:v>808</x:v>
      </x:c>
      <x:c r="J15" s="11" t="s">
        <x:v>451</x:v>
      </x:c>
      <x:c r="K15" s="11" t="s">
        <x:v>809</x:v>
      </x:c>
      <x:c r="L15" s="11" t="s">
        <x:v>564</x:v>
      </x:c>
      <x:c r="M15" s="11" t="s">
        <x:v>811</x:v>
      </x:c>
      <x:c r="N15" s="11" t="s">
        <x:v>813</x:v>
      </x:c>
      <x:c r="O15" s="11" t="s">
        <x:v>239</x:v>
      </x:c>
    </x:row>
    <x:row r="16" ht="34.20000076293945">
      <x:c r="A16" s="11" t="s">
        <x:v>814</x:v>
      </x:c>
      <x:c r="B16" s="11">
        <x:v>7</x:v>
      </x:c>
      <x:c r="C16" s="11" t="s">
        <x:v>85</x:v>
      </x:c>
      <x:c r="D16" s="11" t="s">
        <x:v>815</x:v>
      </x:c>
      <x:c r="E16" s="11" t="s">
        <x:v>816</x:v>
      </x:c>
      <x:c r="F16" s="11" t="s">
        <x:v>817</x:v>
      </x:c>
      <x:c r="G16" s="11" t="s">
        <x:v>104</x:v>
      </x:c>
      <x:c r="H16" s="16">
        <x:v>1</x:v>
      </x:c>
      <x:c r="I16" s="11" t="s">
        <x:v>808</x:v>
      </x:c>
      <x:c r="J16" s="11" t="s">
        <x:v>818</x:v>
      </x:c>
      <x:c r="K16" s="11" t="s">
        <x:v>819</x:v>
      </x:c>
      <x:c r="L16" s="11" t="s">
        <x:v>820</x:v>
      </x:c>
      <x:c r="M16" s="11" t="s">
        <x:v>822</x:v>
      </x:c>
      <x:c r="N16" s="11" t="s">
        <x:v>823</x:v>
      </x:c>
      <x:c r="O16" s="11" t="s">
        <x:v>239</x:v>
      </x:c>
    </x:row>
    <x:row r="17" ht="22.799999237060547">
      <x:c r="A17" s="11" t="s">
        <x:v>824</x:v>
      </x:c>
      <x:c r="B17" s="11">
        <x:v>8</x:v>
      </x:c>
      <x:c r="C17" s="11" t="s">
        <x:v>85</x:v>
      </x:c>
      <x:c r="D17" s="11" t="s">
        <x:v>825</x:v>
      </x:c>
      <x:c r="E17" s="11" t="s">
        <x:v>826</x:v>
      </x:c>
      <x:c r="F17" s="11" t="s">
        <x:v>827</x:v>
      </x:c>
      <x:c r="G17" s="11" t="s">
        <x:v>828</x:v>
      </x:c>
      <x:c r="H17" s="16">
        <x:v>1</x:v>
      </x:c>
      <x:c r="I17" s="11" t="s">
        <x:v>808</x:v>
      </x:c>
      <x:c r="J17" s="11" t="s">
        <x:v>451</x:v>
      </x:c>
      <x:c r="K17" s="11" t="s">
        <x:v>829</x:v>
      </x:c>
      <x:c r="L17" s="11" t="s">
        <x:v>830</x:v>
      </x:c>
      <x:c r="M17" s="11" t="s">
        <x:v>832</x:v>
      </x:c>
      <x:c r="N17" s="11" t="s">
        <x:v>835</x:v>
      </x:c>
      <x:c r="O17" s="11" t="s">
        <x:v>239</x:v>
      </x:c>
    </x:row>
    <x:row r="18" ht="22.799999237060547">
      <x:c r="A18" s="11" t="s">
        <x:v>836</x:v>
      </x:c>
      <x:c r="B18" s="11">
        <x:v>9</x:v>
      </x:c>
      <x:c r="C18" s="11" t="s">
        <x:v>85</x:v>
      </x:c>
      <x:c r="D18" s="11" t="s">
        <x:v>837</x:v>
      </x:c>
      <x:c r="E18" s="11" t="s">
        <x:v>838</x:v>
      </x:c>
      <x:c r="F18" s="11" t="s">
        <x:v>839</x:v>
      </x:c>
      <x:c r="G18" s="11" t="s">
        <x:v>104</x:v>
      </x:c>
      <x:c r="H18" s="16">
        <x:v>1</x:v>
      </x:c>
      <x:c r="I18" s="11" t="s">
        <x:v>808</x:v>
      </x:c>
      <x:c r="J18" s="11" t="s">
        <x:v>840</x:v>
      </x:c>
      <x:c r="K18" s="11" t="s">
        <x:v>841</x:v>
      </x:c>
      <x:c r="L18" s="11" t="s">
        <x:v>842</x:v>
      </x:c>
      <x:c r="M18" s="11" t="s">
        <x:v>844</x:v>
      </x:c>
      <x:c r="N18" s="11" t="s">
        <x:v>846</x:v>
      </x:c>
      <x:c r="O18" s="11" t="s">
        <x:v>239</x:v>
      </x:c>
    </x:row>
    <x:row r="19" ht="22.799999237060547">
      <x:c r="A19" s="11" t="s">
        <x:v>847</x:v>
      </x:c>
      <x:c r="B19" s="11">
        <x:v>10</x:v>
      </x:c>
      <x:c r="C19" s="11" t="s">
        <x:v>85</x:v>
      </x:c>
      <x:c r="D19" s="11" t="s">
        <x:v>848</x:v>
      </x:c>
      <x:c r="E19" s="11" t="s">
        <x:v>849</x:v>
      </x:c>
      <x:c r="F19" s="11" t="s">
        <x:v>850</x:v>
      </x:c>
      <x:c r="G19" s="11" t="s">
        <x:v>104</x:v>
      </x:c>
      <x:c r="H19" s="16">
        <x:v>1.25</x:v>
      </x:c>
      <x:c r="I19" s="11" t="s">
        <x:v>851</x:v>
      </x:c>
      <x:c r="J19" s="11" t="s">
        <x:v>430</x:v>
      </x:c>
      <x:c r="K19" s="11" t="s">
        <x:v>852</x:v>
      </x:c>
      <x:c r="L19" s="11" t="s">
        <x:v>853</x:v>
      </x:c>
      <x:c r="M19" s="11" t="s">
        <x:v>855</x:v>
      </x:c>
      <x:c r="N19" s="11" t="s">
        <x:v>857</x:v>
      </x:c>
      <x:c r="O19" s="11" t="s">
        <x:v>239</x:v>
      </x:c>
    </x:row>
    <x:row r="20" ht="22.799999237060547">
      <x:c r="A20" s="11" t="s">
        <x:v>858</x:v>
      </x:c>
      <x:c r="B20" s="11">
        <x:v>11</x:v>
      </x:c>
      <x:c r="C20" s="11" t="s">
        <x:v>85</x:v>
      </x:c>
      <x:c r="D20" s="11" t="s">
        <x:v>859</x:v>
      </x:c>
      <x:c r="E20" s="11" t="s">
        <x:v>860</x:v>
      </x:c>
      <x:c r="F20" s="11" t="s">
        <x:v>861</x:v>
      </x:c>
      <x:c r="G20" s="11" t="s">
        <x:v>89</x:v>
      </x:c>
      <x:c r="H20" s="16">
        <x:v>0.75</x:v>
      </x:c>
      <x:c r="I20" s="11" t="s">
        <x:v>851</x:v>
      </x:c>
      <x:c r="J20" s="11" t="s">
        <x:v>331</x:v>
      </x:c>
      <x:c r="K20" s="11" t="s">
        <x:v>862</x:v>
      </x:c>
      <x:c r="L20" s="11" t="s">
        <x:v>863</x:v>
      </x:c>
      <x:c r="M20" s="11" t="s">
        <x:v>865</x:v>
      </x:c>
      <x:c r="N20" s="11" t="s">
        <x:v>866</x:v>
      </x:c>
      <x:c r="O20" s="11" t="s">
        <x:v>239</x:v>
      </x:c>
    </x:row>
    <x:row r="21" ht="22.799999237060547">
      <x:c r="A21" s="11" t="s">
        <x:v>867</x:v>
      </x:c>
      <x:c r="B21" s="11">
        <x:v>12</x:v>
      </x:c>
      <x:c r="C21" s="11" t="s">
        <x:v>85</x:v>
      </x:c>
      <x:c r="D21" s="11" t="s">
        <x:v>868</x:v>
      </x:c>
      <x:c r="E21" s="11" t="s">
        <x:v>869</x:v>
      </x:c>
      <x:c r="F21" s="11" t="s">
        <x:v>870</x:v>
      </x:c>
      <x:c r="G21" s="11" t="s">
        <x:v>89</x:v>
      </x:c>
      <x:c r="H21" s="16">
        <x:v>1.25</x:v>
      </x:c>
      <x:c r="I21" s="11" t="s">
        <x:v>706</x:v>
      </x:c>
      <x:c r="J21" s="11" t="s">
        <x:v>197</x:v>
      </x:c>
      <x:c r="K21" s="11" t="s">
        <x:v>871</x:v>
      </x:c>
      <x:c r="L21" s="11" t="s">
        <x:v>872</x:v>
      </x:c>
      <x:c r="M21" s="11" t="s">
        <x:v>874</x:v>
      </x:c>
      <x:c r="N21" s="11" t="s">
        <x:v>876</x:v>
      </x:c>
      <x:c r="O21" s="11" t="s">
        <x:v>239</x:v>
      </x:c>
    </x:row>
    <x:row r="22" ht="22.799999237060547">
      <x:c r="A22" s="11" t="s">
        <x:v>877</x:v>
      </x:c>
      <x:c r="B22" s="11">
        <x:v>13</x:v>
      </x:c>
      <x:c r="C22" s="11" t="s">
        <x:v>85</x:v>
      </x:c>
      <x:c r="D22" s="11" t="s">
        <x:v>878</x:v>
      </x:c>
      <x:c r="E22" s="11" t="s">
        <x:v>879</x:v>
      </x:c>
      <x:c r="F22" s="11" t="s">
        <x:v>880</x:v>
      </x:c>
      <x:c r="G22" s="11" t="s">
        <x:v>89</x:v>
      </x:c>
      <x:c r="H22" s="16">
        <x:v>1</x:v>
      </x:c>
      <x:c r="I22" s="11" t="s">
        <x:v>851</x:v>
      </x:c>
      <x:c r="J22" s="11" t="s">
        <x:v>97</x:v>
      </x:c>
      <x:c r="K22" s="11" t="s">
        <x:v>881</x:v>
      </x:c>
      <x:c r="L22" s="11" t="s">
        <x:v>882</x:v>
      </x:c>
      <x:c r="M22" s="11" t="s">
        <x:v>884</x:v>
      </x:c>
      <x:c r="N22" s="11" t="s">
        <x:v>886</x:v>
      </x:c>
      <x:c r="O22" s="11" t="s">
        <x:v>239</x:v>
      </x:c>
    </x:row>
    <x:row r="23" ht="24" customHeight="1">
      <x:c r="A23" s="27" t="s">
        <x:v>900</x:v>
      </x:c>
      <x:c r="B23" s="27"/>
      <x:c r="C23" s="27"/>
      <x:c r="D23" s="27"/>
      <x:c r="E23" s="27"/>
      <x:c r="F23" s="27"/>
      <x:c r="G23" s="27"/>
    </x:row>
    <x:row r="24" ht="34.04999923706055" customHeight="1">
      <x:c r="A24" s="89" t="s">
        <x:v>901</x:v>
      </x:c>
      <x:c r="B24" s="89" t="s">
        <x:v>73</x:v>
      </x:c>
      <x:c r="C24" s="89" t="s">
        <x:v>902</x:v>
      </x:c>
      <x:c r="D24" s="89" t="s">
        <x:v>903</x:v>
      </x:c>
      <x:c r="E24" s="89" t="s">
        <x:v>904</x:v>
      </x:c>
      <x:c r="F24" s="89" t="s">
        <x:v>905</x:v>
      </x:c>
      <x:c r="G24" s="89" t="s">
        <x:v>906</x:v>
      </x:c>
      <x:c r="H24" s="74"/>
      <x:c r="I24" s="74"/>
      <x:c r="J24" s="74"/>
      <x:c r="K24" s="74"/>
      <x:c r="L24" s="74"/>
      <x:c r="M24" s="74"/>
      <x:c r="N24" s="74"/>
      <x:c r="O24" s="74"/>
    </x:row>
    <x:row r="25" ht="48" customHeight="1">
      <x:c r="A25" s="26">
        <x:v>1</x:v>
      </x:c>
      <x:c r="B25" s="26" t="s">
        <x:v>767</x:v>
      </x:c>
      <x:c r="C25" s="26" t="s">
        <x:v>1038</x:v>
      </x:c>
      <x:c r="D25" s="26" t="s">
        <x:v>1039</x:v>
      </x:c>
      <x:c r="E25" s="26" t="s">
        <x:v>1040</x:v>
      </x:c>
      <x:c r="F25" s="26" t="s">
        <x:v>1041</x:v>
      </x:c>
      <x:c r="G25" s="26" t="s">
        <x:v>1042</x:v>
      </x:c>
    </x:row>
    <x:row r="26" ht="48" customHeight="1">
      <x:c r="A26" s="25">
        <x:v>2</x:v>
      </x:c>
      <x:c r="B26" s="25" t="s">
        <x:v>808</x:v>
      </x:c>
      <x:c r="C26" s="25" t="s">
        <x:v>1043</x:v>
      </x:c>
      <x:c r="D26" s="25" t="s">
        <x:v>1044</x:v>
      </x:c>
      <x:c r="E26" s="25" t="s">
        <x:v>1045</x:v>
      </x:c>
      <x:c r="F26" s="25" t="s">
        <x:v>1046</x:v>
      </x:c>
      <x:c r="G26" s="25" t="s">
        <x:v>1047</x:v>
      </x:c>
    </x:row>
    <x:row r="27" ht="48" customHeight="1">
      <x:c r="A27" s="26">
        <x:v>3</x:v>
      </x:c>
      <x:c r="B27" s="26" t="s">
        <x:v>851</x:v>
      </x:c>
      <x:c r="C27" s="26" t="s">
        <x:v>1048</x:v>
      </x:c>
      <x:c r="D27" s="26" t="s">
        <x:v>1049</x:v>
      </x:c>
      <x:c r="E27" s="26" t="s">
        <x:v>1050</x:v>
      </x:c>
      <x:c r="F27" s="26" t="s">
        <x:v>1051</x:v>
      </x:c>
      <x:c r="G27" s="26" t="s">
        <x:v>853</x:v>
      </x:c>
    </x:row>
  </x:sheetData>
  <x:mergeCells>
    <x:mergeCell ref="A24:O24"/>
    <x:mergeCell ref="A1:O1"/>
    <x:mergeCell ref="A2:O2"/>
    <x:mergeCell ref="A4:B4"/>
    <x:mergeCell ref="A5:B6"/>
    <x:mergeCell ref="D4:E4"/>
    <x:mergeCell ref="D5:E6"/>
    <x:mergeCell ref="G4:O4"/>
    <x:mergeCell ref="G5:O6"/>
  </x:mergeCells>
  <x:conditionalFormatting sqref="O10:O22">
    <x:cfRule type="containsText" dxfId="23" priority="1" operator="containsText" text="Done"/>
    <x:cfRule type="containsText" dxfId="22" priority="2" operator="containsText" text="Blocked"/>
    <x:cfRule type="containsText" dxfId="21" priority="3" operator="containsText" text="In Progress"/>
    <x:cfRule type="containsText" dxfId="20" priority="4" operator="containsText" text="Ready for Review"/>
  </x:conditionalFormatting>
  <x:dataValidations count="1">
    <x:dataValidation type="list" sqref="O10:O22">
      <x:formula1>"Not Started,In Progress,Blocked,Ready for Review,Done,Deferred"</x:formula1>
    </x:dataValidation>
  </x:dataValidations>
  <x:pageMargins left="0.7" right="0.7" top="0.75" bottom="0.75" header="0.3" footer="0.3"/>
  <x:tableParts count="1">
    <x:tablePart xmlns:r="http://schemas.openxmlformats.org/officeDocument/2006/relationships" r:id="R9079b5827bd94530"/>
  </x:tableParts>
</x:worksheet>
</file>

<file path=xl/worksheets/sheet10.xml><?xml version="1.0" encoding="utf-8"?>
<x:worksheet xmlns:x="http://schemas.openxmlformats.org/spreadsheetml/2006/main">
  <x:sheetViews>
    <x:sheetView showGridLines="0" workbookViewId="0"/>
  </x:sheetViews>
  <x:sheetFormatPr defaultRowHeight="13.800000190734863"/>
  <x:cols>
    <x:col min="1" max="1" width="18" customWidth="1"/>
    <x:col min="2" max="2" width="25" customWidth="1"/>
    <x:col min="3" max="3" width="42" customWidth="1"/>
    <x:col min="4" max="4" width="32" customWidth="1"/>
    <x:col min="5" max="5" width="16" customWidth="1"/>
    <x:col min="6" max="6" width="23" customWidth="1"/>
    <x:col min="7" max="7" width="42" customWidth="1"/>
    <x:col min="8" max="8" width="34" customWidth="1"/>
  </x:cols>
  <x:sheetData>
    <x:row r="1" ht="31.950000762939453" customHeight="1">
      <x:c r="A1" s="32" t="s">
        <x:v>1052</x:v>
      </x:c>
      <x:c r="B1" s="32"/>
      <x:c r="C1" s="32"/>
      <x:c r="D1" s="32"/>
      <x:c r="E1" s="32"/>
      <x:c r="F1" s="32"/>
      <x:c r="G1" s="32"/>
      <x:c r="H1" s="32"/>
    </x:row>
    <x:row r="2" ht="31.950000762939453" customHeight="1">
      <x:c r="A2" s="33" t="s">
        <x:v>1053</x:v>
      </x:c>
      <x:c r="B2" s="33"/>
      <x:c r="C2" s="33"/>
      <x:c r="D2" s="33"/>
      <x:c r="E2" s="33"/>
      <x:c r="F2" s="33"/>
      <x:c r="G2" s="33"/>
      <x:c r="H2" s="33"/>
    </x:row>
    <x:row r="4" ht="46.04999923706055" customHeight="1">
      <x:c r="A4" s="90" t="s">
        <x:v>1054</x:v>
      </x:c>
      <x:c r="B4" s="91"/>
      <x:c r="C4" s="91"/>
      <x:c r="D4" s="91"/>
      <x:c r="E4" s="91"/>
      <x:c r="F4" s="91"/>
      <x:c r="G4" s="91"/>
      <x:c r="H4" s="92"/>
    </x:row>
    <x:row r="6" ht="28.049999237060547" customHeight="1">
      <x:c r="A6" s="1" t="s">
        <x:v>1055</x:v>
      </x:c>
      <x:c r="B6" s="2" t="s">
        <x:v>1056</x:v>
      </x:c>
      <x:c r="C6" s="2" t="s">
        <x:v>1057</x:v>
      </x:c>
      <x:c r="D6" s="2" t="s">
        <x:v>1058</x:v>
      </x:c>
      <x:c r="E6" s="2" t="s">
        <x:v>1059</x:v>
      </x:c>
      <x:c r="F6" s="2" t="s">
        <x:v>1060</x:v>
      </x:c>
      <x:c r="G6" s="2" t="s">
        <x:v>1061</x:v>
      </x:c>
      <x:c r="H6" s="3" t="s">
        <x:v>1062</x:v>
      </x:c>
    </x:row>
    <x:row r="7">
      <x:c r="A7" s="10" t="s">
        <x:v>1063</x:v>
      </x:c>
      <x:c r="B7" s="10" t="s">
        <x:v>1064</x:v>
      </x:c>
      <x:c r="C7" s="10" t="s">
        <x:v>1065</x:v>
      </x:c>
      <x:c r="D7" s="10" t="s">
        <x:v>1066</x:v>
      </x:c>
      <x:c r="E7" s="10" t="s">
        <x:v>1067</x:v>
      </x:c>
      <x:c r="F7" s="10" t="s">
        <x:v>1068</x:v>
      </x:c>
      <x:c r="G7" s="10" t="s">
        <x:v>1069</x:v>
      </x:c>
      <x:c r="H7" s="10" t="s">
        <x:v>1070</x:v>
      </x:c>
    </x:row>
    <x:row r="8" ht="22.799999237060547">
      <x:c r="A8" s="11" t="s">
        <x:v>1063</x:v>
      </x:c>
      <x:c r="B8" s="11" t="s">
        <x:v>1071</x:v>
      </x:c>
      <x:c r="C8" s="11" t="s">
        <x:v>1072</x:v>
      </x:c>
      <x:c r="D8" s="11" t="s">
        <x:v>1073</x:v>
      </x:c>
      <x:c r="E8" s="11" t="s">
        <x:v>53</x:v>
      </x:c>
      <x:c r="F8" s="11" t="s">
        <x:v>391</x:v>
      </x:c>
      <x:c r="G8" s="11" t="s">
        <x:v>1074</x:v>
      </x:c>
      <x:c r="H8" s="11" t="s">
        <x:v>1075</x:v>
      </x:c>
    </x:row>
    <x:row r="9">
      <x:c r="A9" s="11" t="s">
        <x:v>1063</x:v>
      </x:c>
      <x:c r="B9" s="11" t="s">
        <x:v>1076</x:v>
      </x:c>
      <x:c r="C9" s="11" t="s">
        <x:v>1077</x:v>
      </x:c>
      <x:c r="D9" s="11" t="s">
        <x:v>1078</x:v>
      </x:c>
      <x:c r="E9" s="11" t="s">
        <x:v>53</x:v>
      </x:c>
      <x:c r="F9" s="11" t="s">
        <x:v>146</x:v>
      </x:c>
      <x:c r="G9" s="11" t="s">
        <x:v>1079</x:v>
      </x:c>
      <x:c r="H9" s="11" t="s">
        <x:v>1080</x:v>
      </x:c>
    </x:row>
    <x:row r="10" ht="22.799999237060547">
      <x:c r="A10" s="11" t="s">
        <x:v>1063</x:v>
      </x:c>
      <x:c r="B10" s="11" t="s">
        <x:v>1081</x:v>
      </x:c>
      <x:c r="C10" s="11" t="s">
        <x:v>1082</x:v>
      </x:c>
      <x:c r="D10" s="11" t="s">
        <x:v>1083</x:v>
      </x:c>
      <x:c r="E10" s="11" t="s">
        <x:v>53</x:v>
      </x:c>
      <x:c r="F10" s="11" t="s">
        <x:v>259</x:v>
      </x:c>
      <x:c r="G10" s="11" t="s">
        <x:v>1084</x:v>
      </x:c>
      <x:c r="H10" s="11" t="s">
        <x:v>1085</x:v>
      </x:c>
    </x:row>
    <x:row r="11">
      <x:c r="A11" s="11" t="s">
        <x:v>1063</x:v>
      </x:c>
      <x:c r="B11" s="11" t="s">
        <x:v>1086</x:v>
      </x:c>
      <x:c r="C11" s="11" t="s">
        <x:v>1087</x:v>
      </x:c>
      <x:c r="D11" s="11" t="s">
        <x:v>1088</x:v>
      </x:c>
      <x:c r="E11" s="11" t="s">
        <x:v>56</x:v>
      </x:c>
      <x:c r="F11" s="11" t="s">
        <x:v>259</x:v>
      </x:c>
      <x:c r="G11" s="11" t="s">
        <x:v>1089</x:v>
      </x:c>
      <x:c r="H11" s="11" t="s">
        <x:v>1090</x:v>
      </x:c>
    </x:row>
    <x:row r="12">
      <x:c r="A12" s="11" t="s">
        <x:v>1091</x:v>
      </x:c>
      <x:c r="B12" s="11" t="s">
        <x:v>1092</x:v>
      </x:c>
      <x:c r="C12" s="11" t="s">
        <x:v>1093</x:v>
      </x:c>
      <x:c r="D12" s="11" t="s">
        <x:v>1094</x:v>
      </x:c>
      <x:c r="E12" s="11" t="s">
        <x:v>55</x:v>
      </x:c>
      <x:c r="F12" s="11" t="s">
        <x:v>498</x:v>
      </x:c>
      <x:c r="G12" s="11" t="s">
        <x:v>1095</x:v>
      </x:c>
      <x:c r="H12" s="11" t="s">
        <x:v>1096</x:v>
      </x:c>
    </x:row>
    <x:row r="13">
      <x:c r="A13" s="11" t="s">
        <x:v>1091</x:v>
      </x:c>
      <x:c r="B13" s="11" t="s">
        <x:v>1097</x:v>
      </x:c>
      <x:c r="C13" s="11" t="s">
        <x:v>1098</x:v>
      </x:c>
      <x:c r="D13" s="11" t="s">
        <x:v>1099</x:v>
      </x:c>
      <x:c r="E13" s="11" t="s">
        <x:v>1100</x:v>
      </x:c>
      <x:c r="F13" s="11" t="s">
        <x:v>304</x:v>
      </x:c>
      <x:c r="G13" s="11" t="s">
        <x:v>1101</x:v>
      </x:c>
      <x:c r="H13" s="11" t="s">
        <x:v>1102</x:v>
      </x:c>
    </x:row>
    <x:row r="14" ht="22.799999237060547">
      <x:c r="A14" s="11" t="s">
        <x:v>1091</x:v>
      </x:c>
      <x:c r="B14" s="11" t="s">
        <x:v>1103</x:v>
      </x:c>
      <x:c r="C14" s="11" t="s">
        <x:v>1104</x:v>
      </x:c>
      <x:c r="D14" s="11" t="s">
        <x:v>1105</x:v>
      </x:c>
      <x:c r="E14" s="11" t="s">
        <x:v>1106</x:v>
      </x:c>
      <x:c r="F14" s="11" t="s">
        <x:v>248</x:v>
      </x:c>
      <x:c r="G14" s="11" t="s">
        <x:v>1107</x:v>
      </x:c>
      <x:c r="H14" s="11" t="s">
        <x:v>1108</x:v>
      </x:c>
    </x:row>
    <x:row r="15">
      <x:c r="A15" s="11" t="s">
        <x:v>1091</x:v>
      </x:c>
      <x:c r="B15" s="11" t="s">
        <x:v>1109</x:v>
      </x:c>
      <x:c r="C15" s="11" t="s">
        <x:v>1110</x:v>
      </x:c>
      <x:c r="D15" s="11" t="s">
        <x:v>1111</x:v>
      </x:c>
      <x:c r="E15" s="11" t="s">
        <x:v>54</x:v>
      </x:c>
      <x:c r="F15" s="11" t="s">
        <x:v>381</x:v>
      </x:c>
      <x:c r="G15" s="11" t="s">
        <x:v>1112</x:v>
      </x:c>
      <x:c r="H15" s="11" t="s">
        <x:v>1113</x:v>
      </x:c>
    </x:row>
    <x:row r="16" ht="22.799999237060547">
      <x:c r="A16" s="11" t="s">
        <x:v>1091</x:v>
      </x:c>
      <x:c r="B16" s="11" t="s">
        <x:v>1114</x:v>
      </x:c>
      <x:c r="C16" s="11" t="s">
        <x:v>1115</x:v>
      </x:c>
      <x:c r="D16" s="11" t="s">
        <x:v>1116</x:v>
      </x:c>
      <x:c r="E16" s="11" t="s">
        <x:v>54</x:v>
      </x:c>
      <x:c r="F16" s="11" t="s">
        <x:v>391</x:v>
      </x:c>
      <x:c r="G16" s="11" t="s">
        <x:v>1117</x:v>
      </x:c>
      <x:c r="H16" s="11" t="s">
        <x:v>1118</x:v>
      </x:c>
    </x:row>
    <x:row r="17">
      <x:c r="A17" s="11" t="s">
        <x:v>1119</x:v>
      </x:c>
      <x:c r="B17" s="11" t="s">
        <x:v>1120</x:v>
      </x:c>
      <x:c r="C17" s="11" t="s">
        <x:v>1121</x:v>
      </x:c>
      <x:c r="D17" s="11" t="s">
        <x:v>1122</x:v>
      </x:c>
      <x:c r="E17" s="11" t="s">
        <x:v>55</x:v>
      </x:c>
      <x:c r="F17" s="11" t="s">
        <x:v>517</x:v>
      </x:c>
      <x:c r="G17" s="11" t="s">
        <x:v>1123</x:v>
      </x:c>
      <x:c r="H17" s="11" t="s">
        <x:v>1124</x:v>
      </x:c>
    </x:row>
    <x:row r="18">
      <x:c r="A18" s="11" t="s">
        <x:v>1119</x:v>
      </x:c>
      <x:c r="B18" s="11" t="s">
        <x:v>1125</x:v>
      </x:c>
      <x:c r="C18" s="11" t="s">
        <x:v>1126</x:v>
      </x:c>
      <x:c r="D18" s="11" t="s">
        <x:v>1127</x:v>
      </x:c>
      <x:c r="E18" s="11" t="s">
        <x:v>55</x:v>
      </x:c>
      <x:c r="F18" s="11" t="s">
        <x:v>536</x:v>
      </x:c>
      <x:c r="G18" s="11" t="s">
        <x:v>1128</x:v>
      </x:c>
      <x:c r="H18" s="11" t="s">
        <x:v>1129</x:v>
      </x:c>
    </x:row>
    <x:row r="19">
      <x:c r="A19" s="11" t="s">
        <x:v>1130</x:v>
      </x:c>
      <x:c r="B19" s="11" t="s">
        <x:v>1131</x:v>
      </x:c>
      <x:c r="C19" s="11" t="s">
        <x:v>1132</x:v>
      </x:c>
      <x:c r="D19" s="11" t="s">
        <x:v>1133</x:v>
      </x:c>
      <x:c r="E19" s="11" t="s">
        <x:v>57</x:v>
      </x:c>
      <x:c r="F19" s="11" t="s">
        <x:v>772</x:v>
      </x:c>
      <x:c r="G19" s="11" t="s">
        <x:v>1134</x:v>
      </x:c>
      <x:c r="H19" s="11" t="s">
        <x:v>1135</x:v>
      </x:c>
    </x:row>
    <x:row r="20">
      <x:c r="A20" s="11" t="s">
        <x:v>1136</x:v>
      </x:c>
      <x:c r="B20" s="11" t="s">
        <x:v>1137</x:v>
      </x:c>
      <x:c r="C20" s="11" t="s">
        <x:v>1138</x:v>
      </x:c>
      <x:c r="D20" s="11" t="s">
        <x:v>1139</x:v>
      </x:c>
      <x:c r="E20" s="11" t="s">
        <x:v>1140</x:v>
      </x:c>
      <x:c r="F20" s="11" t="s">
        <x:v>1068</x:v>
      </x:c>
      <x:c r="G20" s="11" t="s">
        <x:v>1141</x:v>
      </x:c>
      <x:c r="H20" s="11" t="s">
        <x:v>1142</x:v>
      </x:c>
    </x:row>
    <x:row r="21" ht="22.799999237060547">
      <x:c r="A21" s="11" t="s">
        <x:v>1143</x:v>
      </x:c>
      <x:c r="B21" s="11" t="s">
        <x:v>1144</x:v>
      </x:c>
      <x:c r="C21" s="11" t="s">
        <x:v>1145</x:v>
      </x:c>
      <x:c r="D21" s="11" t="s">
        <x:v>1146</x:v>
      </x:c>
      <x:c r="E21" s="11" t="s">
        <x:v>1147</x:v>
      </x:c>
      <x:c r="F21" s="11" t="s">
        <x:v>1148</x:v>
      </x:c>
      <x:c r="G21" s="11" t="s">
        <x:v>1149</x:v>
      </x:c>
      <x:c r="H21" s="11" t="s">
        <x:v>1150</x:v>
      </x:c>
    </x:row>
    <x:row r="22">
      <x:c r="A22" s="11" t="s">
        <x:v>1151</x:v>
      </x:c>
      <x:c r="B22" s="11" t="s">
        <x:v>1152</x:v>
      </x:c>
      <x:c r="C22" s="11" t="s">
        <x:v>1153</x:v>
      </x:c>
      <x:c r="D22" s="11" t="s">
        <x:v>1154</x:v>
      </x:c>
      <x:c r="E22" s="11" t="s">
        <x:v>1155</x:v>
      </x:c>
      <x:c r="F22" s="11" t="s">
        <x:v>456</x:v>
      </x:c>
      <x:c r="G22" s="11" t="s">
        <x:v>1156</x:v>
      </x:c>
      <x:c r="H22" s="11" t="s">
        <x:v>1157</x:v>
      </x:c>
    </x:row>
    <x:row r="23" ht="22.799999237060547">
      <x:c r="A23" s="11" t="s">
        <x:v>1151</x:v>
      </x:c>
      <x:c r="B23" s="11" t="s">
        <x:v>1158</x:v>
      </x:c>
      <x:c r="C23" s="11" t="s">
        <x:v>1159</x:v>
      </x:c>
      <x:c r="D23" s="11" t="s">
        <x:v>1160</x:v>
      </x:c>
      <x:c r="E23" s="11" t="s">
        <x:v>57</x:v>
      </x:c>
      <x:c r="F23" s="11" t="s">
        <x:v>1161</x:v>
      </x:c>
      <x:c r="G23" s="11" t="s">
        <x:v>1162</x:v>
      </x:c>
      <x:c r="H23" s="11" t="s">
        <x:v>1163</x:v>
      </x:c>
    </x:row>
    <x:row r="24">
      <x:c r="A24" s="11" t="s">
        <x:v>1164</x:v>
      </x:c>
      <x:c r="B24" s="11" t="s">
        <x:v>1165</x:v>
      </x:c>
      <x:c r="C24" s="11" t="s">
        <x:v>1166</x:v>
      </x:c>
      <x:c r="D24" s="11" t="s">
        <x:v>1167</x:v>
      </x:c>
      <x:c r="E24" s="11" t="s">
        <x:v>1168</x:v>
      </x:c>
      <x:c r="F24" s="11" t="s">
        <x:v>1169</x:v>
      </x:c>
      <x:c r="G24" s="11" t="s">
        <x:v>1170</x:v>
      </x:c>
      <x:c r="H24" s="11" t="s">
        <x:v>1171</x:v>
      </x:c>
    </x:row>
  </x:sheetData>
  <x:mergeCells>
    <x:mergeCell ref="A1:H1"/>
    <x:mergeCell ref="A2:H2"/>
    <x:mergeCell ref="A4:H4"/>
  </x:mergeCells>
  <x:pageMargins left="0.7" right="0.7" top="0.75" bottom="0.75" header="0.3" footer="0.3"/>
  <x:tableParts count="1">
    <x:tablePart xmlns:r="http://schemas.openxmlformats.org/officeDocument/2006/relationships" r:id="Rc617abfae84743b6"/>
  </x:tableParts>
</x:worksheet>
</file>

<file path=xl/worksheets/sheet11.xml><?xml version="1.0" encoding="utf-8"?>
<x:worksheet xmlns:x="http://schemas.openxmlformats.org/spreadsheetml/2006/main">
  <x:sheetViews>
    <x:sheetView showGridLines="0" workbookViewId="0"/>
  </x:sheetViews>
  <x:sheetFormatPr defaultRowHeight="13.800000190734863"/>
  <x:cols>
    <x:col min="1" max="1" width="16.19921875" customWidth="1"/>
    <x:col min="2" max="2" width="7.796875" customWidth="1"/>
    <x:col min="3" max="3" width="29.69921875" customWidth="1"/>
    <x:col min="4" max="4" width="37.69921875" customWidth="1"/>
    <x:col min="5" max="5" width="37.8984375" customWidth="1"/>
    <x:col min="6" max="6" width="41.8984375" customWidth="1"/>
    <x:col min="7" max="7" width="92" customWidth="1"/>
    <x:col min="8" max="8" width="33.8984375" customWidth="1"/>
    <x:col min="9" max="9" width="41.796875" customWidth="1"/>
    <x:col min="10" max="10" width="20.796875" customWidth="1"/>
    <x:col min="11" max="11" width="26.69921875" customWidth="1"/>
    <x:col min="12" max="12" width="70" customWidth="1"/>
    <x:col min="13" max="13" width="71.8984375" customWidth="1"/>
  </x:cols>
  <x:sheetData>
    <x:row r="1" ht="22.799999237060547">
      <x:c r="A1" s="93" t="s">
        <x:v>1172</x:v>
      </x:c>
      <x:c r="B1" s="93"/>
      <x:c r="C1" s="93"/>
      <x:c r="D1" s="93"/>
      <x:c r="E1" s="93"/>
      <x:c r="F1" s="93"/>
      <x:c r="G1" s="93"/>
      <x:c r="H1" s="93"/>
      <x:c r="I1" s="93"/>
      <x:c r="J1" s="93"/>
      <x:c r="K1" s="22"/>
      <x:c r="L1" s="22"/>
      <x:c r="M1" s="22"/>
    </x:row>
    <x:row r="2">
      <x:c r="A2" s="94" t="s">
        <x:v>1173</x:v>
      </x:c>
      <x:c r="B2" s="94"/>
      <x:c r="C2" s="94"/>
      <x:c r="D2" s="94"/>
      <x:c r="E2" s="94"/>
      <x:c r="F2" s="94"/>
      <x:c r="G2" s="94"/>
      <x:c r="H2" s="94"/>
      <x:c r="I2" s="94"/>
      <x:c r="J2" s="94"/>
      <x:c r="K2" s="23"/>
      <x:c r="L2" s="23"/>
      <x:c r="M2" s="23"/>
    </x:row>
    <x:row r="5">
      <x:c r="A5" s="24" t="s">
        <x:v>73</x:v>
      </x:c>
      <x:c r="B5" s="24" t="s">
        <x:v>50</x:v>
      </x:c>
      <x:c r="C5" s="24" t="s">
        <x:v>902</x:v>
      </x:c>
      <x:c r="D5" s="24" t="s">
        <x:v>903</x:v>
      </x:c>
      <x:c r="E5" s="24" t="s">
        <x:v>904</x:v>
      </x:c>
      <x:c r="F5" s="24" t="s">
        <x:v>905</x:v>
      </x:c>
      <x:c r="G5" s="24" t="s">
        <x:v>1174</x:v>
      </x:c>
      <x:c r="H5" s="24" t="s">
        <x:v>906</x:v>
      </x:c>
      <x:c r="I5" s="24" t="s">
        <x:v>1175</x:v>
      </x:c>
      <x:c r="J5" s="24" t="s">
        <x:v>1176</x:v>
      </x:c>
      <x:c r="K5" s="24" t="s">
        <x:v>1177</x:v>
      </x:c>
      <x:c r="L5" s="24" t="s">
        <x:v>1178</x:v>
      </x:c>
      <x:c r="M5" s="24" t="s">
        <x:v>1179</x:v>
      </x:c>
    </x:row>
    <x:row r="6" ht="273.6000061035156">
      <x:c r="A6" s="26" t="s">
        <x:v>1180</x:v>
      </x:c>
      <x:c r="B6" s="26" t="s">
        <x:v>1181</x:v>
      </x:c>
      <x:c r="C6" s="26" t="s">
        <x:v>1182</x:v>
      </x:c>
      <x:c r="D6" s="26" t="s">
        <x:v>1183</x:v>
      </x:c>
      <x:c r="E6" s="26" t="s">
        <x:v>1184</x:v>
      </x:c>
      <x:c r="F6" s="26" t="s">
        <x:v>1185</x:v>
      </x:c>
      <x:c r="G6" s="26" t="s">
        <x:v>1186</x:v>
      </x:c>
      <x:c r="H6" s="26" t="s">
        <x:v>1187</x:v>
      </x:c>
      <x:c r="I6" s="26" t="s">
        <x:v>1188</x:v>
      </x:c>
      <x:c r="J6" s="26" t="s">
        <x:v>1189</x:v>
      </x:c>
      <x:c r="K6" s="26" t="s">
        <x:v>1181</x:v>
      </x:c>
      <x:c r="L6" s="26" t="s">
        <x:v>1189</x:v>
      </x:c>
      <x:c r="M6" s="26" t="s">
        <x:v>1189</x:v>
      </x:c>
    </x:row>
    <x:row r="7" ht="409.6000061035156">
      <x:c r="A7" s="25" t="s">
        <x:v>1190</x:v>
      </x:c>
      <x:c r="B7" s="25" t="s">
        <x:v>1181</x:v>
      </x:c>
      <x:c r="C7" s="25" t="s">
        <x:v>1191</x:v>
      </x:c>
      <x:c r="D7" s="25" t="s">
        <x:v>1192</x:v>
      </x:c>
      <x:c r="E7" s="25" t="s">
        <x:v>1193</x:v>
      </x:c>
      <x:c r="F7" s="25" t="s">
        <x:v>1194</x:v>
      </x:c>
      <x:c r="G7" s="25" t="s">
        <x:v>1195</x:v>
      </x:c>
      <x:c r="H7" s="25" t="s">
        <x:v>1196</x:v>
      </x:c>
      <x:c r="I7" s="25" t="s">
        <x:v>1197</x:v>
      </x:c>
      <x:c r="J7" s="25" t="s">
        <x:v>1198</x:v>
      </x:c>
      <x:c r="K7" s="25" t="s">
        <x:v>1199</x:v>
      </x:c>
      <x:c r="L7" s="25" t="s">
        <x:v>1200</x:v>
      </x:c>
      <x:c r="M7" s="25" t="s">
        <x:v>1200</x:v>
      </x:c>
    </x:row>
    <x:row r="8" ht="409.6000061035156">
      <x:c r="A8" s="26" t="s">
        <x:v>1201</x:v>
      </x:c>
      <x:c r="B8" s="26" t="s">
        <x:v>1181</x:v>
      </x:c>
      <x:c r="C8" s="26" t="s">
        <x:v>1202</x:v>
      </x:c>
      <x:c r="D8" s="26" t="s">
        <x:v>1203</x:v>
      </x:c>
      <x:c r="E8" s="26" t="s">
        <x:v>1204</x:v>
      </x:c>
      <x:c r="F8" s="26" t="s">
        <x:v>1205</x:v>
      </x:c>
      <x:c r="G8" s="26" t="s">
        <x:v>1206</x:v>
      </x:c>
      <x:c r="H8" s="26" t="s">
        <x:v>1207</x:v>
      </x:c>
      <x:c r="I8" s="26" t="s">
        <x:v>1208</x:v>
      </x:c>
      <x:c r="J8" s="26" t="s">
        <x:v>1209</x:v>
      </x:c>
      <x:c r="K8" s="26" t="s">
        <x:v>1181</x:v>
      </x:c>
      <x:c r="L8" s="26" t="s">
        <x:v>1210</x:v>
      </x:c>
      <x:c r="M8" s="26" t="s">
        <x:v>1210</x:v>
      </x:c>
    </x:row>
    <x:row r="9" ht="376.20001220703125">
      <x:c r="A9" s="25" t="s">
        <x:v>90</x:v>
      </x:c>
      <x:c r="B9" s="25" t="s">
        <x:v>36</x:v>
      </x:c>
      <x:c r="C9" s="25" t="s">
        <x:v>907</x:v>
      </x:c>
      <x:c r="D9" s="25" t="s">
        <x:v>908</x:v>
      </x:c>
      <x:c r="E9" s="25" t="s">
        <x:v>909</x:v>
      </x:c>
      <x:c r="F9" s="25" t="s">
        <x:v>910</x:v>
      </x:c>
      <x:c r="G9" s="25" t="s">
        <x:v>1211</x:v>
      </x:c>
      <x:c r="H9" s="25" t="s">
        <x:v>911</x:v>
      </x:c>
      <x:c r="I9" s="25" t="s">
        <x:v>1212</x:v>
      </x:c>
      <x:c r="J9" s="25" t="s">
        <x:v>1213</x:v>
      </x:c>
      <x:c r="K9" s="25" t="s">
        <x:v>84</x:v>
      </x:c>
      <x:c r="L9" s="25" t="s">
        <x:v>1214</x:v>
      </x:c>
      <x:c r="M9" s="25" t="s">
        <x:v>1215</x:v>
      </x:c>
    </x:row>
    <x:row r="10" ht="376.20001220703125">
      <x:c r="A10" s="26" t="s">
        <x:v>105</x:v>
      </x:c>
      <x:c r="B10" s="26" t="s">
        <x:v>36</x:v>
      </x:c>
      <x:c r="C10" s="26" t="s">
        <x:v>912</x:v>
      </x:c>
      <x:c r="D10" s="26" t="s">
        <x:v>913</x:v>
      </x:c>
      <x:c r="E10" s="26" t="s">
        <x:v>914</x:v>
      </x:c>
      <x:c r="F10" s="26" t="s">
        <x:v>915</x:v>
      </x:c>
      <x:c r="G10" s="26" t="s">
        <x:v>1216</x:v>
      </x:c>
      <x:c r="H10" s="26" t="s">
        <x:v>916</x:v>
      </x:c>
      <x:c r="I10" s="26" t="s">
        <x:v>1217</x:v>
      </x:c>
      <x:c r="J10" s="26" t="s">
        <x:v>1213</x:v>
      </x:c>
      <x:c r="K10" s="26" t="s">
        <x:v>100</x:v>
      </x:c>
      <x:c r="L10" s="26" t="s">
        <x:v>1218</x:v>
      </x:c>
      <x:c r="M10" s="26" t="s">
        <x:v>1219</x:v>
      </x:c>
    </x:row>
    <x:row r="11" ht="409.6000061035156">
      <x:c r="A11" s="25" t="s">
        <x:v>118</x:v>
      </x:c>
      <x:c r="B11" s="25" t="s">
        <x:v>36</x:v>
      </x:c>
      <x:c r="C11" s="25" t="s">
        <x:v>917</x:v>
      </x:c>
      <x:c r="D11" s="25" t="s">
        <x:v>918</x:v>
      </x:c>
      <x:c r="E11" s="25" t="s">
        <x:v>919</x:v>
      </x:c>
      <x:c r="F11" s="25" t="s">
        <x:v>920</x:v>
      </x:c>
      <x:c r="G11" s="25" t="s">
        <x:v>1220</x:v>
      </x:c>
      <x:c r="H11" s="25" t="s">
        <x:v>921</x:v>
      </x:c>
      <x:c r="I11" s="25" t="s">
        <x:v>1221</x:v>
      </x:c>
      <x:c r="J11" s="25" t="s">
        <x:v>1198</x:v>
      </x:c>
      <x:c r="K11" s="25" t="s">
        <x:v>1222</x:v>
      </x:c>
      <x:c r="L11" s="25" t="s">
        <x:v>1223</x:v>
      </x:c>
      <x:c r="M11" s="25" t="s">
        <x:v>1224</x:v>
      </x:c>
    </x:row>
    <x:row r="12" ht="409.6000061035156">
      <x:c r="A12" s="26" t="s">
        <x:v>140</x:v>
      </x:c>
      <x:c r="B12" s="26" t="s">
        <x:v>36</x:v>
      </x:c>
      <x:c r="C12" s="26" t="s">
        <x:v>922</x:v>
      </x:c>
      <x:c r="D12" s="26" t="s">
        <x:v>923</x:v>
      </x:c>
      <x:c r="E12" s="26" t="s">
        <x:v>924</x:v>
      </x:c>
      <x:c r="F12" s="26" t="s">
        <x:v>925</x:v>
      </x:c>
      <x:c r="G12" s="26" t="s">
        <x:v>1225</x:v>
      </x:c>
      <x:c r="H12" s="26" t="s">
        <x:v>143</x:v>
      </x:c>
      <x:c r="I12" s="26" t="s">
        <x:v>1226</x:v>
      </x:c>
      <x:c r="J12" s="26" t="s">
        <x:v>1198</x:v>
      </x:c>
      <x:c r="K12" s="26" t="s">
        <x:v>136</x:v>
      </x:c>
      <x:c r="L12" s="26" t="s">
        <x:v>1227</x:v>
      </x:c>
      <x:c r="M12" s="26" t="s">
        <x:v>1228</x:v>
      </x:c>
    </x:row>
    <x:row r="13" ht="409.6000061035156">
      <x:c r="A13" s="25" t="s">
        <x:v>152</x:v>
      </x:c>
      <x:c r="B13" s="25" t="s">
        <x:v>36</x:v>
      </x:c>
      <x:c r="C13" s="25" t="s">
        <x:v>926</x:v>
      </x:c>
      <x:c r="D13" s="25" t="s">
        <x:v>927</x:v>
      </x:c>
      <x:c r="E13" s="25" t="s">
        <x:v>928</x:v>
      </x:c>
      <x:c r="F13" s="25" t="s">
        <x:v>929</x:v>
      </x:c>
      <x:c r="G13" s="25" t="s">
        <x:v>1229</x:v>
      </x:c>
      <x:c r="H13" s="25" t="s">
        <x:v>154</x:v>
      </x:c>
      <x:c r="I13" s="25" t="s">
        <x:v>1230</x:v>
      </x:c>
      <x:c r="J13" s="25" t="s">
        <x:v>1198</x:v>
      </x:c>
      <x:c r="K13" s="25" t="s">
        <x:v>1231</x:v>
      </x:c>
      <x:c r="L13" s="25" t="s">
        <x:v>1232</x:v>
      </x:c>
      <x:c r="M13" s="25" t="s">
        <x:v>1233</x:v>
      </x:c>
    </x:row>
    <x:row r="14" ht="409.6000061035156">
      <x:c r="A14" s="26" t="s">
        <x:v>184</x:v>
      </x:c>
      <x:c r="B14" s="26" t="s">
        <x:v>36</x:v>
      </x:c>
      <x:c r="C14" s="26" t="s">
        <x:v>930</x:v>
      </x:c>
      <x:c r="D14" s="26" t="s">
        <x:v>931</x:v>
      </x:c>
      <x:c r="E14" s="26" t="s">
        <x:v>932</x:v>
      </x:c>
      <x:c r="F14" s="26" t="s">
        <x:v>933</x:v>
      </x:c>
      <x:c r="G14" s="26" t="s">
        <x:v>1234</x:v>
      </x:c>
      <x:c r="H14" s="26" t="s">
        <x:v>934</x:v>
      </x:c>
      <x:c r="I14" s="26" t="s">
        <x:v>1235</x:v>
      </x:c>
      <x:c r="J14" s="26" t="s">
        <x:v>1198</x:v>
      </x:c>
      <x:c r="K14" s="26" t="s">
        <x:v>1236</x:v>
      </x:c>
      <x:c r="L14" s="26" t="s">
        <x:v>1237</x:v>
      </x:c>
      <x:c r="M14" s="26" t="s">
        <x:v>1238</x:v>
      </x:c>
    </x:row>
    <x:row r="15" ht="409.6000061035156">
      <x:c r="A15" s="25" t="s">
        <x:v>232</x:v>
      </x:c>
      <x:c r="B15" s="25" t="s">
        <x:v>53</x:v>
      </x:c>
      <x:c r="C15" s="25" t="str">
        <x:v>Local Qdrant foundation, domain models and pluggable vector adapters</x:v>
      </x:c>
      <x:c r="D15" s="25" t="str">
        <x:v>Establish the pinned local prerequisite and prevent vendor/security leakage into retrieval logic.</x:v>
      </x:c>
      <x:c r="E15" s="25" t="str">
        <x:v>W1 sign-off; DATA-002, DATA-003, EMB-001, SEC-001; Docker 24+; approved Qdrant digests</x:v>
      </x:c>
      <x:c r="F15" s="25" t="str">
        <x:v>Pinned Qdrant controls, domain models, VectorStore protocol, Qdrant/OpenSearch/fake adapters and security tests</x:v>
      </x:c>
      <x:c r="G15" s="25" t="str">
        <x:v>SIMPLE THREE-STAGE OWNER-CONTROLLED WORKFLOW — TRACKER v1.1.2
This is the MAIN PROMPT for W2-001. Covered tracker steps: W2-03, W2-01, W2-02, W2-04, W2-08.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Use host 127.0.0.1:6333, Compose project enterprise-ai-w2-004a, service qdrant, volume enterprise-ai-w2-004a_qdrant_data and internal network enterprise-ai-w2-004a_qdrant_internal.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x:v>
      </x:c>
      <x:c r="H15" s="25" t="str">
        <x:v>Run approved Qdrant preflight, then pytest tests/unit tests/contract -q</x:v>
      </x:c>
      <x:c r="I15" s="25" t="str">
        <x:v>Pinned Qdrant lifecycle passes; all adapters satisfy one contract; unauthorized filtering cannot be omitted.</x:v>
      </x:c>
      <x:c r="J15" s="25" t="s">
        <x:v>1198</x:v>
      </x:c>
      <x:c r="K15" s="25" t="str">
        <x:v>W2-03, W2-01, W2-02, W2-04, W2-08</x:v>
      </x:c>
      <x:c r="L15" s="25" t="s">
        <x:v>1239</x:v>
      </x:c>
      <x:c r="M15" s="25" t="s">
        <x:v>1240</x:v>
      </x:c>
    </x:row>
    <x:row r="16" ht="409.6000061035156">
      <x:c r="A16" s="26" t="s">
        <x:v>276</x:v>
      </x:c>
      <x:c r="B16" s="26" t="s">
        <x:v>53</x:v>
      </x:c>
      <x:c r="C16" s="26" t="s">
        <x:v>948</x:v>
      </x:c>
      <x:c r="D16" s="26" t="s">
        <x:v>949</x:v>
      </x:c>
      <x:c r="E16" s="26" t="s">
        <x:v>950</x:v>
      </x:c>
      <x:c r="F16" s="26" t="s">
        <x:v>951</x:v>
      </x:c>
      <x:c r="G16" s="26" t="str">
        <x:v>SIMPLE THREE-STAGE OWNER-CONTROLLED WORKFLOW — TRACKER v1.1.2
This is the MAIN PROMPT for W2-002. Covered tracker steps: W2-05.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SCOPED v1.1.2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x:v>
      </x:c>
      <x:c r="H16" s="26" t="s">
        <x:v>279</x:v>
      </x:c>
      <x:c r="I16" s="26" t="s">
        <x:v>1241</x:v>
      </x:c>
      <x:c r="J16" s="26" t="s">
        <x:v>1198</x:v>
      </x:c>
      <x:c r="K16" s="26" t="s">
        <x:v>272</x:v>
      </x:c>
      <x:c r="L16" s="26" t="s">
        <x:v>1242</x:v>
      </x:c>
      <x:c r="M16" s="26" t="s">
        <x:v>1243</x:v>
      </x:c>
    </x:row>
    <x:row r="17" ht="409.6000061035156">
      <x:c r="A17" s="25" t="s">
        <x:v>287</x:v>
      </x:c>
      <x:c r="B17" s="25" t="s">
        <x:v>53</x:v>
      </x:c>
      <x:c r="C17" s="25" t="s">
        <x:v>952</x:v>
      </x:c>
      <x:c r="D17" s="25" t="s">
        <x:v>953</x:v>
      </x:c>
      <x:c r="E17" s="25" t="s">
        <x:v>954</x:v>
      </x:c>
      <x:c r="F17" s="25" t="s">
        <x:v>955</x:v>
      </x:c>
      <x:c r="G17" s="25" t="str">
        <x:v>SIMPLE THREE-STAGE OWNER-CONTROLLED WORKFLOW — TRACKER v1.1.2
This is the MAIN PROMPT for W2-003. Covered tracker steps: W2-06, W2-07.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SCOPED v1.1.2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x:v>
      </x:c>
      <x:c r="H17" s="25" t="str">
        <x:v>python -m enterprise_ai.ingestion.pipeline ingest --source data/sample --tenant tenant-a</x:v>
      </x:c>
      <x:c r="I17" s="25" t="s">
        <x:v>1244</x:v>
      </x:c>
      <x:c r="J17" s="25" t="s">
        <x:v>1198</x:v>
      </x:c>
      <x:c r="K17" s="25" t="s">
        <x:v>1245</x:v>
      </x:c>
      <x:c r="L17" s="25" t="s">
        <x:v>1246</x:v>
      </x:c>
      <x:c r="M17" s="25" t="s">
        <x:v>1247</x:v>
      </x:c>
    </x:row>
    <x:row r="18" ht="409.6000061035156">
      <x:c r="A18" s="26" t="s">
        <x:v>254</x:v>
      </x:c>
      <x:c r="B18" s="26" t="s">
        <x:v>53</x:v>
      </x:c>
      <x:c r="C18" s="26" t="str">
        <x:v>Local retrieval proof, rollback and complete-removal drill</x:v>
      </x:c>
      <x:c r="D18" s="26" t="str">
        <x:v>Prove approved retrieval end-to-end using the existing W2-001 Qdrant foundation, then restore and remove it cleanly.</x:v>
      </x:c>
      <x:c r="E18" s="26" t="str">
        <x:v>Approved W2-001/W2-002/W2-003; Docker/model cache; approved corpus and retrieval fixture</x:v>
      </x:c>
      <x:c r="F18" s="26" t="str">
        <x:v>Top-5 retrieval evidence, authorization/PII proof, rollback record and zero-residue cleanliness report</x:v>
      </x:c>
      <x:c r="G18" s="26" t="str">
        <x:v>SIMPLE THREE-STAGE OWNER-CONTROLLED WORKFLOW — TRACKER v1.1.2
This is the MAIN PROMPT for W2-004. Covered tracker steps: W2-09, W2-10.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W2-004.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W2-004.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SCOPED v1.1.2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x:v>
      </x:c>
      <x:c r="H18" s="26" t="str">
        <x:v>Run approved preflight and lifecycle; pytest tests/feature/test_local_retrieval.py -q; make verify-clean-local</x:v>
      </x:c>
      <x:c r="I18" s="26" t="str">
        <x:v>Expected sources appear in top 5; rollback restores N; teardown leaves zero unapproved project residue.</x:v>
      </x:c>
      <x:c r="J18" s="26" t="s">
        <x:v>1198</x:v>
      </x:c>
      <x:c r="K18" s="26" t="str">
        <x:v>W2-09, W2-10</x:v>
      </x:c>
      <x:c r="L18" s="26" t="s">
        <x:v>1248</x:v>
      </x:c>
      <x:c r="M18" s="26" t="s">
        <x:v>1249</x:v>
      </x:c>
    </x:row>
    <x:row r="19" ht="353.3999938964844">
      <x:c r="A19" s="25" t="s">
        <x:v>343</x:v>
      </x:c>
      <x:c r="B19" s="25" t="s">
        <x:v>53</x:v>
      </x:c>
      <x:c r="C19" s="25" t="s">
        <x:v>962</x:v>
      </x:c>
      <x:c r="D19" s="25" t="s">
        <x:v>963</x:v>
      </x:c>
      <x:c r="E19" s="25" t="s">
        <x:v>964</x:v>
      </x:c>
      <x:c r="F19" s="25" t="s">
        <x:v>347</x:v>
      </x:c>
      <x:c r="G19" s="25" t="str">
        <x:v>SIMPLE THREE-STAGE OWNER-CONTROLLED WORKFLOW — TRACKER v1.1.2
This is the MAIN PROMPT for W2-LEARN-001. Covered tracker steps: W2-11.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W2-LEARN-001.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W2-LEARN-001. Stop.
ORIGINAL v1.1 TECHNICAL PROMPT — RETAINED VERBATIM
CONTINUE UNDER CTX-001 AND CTRL-001.
SCOPED TASK — W2-LEARN-001
Create or update only docs/architecture/local-retrieval.md. Explain in plain and interview-ready language: embeddings, cosine similarity, chunk size/overlap, metadata authorization filters, adapter boundaries, Qdrant-to-OpenSearch migration, quality/security/cost trade-offs and the decisions actually implemented. Reference relevant ADRs and redacted W2 evidence. Do not change application code, data, configuration, containers or cloud resources.
SCOPED v1.1.2 AMENDMENT — EVIDENCE-BOUND LEARNING CHECKPOINT
Do not start until W2-09 has independently passed and the implemented ADRs/configuration/evidence are stable. Explain the actual model pin, 384-dimensional normalized cosine vectors, fake-versus-real embedder purpose, chunk/overlap trade-off, tenant/classification/ACL filtering, pre-filter plus post-result validation, Qdrant-to-OpenSearch migration/re-index implications, PII-before-embedding, cost and complete-removal evidence. Do not claim unrun AWS/OpenSearch or semantic-quality results. Modify only docs/architecture/local-retrieval.md, validate all references, and leave code, data, configuration, Docker, caches and cloud untouched.
</x:v>
      </x:c>
      <x:c r="H19" s="25" t="s">
        <x:v>965</x:v>
      </x:c>
      <x:c r="I19" s="25" t="s">
        <x:v>1250</x:v>
      </x:c>
      <x:c r="J19" s="25" t="s">
        <x:v>1213</x:v>
      </x:c>
      <x:c r="K19" s="25" t="s">
        <x:v>338</x:v>
      </x:c>
      <x:c r="L19" s="25" t="s">
        <x:v>1251</x:v>
      </x:c>
      <x:c r="M19" s="25" t="s">
        <x:v>1252</x:v>
      </x:c>
    </x:row>
    <x:row r="20" ht="409.6000061035156">
      <x:c r="A20" s="26" t="s">
        <x:v>364</x:v>
      </x:c>
      <x:c r="B20" s="26" t="s">
        <x:v>54</x:v>
      </x:c>
      <x:c r="C20" s="26" t="s">
        <x:v>969</x:v>
      </x:c>
      <x:c r="D20" s="26" t="s">
        <x:v>970</x:v>
      </x:c>
      <x:c r="E20" s="26" t="s">
        <x:v>971</x:v>
      </x:c>
      <x:c r="F20" s="26" t="s">
        <x:v>972</x:v>
      </x:c>
      <x:c r="G20" s="26" t="str">
        <x:v>SIMPLE THREE-STAGE OWNER-CONTROLLED WORKFLOW — TRACKER v1.1.2
This is the MAIN PROMPT for W3-001. Covered tracker steps: W3-01, W3-02, W3-03, W3-04.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Define an async LLMProvider Protocol with normalized ChatRequest, ToolSpec, Usage and ChatResponse. Implement FakeLLMProvider and BedrockLLMProvider using boto3, configured model ID, explicit connect/read timeouts, retry caps, usage capture and normalized throttle/timeout errors. Implement cited RAG: authorize metadata before retrieval, retrieve top-k, reject weak evidence, delimit context as untrusted data, generate a structured Answer, validate every citation against supplied context and abstain when evidence is insufficient. Do not log prompts or document text.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CITED RAG AND OWNER-GATED BEDROCK
1. Require W2-12 owner sign-off, independently approved W2 implementation hashes, BED-001, SEC-001/DATA-002 and an explicit RAG-001 proposal for top_k, minimum score and context/token budget. Verify ADR-004 and step dependencies W3-01 → W3-02/W3-03 → W3-04.
2. FakeLLMProvider is the default for unit/feature tests. Bedrock unit tests use an injected/stubbed client; no AWS call. Live Bedrock model discovery/inference is networked, paid and owner-gated and requires exact account/region/model ID, quota, fallback, timeout/retry, expected maximum spend and privacy/residency approval. Never hard-code a model ID or silently substitute a region/model.
3. Treat identity and Query separately. Authorize before retrieval, retrieve only filtered evidence, delimit retrieved text as untrusted, grade evidence with deterministic rules, generate a typed Answer, validate every citation against supplied authorized source/chunk IDs and abstain on weak, conflicting, unauthorized or malformed evidence. Do not expose chain-of-thought.
4. Bound connect/read deadlines, retry only classified transient/throttle errors with caps/jitter, capture safe usage/cost fields and normalize timeout/throttle/malformed errors without endpoints, content or SDK exceptions. Never log prompt/context/document/PII/secrets.
5. Test LLM contract success/timeout/throttle/malformed/usage, prompt delimiter/injection, authorization short-circuit, weak/conflicting evidence, citation fabrication, abstention, deadlines/retry exhaustion and provider-object isolation.
6. Canonical evidence: W3-01-llm-contract.txt, W3-02-bedrock.txt, W3-03-prompt.txt and W3-04-rag.txt. Aggregate W3-rag.txt may summarize but must not conflict. Run normal developer commands and cleanliness. No unapproved AWS/paid call, Qdrant lifecycle change, tracker edit, stage, commit or push.
7. After W3-001 passes, run W4-003 Phase A for W3-09 telemetry before the Week 3 checkpoint; do not wait until Week 4.
</x:v>
      </x:c>
      <x:c r="H20" s="26" t="s">
        <x:v>973</x:v>
      </x:c>
      <x:c r="I20" s="26" t="s">
        <x:v>1253</x:v>
      </x:c>
      <x:c r="J20" s="26" t="s">
        <x:v>1198</x:v>
      </x:c>
      <x:c r="K20" s="26" t="s">
        <x:v>1254</x:v>
      </x:c>
      <x:c r="L20" s="26" t="s">
        <x:v>1255</x:v>
      </x:c>
      <x:c r="M20" s="26" t="s">
        <x:v>1256</x:v>
      </x:c>
    </x:row>
    <x:row r="21" ht="409.6000061035156">
      <x:c r="A21" s="25" t="s">
        <x:v>419</x:v>
      </x:c>
      <x:c r="B21" s="25" t="s">
        <x:v>54</x:v>
      </x:c>
      <x:c r="C21" s="25" t="s">
        <x:v>974</x:v>
      </x:c>
      <x:c r="D21" s="25" t="s">
        <x:v>975</x:v>
      </x:c>
      <x:c r="E21" s="25" t="s">
        <x:v>976</x:v>
      </x:c>
      <x:c r="F21" s="25" t="s">
        <x:v>977</x:v>
      </x:c>
      <x:c r="G21" s="25" t="str">
        <x:v>SIMPLE THREE-STAGE OWNER-CONTROLLED WORKFLOW — TRACKER v1.1.2
This is the MAIN PROMPT for W3-002. Covered tracker steps: W3-06, W3-07, W3-10.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Implement a versioned JSONL evaluation harness with question, expected facts, expected source IDs, tenant and safety tags. Compute retrieval recall@k/MRR, citation precision, abstention correctness, latency and token/cost fields. Integrate Ragas behind an Evaluator Protocol; label LLM-judge metrics non-deterministic. Compare with a checked-in baseline and fail only on configured material regression. Redact case content in logs and output machine-readable JSON plus concise Markdown.
SCOPED v1.1.1 CLARIFICATION
Include at least 25 versioned golden JSONL cases with question, expected facts, expected source IDs, tenant and safety tags. Validate schema and privacy; never silently alter approved expected facts.
SCOPED v1.1.2 AMENDMENT — VERSIONED GOLDEN TRUTH AND DETERMINISTIC RELEASE GATE
1. Require W3-001, W3-003 and W4-003 Phase A to have independent PASS/final owner approval; EVAL-001 and DATA-001 owner approval; a valid corpus manifest; stable source IDs; and approved metric definitions/thresholds. Never generate expected facts from the candidate model.
2. Include at least 25 versioned cases with case ID, question, expected facts, expected source IDs, tenant, authorization context and safety tags. Validate every source ID, tenant/classification rule, schema, duplicate and privacy boundary. Owner-approved expected facts may change only through a separately reviewed dataset version.
3. Deterministic offline metrics and failure propagation are the release authority. Compute Recall@5/MRR, citation precision/validity, abstention correctness, latency and token/cost fields. Initial gates: Recall@5 &gt;= 0.85 and citation-valid grounded answer or correct safe abstention &gt;= 95%; unresolved security/isolation failure always blocks.
4. Ragas/LLM-judge metrics remain behind Evaluator and are non-deterministic supplemental results. Any judge call requires exact model/provider, case limit, maximum spend, residency/privacy and network approval. Paid/judge-disabled is NOT RUN, not PASS.
5. Compare to a versioned checked-in baseline with explicit tolerance and nonzero material-regression exit. Preserve candidate and failure evidence; never overwrite the last approved baseline on failure or tune thresholds to make a candidate pass.
6. Test schema/privacy/source validation, metric edge cases, deterministic repeatability, partial/failed provider behavior, nonzero regression, redacted reports and baseline immutability. Canonical evidence: W3-06-golden.txt, reports/eval.json and W3-10-gate.txt; reconcile aggregate evidence. No hidden model/Qdrant/AWS/paid mutation, tracker edit, stage, commit or push.
</x:v>
      </x:c>
      <x:c r="H21" s="25" t="s">
        <x:v>432</x:v>
      </x:c>
      <x:c r="I21" s="25" t="s">
        <x:v>1257</x:v>
      </x:c>
      <x:c r="J21" s="25" t="s">
        <x:v>1198</x:v>
      </x:c>
      <x:c r="K21" s="25" t="s">
        <x:v>1258</x:v>
      </x:c>
      <x:c r="L21" s="25" t="s">
        <x:v>1259</x:v>
      </x:c>
      <x:c r="M21" s="25" t="s">
        <x:v>1260</x:v>
      </x:c>
    </x:row>
    <x:row r="22" ht="409.6000061035156">
      <x:c r="A22" s="26" t="s">
        <x:v>408</x:v>
      </x:c>
      <x:c r="B22" s="26" t="s">
        <x:v>54</x:v>
      </x:c>
      <x:c r="C22" s="26" t="s">
        <x:v>978</x:v>
      </x:c>
      <x:c r="D22" s="26" t="s">
        <x:v>979</x:v>
      </x:c>
      <x:c r="E22" s="26" t="s">
        <x:v>980</x:v>
      </x:c>
      <x:c r="F22" s="26" t="s">
        <x:v>981</x:v>
      </x:c>
      <x:c r="G22" s="26" t="str">
        <x:v>SIMPLE THREE-STAGE OWNER-CONTROLLED WORKFLOW — TRACKER v1.1.2
This is the MAIN PROMPT for W3-003. Covered tracker steps: W3-05, W3-08.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SCOPED v1.1.2 AMENDMENT — FAIL-CLOSED RAG SECURITY
Require an independently approved W3-001 and execute before W3-002 establishes the release baseline.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x:v>
      </x:c>
      <x:c r="H22" s="26" t="s">
        <x:v>411</x:v>
      </x:c>
      <x:c r="I22" s="26" t="s">
        <x:v>1261</x:v>
      </x:c>
      <x:c r="J22" s="26" t="s">
        <x:v>1198</x:v>
      </x:c>
      <x:c r="K22" s="26" t="s">
        <x:v>1262</x:v>
      </x:c>
      <x:c r="L22" s="26" t="s">
        <x:v>1263</x:v>
      </x:c>
      <x:c r="M22" s="26" t="s">
        <x:v>1264</x:v>
      </x:c>
    </x:row>
    <x:row r="23" ht="353.3999938964844">
      <x:c r="A23" s="25" t="s">
        <x:v>472</x:v>
      </x:c>
      <x:c r="B23" s="25" t="s">
        <x:v>54</x:v>
      </x:c>
      <x:c r="C23" s="25" t="s">
        <x:v>982</x:v>
      </x:c>
      <x:c r="D23" s="25" t="s">
        <x:v>983</x:v>
      </x:c>
      <x:c r="E23" s="25" t="s">
        <x:v>984</x:v>
      </x:c>
      <x:c r="F23" s="25" t="s">
        <x:v>985</x:v>
      </x:c>
      <x:c r="G23" s="25" t="str">
        <x:v>SIMPLE THREE-STAGE OWNER-CONTROLLED WORKFLOW — TRACKER v1.1.2
This is the MAIN PROMPT for W3-ROLLBACK-001. Covered tracker steps: W3-11.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W3-ROLLBACK-001.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W3-ROLLBACK-001. Stop.
ORIGINAL v1.1 TECHNICAL PROMPT — RETAINED VERBATIM
CONTINUE UNDER CTX-001 AND CTRL-001.
SCOPED TASK — W3-ROLLBACK-001
Use only the exact existing local prompt/model/retriever/index configuration files listed and approved in the pre-edit plan, plus docs/rollback-records/W3-rag.md. Restore the prior known-good configuration, run make rollback-rag &amp;&amp; make evaluate, compare the checked-in baseline, and record exact versions, commands, results, elapsed time and residual risks. Do not hide regression, edit the golden truth set, mutate cloud resources or edit this tracker.
SCOPED v1.1.2 AMENDMENT — SAFE CONFIGURATION ROLLBACK
Run only after W3-10 has a passing approved baseline and before W3-12. Freeze exact configuration N hashes and passing evidence; introduce only an owner-approved local test regression N+1; prove the gate detects it; restore N; rerun evaluation, citation/abstention, security/isolation and telemetry checks. Do not edit the golden truth set, lower thresholds, destroy shared data or use teardown as rollback. If Qdrant/model resources are needed, list their exact local lifecycle/cache boundary and clean or preserve them per approval. The rollback record must contain hashes, elapsed time, failure signal and restored results. Any mismatch or residual is FAIL.
</x:v>
      </x:c>
      <x:c r="H23" s="25" t="s">
        <x:v>986</x:v>
      </x:c>
      <x:c r="I23" s="25" t="s">
        <x:v>1265</x:v>
      </x:c>
      <x:c r="J23" s="25" t="s">
        <x:v>1213</x:v>
      </x:c>
      <x:c r="K23" s="25" t="s">
        <x:v>468</x:v>
      </x:c>
      <x:c r="L23" s="25" t="s">
        <x:v>1266</x:v>
      </x:c>
      <x:c r="M23" s="25" t="s">
        <x:v>1267</x:v>
      </x:c>
    </x:row>
    <x:row r="24" ht="409.6000061035156">
      <x:c r="A24" s="26" t="s">
        <x:v>493</x:v>
      </x:c>
      <x:c r="B24" s="26" t="s">
        <x:v>55</x:v>
      </x:c>
      <x:c r="C24" s="26" t="s">
        <x:v>990</x:v>
      </x:c>
      <x:c r="D24" s="26" t="s">
        <x:v>991</x:v>
      </x:c>
      <x:c r="E24" s="26" t="s">
        <x:v>992</x:v>
      </x:c>
      <x:c r="F24" s="26" t="s">
        <x:v>993</x:v>
      </x:c>
      <x:c r="G24" s="26" t="str">
        <x:v>SIMPLE THREE-STAGE OWNER-CONTROLLED WORKFLOW — TRACKER v1.1.2
This is the MAIN PROMPT for W4-001. Covered tracker steps: W4-01, W4-02, W4-10.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Build FastAPI endpoints /health/live, /health/ready, /v1/query and /v1/agent. Use Pydantic schemas, correlation IDs, request-size limits, authentication/authorization interfaces, deadlines, concurrency limiting and normalized errors. Readiness checks dependencies with short timeouts. Return citations, model/retriever versions and request ID; never expose prompts, chain-of-thought, secrets or raw exceptions. Add JSON logging with redaction and OpenTelemetry spans.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TRUSTED API BOUNDARY
Require W3-12 sign-off plus SEC-001 and COST-001. The authentication dependency—not request JSON—constructs trusted AuthContext; deny before retriever or agent invocation. Keep /v1/agent disabled until W4-002 is approved. Validate request/body/content-type limits, correlation/request IDs, deadlines, bounded concurrency/backpressure, cancellation and normalized status/error mapping. Trust forwarded headers only from an explicitly configured proxy boundary. Readiness uses short dependency timeouts and differs from liveness. Never return prompts, context, chain-of-thought, secrets, PII, internal endpoints or raw exceptions. Load smoke must be bounded, local/fake by default, record p95/p99 and leave no process/cache residue. Canonical evidence: W4-01-api.txt, W4-02-auth.txt and W4-10-load.json; aggregate W4-api.txt must reconcile. Test auth short-circuit, size/type/rate/deadline/concurrency, dependency failure, schema/redaction and shutdown cleanup.
</x:v>
      </x:c>
      <x:c r="H24" s="26" t="s">
        <x:v>994</x:v>
      </x:c>
      <x:c r="I24" s="26" t="s">
        <x:v>1268</x:v>
      </x:c>
      <x:c r="J24" s="26" t="s">
        <x:v>1198</x:v>
      </x:c>
      <x:c r="K24" s="26" t="s">
        <x:v>1269</x:v>
      </x:c>
      <x:c r="L24" s="26" t="s">
        <x:v>1270</x:v>
      </x:c>
      <x:c r="M24" s="26" t="s">
        <x:v>1271</x:v>
      </x:c>
    </x:row>
    <x:row r="25" ht="409.6000061035156">
      <x:c r="A25" s="25" t="s">
        <x:v>512</x:v>
      </x:c>
      <x:c r="B25" s="25" t="s">
        <x:v>55</x:v>
      </x:c>
      <x:c r="C25" s="25" t="s">
        <x:v>995</x:v>
      </x:c>
      <x:c r="D25" s="25" t="s">
        <x:v>996</x:v>
      </x:c>
      <x:c r="E25" s="25" t="s">
        <x:v>997</x:v>
      </x:c>
      <x:c r="F25" s="25" t="s">
        <x:v>998</x:v>
      </x:c>
      <x:c r="G25" s="25" t="str">
        <x:v>SIMPLE THREE-STAGE OWNER-CONTROLLED WORKFLOW — TRACKER v1.1.2
This is the MAIN PROMPT for W4-002. Covered tracker steps: W4-03, W4-04, W4-05, W4-06, W4-07, W4-09.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LangGraph StateGraph with typed state and nodes validate_input, authorize, retrieve, grade_evidence, answer, propose_tool, await_human_approval, execute_tool and safe_terminal. Keep routing deterministic except evidence grading/answer generation. Enforce max steps, max tool calls, deadline, allowlists, JSON-schema arguments and idempotency keys. Include one read-only status tool and one mocked write tool that cannot execute without durable approval. Persist only redacted state. Test denial, timeout, repeated calls, malformed args, injection, approval rejection and approved execution.
SCOPED v1.1.2 AMENDMENT — BOUNDED GRAPH, DURABLE APPROVAL AND REPLAY SAFETY
Require W4-001, APP-001, COST-001 and RET-001. Do not invent the approval store, approver role, TTL, rejection or retention rules. Bind approval to tenant, subject/approver, exact tool, normalized arguments, idempotency key, request, expiry and one-time decision; expired/rejected/replayed/altered approvals deny. The Week 4 write tool is mocked and produces no external side effect. Keep read-only and write permissions separate; admin has no implicit cross-tenant authority. Cap steps, tool calls, tokens, wall time, retries, state size and concurrency; every path reaches an explicit safe terminal. Persist only allowlisted redacted fields with retention/purge tests. Test all graph branches, malformed/extra args, injection, denial, timeout, loop/retry exhaustion, duplicate/replayed calls, approval races and failure before/after mocked execution. Canonical evidence: W4-03-graph.txt through W4-07-state.txt and W4-09-failures.txt; reconcile W4 aggregate records. No real write tool, external approval service, cloud mutation or paid call.
</x:v>
      </x:c>
      <x:c r="H25" s="25" t="s">
        <x:v>514</x:v>
      </x:c>
      <x:c r="I25" s="25" t="s">
        <x:v>1272</x:v>
      </x:c>
      <x:c r="J25" s="25" t="s">
        <x:v>1198</x:v>
      </x:c>
      <x:c r="K25" s="25" t="s">
        <x:v>1273</x:v>
      </x:c>
      <x:c r="L25" s="25" t="s">
        <x:v>1274</x:v>
      </x:c>
      <x:c r="M25" s="25" t="s">
        <x:v>1275</x:v>
      </x:c>
    </x:row>
    <x:row r="26" ht="409.6000061035156">
      <x:c r="A26" s="26" t="s">
        <x:v>450</x:v>
      </x:c>
      <x:c r="B26" s="26" t="s">
        <x:v>55</x:v>
      </x:c>
      <x:c r="C26" s="26" t="s">
        <x:v>999</x:v>
      </x:c>
      <x:c r="D26" s="26" t="s">
        <x:v>1000</x:v>
      </x:c>
      <x:c r="E26" s="26" t="s">
        <x:v>1001</x:v>
      </x:c>
      <x:c r="F26" s="26" t="s">
        <x:v>1002</x:v>
      </x:c>
      <x:c r="G26" s="26" t="str">
        <x:v>SIMPLE THREE-STAGE OWNER-CONTROLLED WORKFLOW — TRACKER v1.1.2
This is the MAIN PROMPT for W4-003. Covered tracker steps: W3-09, W4-08.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Instrument FastAPI, retrieval, embedding, LLM, guardrail and tool stages with OpenTelemetry. Emit safe attributes for request ID, stage, duration, outcome, model/retriever version, token counts and error class; never emit raw prompts, documents, secrets, PII or chain-of-thought. Add JSON logs with correlation IDs and a local collector/Jaeger path. Test that one trace links API to retrieval and model, and add redaction tests.
SCOPED v1.1.2 AMENDMENT — TWO SEPARATE CONTROLLED CYCLES TO REMOVE THE CROSS-WEEK DEPENDENCY
This prompt is executed twice under the same Prompt ID; never combine the phases or reuse approval/evidence between them.
PHASE A — WEEK 3 / W3-09
- Run after W3-001 and before W3-12. Require OBS-001 or report the early blocking dependency explicitly.
- Implement safe metric/log/trace contracts for retrieval, model, token/usage and guardrail stages with bounded low-cardinality attributes, content/PII/secret exclusion and exporter-failure isolation.
- Canonical evidence: docs/test-evidence/W3-09-telemetry.txt. Obtain its own pre-edit approval, independent TEST-001 and final owner approval.
PHASE B — WEEK 4 / W4-08
- Run only after W4-001 and W4-002 are independently approved.
- Extend correlation across API, authorization, retrieval, embedding, LLM, guardrail, approval and tool stages; prove one local trace and redacted JSON logs. Canonical evidence: docs/test-evidence/W4-08-trace.json; reconcile aggregate W4-trace.json.
- Any local collector/Jaeger container requires an immutable pin, external cache, explicit local-mutation approval and complete teardown. AWS exporters remain disabled until separately approved.
Both phases test redaction, cardinality, correlation, error classification, exporter outage/backpressure and shutdown cleanup. Telemetry failure must not leak content or corrupt the answer path. Each phase ends with its own READY FOR INDEPENDENT TEST — W4-003 and separate owner final approval.
</x:v>
      </x:c>
      <x:c r="H26" s="26" t="s">
        <x:v>453</x:v>
      </x:c>
      <x:c r="I26" s="26" t="s">
        <x:v>1276</x:v>
      </x:c>
      <x:c r="J26" s="26" t="s">
        <x:v>1198</x:v>
      </x:c>
      <x:c r="K26" s="26" t="s">
        <x:v>1277</x:v>
      </x:c>
      <x:c r="L26" s="26" t="s">
        <x:v>1278</x:v>
      </x:c>
      <x:c r="M26" s="26" t="s">
        <x:v>1279</x:v>
      </x:c>
    </x:row>
    <x:row r="27" ht="353.3999938964844">
      <x:c r="A27" s="25" t="s">
        <x:v>595</x:v>
      </x:c>
      <x:c r="B27" s="25" t="s">
        <x:v>55</x:v>
      </x:c>
      <x:c r="C27" s="25" t="s">
        <x:v>1003</x:v>
      </x:c>
      <x:c r="D27" s="25" t="s">
        <x:v>1004</x:v>
      </x:c>
      <x:c r="E27" s="25" t="s">
        <x:v>1005</x:v>
      </x:c>
      <x:c r="F27" s="25" t="s">
        <x:v>1006</x:v>
      </x:c>
      <x:c r="G27" s="25" t="str">
        <x:v>SIMPLE THREE-STAGE OWNER-CONTROLLED WORKFLOW — TRACKER v1.1.2
This is the MAIN PROMPT for W4-ROLLBACK-001. Covered tracker steps: W4-11.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W4-ROLLBACK-001.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W4-ROLLBACK-001. Stop.
ORIGINAL v1.1 TECHNICAL PROMPT — RETAINED VERBATIM
CONTINUE UNDER CTX-001 AND CTRL-001.
SCOPED TASK — W4-ROLLBACK-001
Using only local immutable release artifacts and files explicitly listed in the approved pre-edit plan, deploy local version N+1, introduce the approved safe regression, restore N, and run make rollback-release &amp;&amp; make smoke. Record versions/digests, commands, health/feature-test results, rollback duration and remaining risks in docs/rollback-records/W4-release.md. Do not push images, mutate Kubernetes/cloud resources or edit this tracker.
SCOPED v1.1.2 AMENDMENT — IMMUTABLE LOCAL RELEASE ROLLBACK
Require completion of W4-01 through W4-10 and an approved safe regression. Capture immutable release N and N+1 digests/config hashes, health/evaluation baseline and exact local resources. Prove N+1 failure, restore N without changing infrastructure or shared data, then rerun liveness/readiness, API/auth, agent safety, smoke, telemetry and cleanup checks. Do not build or pull an unapproved image, use a mutable tag as authority, push an image, mutate Kubernetes/cloud or treat teardown as rollback. Record rollback time, failure signal, restored digest and residuals at docs/rollback-records/W4-release.md; remove task-owned local containers/networks/volumes/caches according to approval.
</x:v>
      </x:c>
      <x:c r="H27" s="25" t="s">
        <x:v>1007</x:v>
      </x:c>
      <x:c r="I27" s="25" t="s">
        <x:v>1280</x:v>
      </x:c>
      <x:c r="J27" s="25" t="s">
        <x:v>1213</x:v>
      </x:c>
      <x:c r="K27" s="25" t="s">
        <x:v>591</x:v>
      </x:c>
      <x:c r="L27" s="25" t="s">
        <x:v>1281</x:v>
      </x:c>
      <x:c r="M27" s="25" t="s">
        <x:v>1282</x:v>
      </x:c>
    </x:row>
    <x:row r="28" ht="409.6000061035156">
      <x:c r="A28" s="26" t="s">
        <x:v>616</x:v>
      </x:c>
      <x:c r="B28" s="26" t="s">
        <x:v>56</x:v>
      </x:c>
      <x:c r="C28" s="26" t="s">
        <x:v>1011</x:v>
      </x:c>
      <x:c r="D28" s="26" t="s">
        <x:v>1012</x:v>
      </x:c>
      <x:c r="E28" s="26" t="s">
        <x:v>1013</x:v>
      </x:c>
      <x:c r="F28" s="26" t="s">
        <x:v>1014</x:v>
      </x:c>
      <x:c r="G28" s="26" t="str">
        <x:v>SIMPLE THREE-STAGE OWNER-CONTROLLED WORKFLOW — TRACKER v1.1.2
This is the MAIN PROMPT for W5-INPUTS-001. Covered tracker steps: W5-01.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W5-INPUTS-001.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W5-INPUTS-001. Stop.
ORIGINAL v1.1 TECHNICAL PROMPT — RETAINED VERBATIM
CONTINUE UNDER CTX-001 AND CTRL-001.
SCOPED TASK — W5-INPUTS-001
Update only infra/environments/sandbox/terraform.tfvars.example and docs/cost-estimates/W5-inputs.md, creating them only if their parent structure already exists or was approved. Use TODO placeholders for sandbox account ID, approved region, VPC/subnets, mandatory tags, data-residency/privacy constraints, expiry and monthly budget. Never request, store or display credentials, secret values or live tokens. Do not run terraform init/plan/apply/destroy and do not access AWS. Leave the approval record READY FOR OWNER REVIEW.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COMPLETE NON-SECRET AWS INPUT GATE
Do not start Terraform design until W4-12 is signed off. Reconcile and obtain owner decisions for AWS-001, AWS-002, NET-001, TAG-001, COST-001, PRIV-001, KMS-001, GHA-001 and BED-001; also identify EKS-001, OBS-001 and SLO-001 as required before W5-13/Week 6. Record account ID, region/service availability, existing-vs-owned VPC/subnets/CIDRs/DNS/egress/endpoints, data residency, mandatory tags/expiry, monthly/daily/paid-evaluation ceilings, KMS deletion window/follow-up owner, GitHub repository/environment/OIDC naming and Bedrock model/quota/fallback—never credentials, role sessions, secret values or live tokens. Validate ownership boundaries so shared networking/EKS resources can never be destroyed. Modify only the two scoped input documents, leave status READY FOR OWNER REVIEW, run no Terraform/AWS/network command and do not infer approval from placeholders.
</x:v>
      </x:c>
      <x:c r="H28" s="26" t="s">
        <x:v>1015</x:v>
      </x:c>
      <x:c r="I28" s="26" t="s">
        <x:v>1283</x:v>
      </x:c>
      <x:c r="J28" s="26" t="s">
        <x:v>1213</x:v>
      </x:c>
      <x:c r="K28" s="26" t="s">
        <x:v>612</x:v>
      </x:c>
      <x:c r="L28" s="26" t="s">
        <x:v>1284</x:v>
      </x:c>
      <x:c r="M28" s="26" t="s">
        <x:v>1285</x:v>
      </x:c>
    </x:row>
    <x:row r="29" ht="409.6000061035156">
      <x:c r="A29" s="25" t="s">
        <x:v>627</x:v>
      </x:c>
      <x:c r="B29" s="25" t="s">
        <x:v>56</x:v>
      </x:c>
      <x:c r="C29" s="25" t="s">
        <x:v>1016</x:v>
      </x:c>
      <x:c r="D29" s="25" t="s">
        <x:v>1017</x:v>
      </x:c>
      <x:c r="E29" s="25" t="s">
        <x:v>1018</x:v>
      </x:c>
      <x:c r="F29" s="25" t="s">
        <x:v>1019</x:v>
      </x:c>
      <x:c r="G29" s="25" t="str">
        <x:v>SIMPLE THREE-STAGE OWNER-CONTROLLED WORKFLOW — TRACKER v1.1.2
This is the MAIN PROMPT for W5-001. Covered tracker steps: W5-02, W5-03, W5-04, W5-05.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Terraform &gt;=1.5 modules and sandbox composition for KMS, private versioned S3, Secrets Manager metadata only, least-privilege runtime/ingestion roles, ECR and a private VPC OpenSearch domain with encryption, HTTPS, fine-grained access, logs and security groups. Isolate an encrypted/versioned S3 state plus DynamoDB-locking bootstrap for Terraform 1.5 and document newer S3 lockfiles. Never create secret versions or accept secret values. Validate inputs, apply mandatory tags, gate deletion protection and document every suppression with owner/reason/expiry. Plan only.
SCOPED v1.1.2 AMENDMENT — TERRAFORM STATIC FOUNDATION AND BOOTSTRAP DEPENDENCY
1. Require W5-INPUTS-001 final approval and exact non-secret inputs. Pin Terraform/provider/module versions and commit the dependency lock file after reviewed initialization. Use external TF_DATA_DIR/plugin caches; repository .terraform, plan binaries, state and credentials are prohibited.
2. Separate bootstrap and platform roots. Static work here creates/validates code only. Use terraform init -backend=false for offline/static checks unless an exact read-only network initialization is separately approved. A real plan requires approved short-lived AWS identity/account/region and is not an offline test.
3. The remote backend must physically exist before the W5-09 platform saved plan. Therefore W5-004 must perform a separately approved bootstrap saved-plan/apply cycle when the backend is absent; W5-001 must not claim that platform planning can use an unapplied backend.
4. No secret value/resource version, public endpoint, wildcard IAM or unbounded cost default. OpenSearch must be private, encrypted in transit/at rest, access-controlled, logged and deletion/cost guarded. ECR uses immutable scanning settings. Tags apply to every supported resource; exceptions require owner/rationale/expiry.
5. Test variables, outputs, fmt/validate/tflint/Checkov/OPA, plan redaction, secret-in-state prevention, provider-lock integrity, bootstrap/platform dependency and destroy ordering. Canonical evidence: W5-02-bootstrap.txt, W5-03-security.txt, W5-04-iam.txt and W5-05-platform-plan.txt; reconcile aggregate W5-terraform.txt. No apply/destroy, live AWS mutation, tracker edit, stage, commit or push.
</x:v>
      </x:c>
      <x:c r="H29" s="25" t="s">
        <x:v>1020</x:v>
      </x:c>
      <x:c r="I29" s="25" t="s">
        <x:v>1286</x:v>
      </x:c>
      <x:c r="J29" s="25" t="s">
        <x:v>1198</x:v>
      </x:c>
      <x:c r="K29" s="25" t="s">
        <x:v>1287</x:v>
      </x:c>
      <x:c r="L29" s="25" t="s">
        <x:v>1288</x:v>
      </x:c>
      <x:c r="M29" s="25" t="s">
        <x:v>1289</x:v>
      </x:c>
    </x:row>
    <x:row r="30" ht="409.6000061035156">
      <x:c r="A30" s="26" t="s">
        <x:v>685</x:v>
      </x:c>
      <x:c r="B30" s="26" t="s">
        <x:v>56</x:v>
      </x:c>
      <x:c r="C30" s="26" t="s">
        <x:v>1021</x:v>
      </x:c>
      <x:c r="D30" s="26" t="s">
        <x:v>1022</x:v>
      </x:c>
      <x:c r="E30" s="26" t="s">
        <x:v>1023</x:v>
      </x:c>
      <x:c r="F30" s="26" t="s">
        <x:v>1024</x:v>
      </x:c>
      <x:c r="G30" s="26" t="str">
        <x:v>SIMPLE THREE-STAGE OWNER-CONTROLLED WORKFLOW — TRACKER v1.1.2
This is the MAIN PROMPT for W5-002. Covered tracker steps: W5-07, W5-08, W6-01.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least-privilege GitHub Actions workflows. On PR run Python 3.11 cache/install, Ruff, mypy, pytest, secret scan, terraform fmt/validate/tflint, Checkov, plan JSON through OPA, Docker build, Trivy filesystem/image scan, Syft SPDX/CycloneDX SBOM, Grype scan and a RAG smoke evaluation. Use Qdrant service container if useful. Upload only redacted reports and do not upload sensitive plans. Use GitHub OIDC, immutable image digest, protected environment approval and explicit timeouts. Pin actions to immutable SHAs with TODOs. Never use AWS access-key secrets or auto-run apply/destroy.
SCOPED v1.1.2 AMENDMENT — TWO SEPARATE CI/SUPPLY-CHAIN AND PROMOTION CYCLES
This prompt is executed in two separately approved cycles; W6-01 cannot be completed before W5-13.
PHASE A — WEEK 5 / W5-07 AND W5-08
- Require W5-001/W5-003 and GHA-001. Pin every GitHub Action to an immutable commit SHA, base/service images to approved digests and tools/dependencies to reviewed versions. Use least-privilege OIDC with exact repository/ref/environment trust and no access-key secret.
- Build locally/CI without push, scan the exact image with Trivy/Grype, generate Syft SPDX/CycloneDX SBOM, enforce policy thresholds and preserve redacted provenance. Do not upload sensitive Terraform plans, logs, environment dumps or source data. A workflow/PR run is an external action and requires explicit approval.
- Canonical evidence: W5-07-ci.txt and W5-08-supply-chain.txt; reconcile W5-oidc.txt/W5-supply-chain.txt.
PHASE B — WEEK 6 / W6-01
- Run only after W5-13, W5-004 Week-6 environment recreation and a passing Phase A. Require the exact scanned image digest, SBOM/provenance, ECR target and separate push authorization.
- Push/promote only the approved digest; verify the ECR digest matches the scanned artifact. Mutable tags may be convenience labels but never deployment authority. Record docs/deployment-records/W6-image.md and leave no unapproved local builder/cache residue.
Each phase requires its own pre-edit approval, independent TEST-001 and final owner approval. No apply/destroy, Kubernetes mutation or automatic deployment.
</x:v>
      </x:c>
      <x:c r="H30" s="26" t="s">
        <x:v>1025</x:v>
      </x:c>
      <x:c r="I30" s="26" t="s">
        <x:v>1290</x:v>
      </x:c>
      <x:c r="J30" s="26" t="s">
        <x:v>1198</x:v>
      </x:c>
      <x:c r="K30" s="26" t="s">
        <x:v>1291</x:v>
      </x:c>
      <x:c r="L30" s="26" t="s">
        <x:v>1292</x:v>
      </x:c>
      <x:c r="M30" s="26" t="s">
        <x:v>1293</x:v>
      </x:c>
    </x:row>
    <x:row r="31" ht="409.6000061035156">
      <x:c r="A31" s="25" t="s">
        <x:v>672</x:v>
      </x:c>
      <x:c r="B31" s="25" t="s">
        <x:v>56</x:v>
      </x:c>
      <x:c r="C31" s="25" t="s">
        <x:v>1026</x:v>
      </x:c>
      <x:c r="D31" s="25" t="s">
        <x:v>1027</x:v>
      </x:c>
      <x:c r="E31" s="25" t="s">
        <x:v>1028</x:v>
      </x:c>
      <x:c r="F31" s="25" t="s">
        <x:v>1029</x:v>
      </x:c>
      <x:c r="G31" s="25" t="str">
        <x:v>SIMPLE THREE-STAGE OWNER-CONTROLLED WORKFLOW — TRACKER v1.1.2
This is the MAIN PROMPT for W5-003. Covered tracker steps: W5-06.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OPA/Rego tests over Terraform plan JSON to deny public S3, missing KMS encryption, unrestricted security groups, unapproved regions, missing mandatory tags and IAM wildcard actions unless an explicit time-bound exception is approved. Add equivalent focused Checkov custom policies where appropriate, secure/insecure fixtures and CI commands. Policy failures must show resource address, violated rule and remediation without exposing sensitive values.
SCOPED v1.1.2 AMENDMENT — POLICY TESTING AND NARROW EXCEPTIONS
Require W5-001 design and approved region/tag/encryption/IAM rules. Test deny and allow cases for public S3, encryption/KMS, unrestricted ingress/egress, unapproved regions, mandatory tags, IAM wildcard actions/resources, public OpenSearch, mutable images and missing deletion/cost guards. Parse Terraform plan JSON without exposing sensitive values. Every denial identifies resource address, rule and remediation. Secure fixtures pass; each insecure fixture fails for the intended rule; tests must detect a policy accidentally disabled or not evaluated. Exceptions are resource/rule scoped and require owner, rationale, expires_at and evidence; expired/malformed/broad directory/file/type bypasses deny. Rego and Checkov controls must not contradict. Canonical evidence: docs/test-evidence/W5-06-policy.txt; reconcile aggregate W5-policy.txt. No live AWS, Terraform mutation or CI execution.
</x:v>
      </x:c>
      <x:c r="H31" s="25" t="s">
        <x:v>675</x:v>
      </x:c>
      <x:c r="I31" s="25" t="s">
        <x:v>1294</x:v>
      </x:c>
      <x:c r="J31" s="25" t="s">
        <x:v>1198</x:v>
      </x:c>
      <x:c r="K31" s="25" t="s">
        <x:v>668</x:v>
      </x:c>
      <x:c r="L31" s="25" t="s">
        <x:v>1295</x:v>
      </x:c>
      <x:c r="M31" s="25" t="s">
        <x:v>1296</x:v>
      </x:c>
    </x:row>
    <x:row r="32" ht="409.6000061035156">
      <x:c r="A32" s="26" t="s">
        <x:v>706</x:v>
      </x:c>
      <x:c r="B32" s="26" t="s">
        <x:v>56</x:v>
      </x:c>
      <x:c r="C32" s="26" t="s">
        <x:v>1030</x:v>
      </x:c>
      <x:c r="D32" s="26" t="s">
        <x:v>1031</x:v>
      </x:c>
      <x:c r="E32" s="26" t="s">
        <x:v>1032</x:v>
      </x:c>
      <x:c r="F32" s="26" t="s">
        <x:v>1033</x:v>
      </x:c>
      <x:c r="G32" s="26" t="str">
        <x:v>SIMPLE THREE-STAGE OWNER-CONTROLLED WORKFLOW — TRACKER v1.1.2
This is the MAIN PROMPT for W5-004. Covered tracker steps: W5-09, W5-10, W5-11, W5-12, W6-12.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W5-004.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W5-004.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Complete platformctl for reviewed saved-plan deployment, post-deploy validation, release rollback, last-known-good Terraform rollback, destroy-safe, purge-sandbox and verify-clean. Resolve targets only by approved environment and required tags, add service-specific checks for S3 versions/multipart uploads, ECR images, OpenSearch, EKS/load balancers, IAM, Secrets Manager, logs and KMS. The remote-state bootstrap is removed last. Mutations require owner approval and explicit typed confirmation; unit/integration tests use moto/LocalStack where valid and never auto-apply or destroy.
SCOPED v1.1.2 AMENDMENT — THREE SEPARATE OWNER-GATED AWS LIFECYCLE CYCLES
Never combine these cycles. Each requires a fresh read-only pre-edit plan, exact saved-plan/input/code hashes, typed owner command approval, independent validation and final owner approval. Terraform plan may read AWS; apply/destroy mutate AWS and are never implied by Column L.
CYCLE A — WEEK 5 / W5-09 TO W5-12
1. If the remote backend is absent, create a bootstrap saved plan, review policy/cost/targets, obtain explicit apply approval, apply those exact bytes and validate the backend before the platform plan.
2. Generate the platform saved plan, redacted JSON/policy/cost summaries and plan hash. Invalidate/regenerate on any code/input/lock/provider/state drift.
3. After separate apply approval, deploy exact reviewed bytes, validate, run release and infrastructure rollback controls separately, create/review the destroy plan, obtain separate destroy approval, destroy platform then bootstrap last, and run tag plus native service cleanup. Complete W5 with no active project resource except documented KMS PendingDeletion.
CYCLE B — AFTER W5-13 / BEFORE W6-01
Recreate the approved Week 6 sandbox from new bootstrap and platform saved plans with separate review/apply approvals. Validate ECR/EKS/network/identity/observability prerequisites. This is a new controlled deployment, never reuse stale Week 5 plan bytes.
CYCLE C — AFTER W6-11 / W6-12 FINAL TEARDOWN
Generate/review the final destroy plan, remove traffic/triggers and platform resources in dependency order, remove bootstrap/state last, schedule KMS deletion and prove zero active project residuals. Shared VPC/EKS or owner resources are never targets.
Across all cycles: resolve exact account/region/environment/tags; enforce budget; use short-lived identity; never log secrets/plan-sensitive values; distinguish release rollback, infrastructure rollback and teardown; verify S3 versions/delete markers/multipart uploads, ECR, OpenSearch, EKS/LBs/ENIs, IAM, Secrets Manager, logs/alarms and KMS natively. Canonical Week 5 records: W5-plan-review.md, W5-sandbox.md, W5-destroy-plan.md and W5-report.json; final Week 6 cleanliness: W6-final.json. Any unexpected target/residual, missing approval or hash drift stops execution.
</x:v>
      </x:c>
      <x:c r="H32" s="26" t="s">
        <x:v>1034</x:v>
      </x:c>
      <x:c r="I32" s="26" t="s">
        <x:v>1297</x:v>
      </x:c>
      <x:c r="J32" s="26" t="s">
        <x:v>1198</x:v>
      </x:c>
      <x:c r="K32" s="26" t="s">
        <x:v>1298</x:v>
      </x:c>
      <x:c r="L32" s="26" t="s">
        <x:v>1299</x:v>
      </x:c>
      <x:c r="M32" s="26" t="s">
        <x:v>1300</x:v>
      </x:c>
    </x:row>
    <x:row r="33" ht="409.6000061035156">
      <x:c r="A33" s="25" t="s">
        <x:v>767</x:v>
      </x:c>
      <x:c r="B33" s="25" t="s">
        <x:v>57</x:v>
      </x:c>
      <x:c r="C33" s="25" t="s">
        <x:v>1038</x:v>
      </x:c>
      <x:c r="D33" s="25" t="s">
        <x:v>1039</x:v>
      </x:c>
      <x:c r="E33" s="25" t="s">
        <x:v>1040</x:v>
      </x:c>
      <x:c r="F33" s="25" t="s">
        <x:v>1041</x:v>
      </x:c>
      <x:c r="G33" s="25" t="str">
        <x:v>SIMPLE THREE-STAGE OWNER-CONTROLLED WORKFLOW — TRACKER v1.1.2
This is the MAIN PROMPT for W6-001. Covered tracker steps: W6-02, W6-03, W6-04, W6-05.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W6-001.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W6-001.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deployment manifests or a Helm chart for the FastAPI service using immutable ECR image digest, non-root/read-only container settings, resource requests/limits, readiness/liveness/startup probes, Service, NetworkPolicy, PodDisruptionBudget and HPA. Use EKS Pod Identity or IRSA with least privilege and no static keys. Add rolling deployment settings, revision history and a documented rollback to the last-known-good digest. Keep organization values as TODOs. Add manifest/schema and policy tests.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OWNER-GATED IMMUTABLE EKS ROLLOUT
Require W5-13, successful W5-004 Cycle B, W5-002 Phase B, EKS-001/NET-001/SLO-001 and an immutable ECR digest with matching scan/SBOM. Confirm whether EKS/VPC are project-owned or shared; shared resources are never teardown targets.
1. Static manifest/Helm/schema/Gatekeeper checks are offline. Server dry-run, cluster inspection and rollout are networked; apply/rollout/rollback are Kubernetes mutations requiring separate exact namespace/context/digest command approval beyond Column L.
2. Use non-root, read-only root filesystem, seccomp RuntimeDefault, dropped capabilities, no privilege escalation, explicit service account, least-privilege Pod Identity/IRSA, namespace RBAC and no static AWS key. Do not dump the full pod environment; test only targeted key-name absence and expected caller identity without exposing credentials.
3. NetworkPolicy is default-deny with explicit DNS, Bedrock/OpenSearch/OTel and approved ingress/egress paths; validate dependencies before enforcement. Probes have distinct startup/liveness/readiness semantics and bounded timeouts. Configure justified requests/limits, HPA min/max/metrics, PDB and rolling maxSurge/maxUnavailable with termination grace and revision history.
4. Test immutable digest, schema/policy, RBAC/service-account binding, forbidden secret literals, denied/allowed network paths, probe failures, scheduling/resources, HPA/PDB interaction, rollout timeout and rollback to prior digest. Canonical evidence: W6-02-k8s.txt, W6-03-identity.txt, W6-04-network.txt and W6-05-resilience.txt; reconcile aggregate W6-k8s/W6-identity records. No mutation without exact approval and cleanup/rollback plan.
</x:v>
      </x:c>
      <x:c r="H33" s="25" t="s">
        <x:v>1042</x:v>
      </x:c>
      <x:c r="I33" s="25" t="s">
        <x:v>1301</x:v>
      </x:c>
      <x:c r="J33" s="25" t="s">
        <x:v>1198</x:v>
      </x:c>
      <x:c r="K33" s="25" t="s">
        <x:v>1302</x:v>
      </x:c>
      <x:c r="L33" s="25" t="s">
        <x:v>1303</x:v>
      </x:c>
      <x:c r="M33" s="25" t="s">
        <x:v>1304</x:v>
      </x:c>
    </x:row>
    <x:row r="34" ht="409.6000061035156">
      <x:c r="A34" s="26" t="s">
        <x:v>808</x:v>
      </x:c>
      <x:c r="B34" s="26" t="s">
        <x:v>57</x:v>
      </x:c>
      <x:c r="C34" s="26" t="s">
        <x:v>1043</x:v>
      </x:c>
      <x:c r="D34" s="26" t="s">
        <x:v>1044</x:v>
      </x:c>
      <x:c r="E34" s="26" t="s">
        <x:v>1045</x:v>
      </x:c>
      <x:c r="F34" s="26" t="s">
        <x:v>1046</x:v>
      </x:c>
      <x:c r="G34" s="26" t="str">
        <x:v>SIMPLE THREE-STAGE OWNER-CONTROLLED WORKFLOW — TRACKER v1.1.2
This is the MAIN PROMPT for W6-002. Covered tracker steps: W6-06, W6-07, W6-08, W6-09.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W6-002.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W6-002.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OpenTelemetry Collector configuration, Prometheus scrape config, Grafana dashboard JSON, CloudWatch/X-Ray export path and alert rules for availability, p95/p99 end-to-end latency, retrieval latency, errors, throttles, token/cost rate and agent-policy failures. Define SLIs/SLOs and burn-rate alerts. Write the inference-latency-spike runbook with impact, triage, stabilization, investigation, rollback and evidence steps. Add local Qdrant-stop/LLM-timeout tests and a pre-production AWS FIS experiment plan with tag targets and alarm stop conditions; do not execute FIS.
SCOPED v1.1.2 AMENDMENT — OBSERVABILITY, SLO AND SAFE FAILURE EXERCISES
Require independently approved W6-001 plus OBS-001, SLO-001 and FIS-001 decisions. Record alert destination/on-call, telemetry retention/redaction, SLI windows/exclusions, error-budget/burn policy and FIS owner/targets/stop alarms; never invent them.
1. Keep telemetry low-cardinality and content-free. Correlate API, auth, retrieval, embedding, LLM, guardrail, approval and tool stages. Exporter failure/backpressure must be bounded and must not break the core answer path. CloudWatch/X-Ray/collector deployment is networked/Kubernetes/cloud mutation and separately authorized; local configs/tests come first.
2. Define measurable availability, p95/p99, retrieval latency, grounded/citation/safe-abstention and isolation/safety SLIs with denominators, windows and exclusions. Validate burn-rate rules against synthetic firing/non-firing series and link every alert to owner/runbook.
3. Rehearse the inference-latency runbook with impact → stabilize → isolate stage → mitigate/rollback → recover → learn, evidence and escalation. Local Qdrant stop/LLM timeout is a bounded local mutation requiring exact target, duration, restoration and cleanup approval.
4. FIS is plan-only: tag-scoped targets, blast-radius caps, IAM, stop alarms, abort/recovery and cost estimate. Do not create or execute an FIS experiment.
5. Test redaction/cardinality/correlation, alert rules, exporter outage, readiness, retry-storm prevention, timeout/fallback/refusal and full restoration. Canonical evidence: W6-06-observability.json, docs/architecture/slo.md, runbooks/inference-latency.md and W6-09-chaos.txt; reconcile aggregate W6-alerts/W6-chaos evidence.
</x:v>
      </x:c>
      <x:c r="H34" s="26" t="s">
        <x:v>1047</x:v>
      </x:c>
      <x:c r="I34" s="26" t="s">
        <x:v>1305</x:v>
      </x:c>
      <x:c r="J34" s="26" t="s">
        <x:v>1198</x:v>
      </x:c>
      <x:c r="K34" s="26" t="s">
        <x:v>1306</x:v>
      </x:c>
      <x:c r="L34" s="26" t="s">
        <x:v>1307</x:v>
      </x:c>
      <x:c r="M34" s="26" t="s">
        <x:v>1308</x:v>
      </x:c>
    </x:row>
    <x:row r="35" ht="409.6000061035156">
      <x:c r="A35" s="25" t="s">
        <x:v>851</x:v>
      </x:c>
      <x:c r="B35" s="25" t="s">
        <x:v>57</x:v>
      </x:c>
      <x:c r="C35" s="25" t="s">
        <x:v>1048</x:v>
      </x:c>
      <x:c r="D35" s="25" t="s">
        <x:v>1049</x:v>
      </x:c>
      <x:c r="E35" s="25" t="s">
        <x:v>1050</x:v>
      </x:c>
      <x:c r="F35" s="25" t="s">
        <x:v>1051</x:v>
      </x:c>
      <x:c r="G35" s="25" t="str">
        <x:v>SIMPLE THREE-STAGE OWNER-CONTROLLED WORKFLOW — TRACKER v1.1.2
This is the MAIN PROMPT for W6-003. Covered tracker steps: W6-10, W6-11, W6-13.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W6-003.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W6-003.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final verification command that installs dependencies, starts Qdrant, runs unit/contract/integration/security tests, ingests sample data, executes a cited query, runs the golden evaluation, validates Terraform and policies, verifies container/SBOM scans, checks EKS health when available, performs an approved release rollback drill, generates a destroy plan and runs verify-clean after owner-approved teardown. Produce a redacted evidence index and update ADRs with actual results and variances. Never auto-approve or conceal failures.
SCOPED v1.1.2 AMENDMENT — TWO-PHASE FINAL PROOF, ROLLBACK, TEARDOWN DEPENDENCY AND HANDOVER
This prompt is executed in two separately approved phases. make final-proof must be a fail-closed orchestrator that classifies offline, networked, paid and mutating subcommands; it must never hide or auto-authorize Docker, AWS, Kubernetes, apply/destroy or paid judge calls.
PHASE A — W6-10 AND W6-11
- Require W6-01 through W6-09, an approved sandbox window, exact implementation/release hashes and complete evidence inventory.
- Run local and sandbox cited-query, golden evaluation, authorization/security, telemetry and platform checks only under their approvals. Distinguish NOT RUN, expected policy denial and PASS. Prove a safe release regression, restore the prior immutable digest/configuration and revalidate health, query, evaluation, isolation and traces. Do not destroy infrastructure as rollback.
- Canonical evidence: docs/test-evidence/W6-final-index.md and docs/rollback-records/W6-release.md.
- Stop after W6-11 and require W5-004 Cycle C to complete W6-12 final teardown independently.
PHASE B — W6-13 HANDOVER
- Start only after W5-004 Cycle C independently proves docs/resource-cleanliness/W6-final.json with zero active project resources except the documented KMS PendingDeletion state and follow-up date.
- Reconcile every Week 1–6 MUST acceptance, decision, evidence path, failure/skip, cost/privacy result, release rollback, infrastructure rollback and teardown. Update ADR outcomes/variances without rewriting history. Produce the final architecture explanation/demo checklist and identify residual risks/TODOs.
Each phase has its own pre-edit approval, TEST-001 and owner approval. Do not pre-claim final acceptance, edit Excel, stage, commit or push. Any regression, missing evidence, unapproved mutation, active residual or inconsistent report blocks handover.
</x:v>
      </x:c>
      <x:c r="H35" s="25" t="s">
        <x:v>853</x:v>
      </x:c>
      <x:c r="I35" s="25" t="s">
        <x:v>1309</x:v>
      </x:c>
      <x:c r="J35" s="25" t="s">
        <x:v>1198</x:v>
      </x:c>
      <x:c r="K35" s="25" t="s">
        <x:v>1310</x:v>
      </x:c>
      <x:c r="L35" s="25" t="s">
        <x:v>1311</x:v>
      </x:c>
      <x:c r="M35" s="25" t="s">
        <x:v>1312</x:v>
      </x:c>
    </x:row>
    <x:row r="36" ht="273.6000061035156">
      <x:c r="A36" s="26" t="s">
        <x:v>219</x:v>
      </x:c>
      <x:c r="B36" s="26" t="s">
        <x:v>1313</x:v>
      </x:c>
      <x:c r="C36" s="26" t="s">
        <x:v>935</x:v>
      </x:c>
      <x:c r="D36" s="26" t="s">
        <x:v>1314</x:v>
      </x:c>
      <x:c r="E36" s="26" t="s">
        <x:v>937</x:v>
      </x:c>
      <x:c r="F36" s="26" t="s">
        <x:v>938</x:v>
      </x:c>
      <x:c r="G36" s="26" t="str">
        <x:v>SIMPLE THREE-STAGE OWNER-CONTROLLED WORKFLOW — TRACKER v1.1.2 PROMPT CONTROL
This is the MAIN PROMPT for WEEKLY-REVIEW-001. Covered tracker steps: W1-12, W2-12, W3-12, W4-12, W5-13.
FIRST RESPONSE — PRE-EDIT REVIEW ONLY
Inspect the repository, the exact weekly tracker rows and governing inputs, but do not create, edit, delete, install, start a service or mutate any local/cloud resource.
1. Reconcile every MUST row for TODO_WEEK with its Prompt ID, prerequisites, Owner TODOs, acceptance criteria, commands, expected result, canonical evidence, ADRs, rollback/teardown and actual status.
2. Reconcile tracker → repository artifacts → evidence → approvals/commits → normal developer commands. Include tracked, untracked, ignored and Git-invisible state.
3. List every mismatch, stale evidence path, missing decision, failed/not-run test, unapproved path, residue, accepted risk and deferred item. Never infer Done from a feature prompt or local PASS.
4. Define the exact sign-off file change, safe required verification and final owner-controlled tracker update. Reuse current independent results when hashes are unchanged; do not invent a redundant full retest.
5. Report cost, privacy/data-residency, release rollback, infrastructure rollback, complete teardown and residual-resource risk.
If any MUST requirement or governing decision is unresolved, report BLOCKED and stop. Otherwise end exactly: READY FOR PRE-EDIT REVIEW — WEEKLY-REVIEW-001. Stop.
SECOND RESPONSE — ONLY AFTER OWNER PASTES THE MATCHING PRE-EDIT APPROVAL FROM COLUMN L
Create or update only docs/deployment-records/TODO_WEEK-signoff.md within the approved boundary. Preserve every historical failure and actual result. Status remains PENDING OWNER APPROVAL until the owner reviews it. Do not edit Excel, stage, commit, push or begin the next week unless separately authorized.
Show the exact diff, commands/results, evidence mapping, cost/privacy impact, rollback/teardown and remaining items.
End exactly: READY FOR INDEPENDENT TEST — WEEKLY-REVIEW-001. Stop.
SCOPED v1.1.2 AMENDMENT — PHASE-AWARE WEEKLY CLOSURE
For Week 3 confirm W4-003 Phase A/W3-09 completed before W3 sign-off. For Week 5 confirm W5-002 Phase A and W5-004 Cycle A completed; W5-002 Phase B and W5-004 Cycles B/C remain future gated work and are not pre-approved. For every week, reconcile step-level canonical evidence with aggregate Test Evidence Register paths, and verify prompt phase/cycle-specific independent PASS/final approval. A sign-off must reflect current lifecycle state: pending/unapproved means absent; completed and owner-approved means exactly one structurally valid record. Never mark a future cross-week phase Done, infer approval from local validation or create the next week's sign-off early.
</x:v>
      </x:c>
      <x:c r="H36" s="26" t="s">
        <x:v>939</x:v>
      </x:c>
      <x:c r="I36" s="26" t="s">
        <x:v>1315</x:v>
      </x:c>
      <x:c r="J36" s="26" t="s">
        <x:v>1316</x:v>
      </x:c>
      <x:c r="K36" s="26" t="s">
        <x:v>1317</x:v>
      </x:c>
      <x:c r="L36" s="26" t="s">
        <x:v>1318</x:v>
      </x:c>
      <x:c r="M36" s="26" t="s">
        <x:v>1319</x:v>
      </x:c>
    </x:row>
    <x:row r="37" ht="409.6000061035156">
      <x:c r="A37" s="25" t="s">
        <x:v>1320</x:v>
      </x:c>
      <x:c r="B37" s="25" t="s">
        <x:v>1321</x:v>
      </x:c>
      <x:c r="C37" s="25" t="s">
        <x:v>1322</x:v>
      </x:c>
      <x:c r="D37" s="25" t="s">
        <x:v>1323</x:v>
      </x:c>
      <x:c r="E37" s="25" t="s">
        <x:v>1324</x:v>
      </x:c>
      <x:c r="F37" s="25" t="s">
        <x:v>1325</x:v>
      </x:c>
      <x:c r="G37" s="25" t="s">
        <x:v>1326</x:v>
      </x:c>
      <x:c r="H37" s="25" t="s">
        <x:v>1327</x:v>
      </x:c>
      <x:c r="I37" s="25" t="s">
        <x:v>1328</x:v>
      </x:c>
      <x:c r="J37" s="25" t="s">
        <x:v>1198</x:v>
      </x:c>
      <x:c r="K37" s="25" t="s">
        <x:v>1321</x:v>
      </x:c>
      <x:c r="L37" s="25" t="s">
        <x:v>1329</x:v>
      </x:c>
      <x:c r="M37" s="25" t="s">
        <x:v>1330</x:v>
      </x:c>
    </x:row>
    <x:row r="38" ht="409.6000061035156">
      <x:c r="A38" s="26" t="s">
        <x:v>1331</x:v>
      </x:c>
      <x:c r="B38" s="26" t="s">
        <x:v>1321</x:v>
      </x:c>
      <x:c r="C38" s="26" t="s">
        <x:v>1332</x:v>
      </x:c>
      <x:c r="D38" s="26" t="s">
        <x:v>1333</x:v>
      </x:c>
      <x:c r="E38" s="26" t="s">
        <x:v>1334</x:v>
      </x:c>
      <x:c r="F38" s="26" t="s">
        <x:v>1335</x:v>
      </x:c>
      <x:c r="G38" s="26" t="s">
        <x:v>1336</x:v>
      </x:c>
      <x:c r="H38" s="26" t="s">
        <x:v>1337</x:v>
      </x:c>
      <x:c r="I38" s="26" t="s">
        <x:v>1338</x:v>
      </x:c>
      <x:c r="J38" s="26" t="s">
        <x:v>1198</x:v>
      </x:c>
      <x:c r="K38" s="26" t="s">
        <x:v>1321</x:v>
      </x:c>
      <x:c r="L38" s="26" t="s">
        <x:v>1339</x:v>
      </x:c>
      <x:c r="M38" s="26" t="s">
        <x:v>1340</x:v>
      </x:c>
    </x:row>
    <x:row r="39" ht="409.6000061035156" customHeight="1">
      <x:c r="A39" s="30" t="s">
        <x:v>1341</x:v>
      </x:c>
      <x:c r="B39" s="30" t="s">
        <x:v>36</x:v>
      </x:c>
      <x:c r="C39" s="30" t="s">
        <x:v>1342</x:v>
      </x:c>
      <x:c r="D39" s="30" t="s">
        <x:v>1343</x:v>
      </x:c>
      <x:c r="E39" s="30" t="s">
        <x:v>1344</x:v>
      </x:c>
      <x:c r="F39" s="30" t="s">
        <x:v>1345</x:v>
      </x:c>
      <x:c r="G39" s="31" t="s">
        <x:v>1346</x:v>
      </x:c>
      <x:c r="H39" s="30" t="s">
        <x:v>1347</x:v>
      </x:c>
      <x:c r="I39" s="30" t="s">
        <x:v>1348</x:v>
      </x:c>
      <x:c r="J39" s="30" t="s">
        <x:v>1349</x:v>
      </x:c>
      <x:c r="K39" s="30" t="s">
        <x:v>1350</x:v>
      </x:c>
      <x:c r="L39" s="30" t="s">
        <x:v>1351</x:v>
      </x:c>
      <x:c r="M39" s="30" t="s">
        <x:v>1352</x:v>
      </x:c>
    </x:row>
  </x:sheetData>
  <x:mergeCells>
    <x:mergeCell ref="A1:J1"/>
    <x:mergeCell ref="A2:J2"/>
  </x:mergeCells>
  <x:conditionalFormatting sqref="J6:J29">
    <x:cfRule type="containsText" dxfId="19" priority="1" operator="containsText" text="Approved"/>
    <x:cfRule type="containsText" dxfId="18" priority="2" operator="containsText" text="Blocked"/>
    <x:cfRule type="containsText" dxfId="17" priority="3" operator="containsText" text="In Progress"/>
    <x:cfRule type="containsText" dxfId="16" priority="4" operator="containsText" text="Ready for Review"/>
  </x:conditionalFormatting>
  <x:dataValidations count="1">
    <x:dataValidation type="list" sqref="J6:J29">
      <x:formula1>"Required before next prompt,Approved,Changes Requested,Blocked"</x:formula1>
    </x:dataValidation>
  </x:dataValidations>
  <x:pageMargins left="0.7" right="0.7" top="0.75" bottom="0.75" header="0.3" footer="0.3"/>
  <x:tableParts count="1">
    <x:tablePart xmlns:r="http://schemas.openxmlformats.org/officeDocument/2006/relationships" r:id="R466a1431279c42e2"/>
  </x:tableParts>
</x:worksheet>
</file>

<file path=xl/worksheets/sheet12.xml><?xml version="1.0" encoding="utf-8"?>
<x:worksheet xmlns:x="http://schemas.openxmlformats.org/spreadsheetml/2006/main">
  <x:sheetViews>
    <x:sheetView showGridLines="0" workbookViewId="0"/>
  </x:sheetViews>
  <x:sheetFormatPr defaultRowHeight="13.800000190734863"/>
  <x:cols>
    <x:col min="1" max="1" width="13" customWidth="1"/>
    <x:col min="2" max="2" width="10" customWidth="1"/>
    <x:col min="3" max="3" width="13" customWidth="1"/>
    <x:col min="4" max="4" width="32" customWidth="1"/>
    <x:col min="5" max="5" width="46" customWidth="1"/>
    <x:col min="6" max="6" width="40" customWidth="1"/>
    <x:col min="7" max="7" width="34" customWidth="1"/>
    <x:col min="8" max="8" width="12" customWidth="1"/>
    <x:col min="9" max="9" width="13" customWidth="1"/>
    <x:col min="10" max="10" width="36" customWidth="1"/>
    <x:col min="11" max="11" width="26" customWidth="1"/>
    <x:col min="12" max="12" width="18" customWidth="1"/>
  </x:cols>
  <x:sheetData>
    <x:row r="1" ht="31.950000762939453" customHeight="1">
      <x:c r="A1" s="32" t="s">
        <x:v>1353</x:v>
      </x:c>
      <x:c r="B1" s="32"/>
      <x:c r="C1" s="32"/>
      <x:c r="D1" s="32"/>
      <x:c r="E1" s="32"/>
      <x:c r="F1" s="32"/>
      <x:c r="G1" s="32"/>
      <x:c r="H1" s="32"/>
      <x:c r="I1" s="32"/>
      <x:c r="J1" s="32"/>
      <x:c r="K1" s="32"/>
      <x:c r="L1" s="32"/>
    </x:row>
    <x:row r="2" ht="31.950000762939453" customHeight="1">
      <x:c r="A2" s="33" t="s">
        <x:v>1354</x:v>
      </x:c>
      <x:c r="B2" s="33"/>
      <x:c r="C2" s="33"/>
      <x:c r="D2" s="33"/>
      <x:c r="E2" s="33"/>
      <x:c r="F2" s="33"/>
      <x:c r="G2" s="33"/>
      <x:c r="H2" s="33"/>
      <x:c r="I2" s="33"/>
      <x:c r="J2" s="33"/>
      <x:c r="K2" s="33"/>
      <x:c r="L2" s="33"/>
    </x:row>
    <x:row r="5" ht="28.049999237060547" customHeight="1">
      <x:c r="A5" s="1" t="s">
        <x:v>1355</x:v>
      </x:c>
      <x:c r="B5" s="2" t="s">
        <x:v>50</x:v>
      </x:c>
      <x:c r="C5" s="2" t="s">
        <x:v>1356</x:v>
      </x:c>
      <x:c r="D5" s="2" t="s">
        <x:v>86</x:v>
      </x:c>
      <x:c r="E5" s="2" t="s">
        <x:v>1357</x:v>
      </x:c>
      <x:c r="F5" s="2" t="s">
        <x:v>77</x:v>
      </x:c>
      <x:c r="G5" s="2" t="s">
        <x:v>78</x:v>
      </x:c>
      <x:c r="H5" s="2" t="s">
        <x:v>82</x:v>
      </x:c>
      <x:c r="I5" s="2" t="s">
        <x:v>1358</x:v>
      </x:c>
      <x:c r="J5" s="2" t="s">
        <x:v>1359</x:v>
      </x:c>
      <x:c r="K5" s="2" t="s">
        <x:v>1360</x:v>
      </x:c>
      <x:c r="L5" s="3" t="s">
        <x:v>1361</x:v>
      </x:c>
    </x:row>
    <x:row r="6" ht="45.599998474121094">
      <x:c r="A6" s="10" t="s">
        <x:v>1362</x:v>
      </x:c>
      <x:c r="B6" s="10" t="s">
        <x:v>36</x:v>
      </x:c>
      <x:c r="C6" s="10" t="s">
        <x:v>1363</x:v>
      </x:c>
      <x:c r="D6" s="10" t="s">
        <x:v>1364</x:v>
      </x:c>
      <x:c r="E6" s="10" t="s">
        <x:v>1365</x:v>
      </x:c>
      <x:c r="F6" s="10" t="s">
        <x:v>1366</x:v>
      </x:c>
      <x:c r="G6" s="10" t="s">
        <x:v>145</x:v>
      </x:c>
      <x:c r="H6" s="10" t="s">
        <x:v>1367</x:v>
      </x:c>
      <x:c r="I6" s="17">
        <x:v>46252</x:v>
      </x:c>
      <x:c r="J6" s="10" t="s">
        <x:v>1368</x:v>
      </x:c>
      <x:c r="K6" s="10" t="s">
        <x:v>1369</x:v>
      </x:c>
      <x:c r="L6" s="10" t="s">
        <x:v>1370</x:v>
      </x:c>
    </x:row>
    <x:row r="7" ht="45.599998474121094">
      <x:c r="A7" s="11" t="s">
        <x:v>1371</x:v>
      </x:c>
      <x:c r="B7" s="11" t="s">
        <x:v>36</x:v>
      </x:c>
      <x:c r="C7" s="11" t="s">
        <x:v>902</x:v>
      </x:c>
      <x:c r="D7" s="11" t="s">
        <x:v>1372</x:v>
      </x:c>
      <x:c r="E7" s="11" t="s">
        <x:v>132</x:v>
      </x:c>
      <x:c r="F7" s="11" t="s">
        <x:v>1373</x:v>
      </x:c>
      <x:c r="G7" s="11" t="s">
        <x:v>134</x:v>
      </x:c>
      <x:c r="H7" s="11" t="s">
        <x:v>1367</x:v>
      </x:c>
      <x:c r="I7" s="18">
        <x:v>46252</x:v>
      </x:c>
      <x:c r="J7" s="11" t="s">
        <x:v>1374</x:v>
      </x:c>
      <x:c r="K7" s="11" t="s">
        <x:v>1369</x:v>
      </x:c>
      <x:c r="L7" s="11" t="s">
        <x:v>1370</x:v>
      </x:c>
    </x:row>
    <x:row r="8" ht="57">
      <x:c r="A8" s="11" t="s">
        <x:v>1375</x:v>
      </x:c>
      <x:c r="B8" s="11" t="s">
        <x:v>36</x:v>
      </x:c>
      <x:c r="C8" s="11" t="s">
        <x:v>1376</x:v>
      </x:c>
      <x:c r="D8" s="11" t="s">
        <x:v>1377</x:v>
      </x:c>
      <x:c r="E8" s="11" t="s">
        <x:v>176</x:v>
      </x:c>
      <x:c r="F8" s="11" t="s">
        <x:v>1378</x:v>
      </x:c>
      <x:c r="G8" s="11" t="s">
        <x:v>178</x:v>
      </x:c>
      <x:c r="H8" s="11" t="s">
        <x:v>1367</x:v>
      </x:c>
      <x:c r="I8" s="18">
        <x:v>46252</x:v>
      </x:c>
      <x:c r="J8" s="11" t="s">
        <x:v>1379</x:v>
      </x:c>
      <x:c r="K8" s="11" t="s">
        <x:v>1380</x:v>
      </x:c>
      <x:c r="L8" s="11" t="s">
        <x:v>1370</x:v>
      </x:c>
    </x:row>
    <x:row r="9" ht="45.599998474121094">
      <x:c r="A9" s="11" t="s">
        <x:v>1381</x:v>
      </x:c>
      <x:c r="B9" s="11" t="s">
        <x:v>36</x:v>
      </x:c>
      <x:c r="C9" s="11" t="s">
        <x:v>1382</x:v>
      </x:c>
      <x:c r="D9" s="11" t="s">
        <x:v>1383</x:v>
      </x:c>
      <x:c r="E9" s="11" t="s">
        <x:v>210</x:v>
      </x:c>
      <x:c r="F9" s="11" t="s">
        <x:v>1384</x:v>
      </x:c>
      <x:c r="G9" s="11" t="s">
        <x:v>212</x:v>
      </x:c>
      <x:c r="H9" s="11" t="s">
        <x:v>1367</x:v>
      </x:c>
      <x:c r="I9" s="18">
        <x:v>46252</x:v>
      </x:c>
      <x:c r="J9" s="11" t="s">
        <x:v>1385</x:v>
      </x:c>
      <x:c r="K9" s="11" t="s">
        <x:v>1386</x:v>
      </x:c>
      <x:c r="L9" s="11" t="s">
        <x:v>1370</x:v>
      </x:c>
    </x:row>
    <x:row r="10">
      <x:c r="A10" s="11" t="s">
        <x:v>1387</x:v>
      </x:c>
      <x:c r="B10" s="11" t="s">
        <x:v>53</x:v>
      </x:c>
      <x:c r="C10" s="11" t="s">
        <x:v>1363</x:v>
      </x:c>
      <x:c r="D10" s="11" t="s">
        <x:v>1388</x:v>
      </x:c>
      <x:c r="E10" s="11" t="s">
        <x:v>235</x:v>
      </x:c>
      <x:c r="F10" s="11" t="s">
        <x:v>1389</x:v>
      </x:c>
      <x:c r="G10" s="11" t="s">
        <x:v>1390</x:v>
      </x:c>
      <x:c r="H10" s="11" t="s">
        <x:v>1391</x:v>
      </x:c>
      <x:c r="I10" s="18"/>
      <x:c r="J10" s="11"/>
      <x:c r="K10" s="11"/>
      <x:c r="L10" s="11"/>
    </x:row>
    <x:row r="11">
      <x:c r="A11" s="11" t="s">
        <x:v>1392</x:v>
      </x:c>
      <x:c r="B11" s="11" t="s">
        <x:v>53</x:v>
      </x:c>
      <x:c r="C11" s="11" t="s">
        <x:v>1393</x:v>
      </x:c>
      <x:c r="D11" s="11" t="s">
        <x:v>1394</x:v>
      </x:c>
      <x:c r="E11" s="11" t="s">
        <x:v>1395</x:v>
      </x:c>
      <x:c r="F11" s="11" t="s">
        <x:v>1396</x:v>
      </x:c>
      <x:c r="G11" s="11" t="s">
        <x:v>1397</x:v>
      </x:c>
      <x:c r="H11" s="11" t="s">
        <x:v>1391</x:v>
      </x:c>
      <x:c r="I11" s="18"/>
      <x:c r="J11" s="11"/>
      <x:c r="K11" s="11"/>
      <x:c r="L11" s="11"/>
    </x:row>
    <x:row r="12">
      <x:c r="A12" s="11" t="s">
        <x:v>1398</x:v>
      </x:c>
      <x:c r="B12" s="11" t="s">
        <x:v>53</x:v>
      </x:c>
      <x:c r="C12" s="11" t="s">
        <x:v>1363</x:v>
      </x:c>
      <x:c r="D12" s="11" t="s">
        <x:v>1399</x:v>
      </x:c>
      <x:c r="E12" s="11" t="s">
        <x:v>279</x:v>
      </x:c>
      <x:c r="F12" s="11" t="s">
        <x:v>1400</x:v>
      </x:c>
      <x:c r="G12" s="11" t="s">
        <x:v>1401</x:v>
      </x:c>
      <x:c r="H12" s="11" t="s">
        <x:v>1391</x:v>
      </x:c>
      <x:c r="I12" s="18"/>
      <x:c r="J12" s="11"/>
      <x:c r="K12" s="11"/>
      <x:c r="L12" s="11"/>
    </x:row>
    <x:row r="13" ht="22.799999237060547">
      <x:c r="A13" s="11" t="s">
        <x:v>1402</x:v>
      </x:c>
      <x:c r="B13" s="11" t="s">
        <x:v>53</x:v>
      </x:c>
      <x:c r="C13" s="11" t="s">
        <x:v>1376</x:v>
      </x:c>
      <x:c r="D13" s="11" t="s">
        <x:v>1403</x:v>
      </x:c>
      <x:c r="E13" s="11" t="s">
        <x:v>1404</x:v>
      </x:c>
      <x:c r="F13" s="11" t="s">
        <x:v>1405</x:v>
      </x:c>
      <x:c r="G13" s="11" t="s">
        <x:v>1406</x:v>
      </x:c>
      <x:c r="H13" s="11" t="s">
        <x:v>1391</x:v>
      </x:c>
      <x:c r="I13" s="18"/>
      <x:c r="J13" s="11"/>
      <x:c r="K13" s="11"/>
      <x:c r="L13" s="11"/>
    </x:row>
    <x:row r="14">
      <x:c r="A14" s="11" t="s">
        <x:v>1407</x:v>
      </x:c>
      <x:c r="B14" s="11" t="s">
        <x:v>53</x:v>
      </x:c>
      <x:c r="C14" s="11" t="s">
        <x:v>902</x:v>
      </x:c>
      <x:c r="D14" s="11" t="s">
        <x:v>1408</x:v>
      </x:c>
      <x:c r="E14" s="11" t="s">
        <x:v>1409</x:v>
      </x:c>
      <x:c r="F14" s="11" t="s">
        <x:v>1410</x:v>
      </x:c>
      <x:c r="G14" s="11" t="s">
        <x:v>1411</x:v>
      </x:c>
      <x:c r="H14" s="11" t="s">
        <x:v>1391</x:v>
      </x:c>
      <x:c r="I14" s="18"/>
      <x:c r="J14" s="11"/>
      <x:c r="K14" s="11"/>
      <x:c r="L14" s="11"/>
    </x:row>
    <x:row r="15">
      <x:c r="A15" s="11" t="s">
        <x:v>1412</x:v>
      </x:c>
      <x:c r="B15" s="11" t="s">
        <x:v>53</x:v>
      </x:c>
      <x:c r="C15" s="11" t="s">
        <x:v>1382</x:v>
      </x:c>
      <x:c r="D15" s="11" t="s">
        <x:v>1413</x:v>
      </x:c>
      <x:c r="E15" s="11" t="s">
        <x:v>1414</x:v>
      </x:c>
      <x:c r="F15" s="11" t="s">
        <x:v>1415</x:v>
      </x:c>
      <x:c r="G15" s="11" t="s">
        <x:v>1416</x:v>
      </x:c>
      <x:c r="H15" s="11" t="s">
        <x:v>1391</x:v>
      </x:c>
      <x:c r="I15" s="18"/>
      <x:c r="J15" s="11"/>
      <x:c r="K15" s="11"/>
      <x:c r="L15" s="11"/>
    </x:row>
    <x:row r="16">
      <x:c r="A16" s="11" t="s">
        <x:v>1417</x:v>
      </x:c>
      <x:c r="B16" s="11" t="s">
        <x:v>54</x:v>
      </x:c>
      <x:c r="C16" s="11" t="s">
        <x:v>1363</x:v>
      </x:c>
      <x:c r="D16" s="11" t="s">
        <x:v>1418</x:v>
      </x:c>
      <x:c r="E16" s="11" t="s">
        <x:v>399</x:v>
      </x:c>
      <x:c r="F16" s="11" t="s">
        <x:v>1419</x:v>
      </x:c>
      <x:c r="G16" s="11" t="s">
        <x:v>1420</x:v>
      </x:c>
      <x:c r="H16" s="11" t="s">
        <x:v>1391</x:v>
      </x:c>
      <x:c r="I16" s="18"/>
      <x:c r="J16" s="11"/>
      <x:c r="K16" s="11"/>
      <x:c r="L16" s="11"/>
    </x:row>
    <x:row r="17">
      <x:c r="A17" s="11" t="s">
        <x:v>1421</x:v>
      </x:c>
      <x:c r="B17" s="11" t="s">
        <x:v>54</x:v>
      </x:c>
      <x:c r="C17" s="11" t="s">
        <x:v>1376</x:v>
      </x:c>
      <x:c r="D17" s="11" t="s">
        <x:v>1422</x:v>
      </x:c>
      <x:c r="E17" s="11" t="s">
        <x:v>442</x:v>
      </x:c>
      <x:c r="F17" s="11" t="s">
        <x:v>1423</x:v>
      </x:c>
      <x:c r="G17" s="11" t="s">
        <x:v>1424</x:v>
      </x:c>
      <x:c r="H17" s="11" t="s">
        <x:v>1391</x:v>
      </x:c>
      <x:c r="I17" s="18"/>
      <x:c r="J17" s="11"/>
      <x:c r="K17" s="11"/>
      <x:c r="L17" s="11"/>
    </x:row>
    <x:row r="18">
      <x:c r="A18" s="11" t="s">
        <x:v>1425</x:v>
      </x:c>
      <x:c r="B18" s="11" t="s">
        <x:v>54</x:v>
      </x:c>
      <x:c r="C18" s="11" t="s">
        <x:v>1426</x:v>
      </x:c>
      <x:c r="D18" s="11" t="s">
        <x:v>1427</x:v>
      </x:c>
      <x:c r="E18" s="11" t="s">
        <x:v>464</x:v>
      </x:c>
      <x:c r="F18" s="11" t="s">
        <x:v>1428</x:v>
      </x:c>
      <x:c r="G18" s="11" t="s">
        <x:v>434</x:v>
      </x:c>
      <x:c r="H18" s="11" t="s">
        <x:v>1391</x:v>
      </x:c>
      <x:c r="I18" s="18"/>
      <x:c r="J18" s="11"/>
      <x:c r="K18" s="11"/>
      <x:c r="L18" s="11"/>
    </x:row>
    <x:row r="19">
      <x:c r="A19" s="11" t="s">
        <x:v>1429</x:v>
      </x:c>
      <x:c r="B19" s="11" t="s">
        <x:v>54</x:v>
      </x:c>
      <x:c r="C19" s="11" t="s">
        <x:v>1430</x:v>
      </x:c>
      <x:c r="D19" s="11" t="s">
        <x:v>1431</x:v>
      </x:c>
      <x:c r="E19" s="11" t="s">
        <x:v>474</x:v>
      </x:c>
      <x:c r="F19" s="11" t="s">
        <x:v>1432</x:v>
      </x:c>
      <x:c r="G19" s="11" t="s">
        <x:v>476</x:v>
      </x:c>
      <x:c r="H19" s="11" t="s">
        <x:v>1391</x:v>
      </x:c>
      <x:c r="I19" s="18"/>
      <x:c r="J19" s="11"/>
      <x:c r="K19" s="11"/>
      <x:c r="L19" s="11"/>
    </x:row>
    <x:row r="20">
      <x:c r="A20" s="11" t="s">
        <x:v>1433</x:v>
      </x:c>
      <x:c r="B20" s="11" t="s">
        <x:v>55</x:v>
      </x:c>
      <x:c r="C20" s="11" t="s">
        <x:v>1363</x:v>
      </x:c>
      <x:c r="D20" s="11" t="s">
        <x:v>1434</x:v>
      </x:c>
      <x:c r="E20" s="11" t="s">
        <x:v>495</x:v>
      </x:c>
      <x:c r="F20" s="11" t="s">
        <x:v>1435</x:v>
      </x:c>
      <x:c r="G20" s="11" t="s">
        <x:v>1436</x:v>
      </x:c>
      <x:c r="H20" s="11" t="s">
        <x:v>1391</x:v>
      </x:c>
      <x:c r="I20" s="18"/>
      <x:c r="J20" s="11"/>
      <x:c r="K20" s="11"/>
      <x:c r="L20" s="11"/>
    </x:row>
    <x:row r="21">
      <x:c r="A21" s="11" t="s">
        <x:v>1437</x:v>
      </x:c>
      <x:c r="B21" s="11" t="s">
        <x:v>55</x:v>
      </x:c>
      <x:c r="C21" s="11" t="s">
        <x:v>1376</x:v>
      </x:c>
      <x:c r="D21" s="11" t="s">
        <x:v>1438</x:v>
      </x:c>
      <x:c r="E21" s="11" t="s">
        <x:v>533</x:v>
      </x:c>
      <x:c r="F21" s="11" t="s">
        <x:v>1439</x:v>
      </x:c>
      <x:c r="G21" s="11" t="s">
        <x:v>1440</x:v>
      </x:c>
      <x:c r="H21" s="11" t="s">
        <x:v>1391</x:v>
      </x:c>
      <x:c r="I21" s="18"/>
      <x:c r="J21" s="11"/>
      <x:c r="K21" s="11"/>
      <x:c r="L21" s="11"/>
    </x:row>
    <x:row r="22">
      <x:c r="A22" s="11" t="s">
        <x:v>1441</x:v>
      </x:c>
      <x:c r="B22" s="11" t="s">
        <x:v>55</x:v>
      </x:c>
      <x:c r="C22" s="11" t="s">
        <x:v>902</x:v>
      </x:c>
      <x:c r="D22" s="11" t="s">
        <x:v>1442</x:v>
      </x:c>
      <x:c r="E22" s="11" t="s">
        <x:v>1443</x:v>
      </x:c>
      <x:c r="F22" s="11" t="s">
        <x:v>1444</x:v>
      </x:c>
      <x:c r="G22" s="11" t="s">
        <x:v>1445</x:v>
      </x:c>
      <x:c r="H22" s="11" t="s">
        <x:v>1391</x:v>
      </x:c>
      <x:c r="I22" s="18"/>
      <x:c r="J22" s="11"/>
      <x:c r="K22" s="11"/>
      <x:c r="L22" s="11"/>
    </x:row>
    <x:row r="23" ht="22.799999237060547">
      <x:c r="A23" s="11" t="s">
        <x:v>1446</x:v>
      </x:c>
      <x:c r="B23" s="11" t="s">
        <x:v>55</x:v>
      </x:c>
      <x:c r="C23" s="11" t="s">
        <x:v>560</x:v>
      </x:c>
      <x:c r="D23" s="11" t="s">
        <x:v>1447</x:v>
      </x:c>
      <x:c r="E23" s="11" t="s">
        <x:v>1448</x:v>
      </x:c>
      <x:c r="F23" s="11" t="s">
        <x:v>1449</x:v>
      </x:c>
      <x:c r="G23" s="11" t="s">
        <x:v>1450</x:v>
      </x:c>
      <x:c r="H23" s="11" t="s">
        <x:v>1391</x:v>
      </x:c>
      <x:c r="I23" s="18"/>
      <x:c r="J23" s="11"/>
      <x:c r="K23" s="11"/>
      <x:c r="L23" s="11"/>
    </x:row>
    <x:row r="24">
      <x:c r="A24" s="11" t="s">
        <x:v>1451</x:v>
      </x:c>
      <x:c r="B24" s="11" t="s">
        <x:v>55</x:v>
      </x:c>
      <x:c r="C24" s="11" t="s">
        <x:v>1430</x:v>
      </x:c>
      <x:c r="D24" s="11" t="s">
        <x:v>1452</x:v>
      </x:c>
      <x:c r="E24" s="11" t="s">
        <x:v>597</x:v>
      </x:c>
      <x:c r="F24" s="11" t="s">
        <x:v>1453</x:v>
      </x:c>
      <x:c r="G24" s="11" t="s">
        <x:v>599</x:v>
      </x:c>
      <x:c r="H24" s="11" t="s">
        <x:v>1391</x:v>
      </x:c>
      <x:c r="I24" s="18"/>
      <x:c r="J24" s="11"/>
      <x:c r="K24" s="11"/>
      <x:c r="L24" s="11"/>
    </x:row>
    <x:row r="25" ht="22.799999237060547">
      <x:c r="A25" s="11" t="s">
        <x:v>1454</x:v>
      </x:c>
      <x:c r="B25" s="11" t="s">
        <x:v>56</x:v>
      </x:c>
      <x:c r="C25" s="11" t="s">
        <x:v>1455</x:v>
      </x:c>
      <x:c r="D25" s="11" t="s">
        <x:v>1456</x:v>
      </x:c>
      <x:c r="E25" s="11" t="s">
        <x:v>1457</x:v>
      </x:c>
      <x:c r="F25" s="11" t="s">
        <x:v>1458</x:v>
      </x:c>
      <x:c r="G25" s="11" t="s">
        <x:v>1459</x:v>
      </x:c>
      <x:c r="H25" s="11" t="s">
        <x:v>1391</x:v>
      </x:c>
      <x:c r="I25" s="18"/>
      <x:c r="J25" s="11"/>
      <x:c r="K25" s="11"/>
      <x:c r="L25" s="11"/>
    </x:row>
    <x:row r="26">
      <x:c r="A26" s="11" t="s">
        <x:v>1460</x:v>
      </x:c>
      <x:c r="B26" s="11" t="s">
        <x:v>56</x:v>
      </x:c>
      <x:c r="C26" s="11" t="s">
        <x:v>1461</x:v>
      </x:c>
      <x:c r="D26" s="11" t="s">
        <x:v>1462</x:v>
      </x:c>
      <x:c r="E26" s="11" t="s">
        <x:v>1463</x:v>
      </x:c>
      <x:c r="F26" s="11" t="s">
        <x:v>1464</x:v>
      </x:c>
      <x:c r="G26" s="11" t="s">
        <x:v>1465</x:v>
      </x:c>
      <x:c r="H26" s="11" t="s">
        <x:v>1391</x:v>
      </x:c>
      <x:c r="I26" s="18"/>
      <x:c r="J26" s="11"/>
      <x:c r="K26" s="11"/>
      <x:c r="L26" s="11"/>
    </x:row>
    <x:row r="27">
      <x:c r="A27" s="11" t="s">
        <x:v>1466</x:v>
      </x:c>
      <x:c r="B27" s="11" t="s">
        <x:v>56</x:v>
      </x:c>
      <x:c r="C27" s="11" t="s">
        <x:v>1455</x:v>
      </x:c>
      <x:c r="D27" s="11" t="s">
        <x:v>1467</x:v>
      </x:c>
      <x:c r="E27" s="11" t="s">
        <x:v>708</x:v>
      </x:c>
      <x:c r="F27" s="11" t="s">
        <x:v>1468</x:v>
      </x:c>
      <x:c r="G27" s="11" t="s">
        <x:v>710</x:v>
      </x:c>
      <x:c r="H27" s="11" t="s">
        <x:v>1391</x:v>
      </x:c>
      <x:c r="I27" s="18"/>
      <x:c r="J27" s="11"/>
      <x:c r="K27" s="11"/>
      <x:c r="L27" s="11"/>
    </x:row>
    <x:row r="28">
      <x:c r="A28" s="11" t="s">
        <x:v>1469</x:v>
      </x:c>
      <x:c r="B28" s="11" t="s">
        <x:v>56</x:v>
      </x:c>
      <x:c r="C28" s="11" t="s">
        <x:v>694</x:v>
      </x:c>
      <x:c r="D28" s="11" t="s">
        <x:v>1470</x:v>
      </x:c>
      <x:c r="E28" s="11" t="s">
        <x:v>1471</x:v>
      </x:c>
      <x:c r="F28" s="11" t="s">
        <x:v>1472</x:v>
      </x:c>
      <x:c r="G28" s="11" t="s">
        <x:v>1473</x:v>
      </x:c>
      <x:c r="H28" s="11" t="s">
        <x:v>1391</x:v>
      </x:c>
      <x:c r="I28" s="18"/>
      <x:c r="J28" s="11"/>
      <x:c r="K28" s="11"/>
      <x:c r="L28" s="11"/>
    </x:row>
    <x:row r="29">
      <x:c r="A29" s="11" t="s">
        <x:v>1474</x:v>
      </x:c>
      <x:c r="B29" s="11" t="s">
        <x:v>56</x:v>
      </x:c>
      <x:c r="C29" s="11" t="s">
        <x:v>1475</x:v>
      </x:c>
      <x:c r="D29" s="11" t="s">
        <x:v>1476</x:v>
      </x:c>
      <x:c r="E29" s="11" t="s">
        <x:v>1477</x:v>
      </x:c>
      <x:c r="F29" s="11" t="s">
        <x:v>1478</x:v>
      </x:c>
      <x:c r="G29" s="11" t="s">
        <x:v>1479</x:v>
      </x:c>
      <x:c r="H29" s="11" t="s">
        <x:v>1391</x:v>
      </x:c>
      <x:c r="I29" s="18"/>
      <x:c r="J29" s="11"/>
      <x:c r="K29" s="11"/>
      <x:c r="L29" s="11"/>
    </x:row>
    <x:row r="30" ht="22.799999237060547">
      <x:c r="A30" s="11" t="s">
        <x:v>1480</x:v>
      </x:c>
      <x:c r="B30" s="11" t="s">
        <x:v>56</x:v>
      </x:c>
      <x:c r="C30" s="11" t="s">
        <x:v>1382</x:v>
      </x:c>
      <x:c r="D30" s="11" t="s">
        <x:v>1481</x:v>
      </x:c>
      <x:c r="E30" s="11" t="s">
        <x:v>872</x:v>
      </x:c>
      <x:c r="F30" s="11" t="s">
        <x:v>1482</x:v>
      </x:c>
      <x:c r="G30" s="11" t="s">
        <x:v>739</x:v>
      </x:c>
      <x:c r="H30" s="11" t="s">
        <x:v>1391</x:v>
      </x:c>
      <x:c r="I30" s="18"/>
      <x:c r="J30" s="11"/>
      <x:c r="K30" s="11"/>
      <x:c r="L30" s="11"/>
    </x:row>
    <x:row r="31">
      <x:c r="A31" s="11" t="s">
        <x:v>1483</x:v>
      </x:c>
      <x:c r="B31" s="11" t="s">
        <x:v>57</x:v>
      </x:c>
      <x:c r="C31" s="11" t="s">
        <x:v>764</x:v>
      </x:c>
      <x:c r="D31" s="11" t="s">
        <x:v>1484</x:v>
      </x:c>
      <x:c r="E31" s="11" t="s">
        <x:v>769</x:v>
      </x:c>
      <x:c r="F31" s="11" t="s">
        <x:v>1485</x:v>
      </x:c>
      <x:c r="G31" s="11" t="s">
        <x:v>1486</x:v>
      </x:c>
      <x:c r="H31" s="11" t="s">
        <x:v>1391</x:v>
      </x:c>
      <x:c r="I31" s="18"/>
      <x:c r="J31" s="11"/>
      <x:c r="K31" s="11"/>
      <x:c r="L31" s="11"/>
    </x:row>
    <x:row r="32">
      <x:c r="A32" s="11" t="s">
        <x:v>1487</x:v>
      </x:c>
      <x:c r="B32" s="11" t="s">
        <x:v>57</x:v>
      </x:c>
      <x:c r="C32" s="11" t="s">
        <x:v>1475</x:v>
      </x:c>
      <x:c r="D32" s="11" t="s">
        <x:v>1488</x:v>
      </x:c>
      <x:c r="E32" s="11" t="s">
        <x:v>1489</x:v>
      </x:c>
      <x:c r="F32" s="11" t="s">
        <x:v>1490</x:v>
      </x:c>
      <x:c r="G32" s="11" t="s">
        <x:v>1491</x:v>
      </x:c>
      <x:c r="H32" s="11" t="s">
        <x:v>1391</x:v>
      </x:c>
      <x:c r="I32" s="18"/>
      <x:c r="J32" s="11"/>
      <x:c r="K32" s="11"/>
      <x:c r="L32" s="11"/>
    </x:row>
    <x:row r="33">
      <x:c r="A33" s="11" t="s">
        <x:v>1492</x:v>
      </x:c>
      <x:c r="B33" s="11" t="s">
        <x:v>57</x:v>
      </x:c>
      <x:c r="C33" s="11" t="s">
        <x:v>1493</x:v>
      </x:c>
      <x:c r="D33" s="11" t="s">
        <x:v>1494</x:v>
      </x:c>
      <x:c r="E33" s="11" t="s">
        <x:v>820</x:v>
      </x:c>
      <x:c r="F33" s="11" t="s">
        <x:v>1495</x:v>
      </x:c>
      <x:c r="G33" s="11" t="s">
        <x:v>1496</x:v>
      </x:c>
      <x:c r="H33" s="11" t="s">
        <x:v>1391</x:v>
      </x:c>
      <x:c r="I33" s="18"/>
      <x:c r="J33" s="11"/>
      <x:c r="K33" s="11"/>
      <x:c r="L33" s="11"/>
    </x:row>
    <x:row r="34">
      <x:c r="A34" s="11" t="s">
        <x:v>1497</x:v>
      </x:c>
      <x:c r="B34" s="11" t="s">
        <x:v>57</x:v>
      </x:c>
      <x:c r="C34" s="11" t="s">
        <x:v>1498</x:v>
      </x:c>
      <x:c r="D34" s="11" t="s">
        <x:v>1499</x:v>
      </x:c>
      <x:c r="E34" s="11" t="s">
        <x:v>842</x:v>
      </x:c>
      <x:c r="F34" s="11" t="s">
        <x:v>1500</x:v>
      </x:c>
      <x:c r="G34" s="11" t="s">
        <x:v>1501</x:v>
      </x:c>
      <x:c r="H34" s="11" t="s">
        <x:v>1391</x:v>
      </x:c>
      <x:c r="I34" s="18"/>
      <x:c r="J34" s="11"/>
      <x:c r="K34" s="11"/>
      <x:c r="L34" s="11"/>
    </x:row>
    <x:row r="35">
      <x:c r="A35" s="11" t="s">
        <x:v>1502</x:v>
      </x:c>
      <x:c r="B35" s="11" t="s">
        <x:v>57</x:v>
      </x:c>
      <x:c r="C35" s="11" t="s">
        <x:v>1426</x:v>
      </x:c>
      <x:c r="D35" s="11" t="s">
        <x:v>1503</x:v>
      </x:c>
      <x:c r="E35" s="11" t="s">
        <x:v>853</x:v>
      </x:c>
      <x:c r="F35" s="11" t="s">
        <x:v>1504</x:v>
      </x:c>
      <x:c r="G35" s="11" t="s">
        <x:v>855</x:v>
      </x:c>
      <x:c r="H35" s="11" t="s">
        <x:v>1391</x:v>
      </x:c>
      <x:c r="I35" s="18"/>
      <x:c r="J35" s="11"/>
      <x:c r="K35" s="11"/>
      <x:c r="L35" s="11"/>
    </x:row>
    <x:row r="36">
      <x:c r="A36" s="11" t="s">
        <x:v>1505</x:v>
      </x:c>
      <x:c r="B36" s="11" t="s">
        <x:v>57</x:v>
      </x:c>
      <x:c r="C36" s="11" t="s">
        <x:v>1430</x:v>
      </x:c>
      <x:c r="D36" s="11" t="s">
        <x:v>1506</x:v>
      </x:c>
      <x:c r="E36" s="11" t="s">
        <x:v>863</x:v>
      </x:c>
      <x:c r="F36" s="11" t="s">
        <x:v>1507</x:v>
      </x:c>
      <x:c r="G36" s="11" t="s">
        <x:v>865</x:v>
      </x:c>
      <x:c r="H36" s="11" t="s">
        <x:v>1391</x:v>
      </x:c>
      <x:c r="I36" s="18"/>
      <x:c r="J36" s="11"/>
      <x:c r="K36" s="11"/>
      <x:c r="L36" s="11"/>
    </x:row>
    <x:row r="37" ht="22.799999237060547">
      <x:c r="A37" s="11" t="s">
        <x:v>1508</x:v>
      </x:c>
      <x:c r="B37" s="11" t="s">
        <x:v>57</x:v>
      </x:c>
      <x:c r="C37" s="11" t="s">
        <x:v>1382</x:v>
      </x:c>
      <x:c r="D37" s="11" t="s">
        <x:v>1509</x:v>
      </x:c>
      <x:c r="E37" s="11" t="s">
        <x:v>872</x:v>
      </x:c>
      <x:c r="F37" s="11" t="s">
        <x:v>1510</x:v>
      </x:c>
      <x:c r="G37" s="11" t="s">
        <x:v>874</x:v>
      </x:c>
      <x:c r="H37" s="11" t="s">
        <x:v>1391</x:v>
      </x:c>
      <x:c r="I37" s="18"/>
      <x:c r="J37" s="11"/>
      <x:c r="K37" s="11"/>
      <x:c r="L37" s="11"/>
    </x:row>
    <x:row r="38" ht="42" customHeight="1">
      <x:c r="A38" s="26" t="s">
        <x:v>1511</x:v>
      </x:c>
      <x:c r="B38" s="26" t="s">
        <x:v>36</x:v>
      </x:c>
      <x:c r="C38" s="26" t="s">
        <x:v>1512</x:v>
      </x:c>
      <x:c r="D38" s="26" t="s">
        <x:v>1513</x:v>
      </x:c>
      <x:c r="E38" s="26" t="s">
        <x:v>1514</x:v>
      </x:c>
      <x:c r="F38" s="26" t="s">
        <x:v>1515</x:v>
      </x:c>
      <x:c r="G38" s="26" t="s">
        <x:v>95</x:v>
      </x:c>
      <x:c r="H38" s="26" t="s">
        <x:v>1367</x:v>
      </x:c>
      <x:c r="I38" s="28">
        <x:v>46252</x:v>
      </x:c>
      <x:c r="J38" s="26" t="s">
        <x:v>1516</x:v>
      </x:c>
      <x:c r="K38" s="26" t="s">
        <x:v>1517</x:v>
      </x:c>
      <x:c r="L38" s="26" t="s">
        <x:v>1370</x:v>
      </x:c>
    </x:row>
    <x:row r="39" ht="42" customHeight="1">
      <x:c r="A39" s="25" t="s">
        <x:v>1518</x:v>
      </x:c>
      <x:c r="B39" s="25" t="s">
        <x:v>36</x:v>
      </x:c>
      <x:c r="C39" s="25" t="s">
        <x:v>101</x:v>
      </x:c>
      <x:c r="D39" s="25" t="s">
        <x:v>1519</x:v>
      </x:c>
      <x:c r="E39" s="25" t="s">
        <x:v>107</x:v>
      </x:c>
      <x:c r="F39" s="25" t="s">
        <x:v>1520</x:v>
      </x:c>
      <x:c r="G39" s="25" t="s">
        <x:v>109</x:v>
      </x:c>
      <x:c r="H39" s="25" t="s">
        <x:v>1367</x:v>
      </x:c>
      <x:c r="I39" s="29">
        <x:v>46252</x:v>
      </x:c>
      <x:c r="J39" s="25" t="s">
        <x:v>1521</x:v>
      </x:c>
      <x:c r="K39" s="25" t="s">
        <x:v>1522</x:v>
      </x:c>
      <x:c r="L39" s="25" t="s">
        <x:v>1370</x:v>
      </x:c>
    </x:row>
  </x:sheetData>
  <x:mergeCells>
    <x:mergeCell ref="A1:L1"/>
    <x:mergeCell ref="A2:L2"/>
  </x:mergeCells>
  <x:conditionalFormatting sqref="H6:H37">
    <x:cfRule type="containsText" dxfId="15" priority="1" operator="containsText" text="Pass"/>
    <x:cfRule type="containsText" dxfId="14" priority="2" operator="containsText" text="Blocked"/>
    <x:cfRule type="containsText" dxfId="13" priority="3" operator="containsText" text="In Progress"/>
    <x:cfRule type="containsText" dxfId="12" priority="4" operator="containsText" text="Ready for Review"/>
  </x:conditionalFormatting>
  <x:dataValidations count="2">
    <x:dataValidation type="list" sqref="H6:H37">
      <x:formula1>"Not Run,Pass,Fail,Blocked"</x:formula1>
    </x:dataValidation>
    <x:dataValidation type="list" sqref="L6:L37">
      <x:formula1>"Pending,Approved,Rejected"</x:formula1>
    </x:dataValidation>
  </x:dataValidations>
  <x:pageMargins left="0.7" right="0.7" top="0.75" bottom="0.75" header="0.3" footer="0.3"/>
  <x:tableParts count="1">
    <x:tablePart xmlns:r="http://schemas.openxmlformats.org/officeDocument/2006/relationships" r:id="Raefba318a46944fd"/>
  </x:tableParts>
</x:worksheet>
</file>

<file path=xl/worksheets/sheet13.xml><?xml version="1.0" encoding="utf-8"?>
<x:worksheet xmlns:x="http://schemas.openxmlformats.org/spreadsheetml/2006/main">
  <x:sheetViews>
    <x:sheetView showGridLines="0" workbookViewId="0"/>
  </x:sheetViews>
  <x:sheetFormatPr defaultRowHeight="13.800000190734863"/>
  <x:cols>
    <x:col min="1" max="1" width="13" customWidth="1"/>
    <x:col min="2" max="2" width="32" customWidth="1"/>
    <x:col min="3" max="3" width="18" customWidth="1"/>
    <x:col min="4" max="4" width="13" customWidth="1"/>
    <x:col min="5" max="5" width="42" customWidth="1"/>
    <x:col min="6" max="6" width="30" customWidth="1"/>
    <x:col min="7" max="7" width="42" customWidth="1"/>
    <x:col min="8" max="8" width="38" customWidth="1"/>
    <x:col min="9" max="9" width="14" customWidth="1"/>
    <x:col min="10" max="10" width="34" customWidth="1"/>
    <x:col min="11" max="11" width="30" customWidth="1"/>
  </x:cols>
  <x:sheetData>
    <x:row r="1" ht="31.950000762939453" customHeight="1">
      <x:c r="A1" s="32" t="s">
        <x:v>1523</x:v>
      </x:c>
      <x:c r="B1" s="32"/>
      <x:c r="C1" s="32"/>
      <x:c r="D1" s="32"/>
      <x:c r="E1" s="32"/>
      <x:c r="F1" s="32"/>
      <x:c r="G1" s="32"/>
      <x:c r="H1" s="32"/>
      <x:c r="I1" s="32"/>
      <x:c r="J1" s="32"/>
      <x:c r="K1" s="32"/>
    </x:row>
    <x:row r="2" ht="31.950000762939453" customHeight="1">
      <x:c r="A2" s="33" t="s">
        <x:v>1524</x:v>
      </x:c>
      <x:c r="B2" s="33"/>
      <x:c r="C2" s="33"/>
      <x:c r="D2" s="33"/>
      <x:c r="E2" s="33"/>
      <x:c r="F2" s="33"/>
      <x:c r="G2" s="33"/>
      <x:c r="H2" s="33"/>
      <x:c r="I2" s="33"/>
      <x:c r="J2" s="33"/>
      <x:c r="K2" s="33"/>
    </x:row>
    <x:row r="5" ht="28.049999237060547" customHeight="1">
      <x:c r="A5" s="1" t="s">
        <x:v>79</x:v>
      </x:c>
      <x:c r="B5" s="2" t="s">
        <x:v>1525</x:v>
      </x:c>
      <x:c r="C5" s="2" t="s">
        <x:v>82</x:v>
      </x:c>
      <x:c r="D5" s="2" t="s">
        <x:v>1526</x:v>
      </x:c>
      <x:c r="E5" s="2" t="s">
        <x:v>1527</x:v>
      </x:c>
      <x:c r="F5" s="2" t="s">
        <x:v>1528</x:v>
      </x:c>
      <x:c r="G5" s="2" t="s">
        <x:v>1529</x:v>
      </x:c>
      <x:c r="H5" s="2" t="s">
        <x:v>1530</x:v>
      </x:c>
      <x:c r="I5" s="2" t="s">
        <x:v>33</x:v>
      </x:c>
      <x:c r="J5" s="2" t="s">
        <x:v>1531</x:v>
      </x:c>
      <x:c r="K5" s="3" t="s">
        <x:v>1532</x:v>
      </x:c>
    </x:row>
    <x:row r="6" ht="22.799999237060547">
      <x:c r="A6" s="10" t="s">
        <x:v>96</x:v>
      </x:c>
      <x:c r="B6" s="10" t="s">
        <x:v>1533</x:v>
      </x:c>
      <x:c r="C6" s="10" t="s">
        <x:v>1534</x:v>
      </x:c>
      <x:c r="D6" s="10" t="s">
        <x:v>36</x:v>
      </x:c>
      <x:c r="E6" s="10" t="s">
        <x:v>1535</x:v>
      </x:c>
      <x:c r="F6" s="10" t="s">
        <x:v>1536</x:v>
      </x:c>
      <x:c r="G6" s="10" t="s">
        <x:v>1537</x:v>
      </x:c>
      <x:c r="H6" s="10" t="s">
        <x:v>1538</x:v>
      </x:c>
      <x:c r="I6" s="10" t="s">
        <x:v>89</x:v>
      </x:c>
      <x:c r="J6" s="10" t="s">
        <x:v>1539</x:v>
      </x:c>
      <x:c r="K6" s="10"/>
    </x:row>
    <x:row r="7" ht="22.799999237060547">
      <x:c r="A7" s="11" t="s">
        <x:v>146</x:v>
      </x:c>
      <x:c r="B7" s="11" t="s">
        <x:v>1540</x:v>
      </x:c>
      <x:c r="C7" s="11" t="s">
        <x:v>1534</x:v>
      </x:c>
      <x:c r="D7" s="11" t="s">
        <x:v>36</x:v>
      </x:c>
      <x:c r="E7" s="11" t="s">
        <x:v>1541</x:v>
      </x:c>
      <x:c r="F7" s="11" t="s">
        <x:v>1542</x:v>
      </x:c>
      <x:c r="G7" s="11" t="s">
        <x:v>1543</x:v>
      </x:c>
      <x:c r="H7" s="11" t="s">
        <x:v>1544</x:v>
      </x:c>
      <x:c r="I7" s="11" t="s">
        <x:v>89</x:v>
      </x:c>
      <x:c r="J7" s="11" t="s">
        <x:v>1545</x:v>
      </x:c>
      <x:c r="K7" s="11"/>
    </x:row>
    <x:row r="8" ht="22.799999237060547">
      <x:c r="A8" s="11" t="s">
        <x:v>259</x:v>
      </x:c>
      <x:c r="B8" s="11" t="s">
        <x:v>1546</x:v>
      </x:c>
      <x:c r="C8" s="11" t="s">
        <x:v>1534</x:v>
      </x:c>
      <x:c r="D8" s="11" t="s">
        <x:v>53</x:v>
      </x:c>
      <x:c r="E8" s="11" t="s">
        <x:v>1547</x:v>
      </x:c>
      <x:c r="F8" s="11" t="s">
        <x:v>1548</x:v>
      </x:c>
      <x:c r="G8" s="11" t="s">
        <x:v>1549</x:v>
      </x:c>
      <x:c r="H8" s="11" t="s">
        <x:v>1550</x:v>
      </x:c>
      <x:c r="I8" s="11" t="s">
        <x:v>89</x:v>
      </x:c>
      <x:c r="J8" s="11" t="s">
        <x:v>1551</x:v>
      </x:c>
      <x:c r="K8" s="11"/>
    </x:row>
    <x:row r="9" ht="22.799999237060547">
      <x:c r="A9" s="11" t="s">
        <x:v>381</x:v>
      </x:c>
      <x:c r="B9" s="11" t="s">
        <x:v>1552</x:v>
      </x:c>
      <x:c r="C9" s="11" t="s">
        <x:v>1534</x:v>
      </x:c>
      <x:c r="D9" s="11" t="s">
        <x:v>54</x:v>
      </x:c>
      <x:c r="E9" s="11" t="s">
        <x:v>1553</x:v>
      </x:c>
      <x:c r="F9" s="11" t="s">
        <x:v>1554</x:v>
      </x:c>
      <x:c r="G9" s="11" t="s">
        <x:v>1555</x:v>
      </x:c>
      <x:c r="H9" s="11" t="s">
        <x:v>1556</x:v>
      </x:c>
      <x:c r="I9" s="11" t="s">
        <x:v>89</x:v>
      </x:c>
      <x:c r="J9" s="11" t="s">
        <x:v>1557</x:v>
      </x:c>
      <x:c r="K9" s="11"/>
    </x:row>
    <x:row r="10" ht="22.799999237060547">
      <x:c r="A10" s="11" t="s">
        <x:v>517</x:v>
      </x:c>
      <x:c r="B10" s="11" t="s">
        <x:v>1558</x:v>
      </x:c>
      <x:c r="C10" s="11" t="s">
        <x:v>1534</x:v>
      </x:c>
      <x:c r="D10" s="11" t="s">
        <x:v>55</x:v>
      </x:c>
      <x:c r="E10" s="11" t="s">
        <x:v>1559</x:v>
      </x:c>
      <x:c r="F10" s="11" t="s">
        <x:v>1560</x:v>
      </x:c>
      <x:c r="G10" s="11" t="s">
        <x:v>1561</x:v>
      </x:c>
      <x:c r="H10" s="11" t="s">
        <x:v>1562</x:v>
      </x:c>
      <x:c r="I10" s="11" t="s">
        <x:v>89</x:v>
      </x:c>
      <x:c r="J10" s="11" t="s">
        <x:v>1563</x:v>
      </x:c>
      <x:c r="K10" s="11"/>
    </x:row>
    <x:row r="11" ht="22.799999237060547">
      <x:c r="A11" s="11" t="s">
        <x:v>304</x:v>
      </x:c>
      <x:c r="B11" s="11" t="s">
        <x:v>1564</x:v>
      </x:c>
      <x:c r="C11" s="11" t="s">
        <x:v>1534</x:v>
      </x:c>
      <x:c r="D11" s="11" t="s">
        <x:v>53</x:v>
      </x:c>
      <x:c r="E11" s="11" t="s">
        <x:v>1565</x:v>
      </x:c>
      <x:c r="F11" s="11" t="s">
        <x:v>1566</x:v>
      </x:c>
      <x:c r="G11" s="11" t="s">
        <x:v>1567</x:v>
      </x:c>
      <x:c r="H11" s="11" t="s">
        <x:v>1568</x:v>
      </x:c>
      <x:c r="I11" s="11" t="s">
        <x:v>89</x:v>
      </x:c>
      <x:c r="J11" s="11" t="s">
        <x:v>1569</x:v>
      </x:c>
      <x:c r="K11" s="11"/>
    </x:row>
    <x:row r="12" ht="22.799999237060547">
      <x:c r="A12" s="11" t="s">
        <x:v>498</x:v>
      </x:c>
      <x:c r="B12" s="11" t="s">
        <x:v>1570</x:v>
      </x:c>
      <x:c r="C12" s="11" t="s">
        <x:v>1534</x:v>
      </x:c>
      <x:c r="D12" s="11" t="s">
        <x:v>55</x:v>
      </x:c>
      <x:c r="E12" s="11" t="s">
        <x:v>1571</x:v>
      </x:c>
      <x:c r="F12" s="11" t="s">
        <x:v>1572</x:v>
      </x:c>
      <x:c r="G12" s="11" t="s">
        <x:v>1573</x:v>
      </x:c>
      <x:c r="H12" s="11" t="s">
        <x:v>1574</x:v>
      </x:c>
      <x:c r="I12" s="11" t="s">
        <x:v>89</x:v>
      </x:c>
      <x:c r="J12" s="11" t="s">
        <x:v>1575</x:v>
      </x:c>
      <x:c r="K12" s="11"/>
    </x:row>
    <x:row r="13" ht="22.799999237060547">
      <x:c r="A13" s="11" t="s">
        <x:v>456</x:v>
      </x:c>
      <x:c r="B13" s="11" t="s">
        <x:v>1576</x:v>
      </x:c>
      <x:c r="C13" s="11" t="s">
        <x:v>1534</x:v>
      </x:c>
      <x:c r="D13" s="11" t="s">
        <x:v>54</x:v>
      </x:c>
      <x:c r="E13" s="11" t="s">
        <x:v>1577</x:v>
      </x:c>
      <x:c r="F13" s="11" t="s">
        <x:v>1578</x:v>
      </x:c>
      <x:c r="G13" s="11" t="s">
        <x:v>1579</x:v>
      </x:c>
      <x:c r="H13" s="11" t="s">
        <x:v>1580</x:v>
      </x:c>
      <x:c r="I13" s="11" t="s">
        <x:v>89</x:v>
      </x:c>
      <x:c r="J13" s="11" t="s">
        <x:v>1581</x:v>
      </x:c>
      <x:c r="K13" s="11"/>
    </x:row>
    <x:row r="14" ht="22.799999237060547">
      <x:c r="A14" s="11" t="s">
        <x:v>190</x:v>
      </x:c>
      <x:c r="B14" s="11" t="s">
        <x:v>1582</x:v>
      </x:c>
      <x:c r="C14" s="11" t="s">
        <x:v>1534</x:v>
      </x:c>
      <x:c r="D14" s="11" t="s">
        <x:v>36</x:v>
      </x:c>
      <x:c r="E14" s="11" t="s">
        <x:v>1583</x:v>
      </x:c>
      <x:c r="F14" s="11" t="s">
        <x:v>1584</x:v>
      </x:c>
      <x:c r="G14" s="11" t="s">
        <x:v>1585</x:v>
      </x:c>
      <x:c r="H14" s="11" t="s">
        <x:v>1586</x:v>
      </x:c>
      <x:c r="I14" s="11" t="s">
        <x:v>89</x:v>
      </x:c>
      <x:c r="J14" s="11" t="s">
        <x:v>1587</x:v>
      </x:c>
      <x:c r="K14" s="11"/>
    </x:row>
    <x:row r="15" ht="22.799999237060547">
      <x:c r="A15" s="11" t="s">
        <x:v>1588</x:v>
      </x:c>
      <x:c r="B15" s="11" t="s">
        <x:v>1589</x:v>
      </x:c>
      <x:c r="C15" s="11" t="s">
        <x:v>1534</x:v>
      </x:c>
      <x:c r="D15" s="11" t="s">
        <x:v>36</x:v>
      </x:c>
      <x:c r="E15" s="11" t="s">
        <x:v>1590</x:v>
      </x:c>
      <x:c r="F15" s="11" t="s">
        <x:v>1591</x:v>
      </x:c>
      <x:c r="G15" s="11" t="s">
        <x:v>1592</x:v>
      </x:c>
      <x:c r="H15" s="11" t="s">
        <x:v>1593</x:v>
      </x:c>
      <x:c r="I15" s="11" t="s">
        <x:v>89</x:v>
      </x:c>
      <x:c r="J15" s="11" t="s">
        <x:v>1594</x:v>
      </x:c>
      <x:c r="K15" s="11"/>
    </x:row>
    <x:row r="16" ht="22.799999237060547">
      <x:c r="A16" s="11" t="s">
        <x:v>1595</x:v>
      </x:c>
      <x:c r="B16" s="11" t="s">
        <x:v>1596</x:v>
      </x:c>
      <x:c r="C16" s="11" t="s">
        <x:v>1534</x:v>
      </x:c>
      <x:c r="D16" s="11" t="s">
        <x:v>36</x:v>
      </x:c>
      <x:c r="E16" s="11" t="s">
        <x:v>1597</x:v>
      </x:c>
      <x:c r="F16" s="11" t="s">
        <x:v>1598</x:v>
      </x:c>
      <x:c r="G16" s="11" t="s">
        <x:v>1599</x:v>
      </x:c>
      <x:c r="H16" s="11" t="s">
        <x:v>1600</x:v>
      </x:c>
      <x:c r="I16" s="11" t="s">
        <x:v>89</x:v>
      </x:c>
      <x:c r="J16" s="11" t="s">
        <x:v>1601</x:v>
      </x:c>
      <x:c r="K16" s="11"/>
    </x:row>
    <x:row r="17" ht="22.799999237060547">
      <x:c r="A17" s="11" t="s">
        <x:v>477</x:v>
      </x:c>
      <x:c r="B17" s="11" t="s">
        <x:v>1602</x:v>
      </x:c>
      <x:c r="C17" s="11" t="s">
        <x:v>1534</x:v>
      </x:c>
      <x:c r="D17" s="11" t="s">
        <x:v>36</x:v>
      </x:c>
      <x:c r="E17" s="11" t="s">
        <x:v>1603</x:v>
      </x:c>
      <x:c r="F17" s="11" t="s">
        <x:v>1604</x:v>
      </x:c>
      <x:c r="G17" s="11" t="s">
        <x:v>1605</x:v>
      </x:c>
      <x:c r="H17" s="11" t="s">
        <x:v>1606</x:v>
      </x:c>
      <x:c r="I17" s="11" t="s">
        <x:v>89</x:v>
      </x:c>
      <x:c r="J17" s="11" t="s">
        <x:v>1607</x:v>
      </x:c>
      <x:c r="K17" s="11"/>
    </x:row>
    <x:row r="18" ht="22.799999237060547">
      <x:c r="A18" s="11" t="s">
        <x:v>1608</x:v>
      </x:c>
      <x:c r="B18" s="11" t="s">
        <x:v>1609</x:v>
      </x:c>
      <x:c r="C18" s="11" t="s">
        <x:v>1534</x:v>
      </x:c>
      <x:c r="D18" s="11" t="s">
        <x:v>36</x:v>
      </x:c>
      <x:c r="E18" s="11" t="s">
        <x:v>1610</x:v>
      </x:c>
      <x:c r="F18" s="11" t="s">
        <x:v>1611</x:v>
      </x:c>
      <x:c r="G18" s="11" t="s">
        <x:v>1612</x:v>
      </x:c>
      <x:c r="H18" s="11" t="s">
        <x:v>1613</x:v>
      </x:c>
      <x:c r="I18" s="11" t="s">
        <x:v>89</x:v>
      </x:c>
      <x:c r="J18" s="11" t="s">
        <x:v>1614</x:v>
      </x:c>
      <x:c r="K18" s="11"/>
    </x:row>
    <x:row r="19" ht="22.799999237060547">
      <x:c r="A19" s="11" t="s">
        <x:v>1615</x:v>
      </x:c>
      <x:c r="B19" s="11" t="s">
        <x:v>1616</x:v>
      </x:c>
      <x:c r="C19" s="11" t="s">
        <x:v>1534</x:v>
      </x:c>
      <x:c r="D19" s="11" t="s">
        <x:v>36</x:v>
      </x:c>
      <x:c r="E19" s="11" t="s">
        <x:v>1617</x:v>
      </x:c>
      <x:c r="F19" s="11" t="s">
        <x:v>1618</x:v>
      </x:c>
      <x:c r="G19" s="11" t="s">
        <x:v>1619</x:v>
      </x:c>
      <x:c r="H19" s="11" t="s">
        <x:v>1620</x:v>
      </x:c>
      <x:c r="I19" s="11" t="s">
        <x:v>89</x:v>
      </x:c>
      <x:c r="J19" s="11" t="s">
        <x:v>1621</x:v>
      </x:c>
      <x:c r="K19" s="11"/>
    </x:row>
    <x:row r="20">
      <x:c r="A20" s="11" t="s">
        <x:v>772</x:v>
      </x:c>
      <x:c r="B20" s="11" t="s">
        <x:v>1622</x:v>
      </x:c>
      <x:c r="C20" s="11" t="s">
        <x:v>1534</x:v>
      </x:c>
      <x:c r="D20" s="11" t="s">
        <x:v>57</x:v>
      </x:c>
      <x:c r="E20" s="11" t="s">
        <x:v>1623</x:v>
      </x:c>
      <x:c r="F20" s="11" t="s">
        <x:v>1624</x:v>
      </x:c>
      <x:c r="G20" s="11" t="s">
        <x:v>1625</x:v>
      </x:c>
      <x:c r="H20" s="11" t="s">
        <x:v>1626</x:v>
      </x:c>
      <x:c r="I20" s="11" t="s">
        <x:v>89</x:v>
      </x:c>
      <x:c r="J20" s="11" t="s">
        <x:v>1627</x:v>
      </x:c>
      <x:c r="K20" s="11"/>
    </x:row>
    <x:row r="21">
      <x:c r="A21" s="11" t="s">
        <x:v>110</x:v>
      </x:c>
      <x:c r="B21" s="11" t="s">
        <x:v>1628</x:v>
      </x:c>
      <x:c r="C21" s="11" t="s">
        <x:v>1534</x:v>
      </x:c>
      <x:c r="D21" s="11" t="s">
        <x:v>36</x:v>
      </x:c>
      <x:c r="E21" s="11" t="s">
        <x:v>1629</x:v>
      </x:c>
      <x:c r="F21" s="11" t="s">
        <x:v>1630</x:v>
      </x:c>
      <x:c r="G21" s="11" t="s">
        <x:v>1631</x:v>
      </x:c>
      <x:c r="H21" s="11" t="s">
        <x:v>1632</x:v>
      </x:c>
      <x:c r="I21" s="11" t="s">
        <x:v>89</x:v>
      </x:c>
      <x:c r="J21" s="11" t="s">
        <x:v>1633</x:v>
      </x:c>
      <x:c r="K21" s="11"/>
    </x:row>
    <x:row r="22" ht="22.799999237060547">
      <x:c r="A22" s="11" t="s">
        <x:v>157</x:v>
      </x:c>
      <x:c r="B22" s="11" t="s">
        <x:v>1634</x:v>
      </x:c>
      <x:c r="C22" s="11" t="s">
        <x:v>1534</x:v>
      </x:c>
      <x:c r="D22" s="11" t="s">
        <x:v>36</x:v>
      </x:c>
      <x:c r="E22" s="11" t="s">
        <x:v>1635</x:v>
      </x:c>
      <x:c r="F22" s="11" t="s">
        <x:v>1636</x:v>
      </x:c>
      <x:c r="G22" s="11" t="s">
        <x:v>1637</x:v>
      </x:c>
      <x:c r="H22" s="11" t="s">
        <x:v>1638</x:v>
      </x:c>
      <x:c r="I22" s="11" t="s">
        <x:v>89</x:v>
      </x:c>
      <x:c r="J22" s="11" t="s">
        <x:v>1639</x:v>
      </x:c>
      <x:c r="K22" s="11"/>
    </x:row>
    <x:row r="23" ht="22.799999237060547">
      <x:c r="A23" s="11" t="s">
        <x:v>1640</x:v>
      </x:c>
      <x:c r="B23" s="11" t="s">
        <x:v>1641</x:v>
      </x:c>
      <x:c r="C23" s="11" t="s">
        <x:v>1534</x:v>
      </x:c>
      <x:c r="D23" s="11" t="s">
        <x:v>1321</x:v>
      </x:c>
      <x:c r="E23" s="11" t="s">
        <x:v>1642</x:v>
      </x:c>
      <x:c r="F23" s="11" t="s">
        <x:v>1643</x:v>
      </x:c>
      <x:c r="G23" s="11" t="s">
        <x:v>1644</x:v>
      </x:c>
      <x:c r="H23" s="11" t="s">
        <x:v>1645</x:v>
      </x:c>
      <x:c r="I23" s="11" t="s">
        <x:v>89</x:v>
      </x:c>
      <x:c r="J23" s="11" t="s">
        <x:v>1646</x:v>
      </x:c>
      <x:c r="K23" s="11"/>
    </x:row>
  </x:sheetData>
  <x:mergeCells>
    <x:mergeCell ref="A1:K1"/>
    <x:mergeCell ref="A2:K2"/>
  </x:mergeCells>
  <x:conditionalFormatting sqref="C6:C23">
    <x:cfRule type="containsText" dxfId="11" priority="1" operator="containsText" text="Approved"/>
    <x:cfRule type="containsText" dxfId="10" priority="2" operator="containsText" text="Blocked"/>
    <x:cfRule type="containsText" dxfId="9" priority="3" operator="containsText" text="In Progress"/>
    <x:cfRule type="containsText" dxfId="8" priority="4" operator="containsText" text="Ready for Review"/>
  </x:conditionalFormatting>
  <x:dataValidations count="1">
    <x:dataValidation type="list" sqref="C6:C23">
      <x:formula1>"Baseline Approved,Proposed,Approved,Rejected,Superseded,Revisit"</x:formula1>
    </x:dataValidation>
  </x:dataValidations>
  <x:pageMargins left="0.7" right="0.7" top="0.75" bottom="0.75" header="0.3" footer="0.3"/>
  <x:tableParts count="1">
    <x:tablePart xmlns:r="http://schemas.openxmlformats.org/officeDocument/2006/relationships" r:id="R98ff5f0a224e4777"/>
  </x:tableParts>
</x:worksheet>
</file>

<file path=xl/worksheets/sheet14.xml><?xml version="1.0" encoding="utf-8"?>
<x:worksheet xmlns:x="http://schemas.openxmlformats.org/spreadsheetml/2006/main">
  <x:sheetViews>
    <x:sheetView showGridLines="0" workbookViewId="0"/>
  </x:sheetViews>
  <x:sheetFormatPr defaultRowHeight="13.800000190734863"/>
  <x:cols>
    <x:col min="1" max="1" width="13" customWidth="1"/>
    <x:col min="2" max="2" width="16" customWidth="1"/>
    <x:col min="3" max="3" width="48" customWidth="1"/>
    <x:col min="4" max="4" width="12" customWidth="1"/>
    <x:col min="5" max="5" width="11" customWidth="1"/>
    <x:col min="6" max="6" width="15" customWidth="1"/>
    <x:col min="7" max="7" width="14" customWidth="1"/>
    <x:col min="8" max="8" width="36" customWidth="1"/>
    <x:col min="9" max="9" width="34" customWidth="1"/>
    <x:col min="10" max="10" width="15" customWidth="1"/>
  </x:cols>
  <x:sheetData>
    <x:row r="1" ht="31.950000762939453" customHeight="1">
      <x:c r="A1" s="32" t="s">
        <x:v>1647</x:v>
      </x:c>
      <x:c r="B1" s="32"/>
      <x:c r="C1" s="32"/>
      <x:c r="D1" s="32"/>
      <x:c r="E1" s="32"/>
      <x:c r="F1" s="32"/>
      <x:c r="G1" s="32"/>
      <x:c r="H1" s="32"/>
      <x:c r="I1" s="32"/>
      <x:c r="J1" s="32"/>
    </x:row>
    <x:row r="2" ht="31.950000762939453" customHeight="1">
      <x:c r="A2" s="33" t="s">
        <x:v>1648</x:v>
      </x:c>
      <x:c r="B2" s="33"/>
      <x:c r="C2" s="33"/>
      <x:c r="D2" s="33"/>
      <x:c r="E2" s="33"/>
      <x:c r="F2" s="33"/>
      <x:c r="G2" s="33"/>
      <x:c r="H2" s="33"/>
      <x:c r="I2" s="33"/>
      <x:c r="J2" s="33"/>
    </x:row>
    <x:row r="5" ht="28.049999237060547" customHeight="1">
      <x:c r="A5" s="1" t="s">
        <x:v>1649</x:v>
      </x:c>
      <x:c r="B5" s="2" t="s">
        <x:v>1650</x:v>
      </x:c>
      <x:c r="C5" s="2" t="s">
        <x:v>1651</x:v>
      </x:c>
      <x:c r="D5" s="2" t="s">
        <x:v>1652</x:v>
      </x:c>
      <x:c r="E5" s="2" t="s">
        <x:v>1653</x:v>
      </x:c>
      <x:c r="F5" s="2" t="s">
        <x:v>82</x:v>
      </x:c>
      <x:c r="G5" s="2" t="s">
        <x:v>33</x:v>
      </x:c>
      <x:c r="H5" s="2" t="s">
        <x:v>1654</x:v>
      </x:c>
      <x:c r="I5" s="2" t="s">
        <x:v>1655</x:v>
      </x:c>
      <x:c r="J5" s="3" t="s">
        <x:v>1656</x:v>
      </x:c>
    </x:row>
    <x:row r="6" ht="68.4000015258789" hidden="1">
      <x:c r="A6" s="10" t="s">
        <x:v>1657</x:v>
      </x:c>
      <x:c r="B6" s="10" t="s">
        <x:v>1658</x:v>
      </x:c>
      <x:c r="C6" s="19" t="s">
        <x:v>1659</x:v>
      </x:c>
      <x:c r="D6" s="10" t="s">
        <x:v>36</x:v>
      </x:c>
      <x:c r="E6" s="10" t="s">
        <x:v>1660</x:v>
      </x:c>
      <x:c r="F6" s="10" t="s">
        <x:v>43</x:v>
      </x:c>
      <x:c r="G6" s="10" t="s">
        <x:v>34</x:v>
      </x:c>
      <x:c r="H6" s="10" t="s">
        <x:v>95</x:v>
      </x:c>
      <x:c r="I6" s="19" t="s">
        <x:v>1661</x:v>
      </x:c>
      <x:c r="J6" s="17">
        <x:v>46252</x:v>
      </x:c>
    </x:row>
    <x:row r="7" ht="68.4000015258789" hidden="1">
      <x:c r="A7" s="11" t="s">
        <x:v>1662</x:v>
      </x:c>
      <x:c r="B7" s="11" t="s">
        <x:v>1663</x:v>
      </x:c>
      <x:c r="C7" s="20" t="s">
        <x:v>1664</x:v>
      </x:c>
      <x:c r="D7" s="11" t="s">
        <x:v>36</x:v>
      </x:c>
      <x:c r="E7" s="11" t="s">
        <x:v>1660</x:v>
      </x:c>
      <x:c r="F7" s="11" t="s">
        <x:v>43</x:v>
      </x:c>
      <x:c r="G7" s="11" t="s">
        <x:v>34</x:v>
      </x:c>
      <x:c r="H7" s="11" t="s">
        <x:v>95</x:v>
      </x:c>
      <x:c r="I7" s="20" t="s">
        <x:v>1665</x:v>
      </x:c>
      <x:c r="J7" s="18">
        <x:v>46252</x:v>
      </x:c>
    </x:row>
    <x:row r="8">
      <x:c r="A8" s="11" t="s">
        <x:v>1666</x:v>
      </x:c>
      <x:c r="B8" s="11" t="s">
        <x:v>101</x:v>
      </x:c>
      <x:c r="C8" s="20" t="s">
        <x:v>1667</x:v>
      </x:c>
      <x:c r="D8" s="11" t="s">
        <x:v>53</x:v>
      </x:c>
      <x:c r="E8" s="11" t="s">
        <x:v>1660</x:v>
      </x:c>
      <x:c r="F8" s="11" t="s">
        <x:v>239</x:v>
      </x:c>
      <x:c r="G8" s="11" t="s">
        <x:v>89</x:v>
      </x:c>
      <x:c r="H8" s="11" t="s">
        <x:v>1668</x:v>
      </x:c>
      <x:c r="I8" s="20"/>
      <x:c r="J8" s="18"/>
    </x:row>
    <x:row r="9">
      <x:c r="A9" s="11" t="s">
        <x:v>299</x:v>
      </x:c>
      <x:c r="B9" s="11" t="s">
        <x:v>296</x:v>
      </x:c>
      <x:c r="C9" s="20" t="s">
        <x:v>1669</x:v>
      </x:c>
      <x:c r="D9" s="11" t="s">
        <x:v>53</x:v>
      </x:c>
      <x:c r="E9" s="11" t="s">
        <x:v>1660</x:v>
      </x:c>
      <x:c r="F9" s="11" t="s">
        <x:v>239</x:v>
      </x:c>
      <x:c r="G9" s="11" t="s">
        <x:v>89</x:v>
      </x:c>
      <x:c r="H9" s="11" t="s">
        <x:v>1670</x:v>
      </x:c>
      <x:c r="I9" s="20"/>
      <x:c r="J9" s="18"/>
    </x:row>
    <x:row r="10" hidden="1">
      <x:c r="A10" s="11" t="s">
        <x:v>430</x:v>
      </x:c>
      <x:c r="B10" s="11" t="s">
        <x:v>1426</x:v>
      </x:c>
      <x:c r="C10" s="20" t="s">
        <x:v>1671</x:v>
      </x:c>
      <x:c r="D10" s="11" t="s">
        <x:v>54</x:v>
      </x:c>
      <x:c r="E10" s="11" t="s">
        <x:v>1660</x:v>
      </x:c>
      <x:c r="F10" s="11" t="s">
        <x:v>239</x:v>
      </x:c>
      <x:c r="G10" s="11" t="s">
        <x:v>89</x:v>
      </x:c>
      <x:c r="H10" s="11" t="s">
        <x:v>1672</x:v>
      </x:c>
      <x:c r="I10" s="20"/>
      <x:c r="J10" s="18"/>
    </x:row>
    <x:row r="11" hidden="1">
      <x:c r="A11" s="11" t="s">
        <x:v>1673</x:v>
      </x:c>
      <x:c r="B11" s="11" t="s">
        <x:v>1674</x:v>
      </x:c>
      <x:c r="C11" s="20" t="s">
        <x:v>1675</x:v>
      </x:c>
      <x:c r="D11" s="11" t="s">
        <x:v>56</x:v>
      </x:c>
      <x:c r="E11" s="11" t="s">
        <x:v>1660</x:v>
      </x:c>
      <x:c r="F11" s="11" t="s">
        <x:v>239</x:v>
      </x:c>
      <x:c r="G11" s="11" t="s">
        <x:v>89</x:v>
      </x:c>
      <x:c r="H11" s="11" t="s">
        <x:v>1676</x:v>
      </x:c>
      <x:c r="I11" s="20"/>
      <x:c r="J11" s="18"/>
    </x:row>
    <x:row r="12" ht="68.4000015258789" hidden="1">
      <x:c r="A12" s="11" t="s">
        <x:v>1677</x:v>
      </x:c>
      <x:c r="B12" s="11" t="s">
        <x:v>1674</x:v>
      </x:c>
      <x:c r="C12" s="20" t="s">
        <x:v>1678</x:v>
      </x:c>
      <x:c r="D12" s="11" t="s">
        <x:v>36</x:v>
      </x:c>
      <x:c r="E12" s="11" t="s">
        <x:v>1660</x:v>
      </x:c>
      <x:c r="F12" s="11" t="s">
        <x:v>43</x:v>
      </x:c>
      <x:c r="G12" s="11" t="s">
        <x:v>34</x:v>
      </x:c>
      <x:c r="H12" s="11" t="s">
        <x:v>1679</x:v>
      </x:c>
      <x:c r="I12" s="20" t="s">
        <x:v>1680</x:v>
      </x:c>
      <x:c r="J12" s="18">
        <x:v>46252</x:v>
      </x:c>
    </x:row>
    <x:row r="13" ht="22.799999237060547" hidden="1">
      <x:c r="A13" s="11" t="s">
        <x:v>1681</x:v>
      </x:c>
      <x:c r="B13" s="11" t="s">
        <x:v>1682</x:v>
      </x:c>
      <x:c r="C13" s="20" t="s">
        <x:v>1683</x:v>
      </x:c>
      <x:c r="D13" s="11" t="s">
        <x:v>56</x:v>
      </x:c>
      <x:c r="E13" s="11" t="s">
        <x:v>1660</x:v>
      </x:c>
      <x:c r="F13" s="11" t="s">
        <x:v>239</x:v>
      </x:c>
      <x:c r="G13" s="11" t="s">
        <x:v>89</x:v>
      </x:c>
      <x:c r="H13" s="11" t="s">
        <x:v>1684</x:v>
      </x:c>
      <x:c r="I13" s="20"/>
      <x:c r="J13" s="18"/>
    </x:row>
    <x:row r="14" ht="91.19999694824219" hidden="1">
      <x:c r="A14" s="11" t="s">
        <x:v>119</x:v>
      </x:c>
      <x:c r="B14" s="11" t="s">
        <x:v>101</x:v>
      </x:c>
      <x:c r="C14" s="20" t="s">
        <x:v>1685</x:v>
      </x:c>
      <x:c r="D14" s="11" t="s">
        <x:v>36</x:v>
      </x:c>
      <x:c r="E14" s="11" t="s">
        <x:v>1660</x:v>
      </x:c>
      <x:c r="F14" s="11" t="s">
        <x:v>43</x:v>
      </x:c>
      <x:c r="G14" s="11" t="s">
        <x:v>34</x:v>
      </x:c>
      <x:c r="H14" s="11" t="s">
        <x:v>1686</x:v>
      </x:c>
      <x:c r="I14" s="20" t="s">
        <x:v>1687</x:v>
      </x:c>
      <x:c r="J14" s="18">
        <x:v>46252</x:v>
      </x:c>
    </x:row>
    <x:row r="15" hidden="1">
      <x:c r="A15" s="11" t="s">
        <x:v>1688</x:v>
      </x:c>
      <x:c r="B15" s="11" t="s">
        <x:v>1376</x:v>
      </x:c>
      <x:c r="C15" s="20" t="s">
        <x:v>1689</x:v>
      </x:c>
      <x:c r="D15" s="11" t="s">
        <x:v>56</x:v>
      </x:c>
      <x:c r="E15" s="11" t="s">
        <x:v>1660</x:v>
      </x:c>
      <x:c r="F15" s="11" t="s">
        <x:v>239</x:v>
      </x:c>
      <x:c r="G15" s="11" t="s">
        <x:v>89</x:v>
      </x:c>
      <x:c r="H15" s="11" t="s">
        <x:v>1684</x:v>
      </x:c>
      <x:c r="I15" s="20"/>
      <x:c r="J15" s="18"/>
    </x:row>
    <x:row r="16" hidden="1">
      <x:c r="A16" s="11" t="s">
        <x:v>686</x:v>
      </x:c>
      <x:c r="B16" s="11" t="s">
        <x:v>682</x:v>
      </x:c>
      <x:c r="C16" s="20" t="s">
        <x:v>1690</x:v>
      </x:c>
      <x:c r="D16" s="11" t="s">
        <x:v>56</x:v>
      </x:c>
      <x:c r="E16" s="11" t="s">
        <x:v>1660</x:v>
      </x:c>
      <x:c r="F16" s="11" t="s">
        <x:v>239</x:v>
      </x:c>
      <x:c r="G16" s="11" t="s">
        <x:v>89</x:v>
      </x:c>
      <x:c r="H16" s="11" t="s">
        <x:v>1691</x:v>
      </x:c>
      <x:c r="I16" s="20"/>
      <x:c r="J16" s="18"/>
    </x:row>
    <x:row r="17" hidden="1">
      <x:c r="A17" s="11" t="s">
        <x:v>365</x:v>
      </x:c>
      <x:c r="B17" s="11" t="s">
        <x:v>1692</x:v>
      </x:c>
      <x:c r="C17" s="20" t="s">
        <x:v>1693</x:v>
      </x:c>
      <x:c r="D17" s="11" t="s">
        <x:v>54</x:v>
      </x:c>
      <x:c r="E17" s="11" t="s">
        <x:v>1660</x:v>
      </x:c>
      <x:c r="F17" s="11" t="s">
        <x:v>239</x:v>
      </x:c>
      <x:c r="G17" s="11" t="s">
        <x:v>89</x:v>
      </x:c>
      <x:c r="H17" s="11" t="s">
        <x:v>1694</x:v>
      </x:c>
      <x:c r="I17" s="20"/>
      <x:c r="J17" s="18"/>
    </x:row>
    <x:row r="18">
      <x:c r="A18" s="11" t="s">
        <x:v>277</x:v>
      </x:c>
      <x:c r="B18" s="11" t="s">
        <x:v>1692</x:v>
      </x:c>
      <x:c r="C18" s="20" t="s">
        <x:v>1695</x:v>
      </x:c>
      <x:c r="D18" s="11" t="s">
        <x:v>53</x:v>
      </x:c>
      <x:c r="E18" s="11" t="s">
        <x:v>1660</x:v>
      </x:c>
      <x:c r="F18" s="11" t="s">
        <x:v>239</x:v>
      </x:c>
      <x:c r="G18" s="11" t="s">
        <x:v>89</x:v>
      </x:c>
      <x:c r="H18" s="11" t="s">
        <x:v>950</x:v>
      </x:c>
      <x:c r="I18" s="20"/>
      <x:c r="J18" s="18"/>
    </x:row>
    <x:row r="19">
      <x:c r="A19" s="11" t="s">
        <x:v>310</x:v>
      </x:c>
      <x:c r="B19" s="11" t="s">
        <x:v>1475</x:v>
      </x:c>
      <x:c r="C19" s="20" t="s">
        <x:v>1696</x:v>
      </x:c>
      <x:c r="D19" s="11" t="s">
        <x:v>53</x:v>
      </x:c>
      <x:c r="E19" s="11" t="s">
        <x:v>1660</x:v>
      </x:c>
      <x:c r="F19" s="11" t="s">
        <x:v>239</x:v>
      </x:c>
      <x:c r="G19" s="11" t="s">
        <x:v>89</x:v>
      </x:c>
      <x:c r="H19" s="11" t="s">
        <x:v>1697</x:v>
      </x:c>
      <x:c r="I19" s="20"/>
      <x:c r="J19" s="18"/>
    </x:row>
    <x:row r="20" ht="79.80000305175781" hidden="1">
      <x:c r="A20" s="11" t="s">
        <x:v>174</x:v>
      </x:c>
      <x:c r="B20" s="11" t="s">
        <x:v>171</x:v>
      </x:c>
      <x:c r="C20" s="20" t="s">
        <x:v>1698</x:v>
      </x:c>
      <x:c r="D20" s="11" t="s">
        <x:v>36</x:v>
      </x:c>
      <x:c r="E20" s="11" t="s">
        <x:v>1699</x:v>
      </x:c>
      <x:c r="F20" s="11" t="s">
        <x:v>43</x:v>
      </x:c>
      <x:c r="G20" s="11" t="s">
        <x:v>34</x:v>
      </x:c>
      <x:c r="H20" s="11" t="s">
        <x:v>1700</x:v>
      </x:c>
      <x:c r="I20" s="20" t="s">
        <x:v>1701</x:v>
      </x:c>
      <x:c r="J20" s="18">
        <x:v>46252</x:v>
      </x:c>
    </x:row>
    <x:row r="21" ht="22.799999237060547" hidden="1">
      <x:c r="A21" s="11" t="s">
        <x:v>482</x:v>
      </x:c>
      <x:c r="B21" s="11" t="s">
        <x:v>1702</x:v>
      </x:c>
      <x:c r="C21" s="20" t="s">
        <x:v>1703</x:v>
      </x:c>
      <x:c r="D21" s="11" t="s">
        <x:v>55</x:v>
      </x:c>
      <x:c r="E21" s="11" t="s">
        <x:v>1660</x:v>
      </x:c>
      <x:c r="F21" s="11" t="s">
        <x:v>239</x:v>
      </x:c>
      <x:c r="G21" s="11" t="s">
        <x:v>89</x:v>
      </x:c>
      <x:c r="H21" s="11" t="s">
        <x:v>1704</x:v>
      </x:c>
      <x:c r="I21" s="20"/>
      <x:c r="J21" s="18"/>
    </x:row>
    <x:row r="22" hidden="1">
      <x:c r="A22" s="11" t="s">
        <x:v>451</x:v>
      </x:c>
      <x:c r="B22" s="11" t="s">
        <x:v>1705</x:v>
      </x:c>
      <x:c r="C22" s="20" t="s">
        <x:v>1706</x:v>
      </x:c>
      <x:c r="D22" s="11" t="s">
        <x:v>57</x:v>
      </x:c>
      <x:c r="E22" s="11" t="s">
        <x:v>1660</x:v>
      </x:c>
      <x:c r="F22" s="11" t="s">
        <x:v>239</x:v>
      </x:c>
      <x:c r="G22" s="11" t="s">
        <x:v>89</x:v>
      </x:c>
      <x:c r="H22" s="11" t="s">
        <x:v>1707</x:v>
      </x:c>
      <x:c r="I22" s="20"/>
      <x:c r="J22" s="18"/>
    </x:row>
    <x:row r="23" hidden="1">
      <x:c r="A23" s="11" t="s">
        <x:v>462</x:v>
      </x:c>
      <x:c r="B23" s="11" t="s">
        <x:v>1493</x:v>
      </x:c>
      <x:c r="C23" s="20" t="s">
        <x:v>1708</x:v>
      </x:c>
      <x:c r="D23" s="11" t="s">
        <x:v>57</x:v>
      </x:c>
      <x:c r="E23" s="11" t="s">
        <x:v>1660</x:v>
      </x:c>
      <x:c r="F23" s="11" t="s">
        <x:v>239</x:v>
      </x:c>
      <x:c r="G23" s="11" t="s">
        <x:v>89</x:v>
      </x:c>
      <x:c r="H23" s="11" t="s">
        <x:v>822</x:v>
      </x:c>
      <x:c r="I23" s="20"/>
      <x:c r="J23" s="18"/>
    </x:row>
    <x:row r="24" ht="22.799999237060547" hidden="1">
      <x:c r="A24" s="11" t="s">
        <x:v>543</x:v>
      </x:c>
      <x:c r="B24" s="11" t="s">
        <x:v>1709</x:v>
      </x:c>
      <x:c r="C24" s="20" t="s">
        <x:v>1710</x:v>
      </x:c>
      <x:c r="D24" s="11" t="s">
        <x:v>55</x:v>
      </x:c>
      <x:c r="E24" s="11" t="s">
        <x:v>1660</x:v>
      </x:c>
      <x:c r="F24" s="11" t="s">
        <x:v>239</x:v>
      </x:c>
      <x:c r="G24" s="11" t="s">
        <x:v>89</x:v>
      </x:c>
      <x:c r="H24" s="11" t="s">
        <x:v>1711</x:v>
      </x:c>
      <x:c r="I24" s="20"/>
      <x:c r="J24" s="18"/>
    </x:row>
    <x:row r="25" ht="22.799999237060547" hidden="1">
      <x:c r="A25" s="11" t="s">
        <x:v>755</x:v>
      </x:c>
      <x:c r="B25" s="11" t="s">
        <x:v>764</x:v>
      </x:c>
      <x:c r="C25" s="20" t="s">
        <x:v>1712</x:v>
      </x:c>
      <x:c r="D25" s="11" t="s">
        <x:v>57</x:v>
      </x:c>
      <x:c r="E25" s="11" t="s">
        <x:v>1660</x:v>
      </x:c>
      <x:c r="F25" s="11" t="s">
        <x:v>239</x:v>
      </x:c>
      <x:c r="G25" s="11" t="s">
        <x:v>89</x:v>
      </x:c>
      <x:c r="H25" s="11" t="s">
        <x:v>1713</x:v>
      </x:c>
      <x:c r="I25" s="20"/>
      <x:c r="J25" s="18"/>
    </x:row>
    <x:row r="26" hidden="1">
      <x:c r="A26" s="11" t="s">
        <x:v>553</x:v>
      </x:c>
      <x:c r="B26" s="11" t="s">
        <x:v>101</x:v>
      </x:c>
      <x:c r="C26" s="20" t="s">
        <x:v>1714</x:v>
      </x:c>
      <x:c r="D26" s="11" t="s">
        <x:v>55</x:v>
      </x:c>
      <x:c r="E26" s="11" t="s">
        <x:v>1699</x:v>
      </x:c>
      <x:c r="F26" s="11" t="s">
        <x:v>239</x:v>
      </x:c>
      <x:c r="G26" s="11" t="s">
        <x:v>89</x:v>
      </x:c>
      <x:c r="H26" s="11" t="s">
        <x:v>1715</x:v>
      </x:c>
      <x:c r="I26" s="20"/>
      <x:c r="J26" s="18"/>
    </x:row>
    <x:row r="27" ht="22.799999237060547" hidden="1">
      <x:c r="A27" s="11" t="s">
        <x:v>840</x:v>
      </x:c>
      <x:c r="B27" s="11" t="s">
        <x:v>1498</x:v>
      </x:c>
      <x:c r="C27" s="20" t="s">
        <x:v>1716</x:v>
      </x:c>
      <x:c r="D27" s="11" t="s">
        <x:v>57</x:v>
      </x:c>
      <x:c r="E27" s="11" t="s">
        <x:v>1699</x:v>
      </x:c>
      <x:c r="F27" s="11" t="s">
        <x:v>239</x:v>
      </x:c>
      <x:c r="G27" s="11" t="s">
        <x:v>89</x:v>
      </x:c>
      <x:c r="H27" s="11" t="s">
        <x:v>1717</x:v>
      </x:c>
      <x:c r="I27" s="20"/>
      <x:c r="J27" s="18"/>
    </x:row>
    <x:row r="28" ht="68.4000015258789" hidden="1">
      <x:c r="A28" s="11" t="s">
        <x:v>331</x:v>
      </x:c>
      <x:c r="B28" s="11" t="s">
        <x:v>1718</x:v>
      </x:c>
      <x:c r="C28" s="20" t="s">
        <x:v>1719</x:v>
      </x:c>
      <x:c r="D28" s="11" t="s">
        <x:v>36</x:v>
      </x:c>
      <x:c r="E28" s="11" t="s">
        <x:v>1660</x:v>
      </x:c>
      <x:c r="F28" s="11" t="s">
        <x:v>43</x:v>
      </x:c>
      <x:c r="G28" s="11" t="s">
        <x:v>34</x:v>
      </x:c>
      <x:c r="H28" s="11" t="s">
        <x:v>1720</x:v>
      </x:c>
      <x:c r="I28" s="20" t="s">
        <x:v>1721</x:v>
      </x:c>
      <x:c r="J28" s="18">
        <x:v>46252</x:v>
      </x:c>
    </x:row>
    <x:row r="29" ht="22.799999237060547" hidden="1">
      <x:c r="A29" s="11" t="s">
        <x:v>1722</x:v>
      </x:c>
      <x:c r="B29" s="11" t="s">
        <x:v>296</x:v>
      </x:c>
      <x:c r="C29" s="20" t="s">
        <x:v>1723</x:v>
      </x:c>
      <x:c r="D29" s="11" t="s">
        <x:v>56</x:v>
      </x:c>
      <x:c r="E29" s="11" t="s">
        <x:v>1660</x:v>
      </x:c>
      <x:c r="F29" s="11" t="s">
        <x:v>239</x:v>
      </x:c>
      <x:c r="G29" s="11" t="s">
        <x:v>89</x:v>
      </x:c>
      <x:c r="H29" s="11" t="s">
        <x:v>1724</x:v>
      </x:c>
      <x:c r="I29" s="20"/>
      <x:c r="J29" s="18"/>
    </x:row>
    <x:row r="30" ht="22.799999237060547" hidden="1">
      <x:c r="A30" s="11" t="s">
        <x:v>397</x:v>
      </x:c>
      <x:c r="B30" s="11" t="s">
        <x:v>1725</x:v>
      </x:c>
      <x:c r="C30" s="20" t="s">
        <x:v>1726</x:v>
      </x:c>
      <x:c r="D30" s="11" t="s">
        <x:v>54</x:v>
      </x:c>
      <x:c r="E30" s="11" t="s">
        <x:v>1699</x:v>
      </x:c>
      <x:c r="F30" s="11" t="s">
        <x:v>239</x:v>
      </x:c>
      <x:c r="G30" s="11" t="s">
        <x:v>89</x:v>
      </x:c>
      <x:c r="H30" s="11" t="s">
        <x:v>1727</x:v>
      </x:c>
      <x:c r="I30" s="20"/>
      <x:c r="J30" s="18"/>
    </x:row>
  </x:sheetData>
  <x:mergeCells>
    <x:mergeCell ref="A1:J1"/>
    <x:mergeCell ref="A2:J2"/>
  </x:mergeCells>
  <x:conditionalFormatting sqref="F6:F30">
    <x:cfRule type="containsText" dxfId="7" priority="1" operator="containsText" text="Done"/>
    <x:cfRule type="containsText" dxfId="6" priority="2" operator="containsText" text="Blocked"/>
    <x:cfRule type="containsText" dxfId="5" priority="3" operator="containsText" text="In Progress"/>
    <x:cfRule type="containsText" dxfId="4" priority="4" operator="containsText" text="Ready for Review"/>
  </x:conditionalFormatting>
  <x:dataValidations count="1">
    <x:dataValidation type="list" sqref="F6:F30">
      <x:formula1>"Not Started,In Progress,Blocked,Done,Deferred"</x:formula1>
    </x:dataValidation>
  </x:dataValidations>
  <x:pageMargins left="0.7" right="0.7" top="0.75" bottom="0.75" header="0.3" footer="0.3"/>
  <x:tableParts count="1">
    <x:tablePart xmlns:r="http://schemas.openxmlformats.org/officeDocument/2006/relationships" r:id="Rf369385b12c943bf"/>
  </x:tableParts>
</x:worksheet>
</file>

<file path=xl/worksheets/sheet15.xml><?xml version="1.0" encoding="utf-8"?>
<x:worksheet xmlns:x="http://schemas.openxmlformats.org/spreadsheetml/2006/main">
  <x:sheetViews>
    <x:sheetView showGridLines="0" workbookViewId="0"/>
  </x:sheetViews>
  <x:sheetFormatPr defaultRowHeight="13.800000190734863"/>
  <x:cols>
    <x:col min="1" max="1" width="8" customWidth="1"/>
    <x:col min="2" max="2" width="44.796875" customWidth="1"/>
    <x:col min="3" max="3" width="17" customWidth="1"/>
    <x:col min="4" max="4" width="49.69921875" customWidth="1"/>
    <x:col min="5" max="5" width="39.796875" customWidth="1"/>
    <x:col min="9" max="9" width="8.69921875" customWidth="1"/>
  </x:cols>
  <x:sheetData>
    <x:row r="1" ht="22.799999237060547">
      <x:c r="A1" s="32" t="s">
        <x:v>1728</x:v>
      </x:c>
      <x:c r="B1" s="32"/>
      <x:c r="C1" s="32"/>
      <x:c r="D1" s="32"/>
      <x:c r="E1" s="32"/>
      <x:c r="F1" s="32"/>
      <x:c r="G1" s="32"/>
      <x:c r="H1" s="32"/>
      <x:c r="I1" s="32"/>
    </x:row>
    <x:row r="2">
      <x:c r="A2" s="33" t="s">
        <x:v>1729</x:v>
      </x:c>
      <x:c r="B2" s="33"/>
      <x:c r="C2" s="33"/>
      <x:c r="D2" s="33"/>
      <x:c r="E2" s="33"/>
      <x:c r="F2" s="33"/>
      <x:c r="G2" s="33"/>
      <x:c r="H2" s="33"/>
      <x:c r="I2" s="33"/>
    </x:row>
    <x:row r="4">
      <x:c r="A4" s="34" t="s">
        <x:v>1730</x:v>
      </x:c>
      <x:c r="B4" s="35"/>
      <x:c r="C4" s="35"/>
      <x:c r="D4" s="35"/>
      <x:c r="E4" s="35"/>
      <x:c r="F4" s="35"/>
      <x:c r="G4" s="35"/>
      <x:c r="H4" s="35"/>
      <x:c r="I4" s="36"/>
    </x:row>
    <x:row r="5" ht="26.399999618530273">
      <x:c r="A5" s="1" t="s">
        <x:v>1731</x:v>
      </x:c>
      <x:c r="B5" s="2" t="s">
        <x:v>1732</x:v>
      </x:c>
      <x:c r="C5" s="2" t="s">
        <x:v>1733</x:v>
      </x:c>
      <x:c r="D5" s="3" t="s">
        <x:v>1734</x:v>
      </x:c>
      <x:c r="F5" s="1" t="s">
        <x:v>1735</x:v>
      </x:c>
      <x:c r="G5" s="2" t="s">
        <x:v>1736</x:v>
      </x:c>
      <x:c r="H5" s="2" t="s">
        <x:v>1737</x:v>
      </x:c>
      <x:c r="I5" s="3" t="s">
        <x:v>1738</x:v>
      </x:c>
    </x:row>
    <x:row r="6" ht="91.19999694824219">
      <x:c r="A6" s="10" t="s">
        <x:v>592</x:v>
      </x:c>
      <x:c r="B6" s="10" t="s">
        <x:v>1739</x:v>
      </x:c>
      <x:c r="C6" s="10" t="s">
        <x:v>1740</x:v>
      </x:c>
      <x:c r="D6" s="10" t="s">
        <x:v>1741</x:v>
      </x:c>
      <x:c r="F6" s="10" t="s">
        <x:v>1742</x:v>
      </x:c>
      <x:c r="G6" s="10" t="s">
        <x:v>1743</x:v>
      </x:c>
      <x:c r="H6" s="10" t="s">
        <x:v>1744</x:v>
      </x:c>
      <x:c r="I6" s="10" t="s">
        <x:v>1745</x:v>
      </x:c>
    </x:row>
    <x:row r="7" ht="125.4000015258789">
      <x:c r="A7" s="11" t="s">
        <x:v>1746</x:v>
      </x:c>
      <x:c r="B7" s="11" t="s">
        <x:v>1747</x:v>
      </x:c>
      <x:c r="C7" s="11" t="s">
        <x:v>1748</x:v>
      </x:c>
      <x:c r="D7" s="11" t="s">
        <x:v>1749</x:v>
      </x:c>
      <x:c r="F7" s="11" t="s">
        <x:v>1750</x:v>
      </x:c>
      <x:c r="G7" s="11" t="s">
        <x:v>1751</x:v>
      </x:c>
      <x:c r="H7" s="11" t="s">
        <x:v>1752</x:v>
      </x:c>
      <x:c r="I7" s="11" t="s">
        <x:v>1753</x:v>
      </x:c>
    </x:row>
    <x:row r="8" ht="79.80000305175781">
      <x:c r="A8" s="11" t="s">
        <x:v>1754</x:v>
      </x:c>
      <x:c r="B8" s="11" t="s">
        <x:v>1755</x:v>
      </x:c>
      <x:c r="C8" s="11" t="s">
        <x:v>1756</x:v>
      </x:c>
      <x:c r="D8" s="11" t="s">
        <x:v>1757</x:v>
      </x:c>
      <x:c r="F8" s="11" t="s">
        <x:v>1758</x:v>
      </x:c>
      <x:c r="G8" s="11" t="s">
        <x:v>1181</x:v>
      </x:c>
      <x:c r="H8" s="11" t="s">
        <x:v>1759</x:v>
      </x:c>
      <x:c r="I8" s="11" t="s">
        <x:v>1760</x:v>
      </x:c>
    </x:row>
    <x:row r="11">
      <x:c r="A11" s="1" t="s">
        <x:v>901</x:v>
      </x:c>
      <x:c r="B11" s="2" t="s">
        <x:v>891</x:v>
      </x:c>
      <x:c r="C11" s="2" t="s">
        <x:v>1761</x:v>
      </x:c>
      <x:c r="D11" s="2" t="s">
        <x:v>1762</x:v>
      </x:c>
      <x:c r="E11" s="3" t="s">
        <x:v>1763</x:v>
      </x:c>
    </x:row>
    <x:row r="12" ht="22.799999237060547">
      <x:c r="A12" s="10">
        <x:v>1</x:v>
      </x:c>
      <x:c r="B12" s="10" t="s">
        <x:v>1764</x:v>
      </x:c>
      <x:c r="C12" s="10" t="s">
        <x:v>1181</x:v>
      </x:c>
      <x:c r="D12" s="10" t="s">
        <x:v>1765</x:v>
      </x:c>
      <x:c r="E12" s="10" t="s">
        <x:v>1766</x:v>
      </x:c>
    </x:row>
    <x:row r="13">
      <x:c r="A13" s="11">
        <x:v>2</x:v>
      </x:c>
      <x:c r="B13" s="11" t="s">
        <x:v>1767</x:v>
      </x:c>
      <x:c r="C13" s="11" t="s">
        <x:v>1768</x:v>
      </x:c>
      <x:c r="D13" s="11" t="s">
        <x:v>1769</x:v>
      </x:c>
      <x:c r="E13" s="11" t="s">
        <x:v>1770</x:v>
      </x:c>
    </x:row>
    <x:row r="14">
      <x:c r="A14" s="11">
        <x:v>3</x:v>
      </x:c>
      <x:c r="B14" s="11" t="s">
        <x:v>1771</x:v>
      </x:c>
      <x:c r="C14" s="11" t="s">
        <x:v>592</x:v>
      </x:c>
      <x:c r="D14" s="11" t="s">
        <x:v>1772</x:v>
      </x:c>
      <x:c r="E14" s="11" t="s">
        <x:v>1773</x:v>
      </x:c>
    </x:row>
    <x:row r="15" ht="22.799999237060547">
      <x:c r="A15" s="11">
        <x:v>4</x:v>
      </x:c>
      <x:c r="B15" s="11" t="s">
        <x:v>1774</x:v>
      </x:c>
      <x:c r="C15" s="11" t="s">
        <x:v>1746</x:v>
      </x:c>
      <x:c r="D15" s="11" t="s">
        <x:v>1775</x:v>
      </x:c>
      <x:c r="E15" s="11" t="s">
        <x:v>1776</x:v>
      </x:c>
    </x:row>
    <x:row r="16" ht="22.799999237060547">
      <x:c r="A16" s="11">
        <x:v>5</x:v>
      </x:c>
      <x:c r="B16" s="11" t="s">
        <x:v>1777</x:v>
      </x:c>
      <x:c r="C16" s="11" t="s">
        <x:v>1382</x:v>
      </x:c>
      <x:c r="D16" s="11" t="s">
        <x:v>1778</x:v>
      </x:c>
      <x:c r="E16" s="11" t="s">
        <x:v>1779</x:v>
      </x:c>
    </x:row>
    <x:row r="17" ht="22.799999237060547">
      <x:c r="A17" s="11">
        <x:v>6</x:v>
      </x:c>
      <x:c r="B17" s="11" t="s">
        <x:v>1780</x:v>
      </x:c>
      <x:c r="C17" s="11" t="s">
        <x:v>1382</x:v>
      </x:c>
      <x:c r="D17" s="11" t="s">
        <x:v>1781</x:v>
      </x:c>
      <x:c r="E17" s="11" t="s">
        <x:v>1782</x:v>
      </x:c>
    </x:row>
    <x:row r="18" ht="22.799999237060547">
      <x:c r="A18" s="11">
        <x:v>7</x:v>
      </x:c>
      <x:c r="B18" s="11" t="s">
        <x:v>1783</x:v>
      </x:c>
      <x:c r="C18" s="11" t="s">
        <x:v>1382</x:v>
      </x:c>
      <x:c r="D18" s="11" t="s">
        <x:v>1784</x:v>
      </x:c>
      <x:c r="E18" s="11" t="s">
        <x:v>1785</x:v>
      </x:c>
    </x:row>
    <x:row r="19" ht="22.799999237060547">
      <x:c r="A19" s="11">
        <x:v>8</x:v>
      </x:c>
      <x:c r="B19" s="11" t="s">
        <x:v>1786</x:v>
      </x:c>
      <x:c r="C19" s="11" t="s">
        <x:v>1382</x:v>
      </x:c>
      <x:c r="D19" s="11" t="s">
        <x:v>1787</x:v>
      </x:c>
      <x:c r="E19" s="11" t="s">
        <x:v>1788</x:v>
      </x:c>
    </x:row>
    <x:row r="20">
      <x:c r="A20" s="11">
        <x:v>9</x:v>
      </x:c>
      <x:c r="B20" s="11" t="s">
        <x:v>1789</x:v>
      </x:c>
      <x:c r="C20" s="11" t="s">
        <x:v>1382</x:v>
      </x:c>
      <x:c r="D20" s="11" t="s">
        <x:v>1790</x:v>
      </x:c>
      <x:c r="E20" s="11" t="s">
        <x:v>1791</x:v>
      </x:c>
    </x:row>
    <x:row r="21" ht="22.799999237060547">
      <x:c r="A21" s="11">
        <x:v>10</x:v>
      </x:c>
      <x:c r="B21" s="11" t="s">
        <x:v>1792</x:v>
      </x:c>
      <x:c r="C21" s="11" t="s">
        <x:v>1382</x:v>
      </x:c>
      <x:c r="D21" s="11" t="s">
        <x:v>1793</x:v>
      </x:c>
      <x:c r="E21" s="11" t="s">
        <x:v>1794</x:v>
      </x:c>
    </x:row>
    <x:row r="22" ht="22.799999237060547">
      <x:c r="A22" s="11">
        <x:v>11</x:v>
      </x:c>
      <x:c r="B22" s="11" t="s">
        <x:v>1795</x:v>
      </x:c>
      <x:c r="C22" s="11" t="s">
        <x:v>1382</x:v>
      </x:c>
      <x:c r="D22" s="11" t="s">
        <x:v>1796</x:v>
      </x:c>
      <x:c r="E22" s="11" t="s">
        <x:v>1797</x:v>
      </x:c>
    </x:row>
    <x:row r="23">
      <x:c r="A23" s="11">
        <x:v>12</x:v>
      </x:c>
      <x:c r="B23" s="11" t="s">
        <x:v>1798</x:v>
      </x:c>
      <x:c r="C23" s="11" t="s">
        <x:v>1382</x:v>
      </x:c>
      <x:c r="D23" s="11" t="s">
        <x:v>1799</x:v>
      </x:c>
      <x:c r="E23" s="11" t="s">
        <x:v>1800</x:v>
      </x:c>
    </x:row>
    <x:row r="24" ht="22.799999237060547">
      <x:c r="A24" s="11">
        <x:v>13</x:v>
      </x:c>
      <x:c r="B24" s="11" t="s">
        <x:v>1801</x:v>
      </x:c>
      <x:c r="C24" s="11" t="s">
        <x:v>1382</x:v>
      </x:c>
      <x:c r="D24" s="11" t="s">
        <x:v>1802</x:v>
      </x:c>
      <x:c r="E24" s="11" t="s">
        <x:v>1803</x:v>
      </x:c>
    </x:row>
    <x:row r="25">
      <x:c r="A25" s="11">
        <x:v>14</x:v>
      </x:c>
      <x:c r="B25" s="11" t="s">
        <x:v>1804</x:v>
      </x:c>
      <x:c r="C25" s="11" t="s">
        <x:v>1382</x:v>
      </x:c>
      <x:c r="D25" s="11" t="s">
        <x:v>1805</x:v>
      </x:c>
      <x:c r="E25" s="11" t="s">
        <x:v>1806</x:v>
      </x:c>
    </x:row>
    <x:row r="26">
      <x:c r="A26" s="11">
        <x:v>15</x:v>
      </x:c>
      <x:c r="B26" s="11" t="s">
        <x:v>1807</x:v>
      </x:c>
      <x:c r="C26" s="11" t="s">
        <x:v>1382</x:v>
      </x:c>
      <x:c r="D26" s="11" t="s">
        <x:v>1808</x:v>
      </x:c>
      <x:c r="E26" s="11" t="s">
        <x:v>1809</x:v>
      </x:c>
    </x:row>
    <x:row r="27" ht="22.799999237060547">
      <x:c r="A27" s="11">
        <x:v>16</x:v>
      </x:c>
      <x:c r="B27" s="11" t="s">
        <x:v>1810</x:v>
      </x:c>
      <x:c r="C27" s="11" t="s">
        <x:v>1181</x:v>
      </x:c>
      <x:c r="D27" s="11" t="s">
        <x:v>1811</x:v>
      </x:c>
      <x:c r="E27" s="11" t="s">
        <x:v>1812</x:v>
      </x:c>
    </x:row>
    <x:row r="29">
      <x:c r="A29" s="37" t="s">
        <x:v>1813</x:v>
      </x:c>
      <x:c r="B29" s="38"/>
      <x:c r="C29" s="38"/>
      <x:c r="D29" s="38"/>
      <x:c r="E29" s="38"/>
      <x:c r="F29" s="38"/>
      <x:c r="G29" s="38"/>
      <x:c r="H29" s="38"/>
      <x:c r="I29" s="39"/>
    </x:row>
  </x:sheetData>
  <x:mergeCells>
    <x:mergeCell ref="A1:I1"/>
    <x:mergeCell ref="A2:I2"/>
    <x:mergeCell ref="A4:I4"/>
    <x:mergeCell ref="A29:I29"/>
  </x:mergeCells>
  <x:pageMargins left="0.7" right="0.7" top="0.75" bottom="0.75" header="0.3" footer="0.3"/>
  <x:tableParts count="1">
    <x:tablePart xmlns:r="http://schemas.openxmlformats.org/officeDocument/2006/relationships" r:id="R43e376db45ea444c"/>
  </x:tableParts>
</x:worksheet>
</file>

<file path=xl/worksheets/sheet16.xml><?xml version="1.0" encoding="utf-8"?>
<x:worksheet xmlns:x="http://schemas.openxmlformats.org/spreadsheetml/2006/main">
  <x:sheetViews>
    <x:sheetView showGridLines="0" workbookViewId="0"/>
  </x:sheetViews>
  <x:sheetFormatPr defaultRowHeight="13.800000190734863"/>
  <x:cols>
    <x:col min="1" max="1" width="19" customWidth="1"/>
    <x:col min="2" max="2" width="30" customWidth="1"/>
    <x:col min="3" max="4" width="18" customWidth="1"/>
    <x:col min="5" max="5" width="42" customWidth="1"/>
    <x:col min="6" max="6" width="38" customWidth="1"/>
    <x:col min="7" max="7" width="44" customWidth="1"/>
  </x:cols>
  <x:sheetData>
    <x:row r="1" ht="31.950000762939453" customHeight="1">
      <x:c r="A1" s="32" t="s">
        <x:v>1814</x:v>
      </x:c>
      <x:c r="B1" s="32"/>
      <x:c r="C1" s="32"/>
      <x:c r="D1" s="32"/>
      <x:c r="E1" s="32"/>
      <x:c r="F1" s="32"/>
      <x:c r="G1" s="32"/>
    </x:row>
    <x:row r="2" ht="31.950000762939453" customHeight="1">
      <x:c r="A2" s="33" t="s">
        <x:v>1815</x:v>
      </x:c>
      <x:c r="B2" s="33"/>
      <x:c r="C2" s="33"/>
      <x:c r="D2" s="33"/>
      <x:c r="E2" s="33"/>
      <x:c r="F2" s="33"/>
      <x:c r="G2" s="33"/>
    </x:row>
    <x:row r="5" ht="28.049999237060547" customHeight="1">
      <x:c r="A5" s="1" t="s">
        <x:v>1650</x:v>
      </x:c>
      <x:c r="B5" s="2" t="s">
        <x:v>1816</x:v>
      </x:c>
      <x:c r="C5" s="2" t="s">
        <x:v>68</x:v>
      </x:c>
      <x:c r="D5" s="2" t="s">
        <x:v>1817</x:v>
      </x:c>
      <x:c r="E5" s="2" t="s">
        <x:v>1818</x:v>
      </x:c>
      <x:c r="F5" s="2" t="s">
        <x:v>1819</x:v>
      </x:c>
      <x:c r="G5" s="3" t="s">
        <x:v>1820</x:v>
      </x:c>
    </x:row>
    <x:row r="6">
      <x:c r="A6" s="10" t="s">
        <x:v>1821</x:v>
      </x:c>
      <x:c r="B6" s="10" t="s">
        <x:v>1822</x:v>
      </x:c>
      <x:c r="C6" s="10" t="s">
        <x:v>1823</x:v>
      </x:c>
      <x:c r="D6" s="10" t="s">
        <x:v>1321</x:v>
      </x:c>
      <x:c r="E6" s="10" t="s">
        <x:v>1824</x:v>
      </x:c>
      <x:c r="F6" s="10" t="s">
        <x:v>1825</x:v>
      </x:c>
      <x:c r="G6" s="10" t="s">
        <x:v>1826</x:v>
      </x:c>
    </x:row>
    <x:row r="7">
      <x:c r="A7" s="11" t="s">
        <x:v>1821</x:v>
      </x:c>
      <x:c r="B7" s="11" t="s">
        <x:v>1827</x:v>
      </x:c>
      <x:c r="C7" s="11" t="s">
        <x:v>1823</x:v>
      </x:c>
      <x:c r="D7" s="11" t="s">
        <x:v>1828</x:v>
      </x:c>
      <x:c r="E7" s="11" t="s">
        <x:v>1829</x:v>
      </x:c>
      <x:c r="F7" s="11" t="s">
        <x:v>1830</x:v>
      </x:c>
      <x:c r="G7" s="11" t="s">
        <x:v>1831</x:v>
      </x:c>
    </x:row>
    <x:row r="8">
      <x:c r="A8" s="11" t="s">
        <x:v>1821</x:v>
      </x:c>
      <x:c r="B8" s="11" t="s">
        <x:v>1832</x:v>
      </x:c>
      <x:c r="C8" s="11" t="s">
        <x:v>1823</x:v>
      </x:c>
      <x:c r="D8" s="11" t="s">
        <x:v>1828</x:v>
      </x:c>
      <x:c r="E8" s="11" t="s">
        <x:v>1833</x:v>
      </x:c>
      <x:c r="F8" s="11" t="s">
        <x:v>1834</x:v>
      </x:c>
      <x:c r="G8" s="11" t="s">
        <x:v>1835</x:v>
      </x:c>
    </x:row>
    <x:row r="9">
      <x:c r="A9" s="11" t="s">
        <x:v>1821</x:v>
      </x:c>
      <x:c r="B9" s="11" t="s">
        <x:v>1836</x:v>
      </x:c>
      <x:c r="C9" s="11" t="s">
        <x:v>1823</x:v>
      </x:c>
      <x:c r="D9" s="11" t="s">
        <x:v>1828</x:v>
      </x:c>
      <x:c r="E9" s="11" t="s">
        <x:v>1837</x:v>
      </x:c>
      <x:c r="F9" s="11" t="s">
        <x:v>1838</x:v>
      </x:c>
      <x:c r="G9" s="11" t="s">
        <x:v>1839</x:v>
      </x:c>
    </x:row>
    <x:row r="10">
      <x:c r="A10" s="11" t="s">
        <x:v>1821</x:v>
      </x:c>
      <x:c r="B10" s="11" t="s">
        <x:v>1840</x:v>
      </x:c>
      <x:c r="C10" s="11" t="s">
        <x:v>1823</x:v>
      </x:c>
      <x:c r="D10" s="11" t="s">
        <x:v>1828</x:v>
      </x:c>
      <x:c r="E10" s="11" t="s">
        <x:v>1841</x:v>
      </x:c>
      <x:c r="F10" s="11" t="s">
        <x:v>1842</x:v>
      </x:c>
      <x:c r="G10" s="11" t="s">
        <x:v>1843</x:v>
      </x:c>
    </x:row>
    <x:row r="11">
      <x:c r="A11" s="11" t="s">
        <x:v>1844</x:v>
      </x:c>
      <x:c r="B11" s="11" t="s">
        <x:v>1845</x:v>
      </x:c>
      <x:c r="C11" s="11" t="s">
        <x:v>85</x:v>
      </x:c>
      <x:c r="D11" s="11" t="s">
        <x:v>1846</x:v>
      </x:c>
      <x:c r="E11" s="11" t="s">
        <x:v>1847</x:v>
      </x:c>
      <x:c r="F11" s="11" t="s">
        <x:v>1848</x:v>
      </x:c>
      <x:c r="G11" s="11" t="s">
        <x:v>1849</x:v>
      </x:c>
    </x:row>
    <x:row r="12">
      <x:c r="A12" s="11" t="s">
        <x:v>1844</x:v>
      </x:c>
      <x:c r="B12" s="11" t="s">
        <x:v>1850</x:v>
      </x:c>
      <x:c r="C12" s="11" t="s">
        <x:v>85</x:v>
      </x:c>
      <x:c r="D12" s="11" t="s">
        <x:v>55</x:v>
      </x:c>
      <x:c r="E12" s="11" t="s">
        <x:v>1851</x:v>
      </x:c>
      <x:c r="F12" s="11" t="s">
        <x:v>1852</x:v>
      </x:c>
      <x:c r="G12" s="11" t="s">
        <x:v>1853</x:v>
      </x:c>
    </x:row>
    <x:row r="13">
      <x:c r="A13" s="11" t="s">
        <x:v>1854</x:v>
      </x:c>
      <x:c r="B13" s="11" t="s">
        <x:v>1855</x:v>
      </x:c>
      <x:c r="C13" s="11" t="s">
        <x:v>1823</x:v>
      </x:c>
      <x:c r="D13" s="11" t="s">
        <x:v>1321</x:v>
      </x:c>
      <x:c r="E13" s="11" t="s">
        <x:v>1856</x:v>
      </x:c>
      <x:c r="F13" s="11" t="s">
        <x:v>1857</x:v>
      </x:c>
      <x:c r="G13" s="11" t="s">
        <x:v>1858</x:v>
      </x:c>
    </x:row>
    <x:row r="14">
      <x:c r="A14" s="11" t="s">
        <x:v>1854</x:v>
      </x:c>
      <x:c r="B14" s="11" t="s">
        <x:v>1859</x:v>
      </x:c>
      <x:c r="C14" s="11" t="s">
        <x:v>1823</x:v>
      </x:c>
      <x:c r="D14" s="11" t="s">
        <x:v>1321</x:v>
      </x:c>
      <x:c r="E14" s="11" t="s">
        <x:v>1860</x:v>
      </x:c>
      <x:c r="F14" s="11" t="s">
        <x:v>1861</x:v>
      </x:c>
      <x:c r="G14" s="11" t="s">
        <x:v>1862</x:v>
      </x:c>
    </x:row>
    <x:row r="15">
      <x:c r="A15" s="11" t="s">
        <x:v>1854</x:v>
      </x:c>
      <x:c r="B15" s="11" t="s">
        <x:v>1863</x:v>
      </x:c>
      <x:c r="C15" s="11" t="s">
        <x:v>1823</x:v>
      </x:c>
      <x:c r="D15" s="11" t="s">
        <x:v>1864</x:v>
      </x:c>
      <x:c r="E15" s="11" t="s">
        <x:v>1865</x:v>
      </x:c>
      <x:c r="F15" s="11" t="s">
        <x:v>1866</x:v>
      </x:c>
      <x:c r="G15" s="11" t="s">
        <x:v>1867</x:v>
      </x:c>
    </x:row>
    <x:row r="16">
      <x:c r="A16" s="11" t="s">
        <x:v>1854</x:v>
      </x:c>
      <x:c r="B16" s="11" t="s">
        <x:v>1868</x:v>
      </x:c>
      <x:c r="C16" s="11" t="s">
        <x:v>1823</x:v>
      </x:c>
      <x:c r="D16" s="11" t="s">
        <x:v>1869</x:v>
      </x:c>
      <x:c r="E16" s="11" t="s">
        <x:v>1870</x:v>
      </x:c>
      <x:c r="F16" s="11" t="s">
        <x:v>1871</x:v>
      </x:c>
      <x:c r="G16" s="11" t="s">
        <x:v>1872</x:v>
      </x:c>
    </x:row>
    <x:row r="17">
      <x:c r="A17" s="11" t="s">
        <x:v>1873</x:v>
      </x:c>
      <x:c r="B17" s="11" t="s">
        <x:v>1874</x:v>
      </x:c>
      <x:c r="C17" s="11" t="s">
        <x:v>1823</x:v>
      </x:c>
      <x:c r="D17" s="11" t="s">
        <x:v>1875</x:v>
      </x:c>
      <x:c r="E17" s="11" t="s">
        <x:v>1876</x:v>
      </x:c>
      <x:c r="F17" s="11" t="s">
        <x:v>1877</x:v>
      </x:c>
      <x:c r="G17" s="11" t="s">
        <x:v>1878</x:v>
      </x:c>
    </x:row>
    <x:row r="18" ht="22.799999237060547">
      <x:c r="A18" s="11" t="s">
        <x:v>405</x:v>
      </x:c>
      <x:c r="B18" s="11" t="s">
        <x:v>1879</x:v>
      </x:c>
      <x:c r="C18" s="11" t="s">
        <x:v>85</x:v>
      </x:c>
      <x:c r="D18" s="11" t="s">
        <x:v>54</x:v>
      </x:c>
      <x:c r="E18" s="11" t="s">
        <x:v>1880</x:v>
      </x:c>
      <x:c r="F18" s="11" t="s">
        <x:v>1881</x:v>
      </x:c>
      <x:c r="G18" s="11" t="s">
        <x:v>1882</x:v>
      </x:c>
    </x:row>
    <x:row r="19">
      <x:c r="A19" s="11" t="s">
        <x:v>405</x:v>
      </x:c>
      <x:c r="B19" s="11" t="s">
        <x:v>1883</x:v>
      </x:c>
      <x:c r="C19" s="11" t="s">
        <x:v>339</x:v>
      </x:c>
      <x:c r="D19" s="11" t="s">
        <x:v>1321</x:v>
      </x:c>
      <x:c r="E19" s="11" t="s">
        <x:v>1884</x:v>
      </x:c>
      <x:c r="F19" s="11" t="s">
        <x:v>1885</x:v>
      </x:c>
      <x:c r="G19" s="11" t="s">
        <x:v>1886</x:v>
      </x:c>
    </x:row>
    <x:row r="20">
      <x:c r="A20" s="11" t="s">
        <x:v>1426</x:v>
      </x:c>
      <x:c r="B20" s="11" t="s">
        <x:v>1887</x:v>
      </x:c>
      <x:c r="C20" s="11" t="s">
        <x:v>85</x:v>
      </x:c>
      <x:c r="D20" s="11" t="s">
        <x:v>54</x:v>
      </x:c>
      <x:c r="E20" s="11" t="s">
        <x:v>1888</x:v>
      </x:c>
      <x:c r="F20" s="11" t="s">
        <x:v>1889</x:v>
      </x:c>
      <x:c r="G20" s="11" t="s">
        <x:v>1890</x:v>
      </x:c>
    </x:row>
    <x:row r="21">
      <x:c r="A21" s="11" t="s">
        <x:v>1426</x:v>
      </x:c>
      <x:c r="B21" s="11" t="s">
        <x:v>1891</x:v>
      </x:c>
      <x:c r="C21" s="11" t="s">
        <x:v>85</x:v>
      </x:c>
      <x:c r="D21" s="11" t="s">
        <x:v>54</x:v>
      </x:c>
      <x:c r="E21" s="11" t="s">
        <x:v>1892</x:v>
      </x:c>
      <x:c r="F21" s="11" t="s">
        <x:v>1893</x:v>
      </x:c>
      <x:c r="G21" s="11" t="s">
        <x:v>1894</x:v>
      </x:c>
    </x:row>
    <x:row r="22">
      <x:c r="A22" s="11" t="s">
        <x:v>1426</x:v>
      </x:c>
      <x:c r="B22" s="11" t="s">
        <x:v>1895</x:v>
      </x:c>
      <x:c r="C22" s="11" t="s">
        <x:v>339</x:v>
      </x:c>
      <x:c r="D22" s="11" t="s">
        <x:v>1321</x:v>
      </x:c>
      <x:c r="E22" s="11" t="s">
        <x:v>1896</x:v>
      </x:c>
      <x:c r="F22" s="11" t="s">
        <x:v>1897</x:v>
      </x:c>
      <x:c r="G22" s="11" t="s">
        <x:v>1898</x:v>
      </x:c>
    </x:row>
    <x:row r="23">
      <x:c r="A23" s="11" t="s">
        <x:v>1899</x:v>
      </x:c>
      <x:c r="B23" s="11" t="s">
        <x:v>1900</x:v>
      </x:c>
      <x:c r="C23" s="11" t="s">
        <x:v>85</x:v>
      </x:c>
      <x:c r="D23" s="11" t="s">
        <x:v>55</x:v>
      </x:c>
      <x:c r="E23" s="11" t="s">
        <x:v>1901</x:v>
      </x:c>
      <x:c r="F23" s="11" t="s">
        <x:v>1902</x:v>
      </x:c>
      <x:c r="G23" s="11" t="s">
        <x:v>1903</x:v>
      </x:c>
    </x:row>
    <x:row r="24">
      <x:c r="A24" s="11" t="s">
        <x:v>1899</x:v>
      </x:c>
      <x:c r="B24" s="11" t="s">
        <x:v>1904</x:v>
      </x:c>
      <x:c r="C24" s="11" t="s">
        <x:v>1823</x:v>
      </x:c>
      <x:c r="D24" s="11" t="s">
        <x:v>1905</x:v>
      </x:c>
      <x:c r="E24" s="11" t="s">
        <x:v>1906</x:v>
      </x:c>
      <x:c r="F24" s="11" t="s">
        <x:v>1907</x:v>
      </x:c>
      <x:c r="G24" s="11" t="s">
        <x:v>1908</x:v>
      </x:c>
    </x:row>
    <x:row r="25">
      <x:c r="A25" s="11" t="s">
        <x:v>1899</x:v>
      </x:c>
      <x:c r="B25" s="11" t="s">
        <x:v>1909</x:v>
      </x:c>
      <x:c r="C25" s="11" t="s">
        <x:v>1823</x:v>
      </x:c>
      <x:c r="D25" s="11" t="s">
        <x:v>1905</x:v>
      </x:c>
      <x:c r="E25" s="11" t="s">
        <x:v>1910</x:v>
      </x:c>
      <x:c r="F25" s="11" t="s">
        <x:v>1911</x:v>
      </x:c>
      <x:c r="G25" s="11" t="s">
        <x:v>1912</x:v>
      </x:c>
    </x:row>
    <x:row r="26">
      <x:c r="A26" s="11" t="s">
        <x:v>1899</x:v>
      </x:c>
      <x:c r="B26" s="11" t="s">
        <x:v>1913</x:v>
      </x:c>
      <x:c r="C26" s="11" t="s">
        <x:v>1823</x:v>
      </x:c>
      <x:c r="D26" s="11" t="s">
        <x:v>1828</x:v>
      </x:c>
      <x:c r="E26" s="11" t="s">
        <x:v>1914</x:v>
      </x:c>
      <x:c r="F26" s="11" t="s">
        <x:v>1915</x:v>
      </x:c>
      <x:c r="G26" s="11" t="s">
        <x:v>1916</x:v>
      </x:c>
    </x:row>
    <x:row r="27">
      <x:c r="A27" s="11" t="s">
        <x:v>1917</x:v>
      </x:c>
      <x:c r="B27" s="11" t="s">
        <x:v>1918</x:v>
      </x:c>
      <x:c r="C27" s="11" t="s">
        <x:v>85</x:v>
      </x:c>
      <x:c r="D27" s="11" t="s">
        <x:v>1155</x:v>
      </x:c>
      <x:c r="E27" s="11" t="s">
        <x:v>1919</x:v>
      </x:c>
      <x:c r="F27" s="11" t="s">
        <x:v>1889</x:v>
      </x:c>
      <x:c r="G27" s="11" t="s">
        <x:v>1920</x:v>
      </x:c>
    </x:row>
    <x:row r="28">
      <x:c r="A28" s="11" t="s">
        <x:v>1917</x:v>
      </x:c>
      <x:c r="B28" s="11" t="s">
        <x:v>1921</x:v>
      </x:c>
      <x:c r="C28" s="11" t="s">
        <x:v>1823</x:v>
      </x:c>
      <x:c r="D28" s="11" t="s">
        <x:v>1922</x:v>
      </x:c>
      <x:c r="E28" s="11" t="s">
        <x:v>1923</x:v>
      </x:c>
      <x:c r="F28" s="11" t="s">
        <x:v>1924</x:v>
      </x:c>
      <x:c r="G28" s="11" t="s">
        <x:v>1925</x:v>
      </x:c>
    </x:row>
    <x:row r="29">
      <x:c r="A29" s="11" t="s">
        <x:v>1926</x:v>
      </x:c>
      <x:c r="B29" s="11" t="s">
        <x:v>1927</x:v>
      </x:c>
      <x:c r="C29" s="11" t="s">
        <x:v>339</x:v>
      </x:c>
      <x:c r="D29" s="11" t="s">
        <x:v>1928</x:v>
      </x:c>
      <x:c r="E29" s="11" t="s">
        <x:v>1929</x:v>
      </x:c>
      <x:c r="F29" s="11" t="s">
        <x:v>1930</x:v>
      </x:c>
      <x:c r="G29" s="11" t="s">
        <x:v>1931</x:v>
      </x:c>
    </x:row>
    <x:row r="30">
      <x:c r="A30" s="11" t="s">
        <x:v>1926</x:v>
      </x:c>
      <x:c r="B30" s="11" t="s">
        <x:v>1932</x:v>
      </x:c>
      <x:c r="C30" s="11" t="s">
        <x:v>1823</x:v>
      </x:c>
      <x:c r="D30" s="11" t="s">
        <x:v>1928</x:v>
      </x:c>
      <x:c r="E30" s="11" t="s">
        <x:v>1933</x:v>
      </x:c>
      <x:c r="F30" s="11" t="s">
        <x:v>1934</x:v>
      </x:c>
      <x:c r="G30" s="11" t="s">
        <x:v>1935</x:v>
      </x:c>
    </x:row>
    <x:row r="31">
      <x:c r="A31" s="11" t="s">
        <x:v>1936</x:v>
      </x:c>
      <x:c r="B31" s="11" t="s">
        <x:v>1937</x:v>
      </x:c>
      <x:c r="C31" s="11" t="s">
        <x:v>1823</x:v>
      </x:c>
      <x:c r="D31" s="11" t="s">
        <x:v>1938</x:v>
      </x:c>
      <x:c r="E31" s="11" t="s">
        <x:v>1939</x:v>
      </x:c>
      <x:c r="F31" s="11" t="s">
        <x:v>1940</x:v>
      </x:c>
      <x:c r="G31" s="11" t="s">
        <x:v>1941</x:v>
      </x:c>
    </x:row>
    <x:row r="32">
      <x:c r="A32" s="11" t="s">
        <x:v>273</x:v>
      </x:c>
      <x:c r="B32" s="11" t="s">
        <x:v>1942</x:v>
      </x:c>
      <x:c r="C32" s="11" t="s">
        <x:v>85</x:v>
      </x:c>
      <x:c r="D32" s="11" t="s">
        <x:v>53</x:v>
      </x:c>
      <x:c r="E32" s="11" t="s">
        <x:v>1943</x:v>
      </x:c>
      <x:c r="F32" s="11" t="s">
        <x:v>1944</x:v>
      </x:c>
      <x:c r="G32" s="11" t="s">
        <x:v>1945</x:v>
      </x:c>
    </x:row>
    <x:row r="33">
      <x:c r="A33" s="11" t="s">
        <x:v>273</x:v>
      </x:c>
      <x:c r="B33" s="11" t="s">
        <x:v>1946</x:v>
      </x:c>
      <x:c r="C33" s="11" t="s">
        <x:v>1823</x:v>
      </x:c>
      <x:c r="D33" s="11" t="s">
        <x:v>1864</x:v>
      </x:c>
      <x:c r="E33" s="11" t="s">
        <x:v>1947</x:v>
      </x:c>
      <x:c r="F33" s="11" t="s">
        <x:v>1948</x:v>
      </x:c>
      <x:c r="G33" s="11" t="s">
        <x:v>1949</x:v>
      </x:c>
    </x:row>
    <x:row r="34">
      <x:c r="A34" s="11" t="s">
        <x:v>1950</x:v>
      </x:c>
      <x:c r="B34" s="11" t="s">
        <x:v>1081</x:v>
      </x:c>
      <x:c r="C34" s="11" t="s">
        <x:v>85</x:v>
      </x:c>
      <x:c r="D34" s="11" t="s">
        <x:v>53</x:v>
      </x:c>
      <x:c r="E34" s="11" t="s">
        <x:v>1951</x:v>
      </x:c>
      <x:c r="F34" s="11" t="s">
        <x:v>1952</x:v>
      </x:c>
      <x:c r="G34" s="11" t="s">
        <x:v>1953</x:v>
      </x:c>
    </x:row>
    <x:row r="35" ht="22.799999237060547">
      <x:c r="A35" s="11" t="s">
        <x:v>1950</x:v>
      </x:c>
      <x:c r="B35" s="11" t="s">
        <x:v>1086</x:v>
      </x:c>
      <x:c r="C35" s="11" t="s">
        <x:v>1954</x:v>
      </x:c>
      <x:c r="D35" s="11" t="s">
        <x:v>56</x:v>
      </x:c>
      <x:c r="E35" s="11" t="s">
        <x:v>1955</x:v>
      </x:c>
      <x:c r="F35" s="11" t="s">
        <x:v>1956</x:v>
      </x:c>
      <x:c r="G35" s="11" t="s">
        <x:v>1957</x:v>
      </x:c>
    </x:row>
    <x:row r="36">
      <x:c r="A36" s="11" t="s">
        <x:v>1950</x:v>
      </x:c>
      <x:c r="B36" s="11" t="s">
        <x:v>1958</x:v>
      </x:c>
      <x:c r="C36" s="11" t="s">
        <x:v>1823</x:v>
      </x:c>
      <x:c r="D36" s="11" t="s">
        <x:v>1959</x:v>
      </x:c>
      <x:c r="E36" s="11" t="s">
        <x:v>1960</x:v>
      </x:c>
      <x:c r="F36" s="11" t="s">
        <x:v>1961</x:v>
      </x:c>
      <x:c r="G36" s="11" t="s">
        <x:v>1962</x:v>
      </x:c>
    </x:row>
    <x:row r="37">
      <x:c r="A37" s="11" t="s">
        <x:v>1950</x:v>
      </x:c>
      <x:c r="B37" s="11" t="s">
        <x:v>1963</x:v>
      </x:c>
      <x:c r="C37" s="11" t="s">
        <x:v>1823</x:v>
      </x:c>
      <x:c r="D37" s="11" t="s">
        <x:v>1964</x:v>
      </x:c>
      <x:c r="E37" s="11" t="s">
        <x:v>1965</x:v>
      </x:c>
      <x:c r="F37" s="11" t="s">
        <x:v>1961</x:v>
      </x:c>
      <x:c r="G37" s="11" t="s">
        <x:v>1966</x:v>
      </x:c>
    </x:row>
    <x:row r="38">
      <x:c r="A38" s="11" t="s">
        <x:v>1950</x:v>
      </x:c>
      <x:c r="B38" s="11" t="s">
        <x:v>1967</x:v>
      </x:c>
      <x:c r="C38" s="11" t="s">
        <x:v>1823</x:v>
      </x:c>
      <x:c r="D38" s="11" t="s">
        <x:v>1968</x:v>
      </x:c>
      <x:c r="E38" s="11" t="s">
        <x:v>1969</x:v>
      </x:c>
      <x:c r="F38" s="11" t="s">
        <x:v>1970</x:v>
      </x:c>
      <x:c r="G38" s="11" t="s">
        <x:v>1971</x:v>
      </x:c>
    </x:row>
    <x:row r="39">
      <x:c r="A39" s="11" t="s">
        <x:v>1950</x:v>
      </x:c>
      <x:c r="B39" s="11" t="s">
        <x:v>1972</x:v>
      </x:c>
      <x:c r="C39" s="11" t="s">
        <x:v>1823</x:v>
      </x:c>
      <x:c r="D39" s="11" t="s">
        <x:v>1973</x:v>
      </x:c>
      <x:c r="E39" s="11" t="s">
        <x:v>1974</x:v>
      </x:c>
      <x:c r="F39" s="11" t="s">
        <x:v>1970</x:v>
      </x:c>
      <x:c r="G39" s="11" t="s">
        <x:v>1975</x:v>
      </x:c>
    </x:row>
    <x:row r="40">
      <x:c r="A40" s="11" t="s">
        <x:v>1950</x:v>
      </x:c>
      <x:c r="B40" s="11" t="s">
        <x:v>1976</x:v>
      </x:c>
      <x:c r="C40" s="11" t="s">
        <x:v>1823</x:v>
      </x:c>
      <x:c r="D40" s="11" t="s">
        <x:v>1977</x:v>
      </x:c>
      <x:c r="E40" s="11" t="s">
        <x:v>1978</x:v>
      </x:c>
      <x:c r="F40" s="11" t="s">
        <x:v>1970</x:v>
      </x:c>
      <x:c r="G40" s="11" t="s">
        <x:v>1979</x:v>
      </x:c>
    </x:row>
    <x:row r="41">
      <x:c r="A41" s="11" t="s">
        <x:v>1980</x:v>
      </x:c>
      <x:c r="B41" s="11" t="s">
        <x:v>1981</x:v>
      </x:c>
      <x:c r="C41" s="11" t="s">
        <x:v>339</x:v>
      </x:c>
      <x:c r="D41" s="11" t="s">
        <x:v>1982</x:v>
      </x:c>
      <x:c r="E41" s="11" t="s">
        <x:v>1983</x:v>
      </x:c>
      <x:c r="F41" s="11" t="s">
        <x:v>1984</x:v>
      </x:c>
      <x:c r="G41" s="11" t="s">
        <x:v>1985</x:v>
      </x:c>
    </x:row>
    <x:row r="42">
      <x:c r="A42" s="11" t="s">
        <x:v>1980</x:v>
      </x:c>
      <x:c r="B42" s="11" t="s">
        <x:v>1986</x:v>
      </x:c>
      <x:c r="C42" s="11" t="s">
        <x:v>1823</x:v>
      </x:c>
      <x:c r="D42" s="11" t="s">
        <x:v>1987</x:v>
      </x:c>
      <x:c r="E42" s="11" t="s">
        <x:v>1988</x:v>
      </x:c>
      <x:c r="F42" s="11" t="s">
        <x:v>1989</x:v>
      </x:c>
      <x:c r="G42" s="11" t="s">
        <x:v>1990</x:v>
      </x:c>
    </x:row>
    <x:row r="43">
      <x:c r="A43" s="11" t="s">
        <x:v>1980</x:v>
      </x:c>
      <x:c r="B43" s="11" t="s">
        <x:v>1991</x:v>
      </x:c>
      <x:c r="C43" s="11" t="s">
        <x:v>1823</x:v>
      </x:c>
      <x:c r="D43" s="11" t="s">
        <x:v>1992</x:v>
      </x:c>
      <x:c r="E43" s="11" t="s">
        <x:v>1993</x:v>
      </x:c>
      <x:c r="F43" s="11" t="s">
        <x:v>1994</x:v>
      </x:c>
      <x:c r="G43" s="11" t="s">
        <x:v>1995</x:v>
      </x:c>
    </x:row>
    <x:row r="44">
      <x:c r="A44" s="11" t="s">
        <x:v>1996</x:v>
      </x:c>
      <x:c r="B44" s="11" t="s">
        <x:v>1997</x:v>
      </x:c>
      <x:c r="C44" s="11" t="s">
        <x:v>339</x:v>
      </x:c>
      <x:c r="D44" s="11" t="s">
        <x:v>1982</x:v>
      </x:c>
      <x:c r="E44" s="11" t="s">
        <x:v>1998</x:v>
      </x:c>
      <x:c r="F44" s="11" t="s">
        <x:v>1999</x:v>
      </x:c>
      <x:c r="G44" s="11" t="s">
        <x:v>2000</x:v>
      </x:c>
    </x:row>
    <x:row r="45">
      <x:c r="A45" s="11" t="s">
        <x:v>1996</x:v>
      </x:c>
      <x:c r="B45" s="11" t="s">
        <x:v>2001</x:v>
      </x:c>
      <x:c r="C45" s="11" t="s">
        <x:v>1823</x:v>
      </x:c>
      <x:c r="D45" s="11" t="s">
        <x:v>1992</x:v>
      </x:c>
      <x:c r="E45" s="11" t="s">
        <x:v>2002</x:v>
      </x:c>
      <x:c r="F45" s="11" t="s">
        <x:v>2003</x:v>
      </x:c>
      <x:c r="G45" s="11" t="s">
        <x:v>2004</x:v>
      </x:c>
    </x:row>
    <x:row r="46">
      <x:c r="A46" s="11" t="s">
        <x:v>1996</x:v>
      </x:c>
      <x:c r="B46" s="11" t="s">
        <x:v>2005</x:v>
      </x:c>
      <x:c r="C46" s="11" t="s">
        <x:v>1823</x:v>
      </x:c>
      <x:c r="D46" s="11" t="s">
        <x:v>1992</x:v>
      </x:c>
      <x:c r="E46" s="11" t="s">
        <x:v>2006</x:v>
      </x:c>
      <x:c r="F46" s="11" t="s">
        <x:v>2007</x:v>
      </x:c>
      <x:c r="G46" s="11" t="s">
        <x:v>2008</x:v>
      </x:c>
    </x:row>
    <x:row r="47">
      <x:c r="A47" s="11" t="s">
        <x:v>2009</x:v>
      </x:c>
      <x:c r="B47" s="11" t="s">
        <x:v>2010</x:v>
      </x:c>
      <x:c r="C47" s="11" t="s">
        <x:v>339</x:v>
      </x:c>
      <x:c r="D47" s="11" t="s">
        <x:v>1982</x:v>
      </x:c>
      <x:c r="E47" s="11" t="s">
        <x:v>2011</x:v>
      </x:c>
      <x:c r="F47" s="11" t="s">
        <x:v>2012</x:v>
      </x:c>
      <x:c r="G47" s="11" t="s">
        <x:v>2013</x:v>
      </x:c>
    </x:row>
    <x:row r="48">
      <x:c r="A48" s="11" t="s">
        <x:v>2009</x:v>
      </x:c>
      <x:c r="B48" s="11" t="s">
        <x:v>2014</x:v>
      </x:c>
      <x:c r="C48" s="11" t="s">
        <x:v>1823</x:v>
      </x:c>
      <x:c r="D48" s="11" t="s">
        <x:v>2015</x:v>
      </x:c>
      <x:c r="E48" s="11" t="s">
        <x:v>2016</x:v>
      </x:c>
      <x:c r="F48" s="11" t="s">
        <x:v>2017</x:v>
      </x:c>
      <x:c r="G48" s="11" t="s">
        <x:v>2018</x:v>
      </x:c>
    </x:row>
    <x:row r="49">
      <x:c r="A49" s="11" t="s">
        <x:v>101</x:v>
      </x:c>
      <x:c r="B49" s="11" t="s">
        <x:v>2019</x:v>
      </x:c>
      <x:c r="C49" s="11" t="s">
        <x:v>85</x:v>
      </x:c>
      <x:c r="D49" s="11" t="s">
        <x:v>53</x:v>
      </x:c>
      <x:c r="E49" s="11" t="s">
        <x:v>2020</x:v>
      </x:c>
      <x:c r="F49" s="11" t="s">
        <x:v>2021</x:v>
      </x:c>
      <x:c r="G49" s="11" t="s">
        <x:v>2022</x:v>
      </x:c>
    </x:row>
    <x:row r="50">
      <x:c r="A50" s="11" t="s">
        <x:v>101</x:v>
      </x:c>
      <x:c r="B50" s="11" t="s">
        <x:v>2023</x:v>
      </x:c>
      <x:c r="C50" s="11" t="s">
        <x:v>339</x:v>
      </x:c>
      <x:c r="D50" s="11" t="s">
        <x:v>1982</x:v>
      </x:c>
      <x:c r="E50" s="11" t="s">
        <x:v>2024</x:v>
      </x:c>
      <x:c r="F50" s="11" t="s">
        <x:v>2025</x:v>
      </x:c>
      <x:c r="G50" s="11" t="s">
        <x:v>2026</x:v>
      </x:c>
    </x:row>
    <x:row r="51">
      <x:c r="A51" s="11" t="s">
        <x:v>2027</x:v>
      </x:c>
      <x:c r="B51" s="11" t="s">
        <x:v>1131</x:v>
      </x:c>
      <x:c r="C51" s="11" t="s">
        <x:v>2028</x:v>
      </x:c>
      <x:c r="D51" s="11" t="s">
        <x:v>57</x:v>
      </x:c>
      <x:c r="E51" s="11" t="s">
        <x:v>2029</x:v>
      </x:c>
      <x:c r="F51" s="11" t="s">
        <x:v>2030</x:v>
      </x:c>
      <x:c r="G51" s="11" t="s">
        <x:v>2031</x:v>
      </x:c>
    </x:row>
    <x:row r="52">
      <x:c r="A52" s="11" t="s">
        <x:v>2027</x:v>
      </x:c>
      <x:c r="B52" s="11" t="s">
        <x:v>2032</x:v>
      </x:c>
      <x:c r="C52" s="11" t="s">
        <x:v>2033</x:v>
      </x:c>
      <x:c r="D52" s="11" t="s">
        <x:v>2034</x:v>
      </x:c>
      <x:c r="E52" s="11" t="s">
        <x:v>2035</x:v>
      </x:c>
      <x:c r="F52" s="11" t="s">
        <x:v>2036</x:v>
      </x:c>
      <x:c r="G52" s="11" t="s">
        <x:v>2037</x:v>
      </x:c>
    </x:row>
    <x:row r="53">
      <x:c r="A53" s="11" t="s">
        <x:v>2038</x:v>
      </x:c>
      <x:c r="B53" s="11" t="s">
        <x:v>2039</x:v>
      </x:c>
      <x:c r="C53" s="11" t="s">
        <x:v>85</x:v>
      </x:c>
      <x:c r="D53" s="11" t="s">
        <x:v>54</x:v>
      </x:c>
      <x:c r="E53" s="11" t="s">
        <x:v>2040</x:v>
      </x:c>
      <x:c r="F53" s="11" t="s">
        <x:v>2041</x:v>
      </x:c>
      <x:c r="G53" s="11" t="s">
        <x:v>2042</x:v>
      </x:c>
    </x:row>
    <x:row r="54">
      <x:c r="A54" s="11" t="s">
        <x:v>2043</x:v>
      </x:c>
      <x:c r="B54" s="11" t="s">
        <x:v>2044</x:v>
      </x:c>
      <x:c r="C54" s="11" t="s">
        <x:v>85</x:v>
      </x:c>
      <x:c r="D54" s="11" t="s">
        <x:v>1140</x:v>
      </x:c>
      <x:c r="E54" s="11" t="s">
        <x:v>2045</x:v>
      </x:c>
      <x:c r="F54" s="11" t="s">
        <x:v>2046</x:v>
      </x:c>
      <x:c r="G54" s="11" t="s">
        <x:v>2047</x:v>
      </x:c>
    </x:row>
    <x:row r="55">
      <x:c r="A55" s="11" t="s">
        <x:v>2048</x:v>
      </x:c>
      <x:c r="B55" s="11" t="s">
        <x:v>2049</x:v>
      </x:c>
      <x:c r="C55" s="11" t="s">
        <x:v>85</x:v>
      </x:c>
      <x:c r="D55" s="11" t="s">
        <x:v>2050</x:v>
      </x:c>
      <x:c r="E55" s="11" t="s">
        <x:v>2051</x:v>
      </x:c>
      <x:c r="F55" s="11" t="s">
        <x:v>2052</x:v>
      </x:c>
      <x:c r="G55" s="11" t="s">
        <x:v>2053</x:v>
      </x:c>
    </x:row>
    <x:row r="56" ht="22.799999237060547">
      <x:c r="A56" s="11" t="s">
        <x:v>1682</x:v>
      </x:c>
      <x:c r="B56" s="11" t="s">
        <x:v>2054</x:v>
      </x:c>
      <x:c r="C56" s="11" t="s">
        <x:v>2055</x:v>
      </x:c>
      <x:c r="D56" s="11" t="s">
        <x:v>56</x:v>
      </x:c>
      <x:c r="E56" s="11" t="s">
        <x:v>2056</x:v>
      </x:c>
      <x:c r="F56" s="11" t="s">
        <x:v>2057</x:v>
      </x:c>
      <x:c r="G56" s="11" t="s">
        <x:v>2058</x:v>
      </x:c>
    </x:row>
    <x:row r="57">
      <x:c r="A57" s="11" t="s">
        <x:v>1455</x:v>
      </x:c>
      <x:c r="B57" s="11" t="s">
        <x:v>2059</x:v>
      </x:c>
      <x:c r="C57" s="11" t="s">
        <x:v>85</x:v>
      </x:c>
      <x:c r="D57" s="11" t="s">
        <x:v>2060</x:v>
      </x:c>
      <x:c r="E57" s="11" t="s">
        <x:v>2061</x:v>
      </x:c>
      <x:c r="F57" s="11" t="s">
        <x:v>2062</x:v>
      </x:c>
      <x:c r="G57" s="11" t="s">
        <x:v>2063</x:v>
      </x:c>
    </x:row>
    <x:row r="58">
      <x:c r="A58" s="11" t="s">
        <x:v>2064</x:v>
      </x:c>
      <x:c r="B58" s="11" t="s">
        <x:v>2065</x:v>
      </x:c>
      <x:c r="C58" s="11" t="s">
        <x:v>1823</x:v>
      </x:c>
      <x:c r="D58" s="11" t="s">
        <x:v>1321</x:v>
      </x:c>
      <x:c r="E58" s="11" t="s">
        <x:v>2066</x:v>
      </x:c>
      <x:c r="F58" s="11" t="s">
        <x:v>2067</x:v>
      </x:c>
      <x:c r="G58" s="11" t="s">
        <x:v>2068</x:v>
      </x:c>
    </x:row>
    <x:row r="59">
      <x:c r="A59" s="11" t="s">
        <x:v>682</x:v>
      </x:c>
      <x:c r="B59" s="11" t="s">
        <x:v>2069</x:v>
      </x:c>
      <x:c r="C59" s="11" t="s">
        <x:v>85</x:v>
      </x:c>
      <x:c r="D59" s="11" t="s">
        <x:v>56</x:v>
      </x:c>
      <x:c r="E59" s="11" t="s">
        <x:v>2070</x:v>
      </x:c>
      <x:c r="F59" s="11" t="s">
        <x:v>2071</x:v>
      </x:c>
      <x:c r="G59" s="11" t="s">
        <x:v>2072</x:v>
      </x:c>
    </x:row>
    <x:row r="60" ht="22.799999237060547">
      <x:c r="A60" s="11" t="s">
        <x:v>2073</x:v>
      </x:c>
      <x:c r="B60" s="11" t="s">
        <x:v>2074</x:v>
      </x:c>
      <x:c r="C60" s="11" t="s">
        <x:v>85</x:v>
      </x:c>
      <x:c r="D60" s="11" t="s">
        <x:v>1168</x:v>
      </x:c>
      <x:c r="E60" s="11" t="s">
        <x:v>2075</x:v>
      </x:c>
      <x:c r="F60" s="11" t="s">
        <x:v>2076</x:v>
      </x:c>
      <x:c r="G60" s="11" t="s">
        <x:v>2077</x:v>
      </x:c>
    </x:row>
    <x:row r="61">
      <x:c r="A61" s="11" t="s">
        <x:v>694</x:v>
      </x:c>
      <x:c r="B61" s="11" t="s">
        <x:v>2078</x:v>
      </x:c>
      <x:c r="C61" s="11" t="s">
        <x:v>85</x:v>
      </x:c>
      <x:c r="D61" s="11" t="s">
        <x:v>56</x:v>
      </x:c>
      <x:c r="E61" s="11" t="s">
        <x:v>2079</x:v>
      </x:c>
      <x:c r="F61" s="11" t="s">
        <x:v>2080</x:v>
      </x:c>
      <x:c r="G61" s="11" t="s">
        <x:v>2081</x:v>
      </x:c>
    </x:row>
    <x:row r="62">
      <x:c r="A62" s="11" t="s">
        <x:v>2082</x:v>
      </x:c>
      <x:c r="B62" s="11" t="s">
        <x:v>2083</x:v>
      </x:c>
      <x:c r="C62" s="11" t="s">
        <x:v>85</x:v>
      </x:c>
      <x:c r="D62" s="11" t="s">
        <x:v>36</x:v>
      </x:c>
      <x:c r="E62" s="11" t="s">
        <x:v>2084</x:v>
      </x:c>
      <x:c r="F62" s="11" t="s">
        <x:v>2085</x:v>
      </x:c>
      <x:c r="G62" s="11" t="s">
        <x:v>2086</x:v>
      </x:c>
    </x:row>
    <x:row r="63">
      <x:c r="A63" s="11" t="s">
        <x:v>560</x:v>
      </x:c>
      <x:c r="B63" s="11" t="s">
        <x:v>2087</x:v>
      </x:c>
      <x:c r="C63" s="11" t="s">
        <x:v>1083</x:v>
      </x:c>
      <x:c r="D63" s="11" t="s">
        <x:v>57</x:v>
      </x:c>
      <x:c r="E63" s="11" t="s">
        <x:v>2088</x:v>
      </x:c>
      <x:c r="F63" s="11" t="s">
        <x:v>2089</x:v>
      </x:c>
      <x:c r="G63" s="11" t="s">
        <x:v>2090</x:v>
      </x:c>
    </x:row>
    <x:row r="64">
      <x:c r="A64" s="11" t="s">
        <x:v>560</x:v>
      </x:c>
      <x:c r="B64" s="11" t="s">
        <x:v>2091</x:v>
      </x:c>
      <x:c r="C64" s="11" t="s">
        <x:v>2055</x:v>
      </x:c>
      <x:c r="D64" s="11" t="s">
        <x:v>57</x:v>
      </x:c>
      <x:c r="E64" s="11" t="s">
        <x:v>2092</x:v>
      </x:c>
      <x:c r="F64" s="11" t="s">
        <x:v>2093</x:v>
      </x:c>
      <x:c r="G64" s="11" t="s">
        <x:v>2094</x:v>
      </x:c>
    </x:row>
    <x:row r="65">
      <x:c r="A65" s="11" t="s">
        <x:v>560</x:v>
      </x:c>
      <x:c r="B65" s="11" t="s">
        <x:v>2095</x:v>
      </x:c>
      <x:c r="C65" s="11" t="s">
        <x:v>1823</x:v>
      </x:c>
      <x:c r="D65" s="11" t="s">
        <x:v>1922</x:v>
      </x:c>
      <x:c r="E65" s="11" t="s">
        <x:v>2096</x:v>
      </x:c>
      <x:c r="F65" s="11" t="s">
        <x:v>2097</x:v>
      </x:c>
      <x:c r="G65" s="11" t="s">
        <x:v>2098</x:v>
      </x:c>
    </x:row>
    <x:row r="66">
      <x:c r="A66" s="11" t="s">
        <x:v>1493</x:v>
      </x:c>
      <x:c r="B66" s="11" t="s">
        <x:v>2099</x:v>
      </x:c>
      <x:c r="C66" s="11" t="s">
        <x:v>2100</x:v>
      </x:c>
      <x:c r="D66" s="11" t="s">
        <x:v>57</x:v>
      </x:c>
      <x:c r="E66" s="11" t="s">
        <x:v>2101</x:v>
      </x:c>
      <x:c r="F66" s="11" t="s">
        <x:v>2102</x:v>
      </x:c>
      <x:c r="G66" s="11" t="s">
        <x:v>2103</x:v>
      </x:c>
    </x:row>
    <x:row r="67">
      <x:c r="A67" s="11" t="s">
        <x:v>2104</x:v>
      </x:c>
      <x:c r="B67" s="11" t="s">
        <x:v>2105</x:v>
      </x:c>
      <x:c r="C67" s="11" t="s">
        <x:v>339</x:v>
      </x:c>
      <x:c r="D67" s="11" t="s">
        <x:v>2106</x:v>
      </x:c>
      <x:c r="E67" s="11" t="s">
        <x:v>2107</x:v>
      </x:c>
      <x:c r="F67" s="11" t="s">
        <x:v>2108</x:v>
      </x:c>
      <x:c r="G67" s="11" t="s">
        <x:v>2109</x:v>
      </x:c>
    </x:row>
    <x:row r="68">
      <x:c r="A68" s="11" t="s">
        <x:v>2110</x:v>
      </x:c>
      <x:c r="B68" s="11" t="s">
        <x:v>2111</x:v>
      </x:c>
      <x:c r="C68" s="11" t="s">
        <x:v>2112</x:v>
      </x:c>
      <x:c r="D68" s="11" t="s">
        <x:v>2113</x:v>
      </x:c>
      <x:c r="E68" s="11" t="s">
        <x:v>2114</x:v>
      </x:c>
      <x:c r="F68" s="11" t="s">
        <x:v>2115</x:v>
      </x:c>
      <x:c r="G68" s="11" t="s">
        <x:v>2116</x:v>
      </x:c>
    </x:row>
    <x:row r="69">
      <x:c r="A69" s="11" t="s">
        <x:v>694</x:v>
      </x:c>
      <x:c r="B69" s="11" t="s">
        <x:v>2117</x:v>
      </x:c>
      <x:c r="C69" s="11" t="s">
        <x:v>1823</x:v>
      </x:c>
      <x:c r="D69" s="11" t="s">
        <x:v>2118</x:v>
      </x:c>
      <x:c r="E69" s="11" t="s">
        <x:v>2119</x:v>
      </x:c>
      <x:c r="F69" s="11" t="s">
        <x:v>2120</x:v>
      </x:c>
      <x:c r="G69" s="11" t="s">
        <x:v>2121</x:v>
      </x:c>
    </x:row>
  </x:sheetData>
  <x:mergeCells>
    <x:mergeCell ref="A1:G1"/>
    <x:mergeCell ref="A2:G2"/>
  </x:mergeCells>
  <x:conditionalFormatting sqref="C6:C69">
    <x:cfRule type="containsText" dxfId="3" priority="1" operator="containsText" text="MUST"/>
    <x:cfRule type="containsText" dxfId="2" priority="2" operator="containsText" text="SHOULD"/>
    <x:cfRule type="containsText" dxfId="1" priority="3" operator="containsText" text="OPTIONAL"/>
  </x:conditionalFormatting>
  <x:pageMargins left="0.7" right="0.7" top="0.75" bottom="0.75" header="0.3" footer="0.3"/>
  <x:tableParts count="1">
    <x:tablePart xmlns:r="http://schemas.openxmlformats.org/officeDocument/2006/relationships" r:id="Ref02690547b64586"/>
  </x:tableParts>
</x:worksheet>
</file>

<file path=xl/worksheets/sheet17.xml><?xml version="1.0" encoding="utf-8"?>
<x:worksheet xmlns:x="http://schemas.openxmlformats.org/spreadsheetml/2006/main">
  <x:sheetViews>
    <x:sheetView showGridLines="0" workbookViewId="0"/>
  </x:sheetViews>
  <x:sheetFormatPr defaultRowHeight="13.800000190734863"/>
  <x:cols>
    <x:col min="1" max="1" width="28" customWidth="1"/>
    <x:col min="2" max="2" width="18" customWidth="1"/>
    <x:col min="3" max="3" width="11" customWidth="1"/>
    <x:col min="4" max="4" width="40" customWidth="1"/>
    <x:col min="5" max="5" width="14" customWidth="1"/>
    <x:col min="6" max="6" width="42" customWidth="1"/>
    <x:col min="7" max="7" width="24" customWidth="1"/>
    <x:col min="8" max="8" width="32" customWidth="1"/>
  </x:cols>
  <x:sheetData>
    <x:row r="1" ht="31.950000762939453" customHeight="1">
      <x:c r="A1" s="32" t="s">
        <x:v>2122</x:v>
      </x:c>
      <x:c r="B1" s="32"/>
      <x:c r="C1" s="32"/>
      <x:c r="D1" s="32"/>
      <x:c r="E1" s="32"/>
      <x:c r="F1" s="32"/>
      <x:c r="G1" s="32"/>
      <x:c r="H1" s="32"/>
    </x:row>
    <x:row r="2" ht="31.950000762939453" customHeight="1">
      <x:c r="A2" s="33" t="s">
        <x:v>2123</x:v>
      </x:c>
      <x:c r="B2" s="33"/>
      <x:c r="C2" s="33"/>
      <x:c r="D2" s="33"/>
      <x:c r="E2" s="33"/>
      <x:c r="F2" s="33"/>
      <x:c r="G2" s="33"/>
      <x:c r="H2" s="33"/>
    </x:row>
    <x:row r="5" ht="28.049999237060547" customHeight="1">
      <x:c r="A5" s="1" t="s">
        <x:v>2124</x:v>
      </x:c>
      <x:c r="B5" s="2" t="s">
        <x:v>86</x:v>
      </x:c>
      <x:c r="C5" s="2" t="s">
        <x:v>2125</x:v>
      </x:c>
      <x:c r="D5" s="2" t="s">
        <x:v>2126</x:v>
      </x:c>
      <x:c r="E5" s="2" t="s">
        <x:v>2127</x:v>
      </x:c>
      <x:c r="F5" s="2" t="s">
        <x:v>2128</x:v>
      </x:c>
      <x:c r="G5" s="2" t="s">
        <x:v>2129</x:v>
      </x:c>
      <x:c r="H5" s="3" t="s">
        <x:v>2130</x:v>
      </x:c>
    </x:row>
    <x:row r="6">
      <x:c r="A6" s="10" t="s">
        <x:v>2131</x:v>
      </x:c>
      <x:c r="B6" s="10" t="s">
        <x:v>2132</x:v>
      </x:c>
      <x:c r="C6" s="10" t="s">
        <x:v>1699</x:v>
      </x:c>
      <x:c r="D6" s="10" t="s">
        <x:v>2133</x:v>
      </x:c>
      <x:c r="E6" s="10" t="s">
        <x:v>36</x:v>
      </x:c>
      <x:c r="F6" s="10" t="s">
        <x:v>2134</x:v>
      </x:c>
      <x:c r="G6" s="10" t="s">
        <x:v>2135</x:v>
      </x:c>
      <x:c r="H6" s="19"/>
    </x:row>
    <x:row r="7">
      <x:c r="A7" s="11" t="s">
        <x:v>2136</x:v>
      </x:c>
      <x:c r="B7" s="11" t="s">
        <x:v>2132</x:v>
      </x:c>
      <x:c r="C7" s="11" t="s">
        <x:v>1699</x:v>
      </x:c>
      <x:c r="D7" s="11" t="s">
        <x:v>2137</x:v>
      </x:c>
      <x:c r="E7" s="11" t="s">
        <x:v>36</x:v>
      </x:c>
      <x:c r="F7" s="11" t="s">
        <x:v>2138</x:v>
      </x:c>
      <x:c r="G7" s="11" t="s">
        <x:v>2135</x:v>
      </x:c>
      <x:c r="H7" s="20"/>
    </x:row>
    <x:row r="8">
      <x:c r="A8" s="11" t="s">
        <x:v>2139</x:v>
      </x:c>
      <x:c r="B8" s="11" t="s">
        <x:v>2140</x:v>
      </x:c>
      <x:c r="C8" s="11" t="s">
        <x:v>1699</x:v>
      </x:c>
      <x:c r="D8" s="11" t="s">
        <x:v>2141</x:v>
      </x:c>
      <x:c r="E8" s="11" t="s">
        <x:v>36</x:v>
      </x:c>
      <x:c r="F8" s="11" t="s">
        <x:v>2142</x:v>
      </x:c>
      <x:c r="G8" s="11" t="s">
        <x:v>2143</x:v>
      </x:c>
      <x:c r="H8" s="20"/>
    </x:row>
    <x:row r="9">
      <x:c r="A9" s="11" t="s">
        <x:v>2144</x:v>
      </x:c>
      <x:c r="B9" s="11" t="s">
        <x:v>2145</x:v>
      </x:c>
      <x:c r="C9" s="11" t="s">
        <x:v>1699</x:v>
      </x:c>
      <x:c r="D9" s="11" t="s">
        <x:v>2146</x:v>
      </x:c>
      <x:c r="E9" s="11" t="s">
        <x:v>36</x:v>
      </x:c>
      <x:c r="F9" s="11" t="s">
        <x:v>2147</x:v>
      </x:c>
      <x:c r="G9" s="11" t="s">
        <x:v>2148</x:v>
      </x:c>
      <x:c r="H9" s="20"/>
    </x:row>
    <x:row r="10">
      <x:c r="A10" s="11" t="s">
        <x:v>2149</x:v>
      </x:c>
      <x:c r="B10" s="11" t="s">
        <x:v>2132</x:v>
      </x:c>
      <x:c r="C10" s="11" t="s">
        <x:v>1699</x:v>
      </x:c>
      <x:c r="D10" s="11" t="s">
        <x:v>2150</x:v>
      </x:c>
      <x:c r="E10" s="11" t="s">
        <x:v>54</x:v>
      </x:c>
      <x:c r="F10" s="11" t="s">
        <x:v>2151</x:v>
      </x:c>
      <x:c r="G10" s="11" t="s">
        <x:v>2152</x:v>
      </x:c>
      <x:c r="H10" s="20"/>
    </x:row>
    <x:row r="11">
      <x:c r="A11" s="11" t="s">
        <x:v>2153</x:v>
      </x:c>
      <x:c r="B11" s="11" t="s">
        <x:v>2132</x:v>
      </x:c>
      <x:c r="C11" s="11" t="s">
        <x:v>1699</x:v>
      </x:c>
      <x:c r="D11" s="11" t="s">
        <x:v>2154</x:v>
      </x:c>
      <x:c r="E11" s="11" t="s">
        <x:v>54</x:v>
      </x:c>
      <x:c r="F11" s="11" t="s">
        <x:v>2155</x:v>
      </x:c>
      <x:c r="G11" s="11" t="s">
        <x:v>2156</x:v>
      </x:c>
      <x:c r="H11" s="20"/>
    </x:row>
    <x:row r="12">
      <x:c r="A12" s="11" t="s">
        <x:v>2157</x:v>
      </x:c>
      <x:c r="B12" s="11" t="s">
        <x:v>2132</x:v>
      </x:c>
      <x:c r="C12" s="11" t="s">
        <x:v>1699</x:v>
      </x:c>
      <x:c r="D12" s="11" t="s">
        <x:v>2158</x:v>
      </x:c>
      <x:c r="E12" s="11" t="s">
        <x:v>53</x:v>
      </x:c>
      <x:c r="F12" s="11" t="s">
        <x:v>2159</x:v>
      </x:c>
      <x:c r="G12" s="11" t="s">
        <x:v>284</x:v>
      </x:c>
      <x:c r="H12" s="20"/>
    </x:row>
    <x:row r="13">
      <x:c r="A13" s="11" t="s">
        <x:v>950</x:v>
      </x:c>
      <x:c r="B13" s="11" t="s">
        <x:v>2132</x:v>
      </x:c>
      <x:c r="C13" s="11" t="s">
        <x:v>1699</x:v>
      </x:c>
      <x:c r="D13" s="11" t="s">
        <x:v>2160</x:v>
      </x:c>
      <x:c r="E13" s="11" t="s">
        <x:v>53</x:v>
      </x:c>
      <x:c r="F13" s="11" t="s">
        <x:v>2161</x:v>
      </x:c>
      <x:c r="G13" s="11" t="s">
        <x:v>2162</x:v>
      </x:c>
      <x:c r="H13" s="20"/>
    </x:row>
    <x:row r="14">
      <x:c r="A14" s="11" t="s">
        <x:v>2163</x:v>
      </x:c>
      <x:c r="B14" s="11" t="s">
        <x:v>2132</x:v>
      </x:c>
      <x:c r="C14" s="11" t="s">
        <x:v>1699</x:v>
      </x:c>
      <x:c r="D14" s="11" t="s">
        <x:v>2164</x:v>
      </x:c>
      <x:c r="E14" s="11" t="s">
        <x:v>53</x:v>
      </x:c>
      <x:c r="F14" s="11" t="s">
        <x:v>2165</x:v>
      </x:c>
      <x:c r="G14" s="11" t="s">
        <x:v>2166</x:v>
      </x:c>
      <x:c r="H14" s="20"/>
    </x:row>
    <x:row r="15">
      <x:c r="A15" s="11" t="s">
        <x:v>2167</x:v>
      </x:c>
      <x:c r="B15" s="11" t="s">
        <x:v>2168</x:v>
      </x:c>
      <x:c r="C15" s="11" t="s">
        <x:v>1699</x:v>
      </x:c>
      <x:c r="D15" s="11" t="s">
        <x:v>2169</x:v>
      </x:c>
      <x:c r="E15" s="11" t="s">
        <x:v>53</x:v>
      </x:c>
      <x:c r="F15" s="11" t="s">
        <x:v>2170</x:v>
      </x:c>
      <x:c r="G15" s="11" t="s">
        <x:v>2171</x:v>
      </x:c>
      <x:c r="H15" s="20"/>
    </x:row>
    <x:row r="16">
      <x:c r="A16" s="11" t="s">
        <x:v>2172</x:v>
      </x:c>
      <x:c r="B16" s="11" t="s">
        <x:v>2173</x:v>
      </x:c>
      <x:c r="C16" s="11" t="s">
        <x:v>1660</x:v>
      </x:c>
      <x:c r="D16" s="11"/>
      <x:c r="E16" s="11" t="s">
        <x:v>1321</x:v>
      </x:c>
      <x:c r="F16" s="11" t="s">
        <x:v>2174</x:v>
      </x:c>
      <x:c r="G16" s="11" t="s">
        <x:v>2171</x:v>
      </x:c>
      <x:c r="H16" s="20"/>
    </x:row>
    <x:row r="17">
      <x:c r="A17" s="11" t="s">
        <x:v>2175</x:v>
      </x:c>
      <x:c r="B17" s="11" t="s">
        <x:v>2132</x:v>
      </x:c>
      <x:c r="C17" s="11" t="s">
        <x:v>1699</x:v>
      </x:c>
      <x:c r="D17" s="11"/>
      <x:c r="E17" s="11" t="s">
        <x:v>56</x:v>
      </x:c>
      <x:c r="F17" s="11" t="s">
        <x:v>2176</x:v>
      </x:c>
      <x:c r="G17" s="11" t="s">
        <x:v>2177</x:v>
      </x:c>
      <x:c r="H17" s="20"/>
    </x:row>
    <x:row r="18">
      <x:c r="A18" s="11" t="s">
        <x:v>2178</x:v>
      </x:c>
      <x:c r="B18" s="11" t="s">
        <x:v>2132</x:v>
      </x:c>
      <x:c r="C18" s="11" t="s">
        <x:v>1699</x:v>
      </x:c>
      <x:c r="D18" s="11" t="s">
        <x:v>2179</x:v>
      </x:c>
      <x:c r="E18" s="11" t="s">
        <x:v>54</x:v>
      </x:c>
      <x:c r="F18" s="11" t="s">
        <x:v>2180</x:v>
      </x:c>
      <x:c r="G18" s="11" t="s">
        <x:v>2177</x:v>
      </x:c>
      <x:c r="H18" s="20"/>
    </x:row>
    <x:row r="19">
      <x:c r="A19" s="11" t="s">
        <x:v>2181</x:v>
      </x:c>
      <x:c r="B19" s="11" t="s">
        <x:v>2132</x:v>
      </x:c>
      <x:c r="C19" s="11" t="s">
        <x:v>1699</x:v>
      </x:c>
      <x:c r="D19" s="11" t="s">
        <x:v>2182</x:v>
      </x:c>
      <x:c r="E19" s="11" t="s">
        <x:v>56</x:v>
      </x:c>
      <x:c r="F19" s="11" t="s">
        <x:v>2183</x:v>
      </x:c>
      <x:c r="G19" s="11" t="s">
        <x:v>284</x:v>
      </x:c>
      <x:c r="H19" s="20"/>
    </x:row>
    <x:row r="20">
      <x:c r="A20" s="11" t="s">
        <x:v>2184</x:v>
      </x:c>
      <x:c r="B20" s="11" t="s">
        <x:v>2132</x:v>
      </x:c>
      <x:c r="C20" s="11" t="s">
        <x:v>1699</x:v>
      </x:c>
      <x:c r="D20" s="11" t="s">
        <x:v>2185</x:v>
      </x:c>
      <x:c r="E20" s="11" t="s">
        <x:v>56</x:v>
      </x:c>
      <x:c r="F20" s="11" t="s">
        <x:v>2186</x:v>
      </x:c>
      <x:c r="G20" s="11" t="s">
        <x:v>2132</x:v>
      </x:c>
      <x:c r="H20" s="20"/>
    </x:row>
    <x:row r="21">
      <x:c r="A21" s="11" t="s">
        <x:v>2187</x:v>
      </x:c>
      <x:c r="B21" s="11" t="s">
        <x:v>2132</x:v>
      </x:c>
      <x:c r="C21" s="11" t="s">
        <x:v>1699</x:v>
      </x:c>
      <x:c r="D21" s="11" t="s">
        <x:v>2188</x:v>
      </x:c>
      <x:c r="E21" s="11" t="s">
        <x:v>54</x:v>
      </x:c>
      <x:c r="F21" s="11" t="s">
        <x:v>2189</x:v>
      </x:c>
      <x:c r="G21" s="11" t="s">
        <x:v>2166</x:v>
      </x:c>
      <x:c r="H21" s="20"/>
    </x:row>
    <x:row r="22">
      <x:c r="A22" s="11" t="s">
        <x:v>2190</x:v>
      </x:c>
      <x:c r="B22" s="11" t="s">
        <x:v>2132</x:v>
      </x:c>
      <x:c r="C22" s="11" t="s">
        <x:v>1699</x:v>
      </x:c>
      <x:c r="D22" s="11" t="s">
        <x:v>2191</x:v>
      </x:c>
      <x:c r="E22" s="11" t="s">
        <x:v>54</x:v>
      </x:c>
      <x:c r="F22" s="11" t="s">
        <x:v>2192</x:v>
      </x:c>
      <x:c r="G22" s="11" t="s">
        <x:v>2152</x:v>
      </x:c>
      <x:c r="H22" s="20"/>
    </x:row>
    <x:row r="23">
      <x:c r="A23" s="11" t="s">
        <x:v>2193</x:v>
      </x:c>
      <x:c r="B23" s="11" t="s">
        <x:v>2132</x:v>
      </x:c>
      <x:c r="C23" s="11" t="s">
        <x:v>1699</x:v>
      </x:c>
      <x:c r="D23" s="11" t="s">
        <x:v>2194</x:v>
      </x:c>
      <x:c r="E23" s="11" t="s">
        <x:v>54</x:v>
      </x:c>
      <x:c r="F23" s="11" t="s">
        <x:v>2195</x:v>
      </x:c>
      <x:c r="G23" s="11" t="s">
        <x:v>2152</x:v>
      </x:c>
      <x:c r="H23" s="20"/>
    </x:row>
    <x:row r="24">
      <x:c r="A24" s="11" t="s">
        <x:v>2196</x:v>
      </x:c>
      <x:c r="B24" s="11" t="s">
        <x:v>2132</x:v>
      </x:c>
      <x:c r="C24" s="11" t="s">
        <x:v>1699</x:v>
      </x:c>
      <x:c r="D24" s="11" t="s">
        <x:v>2197</x:v>
      </x:c>
      <x:c r="E24" s="11" t="s">
        <x:v>55</x:v>
      </x:c>
      <x:c r="F24" s="11" t="s">
        <x:v>2198</x:v>
      </x:c>
      <x:c r="G24" s="11" t="s">
        <x:v>1850</x:v>
      </x:c>
      <x:c r="H24" s="20"/>
    </x:row>
    <x:row r="25">
      <x:c r="A25" s="11" t="s">
        <x:v>2199</x:v>
      </x:c>
      <x:c r="B25" s="11" t="s">
        <x:v>2132</x:v>
      </x:c>
      <x:c r="C25" s="11" t="s">
        <x:v>1699</x:v>
      </x:c>
      <x:c r="D25" s="11" t="s">
        <x:v>2200</x:v>
      </x:c>
      <x:c r="E25" s="11" t="s">
        <x:v>55</x:v>
      </x:c>
      <x:c r="F25" s="11" t="s">
        <x:v>2201</x:v>
      </x:c>
      <x:c r="G25" s="11" t="s">
        <x:v>2202</x:v>
      </x:c>
      <x:c r="H25" s="20"/>
    </x:row>
    <x:row r="26">
      <x:c r="A26" s="11" t="s">
        <x:v>2203</x:v>
      </x:c>
      <x:c r="B26" s="11" t="s">
        <x:v>2132</x:v>
      </x:c>
      <x:c r="C26" s="11" t="s">
        <x:v>1699</x:v>
      </x:c>
      <x:c r="D26" s="11" t="s">
        <x:v>2204</x:v>
      </x:c>
      <x:c r="E26" s="11" t="s">
        <x:v>55</x:v>
      </x:c>
      <x:c r="F26" s="11" t="s">
        <x:v>2205</x:v>
      </x:c>
      <x:c r="G26" s="11" t="s">
        <x:v>1850</x:v>
      </x:c>
      <x:c r="H26" s="20"/>
    </x:row>
    <x:row r="27">
      <x:c r="A27" s="11" t="s">
        <x:v>2206</x:v>
      </x:c>
      <x:c r="B27" s="11" t="s">
        <x:v>2132</x:v>
      </x:c>
      <x:c r="C27" s="11" t="s">
        <x:v>1699</x:v>
      </x:c>
      <x:c r="D27" s="11" t="s">
        <x:v>2207</x:v>
      </x:c>
      <x:c r="E27" s="11" t="s">
        <x:v>55</x:v>
      </x:c>
      <x:c r="F27" s="11" t="s">
        <x:v>2208</x:v>
      </x:c>
      <x:c r="G27" s="11" t="s">
        <x:v>1850</x:v>
      </x:c>
      <x:c r="H27" s="20"/>
    </x:row>
    <x:row r="28">
      <x:c r="A28" s="11" t="s">
        <x:v>2209</x:v>
      </x:c>
      <x:c r="B28" s="11" t="s">
        <x:v>2132</x:v>
      </x:c>
      <x:c r="C28" s="11" t="s">
        <x:v>1699</x:v>
      </x:c>
      <x:c r="D28" s="11" t="s">
        <x:v>2210</x:v>
      </x:c>
      <x:c r="E28" s="11" t="s">
        <x:v>54</x:v>
      </x:c>
      <x:c r="F28" s="11" t="s">
        <x:v>2211</x:v>
      </x:c>
      <x:c r="G28" s="11" t="s">
        <x:v>447</x:v>
      </x:c>
      <x:c r="H28" s="20"/>
    </x:row>
    <x:row r="29">
      <x:c r="A29" s="11" t="s">
        <x:v>2212</x:v>
      </x:c>
      <x:c r="B29" s="11" t="s">
        <x:v>2132</x:v>
      </x:c>
      <x:c r="C29" s="11" t="s">
        <x:v>1699</x:v>
      </x:c>
      <x:c r="D29" s="11" t="s">
        <x:v>2213</x:v>
      </x:c>
      <x:c r="E29" s="11" t="s">
        <x:v>55</x:v>
      </x:c>
      <x:c r="F29" s="11" t="s">
        <x:v>2214</x:v>
      </x:c>
      <x:c r="G29" s="11" t="s">
        <x:v>447</x:v>
      </x:c>
      <x:c r="H29" s="20"/>
    </x:row>
    <x:row r="30">
      <x:c r="A30" s="11" t="s">
        <x:v>2215</x:v>
      </x:c>
      <x:c r="B30" s="11" t="s">
        <x:v>2132</x:v>
      </x:c>
      <x:c r="C30" s="11" t="s">
        <x:v>1699</x:v>
      </x:c>
      <x:c r="D30" s="11" t="s">
        <x:v>2216</x:v>
      </x:c>
      <x:c r="E30" s="11" t="s">
        <x:v>1321</x:v>
      </x:c>
      <x:c r="F30" s="11" t="s">
        <x:v>2217</x:v>
      </x:c>
      <x:c r="G30" s="11" t="s">
        <x:v>2218</x:v>
      </x:c>
      <x:c r="H30" s="20"/>
    </x:row>
    <x:row r="31">
      <x:c r="A31" s="11" t="s">
        <x:v>2219</x:v>
      </x:c>
      <x:c r="B31" s="11" t="s">
        <x:v>2173</x:v>
      </x:c>
      <x:c r="C31" s="11" t="s">
        <x:v>1660</x:v>
      </x:c>
      <x:c r="D31" s="11"/>
      <x:c r="E31" s="11" t="s">
        <x:v>1321</x:v>
      </x:c>
      <x:c r="F31" s="11" t="s">
        <x:v>2220</x:v>
      </x:c>
      <x:c r="G31" s="11" t="s">
        <x:v>2218</x:v>
      </x:c>
      <x:c r="H31" s="20"/>
    </x:row>
    <x:row r="32">
      <x:c r="A32" s="11" t="s">
        <x:v>2221</x:v>
      </x:c>
      <x:c r="B32" s="11" t="s">
        <x:v>2173</x:v>
      </x:c>
      <x:c r="C32" s="11" t="s">
        <x:v>1660</x:v>
      </x:c>
      <x:c r="D32" s="11"/>
      <x:c r="E32" s="11" t="s">
        <x:v>1864</x:v>
      </x:c>
      <x:c r="F32" s="11" t="s">
        <x:v>2222</x:v>
      </x:c>
      <x:c r="G32" s="11" t="s">
        <x:v>2223</x:v>
      </x:c>
      <x:c r="H32" s="20"/>
    </x:row>
    <x:row r="33">
      <x:c r="A33" s="11" t="s">
        <x:v>2224</x:v>
      </x:c>
      <x:c r="B33" s="11" t="s">
        <x:v>2132</x:v>
      </x:c>
      <x:c r="C33" s="11" t="s">
        <x:v>1699</x:v>
      </x:c>
      <x:c r="D33" s="11" t="s">
        <x:v>2225</x:v>
      </x:c>
      <x:c r="E33" s="11" t="s">
        <x:v>1864</x:v>
      </x:c>
      <x:c r="F33" s="11" t="s">
        <x:v>2226</x:v>
      </x:c>
      <x:c r="G33" s="11" t="s">
        <x:v>2223</x:v>
      </x:c>
      <x:c r="H33" s="20"/>
    </x:row>
    <x:row r="34">
      <x:c r="A34" s="11" t="s">
        <x:v>2227</x:v>
      </x:c>
      <x:c r="B34" s="11" t="s">
        <x:v>2228</x:v>
      </x:c>
      <x:c r="C34" s="11" t="s">
        <x:v>1699</x:v>
      </x:c>
      <x:c r="D34" s="11" t="s">
        <x:v>2229</x:v>
      </x:c>
      <x:c r="E34" s="11" t="s">
        <x:v>56</x:v>
      </x:c>
      <x:c r="F34" s="11" t="s">
        <x:v>2230</x:v>
      </x:c>
      <x:c r="G34" s="11" t="s">
        <x:v>2231</x:v>
      </x:c>
      <x:c r="H34" s="20"/>
    </x:row>
    <x:row r="35">
      <x:c r="A35" s="11" t="s">
        <x:v>2232</x:v>
      </x:c>
      <x:c r="B35" s="11" t="s">
        <x:v>2228</x:v>
      </x:c>
      <x:c r="C35" s="11" t="s">
        <x:v>1699</x:v>
      </x:c>
      <x:c r="D35" s="11" t="s">
        <x:v>2233</x:v>
      </x:c>
      <x:c r="E35" s="11" t="s">
        <x:v>56</x:v>
      </x:c>
      <x:c r="F35" s="11" t="s">
        <x:v>2234</x:v>
      </x:c>
      <x:c r="G35" s="11" t="s">
        <x:v>2235</x:v>
      </x:c>
      <x:c r="H35" s="20"/>
    </x:row>
    <x:row r="36">
      <x:c r="A36" s="11" t="s">
        <x:v>2236</x:v>
      </x:c>
      <x:c r="B36" s="11" t="s">
        <x:v>2237</x:v>
      </x:c>
      <x:c r="C36" s="11" t="s">
        <x:v>1699</x:v>
      </x:c>
      <x:c r="D36" s="11" t="s">
        <x:v>2238</x:v>
      </x:c>
      <x:c r="E36" s="11" t="s">
        <x:v>36</x:v>
      </x:c>
      <x:c r="F36" s="11" t="s">
        <x:v>2239</x:v>
      </x:c>
      <x:c r="G36" s="11" t="s">
        <x:v>2240</x:v>
      </x:c>
      <x:c r="H36" s="20"/>
    </x:row>
    <x:row r="37">
      <x:c r="A37" s="11" t="s">
        <x:v>2241</x:v>
      </x:c>
      <x:c r="B37" s="11" t="s">
        <x:v>2237</x:v>
      </x:c>
      <x:c r="C37" s="11" t="s">
        <x:v>1699</x:v>
      </x:c>
      <x:c r="D37" s="11" t="s">
        <x:v>2242</x:v>
      </x:c>
      <x:c r="E37" s="11" t="s">
        <x:v>36</x:v>
      </x:c>
      <x:c r="F37" s="11" t="s">
        <x:v>2243</x:v>
      </x:c>
      <x:c r="G37" s="11" t="s">
        <x:v>2240</x:v>
      </x:c>
      <x:c r="H37" s="20"/>
    </x:row>
    <x:row r="38">
      <x:c r="A38" s="11" t="s">
        <x:v>2244</x:v>
      </x:c>
      <x:c r="B38" s="11" t="s">
        <x:v>2237</x:v>
      </x:c>
      <x:c r="C38" s="11" t="s">
        <x:v>1699</x:v>
      </x:c>
      <x:c r="D38" s="11" t="s">
        <x:v>2245</x:v>
      </x:c>
      <x:c r="E38" s="11" t="s">
        <x:v>36</x:v>
      </x:c>
      <x:c r="F38" s="11" t="s">
        <x:v>2246</x:v>
      </x:c>
      <x:c r="G38" s="11" t="s">
        <x:v>2240</x:v>
      </x:c>
      <x:c r="H38" s="20"/>
    </x:row>
  </x:sheetData>
  <x:mergeCells>
    <x:mergeCell ref="A1:H1"/>
    <x:mergeCell ref="A2:H2"/>
  </x:mergeCells>
  <x:conditionalFormatting sqref="C6:C38">
    <x:cfRule type="containsText" dxfId="0" priority="1" operator="containsText" text="Yes"/>
  </x:conditionalFormatting>
  <x:pageMargins left="0.7" right="0.7" top="0.75" bottom="0.75" header="0.3" footer="0.3"/>
  <x:tableParts count="1">
    <x:tablePart xmlns:r="http://schemas.openxmlformats.org/officeDocument/2006/relationships" r:id="R9b99b9a9c4544f67"/>
  </x:tableParts>
</x:worksheet>
</file>

<file path=xl/worksheets/sheet18.xml><?xml version="1.0" encoding="utf-8"?>
<x:worksheet xmlns:x="http://schemas.openxmlformats.org/spreadsheetml/2006/main">
  <x:sheetViews>
    <x:sheetView showGridLines="0" workbookViewId="0"/>
  </x:sheetViews>
  <x:sheetFormatPr defaultRowHeight="13.800000190734863"/>
  <x:cols>
    <x:col min="1" max="1" width="48" customWidth="1"/>
    <x:col min="2" max="2" width="20" customWidth="1"/>
    <x:col min="3" max="3" width="72" customWidth="1"/>
    <x:col min="4" max="4" width="15" customWidth="1"/>
    <x:col min="5" max="5" width="48" customWidth="1"/>
    <x:col min="6" max="6" width="16" customWidth="1"/>
  </x:cols>
  <x:sheetData>
    <x:row r="1" ht="31.950000762939453" customHeight="1">
      <x:c r="A1" s="32" t="s">
        <x:v>2247</x:v>
      </x:c>
      <x:c r="B1" s="32"/>
      <x:c r="C1" s="32"/>
      <x:c r="D1" s="32"/>
      <x:c r="E1" s="32"/>
      <x:c r="F1" s="32"/>
    </x:row>
    <x:row r="2" ht="31.950000762939453" customHeight="1">
      <x:c r="A2" s="33" t="s">
        <x:v>2248</x:v>
      </x:c>
      <x:c r="B2" s="33"/>
      <x:c r="C2" s="33"/>
      <x:c r="D2" s="33"/>
      <x:c r="E2" s="33"/>
      <x:c r="F2" s="33"/>
    </x:row>
    <x:row r="5" ht="28.049999237060547" customHeight="1">
      <x:c r="A5" s="1" t="s">
        <x:v>2249</x:v>
      </x:c>
      <x:c r="B5" s="2" t="s">
        <x:v>2250</x:v>
      </x:c>
      <x:c r="C5" s="2" t="s">
        <x:v>2251</x:v>
      </x:c>
      <x:c r="D5" s="2" t="s">
        <x:v>2252</x:v>
      </x:c>
      <x:c r="E5" s="2" t="s">
        <x:v>2253</x:v>
      </x:c>
      <x:c r="F5" s="3" t="s">
        <x:v>2254</x:v>
      </x:c>
    </x:row>
    <x:row r="6" ht="22.799999237060547">
      <x:c r="A6" s="10" t="s">
        <x:v>2255</x:v>
      </x:c>
      <x:c r="B6" s="10" t="s">
        <x:v>2256</x:v>
      </x:c>
      <x:c r="C6" s="10" t="s">
        <x:v>2257</x:v>
      </x:c>
      <x:c r="D6" s="10" t="s">
        <x:v>2258</x:v>
      </x:c>
      <x:c r="E6" s="10" t="s">
        <x:v>2259</x:v>
      </x:c>
      <x:c r="F6" s="10" t="s">
        <x:v>2260</x:v>
      </x:c>
    </x:row>
    <x:row r="7" ht="22.799999237060547">
      <x:c r="A7" s="11" t="s">
        <x:v>2261</x:v>
      </x:c>
      <x:c r="B7" s="11" t="s">
        <x:v>2262</x:v>
      </x:c>
      <x:c r="C7" s="11" t="s">
        <x:v>2263</x:v>
      </x:c>
      <x:c r="D7" s="11" t="s">
        <x:v>2264</x:v>
      </x:c>
      <x:c r="E7" s="11" t="s">
        <x:v>2265</x:v>
      </x:c>
      <x:c r="F7" s="11" t="s">
        <x:v>2260</x:v>
      </x:c>
    </x:row>
    <x:row r="8" ht="22.799999237060547">
      <x:c r="A8" s="11" t="s">
        <x:v>2266</x:v>
      </x:c>
      <x:c r="B8" s="11" t="s">
        <x:v>2267</x:v>
      </x:c>
      <x:c r="C8" s="11" t="s">
        <x:v>2268</x:v>
      </x:c>
      <x:c r="D8" s="11" t="s">
        <x:v>2269</x:v>
      </x:c>
      <x:c r="E8" s="11" t="s">
        <x:v>2270</x:v>
      </x:c>
      <x:c r="F8" s="11" t="s">
        <x:v>2260</x:v>
      </x:c>
    </x:row>
    <x:row r="11" ht="46.04999923706055" customHeight="1">
      <x:c r="A11" s="37" t="s">
        <x:v>2271</x:v>
      </x:c>
      <x:c r="B11" s="38"/>
      <x:c r="C11" s="38"/>
      <x:c r="D11" s="38"/>
      <x:c r="E11" s="38"/>
      <x:c r="F11" s="39"/>
    </x:row>
  </x:sheetData>
  <x:mergeCells>
    <x:mergeCell ref="A1:F1"/>
    <x:mergeCell ref="A2:F2"/>
    <x:mergeCell ref="A11:F11"/>
  </x:mergeCells>
  <x:pageMargins left="0.7" right="0.7" top="0.75" bottom="0.75" header="0.3" footer="0.3"/>
  <x:tableParts count="1">
    <x:tablePart xmlns:r="http://schemas.openxmlformats.org/officeDocument/2006/relationships" r:id="R1efb5e2bd0c0413a"/>
  </x:tableParts>
</x:worksheet>
</file>