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1A3C39F5-CB9B-494D-B0F3-BCC378C6B6F8}" xr6:coauthVersionLast="47" xr6:coauthVersionMax="47" xr10:uidLastSave="{00000000-0000-0000-0000-000000000000}"/>
  <bookViews>
    <workbookView xWindow="-108" yWindow="-108" windowWidth="23256" windowHeight="13896" tabRatio="788"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<sst xmlns="http://schemas.openxmlformats.org/spreadsheetml/2006/main" count="5453" uniqueCount="2610">
  <si>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</si>
  <si>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</si>
  <si>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</si>
  <si>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</si>
  <si>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</si>
  <si>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</si>
  <si>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</si>
  <si>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</si>
  <si>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</si>
  <si>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</si>
  <si>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</si>
  <si>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</si>
  <si>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</si>
  <si>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</si>
  <si>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</si>
  <si>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</si>
  <si>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</si>
  <si>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</si>
  <si>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</si>
  <si>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</si>
  <si>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</si>
  <si>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</si>
  <si>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</si>
  <si>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</si>
  <si>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</si>
  <si>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</si>
  <si>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</si>
  <si>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</si>
  <si>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</si>
  <si>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</si>
  <si>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</si>
  <si>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</si>
  <si>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</si>
  <si>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</si>
  <si>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</si>
  <si>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</si>
  <si>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</si>
  <si>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</si>
  <si>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</si>
  <si>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</si>
  <si>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</si>
  <si>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</si>
  <si>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</si>
  <si>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</si>
  <si>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</si>
  <si>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</si>
  <si>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</si>
  <si>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</si>
  <si>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</si>
  <si>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</si>
  <si>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</si>
  <si>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</si>
  <si>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</si>
  <si>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</si>
  <si>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</si>
  <si>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</si>
  <si>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</si>
  <si>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</si>
  <si>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</si>
  <si>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</si>
  <si>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</si>
  <si>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</si>
  <si>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</si>
  <si>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</si>
  <si>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</si>
  <si>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</si>
  <si>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</si>
  <si>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</si>
  <si>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</si>
  <si>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</si>
  <si>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</si>
  <si>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</si>
  <si>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</si>
  <si>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</si>
  <si>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</si>
  <si>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</si>
  <si>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</si>
  <si>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</si>
  <si>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</si>
  <si>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</si>
  <si>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</si>
  <si>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</si>
  <si>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</si>
  <si>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</si>
  <si>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</si>
  <si>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</si>
  <si>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</si>
  <si>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</si>
  <si>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</si>
  <si>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</si>
  <si>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</si>
  <si>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</si>
  <si>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</si>
  <si>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</si>
  <si>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</si>
  <si>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</si>
  <si>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</si>
  <si>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</si>
  <si>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</si>
  <si>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</si>
  <si>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</si>
  <si>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</si>
  <si>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</si>
  <si>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</si>
  <si>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</si>
  <si>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</si>
  <si>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</si>
  <si>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</si>
  <si>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</si>
  <si>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</si>
  <si>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</si>
  <si>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</si>
  <si>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</si>
  <si>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</si>
  <si>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</si>
  <si>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</si>
  <si>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</si>
  <si>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</si>
  <si>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</si>
  <si>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</si>
  <si>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</si>
  <si>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</si>
  <si>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</si>
  <si>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</si>
  <si>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</si>
  <si>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</si>
  <si>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</si>
  <si>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</si>
  <si>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</si>
  <si>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</si>
  <si>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</si>
  <si>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</si>
  <si>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</si>
  <si>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</si>
  <si>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</si>
  <si>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</si>
  <si>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</si>
  <si>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</si>
  <si>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</si>
  <si>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</si>
  <si>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</si>
  <si>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</si>
  <si>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</si>
  <si>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</si>
  <si>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</si>
  <si>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</si>
  <si>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</si>
  <si>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</si>
  <si>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</si>
  <si>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</si>
  <si>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</si>
  <si>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</si>
  <si>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</si>
  <si>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</si>
  <si>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</si>
  <si>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</si>
  <si>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</si>
  <si>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</si>
  <si>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</si>
  <si>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</si>
  <si>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</si>
  <si>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</si>
  <si>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</si>
  <si>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</si>
  <si>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</si>
  <si>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</si>
  <si>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</si>
  <si>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</si>
  <si>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</si>
  <si>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</si>
  <si>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</si>
  <si>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</si>
  <si>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</si>
  <si>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</si>
  <si>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</si>
  <si>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</si>
  <si>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</si>
  <si>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</si>
  <si>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</si>
  <si>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</si>
  <si>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</si>
  <si>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</si>
  <si>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</si>
  <si>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</si>
  <si>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</si>
  <si>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</si>
  <si>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</si>
  <si>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</si>
  <si>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</si>
  <si>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</si>
  <si>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</si>
  <si>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</si>
  <si>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</si>
  <si>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</si>
  <si>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</si>
  <si>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</si>
  <si>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</si>
  <si>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</si>
  <si>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</si>
  <si>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</si>
  <si>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</si>
  <si>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</si>
  <si>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</si>
  <si>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</si>
  <si>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</si>
  <si>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</si>
  <si>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</si>
  <si>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</si>
  <si>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</si>
  <si>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</si>
  <si>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</si>
  <si>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</si>
  <si>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</si>
  <si>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</si>
  <si>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</si>
  <si>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</si>
  <si>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</si>
  <si>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</si>
  <si>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</si>
  <si>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</si>
  <si>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</si>
  <si>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</si>
  <si>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</si>
  <si>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</si>
  <si>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</si>
  <si>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</si>
  <si>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</si>
  <si>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</si>
  <si>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</si>
  <si>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</si>
  <si>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</si>
  <si>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</si>
  <si>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</si>
  <si>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</si>
  <si>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</si>
  <si>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</si>
  <si>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</si>
  <si>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</si>
  <si>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</si>
  <si>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</si>
  <si>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</si>
  <si>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</si>
  <si>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</si>
  <si>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</si>
  <si>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</si>
  <si>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</si>
  <si>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</si>
  <si>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</si>
  <si>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</si>
  <si>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</si>
  <si>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</si>
  <si>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</si>
  <si>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</si>
  <si>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</si>
  <si>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</si>
  <si>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</si>
  <si>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</si>
  <si>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</si>
  <si>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</si>
  <si>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</si>
  <si>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</si>
  <si>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</si>
  <si>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</si>
  <si>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</si>
  <si>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</si>
  <si>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</si>
  <si>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</si>
  <si>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</si>
  <si>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</si>
  <si>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</si>
  <si>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</si>
  <si>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</si>
  <si>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</si>
  <si>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</si>
  <si>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</si>
  <si>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</si>
  <si>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</si>
  <si>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</si>
  <si>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</si>
  <si>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</si>
  <si>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</si>
  <si>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</si>
  <si>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</si>
  <si>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</si>
  <si>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</si>
  <si>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</si>
  <si>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</si>
  <si>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</si>
  <si>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</si>
  <si>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</si>
  <si>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</si>
  <si>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</si>
  <si>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</si>
  <si>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</si>
  <si>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</si>
  <si>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</si>
  <si>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</si>
  <si>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</si>
  <si>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</si>
  <si>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</si>
  <si>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</si>
  <si>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</si>
  <si>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</si>
  <si>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</si>
  <si>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</si>
  <si>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</si>
  <si>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</si>
  <si>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</si>
  <si>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</si>
  <si>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</si>
  <si>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</si>
  <si>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</si>
  <si>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</si>
  <si>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</si>
  <si>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</si>
  <si>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</si>
  <si>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</si>
  <si>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</si>
  <si>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</si>
  <si>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</si>
  <si>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</si>
  <si>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</si>
  <si>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</si>
  <si>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</si>
  <si>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</si>
  <si>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</si>
  <si>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</si>
  <si>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</si>
  <si>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</si>
  <si>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</si>
  <si>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</si>
  <si>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</si>
  <si>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</si>
  <si>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</si>
  <si>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</si>
  <si>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</si>
  <si>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</si>
  <si>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</si>
  <si>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</si>
  <si>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</si>
  <si>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</si>
  <si>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</si>
  <si>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</si>
  <si>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</si>
  <si>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</si>
  <si>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</si>
  <si>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</si>
  <si>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</si>
  <si>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</si>
  <si>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</si>
  <si>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</si>
  <si>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</si>
  <si>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</si>
  <si>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</si>
  <si>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</si>
  <si>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</si>
  <si>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</si>
  <si>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</si>
  <si>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</si>
  <si>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</si>
  <si>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</si>
  <si>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</si>
  <si>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</si>
  <si>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</si>
  <si>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</si>
  <si>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</si>
  <si>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</si>
  <si>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</si>
  <si>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</si>
  <si>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</si>
  <si>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</si>
  <si>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</si>
  <si>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</si>
  <si>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</si>
  <si>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</si>
  <si>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</si>
  <si>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</si>
  <si>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</si>
  <si>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</si>
  <si>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</si>
  <si>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</si>
  <si>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</si>
  <si>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</si>
  <si>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</si>
  <si>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</si>
  <si>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</si>
  <si>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</si>
  <si>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</si>
  <si>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</si>
  <si>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</si>
  <si>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</si>
  <si>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</si>
  <si>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</si>
  <si>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</si>
  <si>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</si>
  <si>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</si>
  <si>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</si>
  <si>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</si>
  <si>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</si>
  <si>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</si>
  <si>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</si>
  <si>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</si>
  <si>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</si>
  <si>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</si>
  <si>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</si>
  <si>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</si>
  <si>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</si>
  <si>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</si>
  <si>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</si>
  <si>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</si>
  <si>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</si>
  <si>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</si>
  <si>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</si>
  <si>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</si>
  <si>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</si>
  <si>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</si>
  <si>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</si>
  <si>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</si>
  <si>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</si>
  <si>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</si>
  <si>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</si>
  <si>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</si>
  <si>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</si>
  <si>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</si>
  <si>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</si>
  <si>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</si>
  <si>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</si>
  <si>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</si>
  <si>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</si>
  <si>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</si>
  <si>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</si>
  <si>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</si>
  <si>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</si>
  <si>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</si>
  <si>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</si>
  <si>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</si>
  <si>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</si>
  <si>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</si>
  <si>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</si>
  <si>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</si>
  <si>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</si>
  <si>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</si>
  <si>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</si>
  <si>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</si>
  <si>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</si>
  <si>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</si>
  <si>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</si>
  <si>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</si>
  <si>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</si>
  <si>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</si>
  <si>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</si>
  <si>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</si>
  <si>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</si>
  <si>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</si>
  <si>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</si>
  <si>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</si>
  <si>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</si>
  <si>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</si>
  <si>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</si>
  <si>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</si>
  <si>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</si>
  <si>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</si>
  <si>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</si>
  <si>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</si>
  <si>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</si>
  <si>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</si>
  <si>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</si>
  <si>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</si>
  <si>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</si>
  <si>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</si>
  <si>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</si>
  <si>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</si>
  <si>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</si>
  <si>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</si>
  <si>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</si>
  <si>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</si>
  <si>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</si>
  <si>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</si>
  <si>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</si>
  <si>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</si>
  <si>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</si>
  <si>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</si>
  <si>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</si>
  <si>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</si>
  <si>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</si>
  <si>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</si>
  <si>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</si>
  <si>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</si>
  <si>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</si>
  <si>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</si>
  <si>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</si>
  <si>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</si>
  <si>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</si>
  <si>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</si>
  <si>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</si>
  <si>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</si>
  <si>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</si>
  <si>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</si>
  <si>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</si>
  <si>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</si>
  <si>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</si>
  <si>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</si>
  <si>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</si>
  <si>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</si>
  <si>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</si>
  <si>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</si>
  <si>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</si>
  <si>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</si>
  <si>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</si>
  <si>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</si>
  <si>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</si>
  <si>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</si>
  <si>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</si>
  <si>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</si>
  <si>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</si>
  <si>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</si>
  <si>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</si>
  <si>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</si>
  <si>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</si>
  <si>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</si>
  <si>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</si>
  <si>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</si>
  <si>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</si>
  <si>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</si>
  <si>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</si>
  <si>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</si>
  <si>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</si>
  <si>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</si>
  <si>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</si>
  <si>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</si>
  <si>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</si>
  <si>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</si>
  <si>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</si>
  <si>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</si>
  <si>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</si>
  <si>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</si>
  <si>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</si>
  <si>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</si>
  <si>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</si>
  <si>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</si>
  <si>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</si>
  <si>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</si>
  <si>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</si>
  <si>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</si>
  <si>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</si>
  <si>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</si>
  <si>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</si>
  <si>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</si>
  <si>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</si>
  <si>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</si>
  <si>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</si>
  <si>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</si>
  <si>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</si>
  <si>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</si>
  <si>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</si>
  <si>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</si>
  <si>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</si>
  <si>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</si>
  <si>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</si>
  <si>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</si>
  <si>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</si>
  <si>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</si>
  <si>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</si>
  <si>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</si>
  <si>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</si>
  <si>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</si>
  <si>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</si>
  <si>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</si>
  <si>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</si>
  <si>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</si>
  <si>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</si>
  <si>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</si>
  <si>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</si>
  <si>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</si>
  <si>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</si>
  <si>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</si>
  <si>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</si>
  <si>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</si>
  <si>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</si>
  <si>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</si>
  <si>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</si>
  <si>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</si>
  <si>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</si>
  <si>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</si>
  <si>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</si>
  <si>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</si>
  <si>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</si>
  <si>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</si>
  <si>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</si>
  <si>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</si>
  <si>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</si>
  <si>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</si>
  <si>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</si>
  <si>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</si>
  <si>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</si>
  <si>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</si>
  <si>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</si>
  <si>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</si>
  <si>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</si>
  <si>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</si>
  <si>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</si>
  <si>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</si>
  <si>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</si>
  <si>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</si>
  <si>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</si>
  <si>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</si>
  <si>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</si>
  <si>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</si>
  <si>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</si>
  <si>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</si>
  <si>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</si>
  <si>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</si>
  <si>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</si>
  <si>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</si>
  <si>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</si>
  <si>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</si>
  <si>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</si>
  <si>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</si>
  <si>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</si>
  <si>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</si>
  <si>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</si>
  <si>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</si>
  <si>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</si>
  <si>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</si>
  <si>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</si>
  <si>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</si>
  <si>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</si>
  <si>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</si>
  <si>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</si>
  <si>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</si>
  <si>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</si>
  <si>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</si>
  <si>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</si>
  <si>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</si>
  <si>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</si>
  <si>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</si>
  <si>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</si>
  <si>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</si>
  <si>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</si>
  <si>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</si>
  <si>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</si>
  <si>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</si>
  <si>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</si>
  <si>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</si>
  <si>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</si>
  <si>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</si>
  <si>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</si>
  <si>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</si>
  <si>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</si>
  <si>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</si>
  <si>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</si>
  <si>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</si>
  <si>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</si>
  <si>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</si>
  <si>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</si>
  <si>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</si>
  <si>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</si>
  <si>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</si>
  <si>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</si>
  <si>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</si>
  <si>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</si>
  <si>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</si>
  <si>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</si>
  <si>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</si>
  <si>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</si>
  <si>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</si>
  <si>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</si>
  <si>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</si>
  <si>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</si>
  <si>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</si>
  <si>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</si>
  <si>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</si>
  <si>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</si>
  <si>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</si>
  <si>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</si>
  <si>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</si>
  <si>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</si>
  <si>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</si>
  <si>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</si>
  <si>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</si>
  <si>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</si>
  <si>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</si>
  <si>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</si>
  <si>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</si>
  <si>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</si>
  <si>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</si>
  <si>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</si>
  <si>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</si>
  <si>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</si>
  <si>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</si>
  <si>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</si>
  <si>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</si>
  <si>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</si>
  <si>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</si>
  <si>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</si>
  <si>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</si>
  <si>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</si>
  <si>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</si>
  <si>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</si>
  <si>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</si>
  <si>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</si>
  <si>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</si>
  <si>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</si>
  <si>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</si>
  <si>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</si>
  <si>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</si>
  <si>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</si>
  <si>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</si>
  <si>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</si>
  <si>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</si>
  <si>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</si>
  <si>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</si>
  <si>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</si>
  <si>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</si>
  <si>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</si>
  <si>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</si>
  <si>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</si>
  <si>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</si>
  <si>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</si>
  <si>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</si>
  <si>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</si>
  <si>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</si>
  <si>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</si>
  <si>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</si>
  <si>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</si>
  <si>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</si>
  <si>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</si>
  <si>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</si>
  <si>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</si>
  <si>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</si>
  <si>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</si>
  <si>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</si>
  <si>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</si>
  <si>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</si>
  <si>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</si>
  <si>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</si>
  <si>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</si>
  <si>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</si>
  <si>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</si>
  <si>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</si>
  <si>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</si>
  <si>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</si>
  <si>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</si>
  <si>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</si>
  <si>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</si>
  <si>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</si>
  <si>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</si>
  <si>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</si>
  <si>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</si>
  <si>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</si>
  <si>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</si>
  <si>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</si>
  <si>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</si>
  <si>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</si>
  <si>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</si>
  <si>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</si>
  <si>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</si>
  <si>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</si>
  <si>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</si>
  <si>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</si>
  <si>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</si>
  <si>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</si>
  <si>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</si>
  <si>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</si>
  <si>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</si>
  <si>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</si>
  <si>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</si>
  <si>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</si>
  <si>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</si>
  <si>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</si>
  <si>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</si>
  <si>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</si>
  <si>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</si>
  <si>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</si>
  <si>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</si>
  <si>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</si>
  <si>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</si>
  <si>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</si>
  <si>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</si>
  <si>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</si>
  <si>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</si>
  <si>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</si>
  <si>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</si>
  <si>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</si>
  <si>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</si>
  <si>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</si>
  <si>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</si>
  <si>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</si>
  <si>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</si>
  <si>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</si>
  <si>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</si>
  <si>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</si>
  <si>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</si>
  <si>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</si>
  <si>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</si>
  <si>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</si>
  <si>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</si>
  <si>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</si>
  <si>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</si>
  <si>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</si>
  <si>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</si>
  <si>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</si>
  <si>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</si>
  <si>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</si>
  <si>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</si>
  <si>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</si>
  <si>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</si>
  <si>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</si>
  <si>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</si>
  <si>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</si>
  <si>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</si>
  <si>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</si>
  <si>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</si>
  <si>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</si>
  <si>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</si>
  <si>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</si>
  <si>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</si>
  <si>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</si>
  <si>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</si>
  <si>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</si>
  <si>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</si>
  <si>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</si>
  <si>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</si>
  <si>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</si>
  <si>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</si>
  <si>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</si>
  <si>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</si>
  <si>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</si>
  <si>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</si>
  <si>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</si>
  <si>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</si>
  <si>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</si>
  <si>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</si>
  <si>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</si>
  <si>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</si>
  <si>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</si>
  <si>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</si>
  <si>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</si>
  <si>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</si>
  <si>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</si>
  <si>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</si>
  <si>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</si>
  <si>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</si>
  <si>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</si>
  <si>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</si>
  <si>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</si>
  <si>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</si>
  <si>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</si>
  <si>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</si>
  <si>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</si>
  <si>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</si>
  <si>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</si>
  <si>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</si>
  <si>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</si>
  <si>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</si>
  <si>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</si>
  <si>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</si>
  <si>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</si>
  <si>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</si>
  <si>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</si>
  <si>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</si>
  <si>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</si>
  <si>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</si>
  <si>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</si>
  <si>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</si>
  <si>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</si>
  <si>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</si>
  <si>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</si>
  <si>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</si>
  <si>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</si>
  <si>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</si>
  <si>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</si>
  <si>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</si>
  <si>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</si>
  <si>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</si>
  <si>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</si>
  <si>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</si>
  <si>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</si>
  <si>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</si>
  <si>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</si>
  <si>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</si>
  <si>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</si>
  <si>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</si>
  <si>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</si>
  <si>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</si>
  <si>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</si>
  <si>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</si>
  <si>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</si>
  <si>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</si>
  <si>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</si>
  <si>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</si>
  <si>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</si>
  <si>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</si>
  <si>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</si>
  <si>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</si>
  <si>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</si>
  <si>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</si>
  <si>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</si>
  <si>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</si>
  <si>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</si>
  <si>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</si>
  <si>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</si>
  <si>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</si>
  <si>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</si>
  <si>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</si>
  <si>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</si>
  <si>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</si>
  <si>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</si>
  <si>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</si>
  <si>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</si>
  <si>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</si>
  <si>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</si>
  <si>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</si>
  <si>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</si>
  <si>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</si>
  <si>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</si>
  <si>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</si>
  <si>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</si>
  <si>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</si>
  <si>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</si>
  <si>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</si>
  <si>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</si>
  <si>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</si>
  <si>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</si>
  <si>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</si>
  <si>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</si>
  <si>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</si>
  <si>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</si>
  <si>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</si>
  <si>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</si>
  <si>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</si>
  <si>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</si>
  <si>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</si>
  <si>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</si>
  <si>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</si>
  <si>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</si>
  <si>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</si>
  <si>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</si>
  <si>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</si>
  <si>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</si>
  <si>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</si>
  <si>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</si>
  <si>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</si>
  <si>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</si>
  <si>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</si>
  <si>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</si>
  <si>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</si>
  <si>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</si>
  <si>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</si>
  <si>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</si>
  <si>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</si>
  <si>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</si>
  <si>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</si>
  <si>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</si>
  <si>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</si>
  <si>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</si>
  <si>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</si>
  <si>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</si>
  <si>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</si>
  <si>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</si>
  <si>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</si>
  <si>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</si>
  <si>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</si>
  <si>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</si>
  <si>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</si>
  <si>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</si>
  <si>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</si>
  <si>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</si>
  <si>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</si>
  <si>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</si>
  <si>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</si>
  <si>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</si>
  <si>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</si>
  <si>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</si>
  <si>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</si>
  <si>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</si>
  <si>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</si>
  <si>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</si>
  <si>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</si>
  <si>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</si>
  <si>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</si>
  <si>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</si>
  <si>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</si>
  <si>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</si>
  <si>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</si>
  <si>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</si>
  <si>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</si>
  <si>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</si>
  <si>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</si>
  <si>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</si>
  <si>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</si>
  <si>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</si>
  <si>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</si>
  <si>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</si>
  <si>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</si>
  <si>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</si>
  <si>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</si>
  <si>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</si>
  <si>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</si>
  <si>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</si>
  <si>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</si>
  <si>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</si>
  <si>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</si>
  <si>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</si>
  <si>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</si>
  <si>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</si>
  <si>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</si>
  <si>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</si>
  <si>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</si>
  <si>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</si>
  <si>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</si>
  <si>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</si>
  <si>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</si>
  <si>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</si>
  <si>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</si>
  <si>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</si>
  <si>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</si>
  <si>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</si>
  <si>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</si>
  <si>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</si>
  <si>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</si>
  <si>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</si>
  <si>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</si>
  <si>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</si>
  <si>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</si>
  <si>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</si>
  <si>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</si>
  <si>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</si>
  <si>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</si>
  <si>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</si>
  <si>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</si>
  <si>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</si>
  <si>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</si>
  <si>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</si>
  <si>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</si>
  <si>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</si>
  <si>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</si>
  <si>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</si>
  <si>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</si>
  <si>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</si>
  <si>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</si>
  <si>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</si>
  <si>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</si>
  <si>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</si>
  <si>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</si>
  <si>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</si>
  <si>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</si>
  <si>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</si>
  <si>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</si>
  <si>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</si>
  <si>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</si>
  <si>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</si>
  <si>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</si>
  <si>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</si>
  <si>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</si>
  <si>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</si>
  <si>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</si>
  <si>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</si>
  <si>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</si>
  <si>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</si>
  <si>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</si>
  <si>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</si>
  <si>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</si>
  <si>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</si>
  <si>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</si>
  <si>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</si>
  <si>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</si>
  <si>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</si>
  <si>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</si>
  <si>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</si>
  <si>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</si>
  <si>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</si>
  <si>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</si>
  <si>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</si>
  <si>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</si>
  <si>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</si>
  <si>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</si>
  <si>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</si>
  <si>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</si>
  <si>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</si>
  <si>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</si>
  <si>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</si>
  <si>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</si>
  <si>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</si>
  <si>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</si>
  <si>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</si>
  <si>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</si>
  <si>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</si>
  <si>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</si>
  <si>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</si>
  <si>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</si>
  <si>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</si>
  <si>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</si>
  <si>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</si>
  <si>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</si>
  <si>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</si>
  <si>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</si>
  <si>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</si>
  <si>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</si>
  <si>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</si>
  <si>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</si>
  <si>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</si>
  <si>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</si>
  <si>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</si>
  <si>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</si>
  <si>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</si>
  <si>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</si>
  <si>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</si>
  <si>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</si>
  <si>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</si>
  <si>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</si>
  <si>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</si>
  <si>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</si>
  <si>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</si>
  <si>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</si>
  <si>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</si>
  <si>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</si>
  <si>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</si>
  <si>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</si>
  <si>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</si>
  <si>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</si>
  <si>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</si>
  <si>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</si>
  <si>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</si>
  <si>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</si>
  <si>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</si>
  <si>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</si>
  <si>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</si>
  <si>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</si>
  <si>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</si>
  <si>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</si>
  <si>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</si>
  <si>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</si>
  <si>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</si>
  <si>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</si>
  <si>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</si>
  <si>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</si>
  <si>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</si>
  <si>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</si>
  <si>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</si>
  <si>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</si>
  <si>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</si>
  <si>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</si>
  <si>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</si>
  <si>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</si>
  <si>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</si>
  <si>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</si>
  <si>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</si>
  <si>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</si>
  <si>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</si>
  <si>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</si>
  <si>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</si>
  <si>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</si>
  <si>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</si>
  <si>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</si>
  <si>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</si>
  <si>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</si>
  <si>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</si>
  <si>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</si>
  <si>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</si>
  <si>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</si>
  <si>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</si>
  <si>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</si>
  <si>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</si>
  <si>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</si>
  <si>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</si>
  <si>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</si>
  <si>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</si>
  <si>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</si>
  <si>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</si>
  <si>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</si>
  <si>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</si>
  <si>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</si>
  <si>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</si>
  <si>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</si>
  <si>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</si>
  <si>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</si>
  <si>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</si>
  <si>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</si>
  <si>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</si>
  <si>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</si>
  <si>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</si>
  <si>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</si>
  <si>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</si>
  <si>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</si>
  <si>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</si>
  <si>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</si>
  <si>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</si>
  <si>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</si>
  <si>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</si>
  <si>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</si>
  <si>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</si>
  <si>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</si>
  <si>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</si>
  <si>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</si>
  <si>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</si>
  <si>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</si>
  <si>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</si>
  <si>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</si>
  <si>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</si>
  <si>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</si>
  <si>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</si>
  <si>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</si>
  <si>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</si>
  <si>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</si>
  <si>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</si>
  <si>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</si>
  <si>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</si>
  <si>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</si>
  <si>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</si>
  <si>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</si>
  <si>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</si>
  <si>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</si>
  <si>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</si>
  <si>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</si>
  <si>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</si>
  <si>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</si>
  <si>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</si>
  <si>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</si>
  <si>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</si>
  <si>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</si>
  <si>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</si>
  <si>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</si>
  <si>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</si>
  <si>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</si>
  <si>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</si>
  <si>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</si>
  <si>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</si>
  <si>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</si>
  <si>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</si>
  <si>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</si>
  <si>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</si>
  <si>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</si>
  <si>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</si>
  <si>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</si>
  <si>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</si>
  <si>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</si>
  <si>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</si>
  <si>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</si>
  <si>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</si>
  <si>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</si>
  <si>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</si>
  <si>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</si>
  <si>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</si>
  <si>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</si>
  <si>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</si>
  <si>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</si>
  <si>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</si>
  <si>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</si>
  <si>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</si>
  <si>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</si>
  <si>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</si>
  <si>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</si>
  <si>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</si>
  <si>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</si>
  <si>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</si>
  <si>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</si>
  <si>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</si>
  <si>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</si>
  <si>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</si>
  <si>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</si>
  <si>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</si>
  <si>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</si>
  <si>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</si>
  <si>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</si>
  <si>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</si>
  <si>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</si>
  <si>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</si>
  <si>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</si>
  <si>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</si>
  <si>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</si>
  <si>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</si>
  <si>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</si>
  <si>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</si>
  <si>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</si>
  <si>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</si>
  <si>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</si>
  <si>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</si>
  <si>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</si>
  <si>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</si>
  <si>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</si>
  <si>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</si>
  <si>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</si>
  <si>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</si>
  <si>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</si>
  <si>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</si>
  <si>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</si>
  <si>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</si>
  <si>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</si>
  <si>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</si>
  <si>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</si>
  <si>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</si>
  <si>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</si>
  <si>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</si>
  <si>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</si>
  <si>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</si>
  <si>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</si>
  <si>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</si>
  <si>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</si>
  <si>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</si>
  <si>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</si>
  <si>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</si>
  <si>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</si>
  <si>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</si>
  <si>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</si>
  <si>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</si>
  <si>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</si>
  <si>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</si>
  <si>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</si>
  <si>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</si>
  <si>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</si>
  <si>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</si>
  <si>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</si>
  <si>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</si>
  <si>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</si>
  <si>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</si>
  <si>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</si>
  <si>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</si>
  <si>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</si>
  <si>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</si>
  <si>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</si>
  <si>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</si>
  <si>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</si>
  <si>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</si>
  <si>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</si>
  <si>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</si>
  <si>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</si>
  <si>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</si>
  <si>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</si>
  <si>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</si>
  <si>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</si>
  <si>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</si>
  <si>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</si>
  <si>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</si>
  <si>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</si>
  <si>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</si>
  <si>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</si>
  <si>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</si>
  <si>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</si>
  <si>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</si>
  <si>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</si>
  <si>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</si>
  <si>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</si>
  <si>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</si>
  <si>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</si>
  <si>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</si>
  <si>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</si>
  <si>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</si>
  <si>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</si>
  <si>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</si>
  <si>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</si>
  <si>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</si>
  <si>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</si>
  <si>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</si>
  <si>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</si>
  <si>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</si>
  <si>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</si>
  <si>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</si>
  <si>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</si>
  <si>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</si>
  <si>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</si>
  <si>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</si>
  <si>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</si>
  <si>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</si>
  <si>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</si>
  <si>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</si>
  <si>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</si>
  <si>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</si>
  <si>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</si>
  <si>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</si>
  <si>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</si>
  <si>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</si>
  <si>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</si>
  <si>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</si>
  <si>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</si>
  <si>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</si>
  <si>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</si>
  <si>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</si>
  <si>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</si>
  <si>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</si>
  <si>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</si>
  <si>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</si>
  <si>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</si>
  <si>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</si>
  <si>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</si>
  <si>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</si>
  <si>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</si>
  <si>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</si>
  <si>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</si>
  <si>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</si>
  <si>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</si>
  <si>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</si>
  <si>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</si>
  <si>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</si>
  <si>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</si>
  <si>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</si>
  <si>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</si>
  <si>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</si>
  <si>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</si>
  <si>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</si>
  <si>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</si>
  <si>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</si>
  <si>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</si>
  <si>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</si>
  <si>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</si>
  <si>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</si>
  <si>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</si>
  <si>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</si>
  <si>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</si>
  <si>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</si>
  <si>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</si>
  <si>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</si>
  <si>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</si>
  <si>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</si>
  <si>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</si>
  <si>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</si>
  <si>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</si>
  <si>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</si>
  <si>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</si>
  <si>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</si>
  <si>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</si>
  <si>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</si>
  <si>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</si>
  <si>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</si>
  <si>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</si>
  <si>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</si>
  <si>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</si>
  <si>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</si>
  <si>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</si>
  <si>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</si>
  <si>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</si>
  <si>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</si>
  <si>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</si>
  <si>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</si>
  <si>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</si>
  <si>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</si>
  <si>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</si>
  <si>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</si>
  <si>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</si>
  <si>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</si>
  <si>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</si>
  <si>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</si>
  <si>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</si>
  <si>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</si>
  <si>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</si>
  <si>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</si>
  <si>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</si>
  <si>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</si>
  <si>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</si>
  <si>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</si>
  <si>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</si>
  <si>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</si>
  <si>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</si>
  <si>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</si>
  <si>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</si>
  <si>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</si>
  <si>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</si>
  <si>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</si>
  <si>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</si>
  <si>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</si>
  <si>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</si>
  <si>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</si>
  <si>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</si>
  <si>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</si>
  <si>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</si>
  <si>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</si>
  <si>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</si>
  <si>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</si>
  <si>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</si>
  <si>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</si>
  <si>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</si>
  <si>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</si>
  <si>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</si>
  <si>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</si>
  <si>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</si>
  <si>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</si>
  <si>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</si>
  <si>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</si>
  <si>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</si>
  <si>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</si>
  <si>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</si>
  <si>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</si>
  <si>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</si>
  <si>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</si>
  <si>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</si>
  <si>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</si>
  <si>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</si>
  <si>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</si>
  <si>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</si>
  <si>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</si>
  <si>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</si>
  <si>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</si>
  <si>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</si>
  <si>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</si>
  <si>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</si>
  <si>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</si>
  <si>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</si>
  <si>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</si>
  <si>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</si>
  <si>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</si>
  <si>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</si>
  <si>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</si>
  <si>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</si>
  <si>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</si>
  <si>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</si>
  <si>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</si>
  <si>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</si>
  <si>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</si>
  <si>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</si>
  <si>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</si>
  <si>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</si>
  <si>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</si>
  <si>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</si>
  <si>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</si>
  <si>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</si>
  <si>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</si>
  <si>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</si>
  <si>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</si>
  <si>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</si>
  <si>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</si>
  <si>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</si>
  <si>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</si>
  <si>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</si>
  <si>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</si>
  <si>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</si>
  <si>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</si>
  <si>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</si>
  <si>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</si>
  <si>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</si>
  <si>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</si>
  <si>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</si>
  <si>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</si>
  <si>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</si>
  <si>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</si>
  <si>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</si>
  <si>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</si>
  <si>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</si>
  <si>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</si>
  <si>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</si>
  <si>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</si>
  <si>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</si>
  <si>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</si>
  <si>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</si>
  <si>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</si>
  <si>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</si>
  <si>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</si>
  <si>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</si>
  <si>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</si>
  <si>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</si>
  <si>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</si>
  <si>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</si>
  <si>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</si>
  <si>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</si>
  <si>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</si>
  <si>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</si>
  <si>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</si>
  <si>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</si>
  <si>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</si>
  <si>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</si>
  <si>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</si>
  <si>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</si>
  <si>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</si>
  <si>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</si>
  <si>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</si>
  <si>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</si>
  <si>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</si>
  <si>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</si>
  <si>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</si>
  <si>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</si>
  <si>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</si>
  <si>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</si>
  <si>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</si>
  <si>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</si>
  <si>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</si>
  <si>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</si>
  <si>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</si>
  <si>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</si>
  <si>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</si>
  <si>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</si>
  <si>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</si>
  <si>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</si>
  <si>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</si>
  <si>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</si>
  <si>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</si>
  <si>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</si>
  <si>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</si>
  <si>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</si>
  <si>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</si>
  <si>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</si>
  <si>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</si>
  <si>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</si>
  <si>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</si>
  <si>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</si>
  <si>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</si>
  <si>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</si>
  <si>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</si>
  <si>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</si>
  <si>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</si>
  <si>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</si>
  <si>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</si>
  <si>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</si>
  <si>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</si>
  <si>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</si>
  <si>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</si>
  <si>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</si>
  <si>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</si>
  <si>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</si>
  <si>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</si>
  <si>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</si>
  <si>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</si>
  <si>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</si>
  <si>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</si>
  <si>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</si>
  <si>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</si>
  <si>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</si>
  <si>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</si>
  <si>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</si>
  <si>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</si>
  <si>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</si>
  <si>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</si>
  <si>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</si>
  <si>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</si>
  <si>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</si>
  <si>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</si>
  <si>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</si>
  <si>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</si>
  <si>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</si>
  <si>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</si>
  <si>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</si>
  <si>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</si>
  <si>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</si>
  <si>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</si>
  <si>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</si>
  <si>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</si>
  <si>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</si>
  <si>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</si>
  <si>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</si>
  <si>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</si>
  <si>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</si>
  <si>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</si>
  <si>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</si>
  <si>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</si>
  <si>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</si>
  <si>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</si>
  <si>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</si>
  <si>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</si>
  <si>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</si>
  <si>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</si>
  <si>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</si>
  <si>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</si>
  <si>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</si>
  <si>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</si>
  <si>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</si>
  <si>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</si>
  <si>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</si>
  <si>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</si>
  <si>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</si>
  <si>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</si>
  <si>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</si>
  <si>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</si>
  <si>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</si>
  <si>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</si>
  <si>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</si>
  <si>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</si>
  <si>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</si>
  <si>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</si>
  <si>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</si>
  <si>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</si>
  <si>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</si>
  <si>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</si>
  <si>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</si>
  <si>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</si>
  <si>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</si>
  <si>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</si>
  <si>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</si>
  <si>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</si>
  <si>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</si>
  <si>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</si>
  <si>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</si>
  <si>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</si>
  <si>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</si>
  <si>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</si>
  <si>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</si>
  <si>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</si>
  <si>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</si>
  <si>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</si>
  <si>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</si>
  <si>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</si>
  <si>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</si>
  <si>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</si>
  <si>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</si>
  <si>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</si>
  <si>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</si>
  <si>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</si>
  <si>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</si>
  <si>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</si>
  <si>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</si>
  <si>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</si>
  <si>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</si>
  <si>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</si>
  <si>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</si>
  <si>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</si>
  <si>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</si>
  <si>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</si>
  <si>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</si>
  <si>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</si>
  <si>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</si>
  <si>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</si>
  <si>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</si>
  <si>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</si>
  <si>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</si>
  <si>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</si>
  <si>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</si>
  <si>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</si>
  <si>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</si>
  <si>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</si>
  <si>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</si>
  <si>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</si>
  <si>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</si>
  <si>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</si>
  <si>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</si>
  <si>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</si>
  <si>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</si>
  <si>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</si>
  <si>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</si>
  <si>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</si>
  <si>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</si>
  <si>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</si>
  <si>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</si>
  <si>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</si>
  <si>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</si>
  <si>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</si>
  <si>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</si>
  <si>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</si>
  <si>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</si>
  <si>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</si>
  <si>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</si>
  <si>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</si>
  <si>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</si>
  <si>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</si>
  <si>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</si>
  <si>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</si>
  <si>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</si>
  <si>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</si>
  <si>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</si>
  <si>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</si>
  <si>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</si>
  <si>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</si>
  <si>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</si>
  <si>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</si>
  <si>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</si>
  <si>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</si>
  <si>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</si>
  <si>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</si>
  <si>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</si>
  <si>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</si>
  <si>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</si>
  <si>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</si>
  <si>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</si>
  <si>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</si>
  <si>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</si>
  <si>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</si>
  <si>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</si>
  <si>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</si>
  <si>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</si>
  <si>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</si>
  <si>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</si>
  <si>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</si>
  <si>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</si>
  <si>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</si>
  <si>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</si>
  <si>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</si>
  <si>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</si>
  <si>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</si>
  <si>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</si>
  <si>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</si>
  <si>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</si>
  <si>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</si>
  <si>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</si>
  <si>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</si>
  <si>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</si>
  <si>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</si>
  <si>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</si>
  <si>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</si>
  <si>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</si>
  <si>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</si>
  <si>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</si>
  <si>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</si>
  <si>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</si>
  <si>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</si>
  <si>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</si>
  <si>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</si>
  <si>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</si>
  <si>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</si>
  <si>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</si>
  <si>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</si>
  <si>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</si>
  <si>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</si>
  <si>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</si>
  <si>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</si>
  <si>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</si>
  <si>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</si>
  <si>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</si>
  <si>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</si>
  <si>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</si>
  <si>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</si>
  <si>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</si>
  <si>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</si>
  <si>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</si>
  <si>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</si>
  <si>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</si>
  <si>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</si>
  <si>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</si>
  <si>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</si>
  <si>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</si>
  <si>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</si>
  <si>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</si>
  <si>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</si>
  <si>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</si>
  <si>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</si>
  <si>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</si>
  <si>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</si>
  <si>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</si>
  <si>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</si>
  <si>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</si>
  <si>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</si>
  <si>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</si>
  <si>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</si>
  <si>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</si>
  <si>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</si>
  <si>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</si>
  <si>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</si>
  <si>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</si>
  <si>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</si>
  <si>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</si>
  <si>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</si>
  <si>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</si>
  <si>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</si>
  <si>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</si>
  <si>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</si>
  <si>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</si>
  <si>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</si>
  <si>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</si>
  <si>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</si>
  <si>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</si>
  <si>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</si>
  <si>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</si>
  <si>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</si>
  <si>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</si>
  <si>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</si>
  <si>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</si>
  <si>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</si>
  <si>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</si>
  <si>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</si>
  <si>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</si>
  <si>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</si>
  <si>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</si>
  <si>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</si>
  <si>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</si>
  <si>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</si>
  <si>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</si>
  <si>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</si>
  <si>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</si>
  <si>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</si>
  <si>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</si>
  <si>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</si>
  <si>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</si>
  <si>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</si>
  <si>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</si>
  <si>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</si>
  <si>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</si>
  <si>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</si>
  <si>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</si>
  <si>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</si>
  <si>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</si>
  <si>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</si>
  <si>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</si>
  <si>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</si>
  <si>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</si>
  <si>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</si>
  <si>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</si>
  <si>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</si>
  <si>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</si>
  <si>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</si>
  <si>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</si>
  <si>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</si>
  <si>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</si>
  <si>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</si>
  <si>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</si>
  <si>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</si>
  <si>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</si>
  <si>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</si>
  <si>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</si>
  <si>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</si>
  <si>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</si>
  <si>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</si>
  <si>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</si>
  <si>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</si>
  <si>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</si>
  <si>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</si>
  <si>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</si>
  <si>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</si>
  <si>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</si>
  <si>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</si>
  <si>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</si>
  <si>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</si>
  <si>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</si>
  <si>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</si>
  <si>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</si>
  <si>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</si>
  <si>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</si>
  <si>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</si>
  <si>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</si>
  <si>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</si>
  <si>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</si>
  <si>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</si>
  <si>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</si>
  <si>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</si>
  <si>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</si>
  <si>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</si>
  <si>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</si>
  <si>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</si>
  <si>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</si>
  <si>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</si>
  <si>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</si>
  <si>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</si>
  <si>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</si>
  <si>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</si>
  <si>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</si>
  <si>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</si>
  <si>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</si>
  <si>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</si>
  <si>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</si>
  <si>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</si>
  <si>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</si>
  <si>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</si>
  <si>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</si>
  <si>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</si>
  <si>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</si>
  <si>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</si>
  <si>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</si>
  <si>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</si>
  <si>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</si>
  <si>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</si>
  <si>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</si>
  <si>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</si>
  <si>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</si>
  <si>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</si>
  <si>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</si>
  <si>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</si>
  <si>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</si>
  <si>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</si>
  <si>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</si>
  <si>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</si>
  <si>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</si>
  <si>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</si>
  <si>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</si>
  <si>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</si>
  <si>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</si>
  <si>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</si>
  <si>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</si>
  <si>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</si>
  <si>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</si>
  <si>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</si>
  <si>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</si>
  <si>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</si>
  <si>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</si>
  <si>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</si>
  <si>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</si>
  <si>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</si>
  <si>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</si>
  <si>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</si>
  <si>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</si>
  <si>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</si>
  <si>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</si>
  <si>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</si>
  <si>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</si>
  <si>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</si>
  <si>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</si>
  <si>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</si>
  <si>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</si>
  <si>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</si>
  <si>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</si>
  <si>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</si>
  <si>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</si>
  <si>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</si>
  <si>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</si>
  <si>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</si>
  <si>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</si>
  <si>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</si>
  <si>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</si>
  <si>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</si>
  <si>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</si>
  <si>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</si>
  <si>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</si>
  <si>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</si>
  <si>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</si>
  <si>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</si>
  <si>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</si>
  <si>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</si>
  <si>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</si>
  <si>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</si>
  <si>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</si>
  <si>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</si>
  <si>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</si>
  <si>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</si>
  <si>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</si>
  <si>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</si>
  <si>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</si>
  <si>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</si>
  <si>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</si>
  <si>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</si>
  <si>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</si>
  <si>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</si>
  <si>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</si>
  <si>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</si>
  <si>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</si>
  <si>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</si>
  <si>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</si>
  <si>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</si>
  <si>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</si>
  <si>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</si>
  <si>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</si>
  <si>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</si>
  <si>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</si>
  <si>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</si>
  <si>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</si>
  <si>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</si>
  <si>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</si>
  <si>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</si>
  <si>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</si>
  <si>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</si>
  <si>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</si>
  <si>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</si>
  <si>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</si>
  <si>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</si>
  <si>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</si>
  <si>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</si>
  <si>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</si>
  <si>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</si>
  <si>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</si>
  <si>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</si>
  <si>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</si>
  <si>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</si>
  <si>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</si>
  <si>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</si>
  <si>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</si>
  <si>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</si>
  <si>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</si>
  <si>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</si>
  <si>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</si>
  <si>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</si>
  <si>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</si>
  <si>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</si>
  <si>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</si>
  <si>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</si>
  <si>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</si>
  <si>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</si>
  <si>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</si>
  <si>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</si>
  <si>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</si>
  <si>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</si>
  <si>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</si>
  <si>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</si>
  <si>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</si>
  <si>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</si>
  <si>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</si>
  <si>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</si>
  <si>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</si>
  <si>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</si>
  <si>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</si>
  <si>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</si>
  <si>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</si>
  <si>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</si>
  <si>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</si>
  <si>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</si>
  <si>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</si>
  <si>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</si>
  <si>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</si>
  <si>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</si>
  <si>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</si>
  <si>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</si>
  <si>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</si>
  <si>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</si>
  <si>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</si>
  <si>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</si>
  <si>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</si>
  <si>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</si>
  <si>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</si>
  <si>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</si>
  <si>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</si>
  <si>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</si>
  <si>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</si>
  <si>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</si>
  <si>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</si>
  <si>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</si>
  <si>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</si>
  <si>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</si>
  <si>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</si>
  <si>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</si>
  <si>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</si>
  <si>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</si>
  <si>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</si>
  <si>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</si>
  <si>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</si>
  <si>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</si>
  <si>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</si>
  <si>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</si>
  <si>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</si>
  <si>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</si>
  <si>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</si>
  <si>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</si>
  <si>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</si>
  <si>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</si>
  <si>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</si>
  <si>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</si>
  <si>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</si>
  <si>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</si>
  <si>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</si>
  <si>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</si>
  <si>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</si>
  <si>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</si>
  <si>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</si>
  <si>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</si>
  <si>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</si>
  <si>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</si>
  <si>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</si>
  <si>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</si>
  <si>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</si>
  <si>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</si>
  <si>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</si>
  <si>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</si>
  <si>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</si>
  <si>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</si>
  <si>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</si>
  <si>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</si>
  <si>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</si>
  <si>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</si>
  <si>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</si>
  <si>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</si>
  <si>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</si>
  <si>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</si>
  <si>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</si>
  <si>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</si>
  <si>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</si>
  <si>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</si>
  <si>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</si>
  <si>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</si>
  <si>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</si>
  <si>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</si>
  <si>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</si>
  <si>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</si>
  <si>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</si>
  <si>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</si>
  <si>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</si>
  <si>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</si>
  <si>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</si>
  <si>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</si>
  <si>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</si>
  <si>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</si>
  <si>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</si>
  <si>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</si>
  <si>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</si>
  <si>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</si>
  <si>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</si>
  <si>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</si>
  <si>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</si>
  <si>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</si>
  <si>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</si>
  <si>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</si>
  <si>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</si>
  <si>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</si>
  <si>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</si>
  <si>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</si>
  <si>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</si>
  <si>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</si>
  <si>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</si>
  <si>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</si>
  <si>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</si>
  <si>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</si>
  <si>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</si>
  <si>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</si>
  <si>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</si>
  <si>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</si>
  <si>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</si>
  <si>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</si>
  <si>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</si>
  <si>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</si>
  <si>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</si>
  <si>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</si>
  <si>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</si>
  <si>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</si>
  <si>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</si>
  <si>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</si>
  <si>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</si>
  <si>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</si>
  <si>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</si>
  <si>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</si>
  <si>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</si>
  <si>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</si>
  <si>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</si>
  <si>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</si>
  <si>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</si>
  <si>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</si>
  <si>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</si>
  <si>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</si>
  <si>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</si>
  <si>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</si>
  <si>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</si>
  <si>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</si>
  <si>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</si>
  <si>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</si>
  <si>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</si>
  <si>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</si>
  <si>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</si>
  <si>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</si>
  <si>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</si>
  <si>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</si>
  <si>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</si>
  <si>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</si>
  <si>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</si>
  <si>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</si>
  <si>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</si>
  <si>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</si>
  <si>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</si>
  <si>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</si>
  <si>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</si>
  <si>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</si>
  <si>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</si>
  <si>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</si>
  <si>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</si>
  <si>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</si>
  <si>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</si>
  <si>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</si>
  <si>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</si>
  <si>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</si>
  <si>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</si>
  <si>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</si>
  <si>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</si>
  <si>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</si>
  <si>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</si>
  <si>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</si>
  <si>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</si>
  <si>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</si>
  <si>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</si>
  <si>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</si>
  <si>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</si>
  <si>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</si>
  <si>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</si>
  <si>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</si>
  <si>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</si>
  <si>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</si>
  <si>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</si>
  <si>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</si>
  <si>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</si>
  <si>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</si>
  <si>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</si>
  <si>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</si>
  <si>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</si>
  <si>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</si>
  <si>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</si>
  <si>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</si>
  <si>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</si>
  <si>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</si>
  <si>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</si>
  <si>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</si>
  <si>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</si>
  <si>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</si>
  <si>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</si>
  <si>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</si>
  <si>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</si>
  <si>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</si>
  <si>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</si>
  <si>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</si>
  <si>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</si>
  <si>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</si>
  <si>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</si>
  <si>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</si>
  <si>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</si>
  <si>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</si>
  <si>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</si>
  <si>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</si>
  <si>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</si>
  <si>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</si>
  <si>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</si>
  <si>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</si>
  <si>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</si>
  <si>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</si>
  <si>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</si>
  <si>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</si>
  <si>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</si>
  <si>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</si>
  <si>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</si>
  <si>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</si>
  <si>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</si>
  <si>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</si>
  <si>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</si>
  <si>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</si>
  <si>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</si>
  <si>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</si>
  <si>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</si>
  <si>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</si>
  <si>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</si>
  <si>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</si>
  <si>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</si>
  <si>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</si>
  <si>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</si>
  <si>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</si>
  <si>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</si>
  <si>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</si>
  <si>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</si>
  <si>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</si>
  <si>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</si>
  <si>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</si>
  <si>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</si>
  <si>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</si>
  <si>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</si>
  <si>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</si>
  <si>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</si>
  <si>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</si>
  <si>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</si>
  <si>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</si>
  <si>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</si>
  <si>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</si>
  <si>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</si>
  <si>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</si>
  <si>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</si>
  <si>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</si>
  <si>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</si>
  <si>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</si>
  <si>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</si>
  <si>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</si>
  <si>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</si>
  <si>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</si>
  <si>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</si>
  <si>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</si>
  <si>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</si>
  <si>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</si>
  <si>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</si>
  <si>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</si>
  <si>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</si>
  <si>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</si>
  <si>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</si>
  <si>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</si>
  <si>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</si>
  <si>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</si>
  <si>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</si>
  <si>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</si>
  <si>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</si>
  <si>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</si>
  <si>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</si>
  <si>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</si>
  <si>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</si>
  <si>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</si>
  <si>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</si>
  <si>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</si>
  <si>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</si>
  <si>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</si>
  <si>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</si>
  <si>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</si>
  <si>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</si>
  <si>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</si>
  <si>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</si>
  <si>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</si>
  <si>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</si>
  <si>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</si>
  <si>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</si>
  <si>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</si>
  <si>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</si>
  <si>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</si>
  <si>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</si>
  <si>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</si>
  <si>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</si>
  <si>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</si>
  <si>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</si>
  <si>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</si>
  <si>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</si>
  <si>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</si>
  <si>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</si>
  <si>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</si>
  <si>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</si>
  <si>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</si>
  <si>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</si>
  <si>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</si>
  <si>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</si>
  <si>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</si>
  <si>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</si>
  <si>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</si>
  <si>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</si>
  <si>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</si>
  <si>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</si>
  <si>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</si>
  <si>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</si>
  <si>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</si>
  <si>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</si>
  <si>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</si>
  <si>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</si>
  <si>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</si>
  <si>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</si>
  <si>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</si>
  <si>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</si>
  <si>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</si>
  <si>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</si>
  <si>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</si>
  <si>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</si>
  <si>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</si>
  <si>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</si>
  <si>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</si>
  <si>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</si>
  <si>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</si>
  <si>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</si>
  <si>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</si>
  <si>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</si>
  <si>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</si>
  <si>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</si>
  <si>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</si>
  <si>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</si>
  <si>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</si>
  <si>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</si>
  <si>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</si>
  <si>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</si>
  <si>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</si>
  <si>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</si>
  <si>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</si>
  <si>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</si>
  <si>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</si>
  <si>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</si>
  <si>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</si>
  <si>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</si>
  <si>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</si>
  <si>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</si>
  <si>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</si>
  <si>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</si>
  <si>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</si>
  <si>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</si>
  <si>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</si>
  <si>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</si>
  <si>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</si>
  <si>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</si>
  <si>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</si>
  <si>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</si>
  <si>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</si>
  <si>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</si>
  <si>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</si>
  <si>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</si>
  <si>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</si>
  <si>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</si>
  <si>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</si>
  <si>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</si>
  <si>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</si>
  <si>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</si>
  <si>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</si>
  <si>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</si>
  <si>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</si>
  <si>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</si>
  <si>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</si>
  <si>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</si>
  <si>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</si>
  <si>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</si>
  <si>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</si>
  <si>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</si>
  <si>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</si>
  <si>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</si>
  <si>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</si>
  <si>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</si>
  <si>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</si>
  <si>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</si>
  <si>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</si>
  <si>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</si>
  <si>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</si>
  <si>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</si>
  <si>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</si>
  <si>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</si>
  <si>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</si>
  <si>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</si>
  <si>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</si>
  <si>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</si>
  <si>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</si>
  <si>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</si>
  <si>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</si>
  <si>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</si>
  <si>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</si>
  <si>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</si>
  <si>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</si>
  <si>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</si>
  <si>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</si>
  <si>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</si>
  <si>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</si>
  <si>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</si>
  <si>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</si>
  <si>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</si>
  <si>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</si>
  <si>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</si>
  <si>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</si>
  <si>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</si>
  <si>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</si>
  <si>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</si>
  <si>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</si>
  <si>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</si>
  <si>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</si>
  <si>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</si>
  <si>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</si>
  <si>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</si>
  <si>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</si>
  <si>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</si>
  <si>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</si>
  <si>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</si>
  <si>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</si>
  <si>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</si>
  <si>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</si>
  <si>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</si>
  <si>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</si>
  <si>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</si>
  <si>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</si>
  <si>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</si>
  <si>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</si>
  <si>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</si>
  <si>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</si>
  <si>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</si>
  <si>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</si>
  <si>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</si>
  <si>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</si>
  <si>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</si>
  <si>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</si>
  <si>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</si>
  <si>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</si>
  <si>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</si>
  <si>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</si>
  <si>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</si>
  <si>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</si>
  <si>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</si>
  <si>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</si>
  <si>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</si>
  <si>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</si>
  <si>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</si>
  <si>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</si>
  <si>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</si>
  <si>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</si>
  <si>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</si>
  <si>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</si>
  <si>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</si>
  <si>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</si>
  <si>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</si>
  <si>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</si>
  <si>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</si>
  <si>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</si>
  <si>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</si>
  <si>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</si>
  <si>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</si>
  <si>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</si>
  <si>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</si>
  <si>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</si>
  <si>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</si>
  <si>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</si>
  <si>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</si>
  <si>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</si>
  <si>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</si>
  <si>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</si>
  <si>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</si>
  <si>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</si>
  <si>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</si>
  <si>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</si>
  <si>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</si>
  <si>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</si>
  <si>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</si>
  <si>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</si>
  <si>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</si>
  <si>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</si>
  <si>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</si>
  <si>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</si>
  <si>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</si>
  <si>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</si>
  <si>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</si>
  <si>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</si>
  <si>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</si>
  <si>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</si>
  <si>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</si>
  <si>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</si>
  <si>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</si>
  <si>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</si>
  <si>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</si>
  <si>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</si>
  <si>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</si>
  <si>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</si>
  <si>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W3-ROLLBACK-001
APPROVED TASK CONTRACT
- Prompt and tracker steps: W3-ROLLBACK-001 / W3-11
- Business purpose: Prove prompt/model/retriever/index configuration can return to a known-good baseline.
- Architecture and design: Versioned JSON RAG configurations and platformctl rollback select a known-good prompt, model, retriever and index contract without changing stored evidence silently.
- Exact interfaces, functions and connections: validate_rag_config, compare_rag_config and rollback_rag_config accept exact configuration paths and return validation, diff and selected-baseline results.
- Exact inputs, outputs, errors and invariants: Inputs are limited to Approved baseline and exact local configuration paths from the pre-edit plan.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Configuration fixes schema version, prompt version, provider/model ID, retrieval parameters, index version and evaluation gate; unknown or missing fields are rejected.
- Exact dependency and runtime API rules: Rollback is local and dry-run by default; owner execution performs any service restart or data mutation; no cloud or model download is part of the code edit.
- Exact security, privacy, concurrency and operational controls: Candidate and baseline hashes are verified; rollback stops if the baseline is missing or incompatible; cleanup removes only drill artifacts.
- Exact automated-test behavior: Contract tests reject invalid configuration; feature tests force a safe regression and select baseline; teardown tests prove no temporary rollback state remains.
- Accepted baseline: The inspected repository contains every UPDATE path and does not contain every CREATE path. Historical results remain unchanged; future execution must revalidate content and patch anchors.
EXACT APPROVED PATH MANIFEST
CREATE:
- configs/rag/baseline.json
- configs/rag/candidate.json
- tools/platformctl/rag_rollback.py
- tests/contract/test_rag_config.py
- tests/feature/test_rag_configuration_rollback.py
- tests/teardown/test_w3_rag_rollback_cleanliness.py
UPDATE:
- tools/platformctl/cli.py
- tools/platformctl/contracts.py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configs/eval/golden.jsonl — produced by W3-002;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prompt/model/retriever/index configuration can return to a known-good baseline.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W3-ROLLBACK-001.</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</si>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</sst>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0" borderId="0" xfId="0" applyFont="1" applyFill="1"/>
    <xf numFmtId="0" fontId="0" fillId="0" borderId="0" xfId="0"/>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3" xfId="0" applyFont="1" applyFill="1" applyBorder="1" applyAlignment="1">
      <alignment vertical="center" wrapText="1"/>
    </xf>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3" fillId="4" borderId="2" xfId="0" applyFont="1" applyFill="1" applyBorder="1" applyAlignment="1">
      <alignment vertical="center" wrapText="1"/>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0.69230769230769229</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filterColumn colId="9">
      <filters>
        <filter val="W3-ROLLBACK-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002"/>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8" t="s">
        <v>0</v>
      </c>
      <c r="B1" s="58"/>
      <c r="C1" s="58"/>
      <c r="D1" s="58"/>
      <c r="E1" s="58"/>
      <c r="F1" s="58"/>
      <c r="G1" s="58"/>
      <c r="H1" s="58"/>
      <c r="I1" s="58"/>
      <c r="J1" s="58"/>
    </row>
    <row r="2" spans="1:10">
      <c r="A2" s="59" t="s">
        <v>1</v>
      </c>
      <c r="B2" s="59"/>
      <c r="C2" s="59"/>
      <c r="D2" s="59"/>
      <c r="E2" s="59"/>
      <c r="F2" s="59"/>
      <c r="G2" s="59"/>
      <c r="H2" s="59"/>
      <c r="I2" s="59"/>
      <c r="J2" s="59"/>
    </row>
    <row r="4" spans="1:10">
      <c r="A4" s="60" t="s">
        <v>2</v>
      </c>
      <c r="B4" s="70"/>
      <c r="C4" s="70"/>
      <c r="D4" s="70"/>
      <c r="E4" s="60" t="s">
        <v>3</v>
      </c>
      <c r="F4" s="70"/>
      <c r="G4" s="70"/>
      <c r="H4" s="70"/>
      <c r="I4" s="70"/>
      <c r="J4" s="61"/>
    </row>
    <row r="5" spans="1:10" ht="39.6">
      <c r="A5" s="21">
        <v>1</v>
      </c>
      <c r="B5" s="4" t="s">
        <v>4</v>
      </c>
      <c r="C5" s="4" t="s">
        <v>5</v>
      </c>
      <c r="E5" s="89" t="s">
        <v>6</v>
      </c>
      <c r="F5" s="90"/>
      <c r="G5" s="90"/>
      <c r="H5" s="90"/>
      <c r="I5" s="90"/>
      <c r="J5" s="91"/>
    </row>
    <row r="6" spans="1:10" ht="39.6">
      <c r="A6" s="21">
        <v>2</v>
      </c>
      <c r="B6" s="5" t="s">
        <v>7</v>
      </c>
      <c r="C6" s="5" t="s">
        <v>8</v>
      </c>
      <c r="E6" s="83" t="s">
        <v>9</v>
      </c>
      <c r="F6" s="84"/>
      <c r="G6" s="84"/>
      <c r="H6" s="84"/>
      <c r="I6" s="84"/>
      <c r="J6" s="85"/>
    </row>
    <row r="7" spans="1:10" ht="66">
      <c r="A7" s="21">
        <v>3</v>
      </c>
      <c r="B7" s="5" t="s">
        <v>10</v>
      </c>
      <c r="C7" s="5" t="s">
        <v>11</v>
      </c>
      <c r="E7" s="83" t="s">
        <v>12</v>
      </c>
      <c r="F7" s="84"/>
      <c r="G7" s="84"/>
      <c r="H7" s="84"/>
      <c r="I7" s="84"/>
      <c r="J7" s="85"/>
    </row>
    <row r="8" spans="1:10" ht="79.2">
      <c r="A8" s="21">
        <v>4</v>
      </c>
      <c r="B8" s="5" t="s">
        <v>13</v>
      </c>
      <c r="C8" s="5" t="s">
        <v>14</v>
      </c>
      <c r="E8" s="83" t="s">
        <v>15</v>
      </c>
      <c r="F8" s="84"/>
      <c r="G8" s="84"/>
      <c r="H8" s="84"/>
      <c r="I8" s="84"/>
      <c r="J8" s="85"/>
    </row>
    <row r="9" spans="1:10" ht="66">
      <c r="A9" s="21">
        <v>5</v>
      </c>
      <c r="B9" s="5" t="s">
        <v>16</v>
      </c>
      <c r="C9" s="5" t="s">
        <v>17</v>
      </c>
      <c r="E9" s="83" t="s">
        <v>18</v>
      </c>
      <c r="F9" s="84"/>
      <c r="G9" s="84"/>
      <c r="H9" s="84"/>
      <c r="I9" s="84"/>
      <c r="J9" s="85"/>
    </row>
    <row r="10" spans="1:10" ht="79.2">
      <c r="A10" s="21">
        <v>6</v>
      </c>
      <c r="B10" s="5" t="s">
        <v>19</v>
      </c>
      <c r="C10" s="5" t="s">
        <v>20</v>
      </c>
      <c r="E10" s="83" t="s">
        <v>21</v>
      </c>
      <c r="F10" s="84"/>
      <c r="G10" s="84"/>
      <c r="H10" s="84"/>
      <c r="I10" s="84"/>
      <c r="J10" s="85"/>
    </row>
    <row r="11" spans="1:10" ht="92.4">
      <c r="A11" s="21">
        <v>7</v>
      </c>
      <c r="B11" s="5" t="s">
        <v>22</v>
      </c>
      <c r="C11" s="5" t="s">
        <v>23</v>
      </c>
      <c r="E11" s="86" t="s">
        <v>24</v>
      </c>
      <c r="F11" s="87"/>
      <c r="G11" s="87"/>
      <c r="H11" s="87"/>
      <c r="I11" s="87"/>
      <c r="J11" s="88"/>
    </row>
    <row r="12" spans="1:10" ht="66">
      <c r="A12" s="21">
        <v>8</v>
      </c>
      <c r="B12" s="5" t="s">
        <v>25</v>
      </c>
      <c r="C12" s="5" t="s">
        <v>26</v>
      </c>
      <c r="E12" t="s">
        <v>27</v>
      </c>
    </row>
    <row r="13" spans="1:10" ht="66">
      <c r="A13" s="21">
        <v>9</v>
      </c>
      <c r="B13" s="5" t="s">
        <v>28</v>
      </c>
      <c r="C13" s="5" t="s">
        <v>29</v>
      </c>
      <c r="E13" s="60" t="s">
        <v>30</v>
      </c>
      <c r="F13" s="70"/>
      <c r="G13" s="70"/>
      <c r="H13" s="70"/>
      <c r="I13" s="70"/>
      <c r="J13" s="61"/>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7" t="s">
        <v>42</v>
      </c>
      <c r="B19" s="78"/>
      <c r="C19" s="78"/>
      <c r="D19" s="78"/>
      <c r="E19" s="78"/>
      <c r="F19" s="78"/>
      <c r="G19" s="78"/>
      <c r="H19" s="78"/>
      <c r="I19" s="78"/>
      <c r="J19" s="79"/>
    </row>
    <row r="20" spans="1:10">
      <c r="A20" s="80"/>
      <c r="B20" s="81"/>
      <c r="C20" s="81"/>
      <c r="D20" s="81"/>
      <c r="E20" s="81"/>
      <c r="F20" s="81"/>
      <c r="G20" s="81"/>
      <c r="H20" s="81"/>
      <c r="I20" s="81"/>
      <c r="J20" s="82"/>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8" t="s">
        <v>43</v>
      </c>
      <c r="B1" s="58"/>
      <c r="C1" s="58"/>
      <c r="D1" s="58"/>
      <c r="E1" s="58"/>
      <c r="F1" s="58"/>
      <c r="G1" s="58"/>
      <c r="H1" s="58"/>
      <c r="I1" s="58"/>
      <c r="J1" s="58"/>
      <c r="K1" s="58"/>
      <c r="L1" s="58"/>
      <c r="M1" s="58"/>
      <c r="N1" s="58"/>
      <c r="O1" s="58"/>
      <c r="P1" s="58"/>
    </row>
    <row r="2" spans="1:16" ht="31.95" customHeight="1">
      <c r="A2" s="59" t="s">
        <v>44</v>
      </c>
      <c r="B2" s="59"/>
      <c r="C2" s="59"/>
      <c r="D2" s="59"/>
      <c r="E2" s="59"/>
      <c r="F2" s="59"/>
      <c r="G2" s="59"/>
      <c r="H2" s="59"/>
      <c r="I2" s="59"/>
      <c r="J2" s="59"/>
      <c r="K2" s="59"/>
      <c r="L2" s="59"/>
      <c r="M2" s="59"/>
      <c r="N2" s="59"/>
      <c r="O2" s="59"/>
      <c r="P2" s="59"/>
    </row>
    <row r="4" spans="1:16">
      <c r="A4" s="98" t="s">
        <v>45</v>
      </c>
      <c r="B4" s="98"/>
      <c r="D4" s="98" t="s">
        <v>46</v>
      </c>
      <c r="E4" s="98"/>
      <c r="G4" s="98" t="s">
        <v>47</v>
      </c>
      <c r="H4" s="98"/>
      <c r="J4" s="98" t="s">
        <v>48</v>
      </c>
      <c r="K4" s="98"/>
    </row>
    <row r="5" spans="1:16">
      <c r="A5" s="99">
        <f>COUNTA('02 Master Plan'!$A$6:$A$120)</f>
        <v>80</v>
      </c>
      <c r="B5" s="100"/>
      <c r="D5" s="99">
        <f>COUNTIF('02 Master Plan'!$S$6:$S$120,"Done")</f>
        <v>35</v>
      </c>
      <c r="E5" s="100"/>
      <c r="G5" s="106">
        <f>IF(A5=0,0,D5/A5)</f>
        <v>0.4375</v>
      </c>
      <c r="H5" s="107"/>
      <c r="J5" s="99">
        <f>COUNTIF('02 Master Plan'!$S$6:$S$120,"Blocked")</f>
        <v>0</v>
      </c>
      <c r="K5" s="100"/>
    </row>
    <row r="6" spans="1:16">
      <c r="A6" s="101"/>
      <c r="B6" s="102"/>
      <c r="D6" s="101"/>
      <c r="E6" s="102"/>
      <c r="G6" s="108"/>
      <c r="H6" s="109"/>
      <c r="J6" s="101"/>
      <c r="K6" s="102"/>
    </row>
    <row r="7" spans="1:16">
      <c r="A7" s="98" t="s">
        <v>49</v>
      </c>
      <c r="B7" s="98"/>
      <c r="D7" s="98" t="s">
        <v>50</v>
      </c>
      <c r="E7" s="98"/>
      <c r="G7" s="98" t="s">
        <v>51</v>
      </c>
      <c r="H7" s="98"/>
      <c r="J7" s="98" t="s">
        <v>52</v>
      </c>
      <c r="K7" s="98"/>
    </row>
    <row r="8" spans="1:16">
      <c r="A8" s="99">
        <f>COUNTIFS('13 Owner TODOs'!$F$6:$F$80,"&lt;&gt;Done",'13 Owner TODOs'!$A$6:$A$80,"&lt;&gt;")</f>
        <v>14</v>
      </c>
      <c r="B8" s="100"/>
      <c r="D8" s="99">
        <f>COUNTIF('11 Test Evidence'!$H$6:$H$80,"Pass")</f>
        <v>6</v>
      </c>
      <c r="E8" s="100"/>
      <c r="G8" s="99">
        <f>COUNTIF('12 Decision Log'!$C$6:$C$60,"Baseline Approved")+COUNTIF('12 Decision Log'!$C$6:$C$60,"Approved")</f>
        <v>18</v>
      </c>
      <c r="H8" s="100"/>
      <c r="J8" s="99">
        <f>COUNTIFS('11 Test Evidence'!$C$6:$C$80,"Teardown",'11 Test Evidence'!$H$6:$H$80,"Pass")</f>
        <v>1</v>
      </c>
      <c r="K8" s="100"/>
    </row>
    <row r="9" spans="1:16">
      <c r="A9" s="101"/>
      <c r="B9" s="102"/>
      <c r="D9" s="101"/>
      <c r="E9" s="102"/>
      <c r="G9" s="101"/>
      <c r="H9" s="102"/>
      <c r="J9" s="101"/>
      <c r="K9" s="102"/>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9</v>
      </c>
      <c r="D15" s="13">
        <f t="shared" si="0"/>
        <v>0.69230769230769229</v>
      </c>
      <c r="E15" s="11">
        <f>COUNTIFS('02 Master Plan'!$B$6:$B$120,A15,'02 Master Plan'!$S$6:$S$120,"Blocked")</f>
        <v>0</v>
      </c>
      <c r="G15" t="str">
        <f t="shared" si="1"/>
        <v>Week 3</v>
      </c>
      <c r="H15" s="14">
        <f t="shared" si="2"/>
        <v>0.69230769230769229</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0" t="s">
        <v>61</v>
      </c>
      <c r="B21" s="70"/>
      <c r="C21" s="70"/>
      <c r="D21" s="70"/>
      <c r="E21" s="70"/>
      <c r="F21" s="70"/>
      <c r="G21" s="70"/>
      <c r="H21" s="61"/>
    </row>
    <row r="22" spans="1:8" ht="30" customHeight="1">
      <c r="A22" s="103" t="s">
        <v>62</v>
      </c>
      <c r="B22" s="104"/>
      <c r="C22" s="104"/>
      <c r="D22" s="104"/>
      <c r="E22" s="104"/>
      <c r="F22" s="104"/>
      <c r="G22" s="104"/>
      <c r="H22" s="105"/>
    </row>
    <row r="23" spans="1:8" ht="30" customHeight="1">
      <c r="A23" s="92" t="s">
        <v>63</v>
      </c>
      <c r="B23" s="93"/>
      <c r="C23" s="93"/>
      <c r="D23" s="93"/>
      <c r="E23" s="93"/>
      <c r="F23" s="93"/>
      <c r="G23" s="93"/>
      <c r="H23" s="94"/>
    </row>
    <row r="24" spans="1:8" ht="30" customHeight="1">
      <c r="A24" s="92" t="s">
        <v>64</v>
      </c>
      <c r="B24" s="93"/>
      <c r="C24" s="93"/>
      <c r="D24" s="93"/>
      <c r="E24" s="93"/>
      <c r="F24" s="93"/>
      <c r="G24" s="93"/>
      <c r="H24" s="94"/>
    </row>
    <row r="25" spans="1:8" ht="30" customHeight="1">
      <c r="A25" s="92" t="s">
        <v>65</v>
      </c>
      <c r="B25" s="93"/>
      <c r="C25" s="93"/>
      <c r="D25" s="93"/>
      <c r="E25" s="93"/>
      <c r="F25" s="93"/>
      <c r="G25" s="93"/>
      <c r="H25" s="94"/>
    </row>
    <row r="26" spans="1:8" ht="30" customHeight="1">
      <c r="A26" s="95" t="s">
        <v>66</v>
      </c>
      <c r="B26" s="96"/>
      <c r="C26" s="96"/>
      <c r="D26" s="96"/>
      <c r="E26" s="96"/>
      <c r="F26" s="96"/>
      <c r="G26" s="96"/>
      <c r="H26" s="97"/>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O1" workbookViewId="0">
      <selection activeCell="T42" sqref="T42"/>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8" t="s">
        <v>67</v>
      </c>
      <c r="B1" s="58"/>
      <c r="C1" s="58"/>
      <c r="D1" s="58"/>
      <c r="E1" s="58"/>
      <c r="F1" s="58"/>
      <c r="G1" s="58"/>
      <c r="H1" s="58"/>
      <c r="I1" s="58"/>
      <c r="J1" s="58"/>
      <c r="K1" s="58"/>
      <c r="L1" s="58"/>
      <c r="M1" s="58"/>
      <c r="N1" s="58"/>
      <c r="O1" s="58"/>
      <c r="P1" s="58"/>
      <c r="Q1" s="58"/>
      <c r="R1" s="58"/>
      <c r="S1" s="58"/>
      <c r="T1" s="58"/>
    </row>
    <row r="2" spans="1:21" ht="31.95" customHeight="1">
      <c r="A2" s="59" t="s">
        <v>68</v>
      </c>
      <c r="B2" s="59"/>
      <c r="C2" s="59"/>
      <c r="D2" s="59"/>
      <c r="E2" s="59"/>
      <c r="F2" s="59"/>
      <c r="G2" s="59"/>
      <c r="H2" s="59"/>
      <c r="I2" s="59"/>
      <c r="J2" s="59"/>
      <c r="K2" s="59"/>
      <c r="L2" s="59"/>
      <c r="M2" s="59"/>
      <c r="N2" s="59"/>
      <c r="O2" s="59"/>
      <c r="P2" s="59"/>
      <c r="Q2" s="59"/>
      <c r="R2" s="59"/>
      <c r="S2" s="59"/>
      <c r="T2" s="59"/>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9"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990</v>
      </c>
      <c r="B1" s="58"/>
      <c r="C1" s="58"/>
      <c r="D1" s="58"/>
      <c r="E1" s="58"/>
      <c r="F1" s="58"/>
      <c r="G1" s="58"/>
      <c r="H1" s="58"/>
      <c r="I1" s="58"/>
      <c r="J1" s="58"/>
      <c r="K1" s="58"/>
      <c r="L1" s="58"/>
      <c r="M1" s="58"/>
      <c r="N1" s="58"/>
      <c r="O1" s="58"/>
    </row>
    <row r="2" spans="1:16" ht="31.95" customHeight="1">
      <c r="A2" s="59" t="s">
        <v>991</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0.56521739130434778</v>
      </c>
      <c r="B5" s="63"/>
      <c r="D5" s="66">
        <f>COUNTIF(O10:O40,"Blocked")</f>
        <v>0</v>
      </c>
      <c r="E5" s="67"/>
      <c r="G5" s="71" t="s">
        <v>993</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1043</v>
      </c>
      <c r="B1" s="58"/>
      <c r="C1" s="58"/>
      <c r="D1" s="58"/>
      <c r="E1" s="58"/>
      <c r="F1" s="58"/>
      <c r="G1" s="58"/>
      <c r="H1" s="58"/>
      <c r="I1" s="58"/>
      <c r="J1" s="58"/>
      <c r="K1" s="58"/>
      <c r="L1" s="58"/>
      <c r="M1" s="58"/>
      <c r="N1" s="58"/>
      <c r="O1" s="58"/>
    </row>
    <row r="2" spans="1:16" ht="31.95" customHeight="1">
      <c r="A2" s="59" t="s">
        <v>1044</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0.59090909090909094</v>
      </c>
      <c r="B5" s="63"/>
      <c r="D5" s="66">
        <f>COUNTIF(O10:O40,"Blocked")</f>
        <v>0</v>
      </c>
      <c r="E5" s="67"/>
      <c r="G5" s="71" t="s">
        <v>1045</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J4" workbookViewId="0">
      <selection activeCell="O17" sqref="O17"/>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1068</v>
      </c>
      <c r="B1" s="58"/>
      <c r="C1" s="58"/>
      <c r="D1" s="58"/>
      <c r="E1" s="58"/>
      <c r="F1" s="58"/>
      <c r="G1" s="58"/>
      <c r="H1" s="58"/>
      <c r="I1" s="58"/>
      <c r="J1" s="58"/>
      <c r="K1" s="58"/>
      <c r="L1" s="58"/>
      <c r="M1" s="58"/>
      <c r="N1" s="58"/>
      <c r="O1" s="58"/>
    </row>
    <row r="2" spans="1:16" ht="31.95" customHeight="1">
      <c r="A2" s="59" t="s">
        <v>1069</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0.42857142857142855</v>
      </c>
      <c r="B5" s="63"/>
      <c r="D5" s="66">
        <f>COUNTIF(O10:O40,"Blocked")</f>
        <v>0</v>
      </c>
      <c r="E5" s="67"/>
      <c r="G5" s="71" t="s">
        <v>1070</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9"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9"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9"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9"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9"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9" t="s">
        <v>485</v>
      </c>
    </row>
    <row r="18" spans="1:16" ht="110.4" hidden="1">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9"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hidden="1">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hidden="1">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1089</v>
      </c>
      <c r="B1" s="58"/>
      <c r="C1" s="58"/>
      <c r="D1" s="58"/>
      <c r="E1" s="58"/>
      <c r="F1" s="58"/>
      <c r="G1" s="58"/>
      <c r="H1" s="58"/>
      <c r="I1" s="58"/>
      <c r="J1" s="58"/>
      <c r="K1" s="58"/>
      <c r="L1" s="58"/>
      <c r="M1" s="58"/>
      <c r="N1" s="58"/>
      <c r="O1" s="58"/>
    </row>
    <row r="2" spans="1:16" ht="31.95" customHeight="1">
      <c r="A2" s="59" t="s">
        <v>1090</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1091</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56"/>
      <c r="B23" s="56"/>
      <c r="C23" s="56"/>
      <c r="D23" s="56"/>
      <c r="E23" s="56"/>
      <c r="F23" s="56"/>
      <c r="G23" s="56"/>
      <c r="H23" s="57"/>
      <c r="I23" s="57"/>
      <c r="J23" s="57"/>
      <c r="K23" s="57"/>
      <c r="L23" s="57"/>
      <c r="M23" s="57"/>
      <c r="N23" s="57"/>
      <c r="O23" s="5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1110</v>
      </c>
      <c r="B1" s="58"/>
      <c r="C1" s="58"/>
      <c r="D1" s="58"/>
      <c r="E1" s="58"/>
      <c r="F1" s="58"/>
      <c r="G1" s="58"/>
      <c r="H1" s="58"/>
      <c r="I1" s="58"/>
      <c r="J1" s="58"/>
      <c r="K1" s="58"/>
      <c r="L1" s="58"/>
      <c r="M1" s="58"/>
      <c r="N1" s="58"/>
      <c r="O1" s="58"/>
    </row>
    <row r="2" spans="1:16" ht="31.95" customHeight="1">
      <c r="A2" s="59" t="s">
        <v>1111</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1112</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57"/>
      <c r="I24" s="57"/>
      <c r="J24" s="57"/>
      <c r="K24" s="57"/>
      <c r="L24" s="57"/>
      <c r="M24" s="57"/>
      <c r="N24" s="57"/>
      <c r="O24" s="5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1135</v>
      </c>
      <c r="B1" s="58"/>
      <c r="C1" s="58"/>
      <c r="D1" s="58"/>
      <c r="E1" s="58"/>
      <c r="F1" s="58"/>
      <c r="G1" s="58"/>
      <c r="H1" s="58"/>
      <c r="I1" s="58"/>
      <c r="J1" s="58"/>
      <c r="K1" s="58"/>
      <c r="L1" s="58"/>
      <c r="M1" s="58"/>
      <c r="N1" s="58"/>
      <c r="O1" s="58"/>
    </row>
    <row r="2" spans="1:16" ht="31.95" customHeight="1">
      <c r="A2" s="59" t="s">
        <v>1136</v>
      </c>
      <c r="B2" s="59"/>
      <c r="C2" s="59"/>
      <c r="D2" s="59"/>
      <c r="E2" s="59"/>
      <c r="F2" s="59"/>
      <c r="G2" s="59"/>
      <c r="H2" s="59"/>
      <c r="I2" s="59"/>
      <c r="J2" s="59"/>
      <c r="K2" s="59"/>
      <c r="L2" s="59"/>
      <c r="M2" s="59"/>
      <c r="N2" s="59"/>
      <c r="O2" s="59"/>
    </row>
    <row r="4" spans="1:16" ht="28.05" customHeight="1">
      <c r="A4" s="60" t="s">
        <v>55</v>
      </c>
      <c r="B4" s="61"/>
      <c r="D4" s="60" t="s">
        <v>48</v>
      </c>
      <c r="E4" s="61"/>
      <c r="G4" s="60" t="s">
        <v>992</v>
      </c>
      <c r="H4" s="70"/>
      <c r="I4" s="70"/>
      <c r="J4" s="70"/>
      <c r="K4" s="70"/>
      <c r="L4" s="70"/>
      <c r="M4" s="70"/>
      <c r="N4" s="70"/>
      <c r="O4" s="61"/>
    </row>
    <row r="5" spans="1:16">
      <c r="A5" s="62">
        <f>IF(COUNTA(O10:O40)=0,0,COUNTIF(O10:O40,"Done")/COUNTA(A10:A40))</f>
        <v>0</v>
      </c>
      <c r="B5" s="63"/>
      <c r="D5" s="66">
        <f>COUNTIF(O10:O40,"Blocked")</f>
        <v>0</v>
      </c>
      <c r="E5" s="67"/>
      <c r="G5" s="71" t="s">
        <v>1137</v>
      </c>
      <c r="H5" s="72"/>
      <c r="I5" s="72"/>
      <c r="J5" s="72"/>
      <c r="K5" s="72"/>
      <c r="L5" s="72"/>
      <c r="M5" s="72"/>
      <c r="N5" s="72"/>
      <c r="O5" s="73"/>
    </row>
    <row r="6" spans="1:16">
      <c r="A6" s="64"/>
      <c r="B6" s="65"/>
      <c r="D6" s="68"/>
      <c r="E6" s="69"/>
      <c r="G6" s="74"/>
      <c r="H6" s="75"/>
      <c r="I6" s="75"/>
      <c r="J6" s="75"/>
      <c r="K6" s="75"/>
      <c r="L6" s="75"/>
      <c r="M6" s="75"/>
      <c r="N6" s="75"/>
      <c r="O6" s="76"/>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57"/>
      <c r="I24" s="57"/>
      <c r="J24" s="57"/>
      <c r="K24" s="57"/>
      <c r="L24" s="57"/>
      <c r="M24" s="57"/>
      <c r="N24" s="57"/>
      <c r="O24" s="5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8" t="s">
        <v>1152</v>
      </c>
      <c r="B1" s="58"/>
      <c r="C1" s="58"/>
      <c r="D1" s="58"/>
      <c r="E1" s="58"/>
      <c r="F1" s="58"/>
      <c r="G1" s="58"/>
      <c r="H1" s="58"/>
    </row>
    <row r="2" spans="1:8" ht="31.95" customHeight="1">
      <c r="A2" s="59" t="s">
        <v>1153</v>
      </c>
      <c r="B2" s="59"/>
      <c r="C2" s="59"/>
      <c r="D2" s="59"/>
      <c r="E2" s="59"/>
      <c r="F2" s="59"/>
      <c r="G2" s="59"/>
      <c r="H2" s="59"/>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E23" workbookViewId="0">
      <selection activeCell="G23" sqref="G23"/>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2579</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2578</v>
      </c>
      <c r="M19" s="22" t="s">
        <v>2442</v>
      </c>
      <c r="N19" s="55" t="s">
        <v>2312</v>
      </c>
    </row>
    <row r="20" spans="1:14" ht="409.6">
      <c r="A20" s="23" t="s">
        <v>397</v>
      </c>
      <c r="B20" s="23" t="s">
        <v>57</v>
      </c>
      <c r="C20" s="23" t="s">
        <v>1071</v>
      </c>
      <c r="D20" s="23" t="s">
        <v>1072</v>
      </c>
      <c r="E20" s="23" t="s">
        <v>1073</v>
      </c>
      <c r="F20" s="23" t="s">
        <v>2388</v>
      </c>
      <c r="G20" s="23" t="s">
        <v>2582</v>
      </c>
      <c r="H20" s="23" t="s">
        <v>2390</v>
      </c>
      <c r="I20" s="23" t="s">
        <v>2443</v>
      </c>
      <c r="J20" s="23" t="s">
        <v>2379</v>
      </c>
      <c r="K20" s="23" t="s">
        <v>2444</v>
      </c>
      <c r="L20" s="23" t="s">
        <v>2581</v>
      </c>
      <c r="M20" s="23" t="s">
        <v>2300</v>
      </c>
      <c r="N20" s="22" t="s">
        <v>2445</v>
      </c>
    </row>
    <row r="21" spans="1:14" ht="409.6">
      <c r="A21" s="22" t="s">
        <v>457</v>
      </c>
      <c r="B21" s="22" t="s">
        <v>57</v>
      </c>
      <c r="C21" s="22" t="s">
        <v>1075</v>
      </c>
      <c r="D21" s="22" t="s">
        <v>1076</v>
      </c>
      <c r="E21" s="22" t="s">
        <v>1077</v>
      </c>
      <c r="F21" s="22" t="s">
        <v>2388</v>
      </c>
      <c r="G21" s="22" t="s">
        <v>2583</v>
      </c>
      <c r="H21" s="22" t="s">
        <v>2390</v>
      </c>
      <c r="I21" s="22" t="s">
        <v>2446</v>
      </c>
      <c r="J21" s="22" t="s">
        <v>2379</v>
      </c>
      <c r="K21" s="22" t="s">
        <v>2447</v>
      </c>
      <c r="L21" s="22" t="s">
        <v>2606</v>
      </c>
      <c r="M21" s="22" t="s">
        <v>2301</v>
      </c>
      <c r="N21" s="55" t="s">
        <v>2448</v>
      </c>
    </row>
    <row r="22" spans="1:14" ht="409.6">
      <c r="A22" s="23" t="s">
        <v>445</v>
      </c>
      <c r="B22" s="23" t="s">
        <v>57</v>
      </c>
      <c r="C22" s="23" t="s">
        <v>1079</v>
      </c>
      <c r="D22" s="23" t="s">
        <v>1080</v>
      </c>
      <c r="E22" s="23" t="s">
        <v>1081</v>
      </c>
      <c r="F22" s="23" t="s">
        <v>2388</v>
      </c>
      <c r="G22" s="23" t="s">
        <v>2607</v>
      </c>
      <c r="H22" s="23" t="s">
        <v>2390</v>
      </c>
      <c r="I22" s="23" t="s">
        <v>2449</v>
      </c>
      <c r="J22" s="23" t="s">
        <v>2379</v>
      </c>
      <c r="K22" s="23" t="s">
        <v>2450</v>
      </c>
      <c r="L22" s="23" t="s">
        <v>2608</v>
      </c>
      <c r="M22" s="23" t="s">
        <v>2451</v>
      </c>
      <c r="N22" s="22" t="s">
        <v>2452</v>
      </c>
    </row>
    <row r="23" spans="1:14" ht="409.6">
      <c r="A23" s="22" t="s">
        <v>514</v>
      </c>
      <c r="B23" s="22" t="s">
        <v>57</v>
      </c>
      <c r="C23" s="22" t="s">
        <v>1083</v>
      </c>
      <c r="D23" s="22" t="s">
        <v>1084</v>
      </c>
      <c r="E23" s="22" t="s">
        <v>1085</v>
      </c>
      <c r="F23" s="22" t="s">
        <v>2388</v>
      </c>
      <c r="G23" s="22" t="s">
        <v>2609</v>
      </c>
      <c r="H23" s="22" t="s">
        <v>2390</v>
      </c>
      <c r="I23" s="22" t="s">
        <v>2453</v>
      </c>
      <c r="J23" s="22" t="s">
        <v>2379</v>
      </c>
      <c r="K23" s="22" t="s">
        <v>510</v>
      </c>
      <c r="L23" s="22" t="s">
        <v>2584</v>
      </c>
      <c r="M23" s="22" t="s">
        <v>2454</v>
      </c>
      <c r="N23" s="55" t="s">
        <v>2455</v>
      </c>
    </row>
    <row r="24" spans="1:14" ht="409.6">
      <c r="A24" s="23" t="s">
        <v>543</v>
      </c>
      <c r="B24" s="23" t="s">
        <v>58</v>
      </c>
      <c r="C24" s="23" t="s">
        <v>1092</v>
      </c>
      <c r="D24" s="23" t="s">
        <v>1093</v>
      </c>
      <c r="E24" s="23" t="s">
        <v>1094</v>
      </c>
      <c r="F24" s="23" t="s">
        <v>2388</v>
      </c>
      <c r="G24" s="23" t="s">
        <v>2456</v>
      </c>
      <c r="H24" s="23" t="s">
        <v>2390</v>
      </c>
      <c r="I24" s="23" t="s">
        <v>2457</v>
      </c>
      <c r="J24" s="23" t="s">
        <v>2379</v>
      </c>
      <c r="K24" s="23" t="s">
        <v>2458</v>
      </c>
      <c r="L24" s="23" t="s">
        <v>2585</v>
      </c>
      <c r="M24" s="23" t="s">
        <v>2302</v>
      </c>
      <c r="N24" s="22" t="s">
        <v>2459</v>
      </c>
    </row>
    <row r="25" spans="1:14" ht="409.6">
      <c r="A25" s="22" t="s">
        <v>564</v>
      </c>
      <c r="B25" s="22" t="s">
        <v>58</v>
      </c>
      <c r="C25" s="22" t="s">
        <v>1096</v>
      </c>
      <c r="D25" s="22" t="s">
        <v>1097</v>
      </c>
      <c r="E25" s="22" t="s">
        <v>1098</v>
      </c>
      <c r="F25" s="22" t="s">
        <v>2388</v>
      </c>
      <c r="G25" s="22" t="s">
        <v>2460</v>
      </c>
      <c r="H25" s="22" t="s">
        <v>2390</v>
      </c>
      <c r="I25" s="22" t="s">
        <v>2461</v>
      </c>
      <c r="J25" s="22" t="s">
        <v>2379</v>
      </c>
      <c r="K25" s="22" t="s">
        <v>2462</v>
      </c>
      <c r="L25" s="22" t="s">
        <v>2586</v>
      </c>
      <c r="M25" s="22" t="s">
        <v>2303</v>
      </c>
      <c r="N25" s="55" t="s">
        <v>2463</v>
      </c>
    </row>
    <row r="26" spans="1:14" ht="409.6">
      <c r="A26" s="23" t="s">
        <v>490</v>
      </c>
      <c r="B26" s="23" t="s">
        <v>58</v>
      </c>
      <c r="C26" s="23" t="s">
        <v>1100</v>
      </c>
      <c r="D26" s="23" t="s">
        <v>1101</v>
      </c>
      <c r="E26" s="23" t="s">
        <v>1102</v>
      </c>
      <c r="F26" s="23" t="s">
        <v>2388</v>
      </c>
      <c r="G26" s="23" t="s">
        <v>2464</v>
      </c>
      <c r="H26" s="23" t="s">
        <v>2390</v>
      </c>
      <c r="I26" s="23" t="s">
        <v>2465</v>
      </c>
      <c r="J26" s="23" t="s">
        <v>2379</v>
      </c>
      <c r="K26" s="23" t="s">
        <v>2466</v>
      </c>
      <c r="L26" s="23" t="s">
        <v>2587</v>
      </c>
      <c r="M26" s="23" t="s">
        <v>2304</v>
      </c>
      <c r="N26" s="22" t="s">
        <v>2467</v>
      </c>
    </row>
    <row r="27" spans="1:14" ht="409.6">
      <c r="A27" s="22" t="s">
        <v>655</v>
      </c>
      <c r="B27" s="22" t="s">
        <v>58</v>
      </c>
      <c r="C27" s="22" t="s">
        <v>1104</v>
      </c>
      <c r="D27" s="22" t="s">
        <v>1105</v>
      </c>
      <c r="E27" s="22" t="s">
        <v>1106</v>
      </c>
      <c r="F27" s="22" t="s">
        <v>2388</v>
      </c>
      <c r="G27" s="22" t="s">
        <v>2468</v>
      </c>
      <c r="H27" s="22" t="s">
        <v>2390</v>
      </c>
      <c r="I27" s="22" t="s">
        <v>2469</v>
      </c>
      <c r="J27" s="22" t="s">
        <v>2379</v>
      </c>
      <c r="K27" s="22" t="s">
        <v>651</v>
      </c>
      <c r="L27" s="22" t="s">
        <v>2588</v>
      </c>
      <c r="M27" s="22" t="s">
        <v>2470</v>
      </c>
      <c r="N27" s="55" t="s">
        <v>2471</v>
      </c>
    </row>
    <row r="28" spans="1:14" ht="409.6">
      <c r="A28" s="23" t="s">
        <v>684</v>
      </c>
      <c r="B28" s="23" t="s">
        <v>59</v>
      </c>
      <c r="C28" s="23" t="s">
        <v>1113</v>
      </c>
      <c r="D28" s="23" t="s">
        <v>1114</v>
      </c>
      <c r="E28" s="23" t="s">
        <v>1115</v>
      </c>
      <c r="F28" s="23" t="s">
        <v>2375</v>
      </c>
      <c r="G28" s="23" t="s">
        <v>2472</v>
      </c>
      <c r="H28" s="23" t="s">
        <v>2377</v>
      </c>
      <c r="I28" s="23" t="s">
        <v>2473</v>
      </c>
      <c r="J28" s="23" t="s">
        <v>2379</v>
      </c>
      <c r="K28" s="23" t="s">
        <v>680</v>
      </c>
      <c r="L28" s="23" t="s">
        <v>2589</v>
      </c>
      <c r="M28" s="23" t="s">
        <v>2474</v>
      </c>
      <c r="N28" s="22" t="s">
        <v>2475</v>
      </c>
    </row>
    <row r="29" spans="1:14" ht="409.6">
      <c r="A29" s="22" t="s">
        <v>696</v>
      </c>
      <c r="B29" s="22" t="s">
        <v>59</v>
      </c>
      <c r="C29" s="22" t="s">
        <v>1117</v>
      </c>
      <c r="D29" s="22" t="s">
        <v>1118</v>
      </c>
      <c r="E29" s="22" t="s">
        <v>1119</v>
      </c>
      <c r="F29" s="22" t="s">
        <v>2388</v>
      </c>
      <c r="G29" s="22" t="s">
        <v>2476</v>
      </c>
      <c r="H29" s="22" t="s">
        <v>2390</v>
      </c>
      <c r="I29" s="22" t="s">
        <v>2477</v>
      </c>
      <c r="J29" s="22" t="s">
        <v>2379</v>
      </c>
      <c r="K29" s="22" t="s">
        <v>2478</v>
      </c>
      <c r="L29" s="22" t="s">
        <v>2590</v>
      </c>
      <c r="M29" s="22" t="s">
        <v>2305</v>
      </c>
      <c r="N29" s="55" t="s">
        <v>2479</v>
      </c>
    </row>
    <row r="30" spans="1:14" ht="409.6">
      <c r="A30" s="23" t="s">
        <v>755</v>
      </c>
      <c r="B30" s="23" t="s">
        <v>59</v>
      </c>
      <c r="C30" s="23" t="s">
        <v>1121</v>
      </c>
      <c r="D30" s="23" t="s">
        <v>1122</v>
      </c>
      <c r="E30" s="23" t="s">
        <v>1123</v>
      </c>
      <c r="F30" s="23" t="s">
        <v>2388</v>
      </c>
      <c r="G30" s="23" t="s">
        <v>2480</v>
      </c>
      <c r="H30" s="23" t="s">
        <v>2390</v>
      </c>
      <c r="I30" s="23" t="s">
        <v>2481</v>
      </c>
      <c r="J30" s="23" t="s">
        <v>2379</v>
      </c>
      <c r="K30" s="23" t="s">
        <v>2482</v>
      </c>
      <c r="L30" s="23" t="s">
        <v>2591</v>
      </c>
      <c r="M30" s="23" t="s">
        <v>2306</v>
      </c>
      <c r="N30" s="22" t="s">
        <v>2483</v>
      </c>
    </row>
    <row r="31" spans="1:14" ht="409.6">
      <c r="A31" s="22" t="s">
        <v>742</v>
      </c>
      <c r="B31" s="22" t="s">
        <v>59</v>
      </c>
      <c r="C31" s="22" t="s">
        <v>1125</v>
      </c>
      <c r="D31" s="22" t="s">
        <v>1126</v>
      </c>
      <c r="E31" s="22" t="s">
        <v>1127</v>
      </c>
      <c r="F31" s="22" t="s">
        <v>2388</v>
      </c>
      <c r="G31" s="22" t="s">
        <v>2484</v>
      </c>
      <c r="H31" s="22" t="s">
        <v>2390</v>
      </c>
      <c r="I31" s="22" t="s">
        <v>2485</v>
      </c>
      <c r="J31" s="22" t="s">
        <v>2379</v>
      </c>
      <c r="K31" s="22" t="s">
        <v>738</v>
      </c>
      <c r="L31" s="22" t="s">
        <v>2592</v>
      </c>
      <c r="M31" s="22" t="s">
        <v>2486</v>
      </c>
      <c r="N31" s="55" t="s">
        <v>2487</v>
      </c>
    </row>
    <row r="32" spans="1:14" ht="409.6">
      <c r="A32" s="23" t="s">
        <v>777</v>
      </c>
      <c r="B32" s="23" t="s">
        <v>59</v>
      </c>
      <c r="C32" s="23" t="s">
        <v>1129</v>
      </c>
      <c r="D32" s="23" t="s">
        <v>1130</v>
      </c>
      <c r="E32" s="23" t="s">
        <v>1131</v>
      </c>
      <c r="F32" s="23" t="s">
        <v>2388</v>
      </c>
      <c r="G32" s="23" t="s">
        <v>2488</v>
      </c>
      <c r="H32" s="23" t="s">
        <v>2390</v>
      </c>
      <c r="I32" s="23" t="s">
        <v>2489</v>
      </c>
      <c r="J32" s="23" t="s">
        <v>2379</v>
      </c>
      <c r="K32" s="23" t="s">
        <v>2490</v>
      </c>
      <c r="L32" s="23" t="s">
        <v>2593</v>
      </c>
      <c r="M32" s="23" t="s">
        <v>2307</v>
      </c>
      <c r="N32" s="22" t="s">
        <v>2491</v>
      </c>
    </row>
    <row r="33" spans="1:14" ht="409.6">
      <c r="A33" s="22" t="s">
        <v>850</v>
      </c>
      <c r="B33" s="22" t="s">
        <v>60</v>
      </c>
      <c r="C33" s="22" t="s">
        <v>1138</v>
      </c>
      <c r="D33" s="22" t="s">
        <v>1139</v>
      </c>
      <c r="E33" s="22" t="s">
        <v>1140</v>
      </c>
      <c r="F33" s="22" t="s">
        <v>2388</v>
      </c>
      <c r="G33" s="22" t="s">
        <v>2492</v>
      </c>
      <c r="H33" s="22" t="s">
        <v>2390</v>
      </c>
      <c r="I33" s="22" t="s">
        <v>2493</v>
      </c>
      <c r="J33" s="22" t="s">
        <v>2379</v>
      </c>
      <c r="K33" s="22" t="s">
        <v>2494</v>
      </c>
      <c r="L33" s="22" t="s">
        <v>2594</v>
      </c>
      <c r="M33" s="22" t="s">
        <v>2308</v>
      </c>
      <c r="N33" s="55" t="s">
        <v>2495</v>
      </c>
    </row>
    <row r="34" spans="1:14" ht="409.6">
      <c r="A34" s="23" t="s">
        <v>895</v>
      </c>
      <c r="B34" s="23" t="s">
        <v>60</v>
      </c>
      <c r="C34" s="23" t="s">
        <v>1142</v>
      </c>
      <c r="D34" s="23" t="s">
        <v>1143</v>
      </c>
      <c r="E34" s="23" t="s">
        <v>1144</v>
      </c>
      <c r="F34" s="23" t="s">
        <v>2388</v>
      </c>
      <c r="G34" s="23" t="s">
        <v>2496</v>
      </c>
      <c r="H34" s="23" t="s">
        <v>2390</v>
      </c>
      <c r="I34" s="23" t="s">
        <v>2497</v>
      </c>
      <c r="J34" s="23" t="s">
        <v>2379</v>
      </c>
      <c r="K34" s="23" t="s">
        <v>2498</v>
      </c>
      <c r="L34" s="23" t="s">
        <v>2595</v>
      </c>
      <c r="M34" s="23" t="s">
        <v>2499</v>
      </c>
      <c r="N34" s="22" t="s">
        <v>2500</v>
      </c>
    </row>
    <row r="35" spans="1:14" ht="409.6">
      <c r="A35" s="22" t="s">
        <v>942</v>
      </c>
      <c r="B35" s="22" t="s">
        <v>60</v>
      </c>
      <c r="C35" s="22" t="s">
        <v>1146</v>
      </c>
      <c r="D35" s="22" t="s">
        <v>1147</v>
      </c>
      <c r="E35" s="22" t="s">
        <v>1148</v>
      </c>
      <c r="F35" s="22" t="s">
        <v>2388</v>
      </c>
      <c r="G35" s="22" t="s">
        <v>2501</v>
      </c>
      <c r="H35" s="22" t="s">
        <v>2390</v>
      </c>
      <c r="I35" s="22" t="s">
        <v>2502</v>
      </c>
      <c r="J35" s="22" t="s">
        <v>2379</v>
      </c>
      <c r="K35" s="22" t="s">
        <v>2503</v>
      </c>
      <c r="L35" s="22" t="s">
        <v>2596</v>
      </c>
      <c r="M35" s="22" t="s">
        <v>2309</v>
      </c>
      <c r="N35" s="55" t="s">
        <v>2504</v>
      </c>
    </row>
    <row r="36" spans="1:14" ht="409.6">
      <c r="A36" s="23" t="s">
        <v>2324</v>
      </c>
      <c r="B36" s="23" t="s">
        <v>56</v>
      </c>
      <c r="C36" s="23" t="s">
        <v>2505</v>
      </c>
      <c r="D36" s="23" t="s">
        <v>2506</v>
      </c>
      <c r="E36" s="23" t="s">
        <v>2507</v>
      </c>
      <c r="F36" s="23" t="s">
        <v>2508</v>
      </c>
      <c r="G36" s="23" t="s">
        <v>2509</v>
      </c>
      <c r="H36" s="23" t="s">
        <v>2377</v>
      </c>
      <c r="I36" s="23" t="s">
        <v>2510</v>
      </c>
      <c r="J36" s="23" t="s">
        <v>2379</v>
      </c>
      <c r="K36" s="23" t="s">
        <v>225</v>
      </c>
      <c r="L36" s="23" t="s">
        <v>2597</v>
      </c>
      <c r="M36" s="23" t="s">
        <v>2511</v>
      </c>
      <c r="N36" s="22" t="s">
        <v>2512</v>
      </c>
    </row>
    <row r="37" spans="1:14" ht="409.6">
      <c r="A37" s="23" t="s">
        <v>2331</v>
      </c>
      <c r="B37" s="23" t="s">
        <v>37</v>
      </c>
      <c r="C37" s="23" t="s">
        <v>2513</v>
      </c>
      <c r="D37" s="23" t="s">
        <v>2514</v>
      </c>
      <c r="E37" s="23" t="s">
        <v>2515</v>
      </c>
      <c r="F37" s="23" t="s">
        <v>2508</v>
      </c>
      <c r="G37" s="23" t="s">
        <v>2516</v>
      </c>
      <c r="H37" s="23" t="s">
        <v>2377</v>
      </c>
      <c r="I37" s="23" t="s">
        <v>2517</v>
      </c>
      <c r="J37" s="23" t="s">
        <v>2379</v>
      </c>
      <c r="K37" s="23" t="s">
        <v>376</v>
      </c>
      <c r="L37" s="23" t="s">
        <v>2598</v>
      </c>
      <c r="M37" s="23" t="s">
        <v>2518</v>
      </c>
      <c r="N37" s="22" t="s">
        <v>2519</v>
      </c>
    </row>
    <row r="38" spans="1:14" ht="409.6">
      <c r="A38" s="23" t="s">
        <v>2334</v>
      </c>
      <c r="B38" s="23" t="s">
        <v>57</v>
      </c>
      <c r="C38" s="23" t="s">
        <v>2520</v>
      </c>
      <c r="D38" s="23" t="s">
        <v>2521</v>
      </c>
      <c r="E38" s="23" t="s">
        <v>2522</v>
      </c>
      <c r="F38" s="23" t="s">
        <v>2508</v>
      </c>
      <c r="G38" s="23" t="s">
        <v>2523</v>
      </c>
      <c r="H38" s="23" t="s">
        <v>2377</v>
      </c>
      <c r="I38" s="23" t="s">
        <v>2524</v>
      </c>
      <c r="J38" s="23" t="s">
        <v>2379</v>
      </c>
      <c r="K38" s="23" t="s">
        <v>521</v>
      </c>
      <c r="L38" s="23" t="s">
        <v>2599</v>
      </c>
      <c r="M38" s="23" t="s">
        <v>2525</v>
      </c>
      <c r="N38" s="22" t="s">
        <v>2526</v>
      </c>
    </row>
    <row r="39" spans="1:14" ht="409.6">
      <c r="A39" s="23" t="s">
        <v>2337</v>
      </c>
      <c r="B39" s="23" t="s">
        <v>58</v>
      </c>
      <c r="C39" s="23" t="s">
        <v>2527</v>
      </c>
      <c r="D39" s="23" t="s">
        <v>2528</v>
      </c>
      <c r="E39" s="23" t="s">
        <v>2529</v>
      </c>
      <c r="F39" s="23" t="s">
        <v>2508</v>
      </c>
      <c r="G39" s="23" t="s">
        <v>2530</v>
      </c>
      <c r="H39" s="23" t="s">
        <v>2377</v>
      </c>
      <c r="I39" s="23" t="s">
        <v>2531</v>
      </c>
      <c r="J39" s="23" t="s">
        <v>2379</v>
      </c>
      <c r="K39" s="23" t="s">
        <v>662</v>
      </c>
      <c r="L39" s="23" t="s">
        <v>2600</v>
      </c>
      <c r="M39" s="23" t="s">
        <v>2532</v>
      </c>
      <c r="N39" s="22" t="s">
        <v>2533</v>
      </c>
    </row>
    <row r="40" spans="1:14" ht="409.6">
      <c r="A40" s="23" t="s">
        <v>2345</v>
      </c>
      <c r="B40" s="23" t="s">
        <v>59</v>
      </c>
      <c r="C40" s="23" t="s">
        <v>2534</v>
      </c>
      <c r="D40" s="23" t="s">
        <v>2535</v>
      </c>
      <c r="E40" s="23" t="s">
        <v>2536</v>
      </c>
      <c r="F40" s="23" t="s">
        <v>2508</v>
      </c>
      <c r="G40" s="23" t="s">
        <v>2537</v>
      </c>
      <c r="H40" s="23" t="s">
        <v>2377</v>
      </c>
      <c r="I40" s="23" t="s">
        <v>2538</v>
      </c>
      <c r="J40" s="23" t="s">
        <v>2379</v>
      </c>
      <c r="K40" s="23" t="s">
        <v>815</v>
      </c>
      <c r="L40" s="23" t="s">
        <v>2601</v>
      </c>
      <c r="M40" s="23" t="s">
        <v>2539</v>
      </c>
      <c r="N40" s="22" t="s">
        <v>2540</v>
      </c>
    </row>
    <row r="41" spans="1:14" ht="409.6">
      <c r="A41" s="22" t="s">
        <v>2541</v>
      </c>
      <c r="B41" s="22" t="s">
        <v>1567</v>
      </c>
      <c r="C41" s="22" t="s">
        <v>2542</v>
      </c>
      <c r="D41" s="22" t="s">
        <v>2543</v>
      </c>
      <c r="E41" s="22" t="s">
        <v>2544</v>
      </c>
      <c r="F41" s="22" t="s">
        <v>2388</v>
      </c>
      <c r="G41" s="22" t="s">
        <v>2545</v>
      </c>
      <c r="H41" s="22" t="s">
        <v>2390</v>
      </c>
      <c r="I41" s="22" t="s">
        <v>2546</v>
      </c>
      <c r="J41" s="22" t="s">
        <v>2379</v>
      </c>
      <c r="K41" s="22" t="s">
        <v>1567</v>
      </c>
      <c r="L41" s="22" t="s">
        <v>2602</v>
      </c>
      <c r="M41" s="22" t="s">
        <v>2547</v>
      </c>
      <c r="N41" s="55" t="s">
        <v>2548</v>
      </c>
    </row>
    <row r="42" spans="1:14" ht="409.6">
      <c r="A42" s="23" t="s">
        <v>2549</v>
      </c>
      <c r="B42" s="23" t="s">
        <v>1567</v>
      </c>
      <c r="C42" s="23" t="s">
        <v>2550</v>
      </c>
      <c r="D42" s="23" t="s">
        <v>2551</v>
      </c>
      <c r="E42" s="23" t="s">
        <v>2552</v>
      </c>
      <c r="F42" s="23" t="s">
        <v>2388</v>
      </c>
      <c r="G42" s="23" t="s">
        <v>2553</v>
      </c>
      <c r="H42" s="23" t="s">
        <v>2390</v>
      </c>
      <c r="I42" s="23" t="s">
        <v>2554</v>
      </c>
      <c r="J42" s="23" t="s">
        <v>2379</v>
      </c>
      <c r="K42" s="23" t="s">
        <v>1567</v>
      </c>
      <c r="L42" s="23" t="s">
        <v>2603</v>
      </c>
      <c r="M42" s="23" t="s">
        <v>2555</v>
      </c>
      <c r="N42" s="22" t="s">
        <v>2556</v>
      </c>
    </row>
    <row r="43" spans="1:14" ht="409.6" customHeight="1">
      <c r="A43" s="27" t="s">
        <v>2557</v>
      </c>
      <c r="B43" s="27" t="s">
        <v>56</v>
      </c>
      <c r="C43" s="27" t="s">
        <v>2558</v>
      </c>
      <c r="D43" s="27" t="s">
        <v>2559</v>
      </c>
      <c r="E43" s="27" t="s">
        <v>2560</v>
      </c>
      <c r="F43" s="27" t="s">
        <v>2437</v>
      </c>
      <c r="G43" s="28" t="s">
        <v>2561</v>
      </c>
      <c r="H43" s="27" t="s">
        <v>2377</v>
      </c>
      <c r="I43" s="27" t="s">
        <v>2562</v>
      </c>
      <c r="J43" s="27" t="s">
        <v>2379</v>
      </c>
      <c r="K43" s="27" t="s">
        <v>2563</v>
      </c>
      <c r="L43" s="27" t="s">
        <v>2604</v>
      </c>
      <c r="M43" s="27" t="s">
        <v>2564</v>
      </c>
      <c r="N43" s="55" t="s">
        <v>2565</v>
      </c>
    </row>
    <row r="44" spans="1:14" ht="319.95" customHeight="1">
      <c r="A44" s="27" t="s">
        <v>241</v>
      </c>
      <c r="B44" s="27" t="s">
        <v>2566</v>
      </c>
      <c r="C44" s="27" t="s">
        <v>2567</v>
      </c>
      <c r="D44" s="27" t="s">
        <v>2568</v>
      </c>
      <c r="E44" s="27" t="s">
        <v>2569</v>
      </c>
      <c r="F44" s="27" t="s">
        <v>2570</v>
      </c>
      <c r="G44" s="27" t="s">
        <v>2571</v>
      </c>
      <c r="H44" s="27" t="s">
        <v>2310</v>
      </c>
      <c r="I44" s="27" t="s">
        <v>2572</v>
      </c>
      <c r="J44" s="27" t="s">
        <v>2441</v>
      </c>
      <c r="K44" s="27" t="s">
        <v>2573</v>
      </c>
      <c r="L44" s="27" t="s">
        <v>2605</v>
      </c>
      <c r="M44" s="27" t="s">
        <v>2311</v>
      </c>
      <c r="N44" s="22" t="s">
        <v>2313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7"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8" t="s">
        <v>1282</v>
      </c>
      <c r="B1" s="58"/>
      <c r="C1" s="58"/>
      <c r="D1" s="58"/>
      <c r="E1" s="58"/>
      <c r="F1" s="58"/>
      <c r="G1" s="58"/>
      <c r="H1" s="58"/>
      <c r="I1" s="58"/>
      <c r="J1" s="58"/>
      <c r="K1" s="58"/>
      <c r="L1" s="58"/>
    </row>
    <row r="2" spans="1:12" ht="31.95" customHeight="1">
      <c r="A2" s="59" t="s">
        <v>1283</v>
      </c>
      <c r="B2" s="59"/>
      <c r="C2" s="59"/>
      <c r="D2" s="59"/>
      <c r="E2" s="59"/>
      <c r="F2" s="59"/>
      <c r="G2" s="59"/>
      <c r="H2" s="59"/>
      <c r="I2" s="59"/>
      <c r="J2" s="59"/>
      <c r="K2" s="59"/>
      <c r="L2" s="59"/>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2574</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2575</v>
      </c>
      <c r="F25" s="11" t="s">
        <v>1385</v>
      </c>
      <c r="G25" s="11" t="s">
        <v>1386</v>
      </c>
      <c r="H25" s="11" t="s">
        <v>1320</v>
      </c>
      <c r="I25" s="18"/>
      <c r="J25" s="11"/>
      <c r="K25" s="11"/>
      <c r="L25" s="11"/>
    </row>
    <row r="26" spans="1:12" ht="182.4">
      <c r="A26" s="11" t="s">
        <v>1387</v>
      </c>
      <c r="B26" s="11" t="s">
        <v>59</v>
      </c>
      <c r="C26" s="11" t="s">
        <v>1388</v>
      </c>
      <c r="D26" s="11" t="s">
        <v>1389</v>
      </c>
      <c r="E26" s="11" t="s">
        <v>2576</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2577</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8" t="s">
        <v>1448</v>
      </c>
      <c r="B1" s="58"/>
      <c r="C1" s="58"/>
      <c r="D1" s="58"/>
      <c r="E1" s="58"/>
      <c r="F1" s="58"/>
      <c r="G1" s="58"/>
      <c r="H1" s="58"/>
      <c r="I1" s="58"/>
      <c r="J1" s="58"/>
      <c r="K1" s="58"/>
    </row>
    <row r="2" spans="1:11" ht="31.95" customHeight="1">
      <c r="A2" s="59" t="s">
        <v>1449</v>
      </c>
      <c r="B2" s="59"/>
      <c r="C2" s="59"/>
      <c r="D2" s="59"/>
      <c r="E2" s="59"/>
      <c r="F2" s="59"/>
      <c r="G2" s="59"/>
      <c r="H2" s="59"/>
      <c r="I2" s="59"/>
      <c r="J2" s="59"/>
      <c r="K2" s="59"/>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4" workbookViewId="0">
      <selection activeCell="C17" sqref="C17"/>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8" t="s">
        <v>1573</v>
      </c>
      <c r="B1" s="58"/>
      <c r="C1" s="58"/>
      <c r="D1" s="58"/>
      <c r="E1" s="58"/>
      <c r="F1" s="58"/>
      <c r="G1" s="58"/>
      <c r="H1" s="58"/>
      <c r="I1" s="58"/>
      <c r="J1" s="58"/>
    </row>
    <row r="2" spans="1:10" ht="31.95" customHeight="1">
      <c r="A2" s="59" t="s">
        <v>1574</v>
      </c>
      <c r="B2" s="59"/>
      <c r="C2" s="59"/>
      <c r="D2" s="59"/>
      <c r="E2" s="59"/>
      <c r="F2" s="59"/>
      <c r="G2" s="59"/>
      <c r="H2" s="59"/>
      <c r="I2" s="59"/>
      <c r="J2" s="59"/>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2580</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2580</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8" t="s">
        <v>1654</v>
      </c>
      <c r="B1" s="58"/>
      <c r="C1" s="58"/>
      <c r="D1" s="58"/>
      <c r="E1" s="58"/>
      <c r="F1" s="58"/>
      <c r="G1" s="58"/>
      <c r="H1" s="58"/>
      <c r="I1" s="58"/>
    </row>
    <row r="2" spans="1:9">
      <c r="A2" s="59" t="s">
        <v>1655</v>
      </c>
      <c r="B2" s="59"/>
      <c r="C2" s="59"/>
      <c r="D2" s="59"/>
      <c r="E2" s="59"/>
      <c r="F2" s="59"/>
      <c r="G2" s="59"/>
      <c r="H2" s="59"/>
      <c r="I2" s="59"/>
    </row>
    <row r="4" spans="1:9">
      <c r="A4" s="60" t="s">
        <v>1656</v>
      </c>
      <c r="B4" s="70"/>
      <c r="C4" s="70"/>
      <c r="D4" s="70"/>
      <c r="E4" s="70"/>
      <c r="F4" s="70"/>
      <c r="G4" s="70"/>
      <c r="H4" s="70"/>
      <c r="I4" s="61"/>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8" t="s">
        <v>1741</v>
      </c>
      <c r="B1" s="58"/>
      <c r="C1" s="58"/>
      <c r="D1" s="58"/>
      <c r="E1" s="58"/>
      <c r="F1" s="58"/>
      <c r="G1" s="58"/>
    </row>
    <row r="2" spans="1:7" ht="31.95" customHeight="1">
      <c r="A2" s="59" t="s">
        <v>1742</v>
      </c>
      <c r="B2" s="59"/>
      <c r="C2" s="59"/>
      <c r="D2" s="59"/>
      <c r="E2" s="59"/>
      <c r="F2" s="59"/>
      <c r="G2" s="59"/>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8" t="s">
        <v>2049</v>
      </c>
      <c r="B1" s="58"/>
      <c r="C1" s="58"/>
      <c r="D1" s="58"/>
      <c r="E1" s="58"/>
      <c r="F1" s="58"/>
      <c r="G1" s="58"/>
      <c r="H1" s="58"/>
    </row>
    <row r="2" spans="1:8" ht="31.95" customHeight="1">
      <c r="A2" s="59" t="s">
        <v>2050</v>
      </c>
      <c r="B2" s="59"/>
      <c r="C2" s="59"/>
      <c r="D2" s="59"/>
      <c r="E2" s="59"/>
      <c r="F2" s="59"/>
      <c r="G2" s="59"/>
      <c r="H2" s="59"/>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8" t="s">
        <v>2174</v>
      </c>
      <c r="B1" s="58"/>
      <c r="C1" s="58"/>
      <c r="D1" s="58"/>
      <c r="E1" s="58"/>
      <c r="F1" s="58"/>
    </row>
    <row r="2" spans="1:6" ht="31.95" customHeight="1">
      <c r="A2" s="59" t="s">
        <v>2175</v>
      </c>
      <c r="B2" s="59"/>
      <c r="C2" s="59"/>
      <c r="D2" s="59"/>
      <c r="E2" s="59"/>
      <c r="F2" s="59"/>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2026-08-27T07:52:51Z</dcterms:modified>
</cp:coreProperties>
</file>