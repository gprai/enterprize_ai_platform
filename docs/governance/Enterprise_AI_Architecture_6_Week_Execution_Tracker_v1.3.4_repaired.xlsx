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13_ncr:1_{C0D36AB4-AD90-4AF0-AAFB-44037DB1B785}" xr6:coauthVersionLast="47" xr6:coauthVersionMax="47" xr10:uidLastSave="{00000000-0000-0000-0000-000000000000}"/>
  <bookViews>
    <workbookView xWindow="-108" yWindow="-108" windowWidth="23256" windowHeight="13896" tabRatio="788" firstSheet="5"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9" l="1"/>
  <c r="H17" i="19"/>
  <c r="H16" i="19"/>
  <c r="H15" i="19"/>
  <c r="H14" i="19"/>
  <c r="H13" i="19"/>
  <c r="D5" i="9"/>
  <c r="A5" i="9"/>
  <c r="D5" i="8"/>
  <c r="A5" i="8"/>
  <c r="D5" i="7"/>
  <c r="A5" i="7"/>
  <c r="D5" i="6"/>
  <c r="A5" i="6"/>
  <c r="D5" i="5"/>
  <c r="A5" i="5"/>
  <c r="D5" i="4"/>
  <c r="A5" i="4"/>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8" i="2" l="1"/>
  <c r="H18" i="2" s="1"/>
  <c r="D13" i="2"/>
  <c r="H13" i="2" s="1"/>
  <c r="D15" i="2"/>
  <c r="H15" i="2" s="1"/>
  <c r="D17" i="2"/>
  <c r="H17" i="2" s="1"/>
  <c r="D16" i="2"/>
  <c r="H16" i="2" s="1"/>
  <c r="D14" i="2"/>
  <c r="H14" i="2" s="1"/>
  <c r="G5" i="2"/>
</calcChain>
</file>

<file path=xl/sharedStrings.xml><?xml version="1.0" encoding="utf-8"?>
<sst xmlns="http://schemas.openxmlformats.org/spreadsheetml/2006/main" count="5453" uniqueCount="2611">
  <si>
    <t>Enterprise AI Architecture — Owner-Led Learning and Execution Tracker v1.3.4</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</si>
  <si>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</si>
  <si>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</si>
  <si>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Operating rules</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</si>
  <si>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</si>
  <si>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</si>
  <si>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</si>
  <si>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</si>
  <si>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</si>
  <si>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</si>
  <si>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</si>
  <si>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</si>
  <si>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</si>
  <si>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</si>
  <si>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</si>
  <si>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</si>
  <si>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</si>
  <si>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</si>
  <si>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</si>
  <si>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</si>
  <si>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</si>
  <si>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</si>
  <si>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</si>
  <si>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</si>
  <si>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</si>
  <si>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</si>
  <si>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</si>
  <si>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</si>
  <si>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</si>
  <si>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</si>
  <si>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</si>
  <si>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</si>
  <si>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</si>
  <si>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</si>
  <si>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</si>
  <si>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</si>
  <si>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</si>
  <si>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Week 2</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</si>
  <si>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</si>
  <si>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</si>
  <si>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</si>
  <si>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</si>
  <si>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</si>
  <si>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</si>
  <si>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</si>
  <si>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</si>
  <si>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</si>
  <si>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</si>
  <si>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</si>
  <si>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</si>
  <si>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</si>
  <si>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</si>
  <si>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</si>
  <si>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Week</t>
  </si>
  <si>
    <t>Total</t>
  </si>
  <si>
    <t>Progress</t>
  </si>
  <si>
    <t>Week 1</t>
  </si>
  <si>
    <t>Week 3</t>
  </si>
  <si>
    <t>Week 4</t>
  </si>
  <si>
    <t>Week 5</t>
  </si>
  <si>
    <t>Week 6</t>
  </si>
  <si>
    <t>Weekly gate interpretation</t>
  </si>
  <si>
    <t>READY: every MUST task is Done, tests have evidence and the owner signs off.</t>
  </si>
  <si>
    <t>BLOCKED: stop new prompts; resolve the dependency or explicitly defer with risk/owner/date.</t>
  </si>
  <si>
    <t>IN PROGRESS: Codex writes approved code only; the owner follows TEST-001 guidance and returns each command result.</t>
  </si>
  <si>
    <t>Done requires owner-executed validation, approved business-first documentation, rollback/teardown evidence and final owner approval.</t>
  </si>
  <si>
    <t>Cloud mutations remain manual even when every automated gate passes.</t>
  </si>
  <si>
    <t>Master Six-Week Owner-Led Learning Plan — v1.3.4</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</si>
  <si>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</si>
  <si>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</si>
  <si>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</si>
  <si>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</si>
  <si>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</si>
  <si>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</si>
  <si>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</si>
  <si>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</si>
  <si>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Prompt ID</t>
  </si>
  <si>
    <t>User TODO IDs</t>
  </si>
  <si>
    <t>Acceptance Criteria</t>
  </si>
  <si>
    <t>Owner Verification Command</t>
  </si>
  <si>
    <t>Expected Result</t>
  </si>
  <si>
    <t>Evidence Path</t>
  </si>
  <si>
    <t>Decision ID</t>
  </si>
  <si>
    <t>Dependency</t>
  </si>
  <si>
    <t>Rollback / Teardown</t>
  </si>
  <si>
    <t>Status</t>
  </si>
  <si>
    <t>Notes</t>
  </si>
  <si>
    <t>Task Context</t>
  </si>
  <si>
    <t>W1-01</t>
  </si>
  <si>
    <t>MUST</t>
  </si>
  <si>
    <t>Scope</t>
  </si>
  <si>
    <t>Confirm the first use case, user group, exclusions and measurable MVP outcome.</t>
  </si>
  <si>
    <t>A narrow use case prevents a platform-without-a-problem and sets evaluation truth.</t>
  </si>
  <si>
    <t>User</t>
  </si>
  <si>
    <t>W1-MVP-001</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</si>
  <si>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</si>
  <si>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</si>
  <si>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</si>
  <si>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</si>
  <si>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</si>
  <si>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</si>
  <si>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</si>
  <si>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</si>
  <si>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</si>
  <si>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</si>
  <si>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W1-02</t>
  </si>
  <si>
    <t>Governance</t>
  </si>
  <si>
    <t>Record source precedence: v1.1 controls override older schedule while preserving technical prompts.</t>
  </si>
  <si>
    <t>Prevents Codex and coach from following conflicting weekly sequences.</t>
  </si>
  <si>
    <t>User (execute) + Codex (guide/code)</t>
  </si>
  <si>
    <t>W1-GOV-001</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</si>
  <si>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</si>
  <si>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</si>
  <si>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</si>
  <si>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</si>
  <si>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</si>
  <si>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</si>
  <si>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</si>
  <si>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</si>
  <si>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</si>
  <si>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</si>
  <si>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</si>
  <si>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</si>
  <si>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</si>
  <si>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W1-001</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</si>
  <si>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</si>
  <si>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</si>
  <si>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</si>
  <si>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</si>
  <si>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</si>
  <si>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</si>
  <si>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</si>
  <si>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</si>
  <si>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</si>
  <si>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</si>
  <si>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</si>
  <si>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</si>
  <si>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</si>
  <si>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</si>
  <si>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</si>
  <si>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</si>
  <si>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</si>
  <si>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</si>
  <si>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W1-05</t>
  </si>
  <si>
    <t>Python foundation</t>
  </si>
  <si>
    <t>Create reproducible dependencies and typed configuration.</t>
  </si>
  <si>
    <t>Fail-fast configuration and portable dependencies reduce hidden runtime risk.</t>
  </si>
  <si>
    <t>W1-002</t>
  </si>
  <si>
    <t>AWS-002, BED-001, EMB-001</t>
  </si>
  <si>
    <t>pip install succeeds; config tests pass offline.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</si>
  <si>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</si>
  <si>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</si>
  <si>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</si>
  <si>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</si>
  <si>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</si>
  <si>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</si>
  <si>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</si>
  <si>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</si>
  <si>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</si>
  <si>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W1-003</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</si>
  <si>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</si>
  <si>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</si>
  <si>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</si>
  <si>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</si>
  <si>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</si>
  <si>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</si>
  <si>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</si>
  <si>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</si>
  <si>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</si>
  <si>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</si>
  <si>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</si>
  <si>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</si>
  <si>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</si>
  <si>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</si>
  <si>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</si>
  <si>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</si>
  <si>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</si>
  <si>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</si>
  <si>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</si>
  <si>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</si>
  <si>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</si>
  <si>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</si>
  <si>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</si>
  <si>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</si>
  <si>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</si>
  <si>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</si>
  <si>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</si>
  <si>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</si>
  <si>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</si>
  <si>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</si>
  <si>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</si>
  <si>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</si>
  <si>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</si>
  <si>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W1-004</t>
  </si>
  <si>
    <t>AWS-001, AWS-002, TAG-001</t>
  </si>
  <si>
    <t>Two roots validate as skeletons and dependency order is documented.</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</si>
  <si>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</si>
  <si>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</si>
  <si>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</si>
  <si>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</si>
  <si>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</si>
  <si>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</si>
  <si>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</si>
  <si>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</si>
  <si>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</si>
  <si>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</si>
  <si>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</si>
  <si>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</si>
  <si>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</si>
  <si>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</si>
  <si>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</si>
  <si>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</si>
  <si>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</si>
  <si>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</si>
  <si>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</si>
  <si>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</si>
  <si>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</si>
  <si>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</si>
  <si>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</si>
  <si>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</si>
  <si>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</si>
  <si>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</si>
  <si>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</si>
  <si>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</si>
  <si>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</si>
  <si>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W1-12</t>
  </si>
  <si>
    <t>Checkpoint</t>
  </si>
  <si>
    <t>Review diffs, architecture decisions, test evidence and Week 2 readiness.</t>
  </si>
  <si>
    <t>Owner approval is the stop point between features/weeks.</t>
  </si>
  <si>
    <t>All Week 1 TODOs</t>
  </si>
  <si>
    <t>Every MUST step is Done; no blocker or unapproved scope remains.</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</si>
  <si>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</si>
  <si>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</si>
  <si>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</si>
  <si>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</si>
  <si>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</si>
  <si>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</si>
  <si>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</si>
  <si>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Weekly learning</t>
  </si>
  <si>
    <t>Complete the Week 1 business, architecture and interview teach-back.</t>
  </si>
  <si>
    <t>Turns governance, repository, test and lifecycle controls into an explainable architecture story.</t>
  </si>
  <si>
    <t>WEEKLY-LEARN-001</t>
  </si>
  <si>
    <t>Owner explains the Week 1 business outcome, control flow, decisions, failure boundaries and three interview answers without reading code.</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</si>
  <si>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</si>
  <si>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</si>
  <si>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</si>
  <si>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</si>
  <si>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</si>
  <si>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</si>
  <si>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</si>
  <si>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</si>
  <si>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</si>
  <si>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</si>
  <si>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W2-001</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</si>
  <si>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</si>
  <si>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</si>
  <si>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</si>
  <si>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</si>
  <si>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</si>
  <si>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</si>
  <si>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</si>
  <si>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</si>
  <si>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</si>
  <si>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</si>
  <si>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</si>
  <si>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</si>
  <si>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</si>
  <si>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</si>
  <si>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</si>
  <si>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</si>
  <si>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</si>
  <si>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</si>
  <si>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</si>
  <si>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</si>
  <si>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</si>
  <si>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</si>
  <si>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</si>
  <si>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Service is healthy; image version is pinned.</t>
  </si>
  <si>
    <t>docs/test-evidence/W2-03-qdrant.txt</t>
  </si>
  <si>
    <t>ADR-003</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</si>
  <si>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</si>
  <si>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</si>
  <si>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</si>
  <si>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</si>
  <si>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</si>
  <si>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</si>
  <si>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</si>
  <si>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</si>
  <si>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</si>
  <si>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</si>
  <si>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</si>
  <si>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</si>
  <si>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W2-05</t>
  </si>
  <si>
    <t>Embeddings</t>
  </si>
  <si>
    <t>Implement sentence-transformer and deterministic fake embedders.</t>
  </si>
  <si>
    <t>Local CPU embeddings avoid a paid dependency while preserving provider exit.</t>
  </si>
  <si>
    <t>W2-002</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</si>
  <si>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</si>
  <si>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</si>
  <si>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</si>
  <si>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</si>
  <si>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</si>
  <si>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</si>
  <si>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Not Started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</si>
  <si>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</si>
  <si>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</si>
  <si>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</si>
  <si>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</si>
  <si>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</si>
  <si>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W2-003</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</si>
  <si>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</si>
  <si>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</si>
  <si>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</si>
  <si>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</si>
  <si>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</si>
  <si>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</si>
  <si>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</si>
  <si>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</si>
  <si>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</si>
  <si>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</si>
  <si>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</si>
  <si>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</si>
  <si>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</si>
  <si>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</si>
  <si>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</si>
  <si>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</si>
  <si>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</si>
  <si>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</si>
  <si>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</si>
  <si>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</si>
  <si>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</si>
  <si>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</si>
  <si>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</si>
  <si>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</si>
  <si>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</si>
  <si>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</si>
  <si>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</si>
  <si>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</si>
  <si>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</si>
  <si>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</si>
  <si>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</si>
  <si>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</si>
  <si>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</si>
  <si>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</si>
  <si>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</si>
  <si>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W2-004</t>
  </si>
  <si>
    <t>DATA-001, EVAL-001</t>
  </si>
  <si>
    <t>Expected source appears in top 5 for representative questions.</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</si>
  <si>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</si>
  <si>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</si>
  <si>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</si>
  <si>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</si>
  <si>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</si>
  <si>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</si>
  <si>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</si>
  <si>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</si>
  <si>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</si>
  <si>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</si>
  <si>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</si>
  <si>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</si>
  <si>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</si>
  <si>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</si>
  <si>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</si>
  <si>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</si>
  <si>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W2-11</t>
  </si>
  <si>
    <t>SHOULD</t>
  </si>
  <si>
    <t>Learning checkpoint</t>
  </si>
  <si>
    <t>Explain embeddings, cosine similarity, chunk size/overlap and metadata filtering.</t>
  </si>
  <si>
    <t>The workbook is also an interview/reference learning plan.</t>
  </si>
  <si>
    <t>W2-LEARN-001</t>
  </si>
  <si>
    <t>Five-minute explanation uses current implementation evidence.</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</si>
  <si>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</si>
  <si>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</si>
  <si>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</si>
  <si>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</si>
  <si>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</si>
  <si>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W2-12</t>
  </si>
  <si>
    <t>Approve local retrieval gate and Week 3 inputs.</t>
  </si>
  <si>
    <t>Prevents LLM work from hiding retrieval defects.</t>
  </si>
  <si>
    <t>BED-001, EVAL-001</t>
  </si>
  <si>
    <t>All MUST tests and cleanup evidence pass.</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</si>
  <si>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</si>
  <si>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</si>
  <si>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</si>
  <si>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</si>
  <si>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</si>
  <si>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</si>
  <si>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</si>
  <si>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</si>
  <si>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</si>
  <si>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</si>
  <si>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</si>
  <si>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</si>
  <si>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</si>
  <si>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</si>
  <si>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</si>
  <si>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</si>
  <si>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W3-001</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</si>
  <si>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</si>
  <si>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</si>
  <si>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</si>
  <si>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</si>
  <si>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</si>
  <si>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</si>
  <si>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</si>
  <si>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</si>
  <si>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</si>
  <si>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</si>
  <si>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</si>
  <si>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</si>
  <si>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</si>
  <si>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</si>
  <si>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</si>
  <si>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</si>
  <si>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</si>
  <si>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</si>
  <si>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</si>
  <si>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</si>
  <si>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</si>
  <si>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</si>
  <si>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</si>
  <si>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</si>
  <si>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</si>
  <si>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</si>
  <si>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</si>
  <si>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</si>
  <si>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</si>
  <si>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</si>
  <si>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</si>
  <si>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</si>
  <si>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</si>
  <si>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</si>
  <si>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</si>
  <si>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</si>
  <si>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</si>
  <si>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</si>
  <si>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</si>
  <si>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</si>
  <si>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</si>
  <si>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</si>
  <si>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</si>
  <si>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</si>
  <si>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</si>
  <si>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</si>
  <si>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</si>
  <si>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W3-003</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</si>
  <si>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</si>
  <si>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</si>
  <si>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</si>
  <si>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</si>
  <si>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</si>
  <si>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</si>
  <si>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</si>
  <si>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</si>
  <si>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</si>
  <si>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</si>
  <si>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</si>
  <si>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W3-002</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</si>
  <si>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</si>
  <si>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</si>
  <si>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</si>
  <si>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</si>
  <si>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</si>
  <si>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</si>
  <si>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</si>
  <si>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</si>
  <si>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</si>
  <si>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</si>
  <si>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</si>
  <si>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</si>
  <si>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</si>
  <si>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</si>
  <si>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</si>
  <si>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</si>
  <si>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</si>
  <si>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</si>
  <si>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</si>
  <si>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</si>
  <si>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</si>
  <si>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</si>
  <si>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</si>
  <si>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</si>
  <si>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</si>
  <si>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</si>
  <si>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</si>
  <si>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</si>
  <si>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</si>
  <si>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</si>
  <si>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</si>
  <si>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</si>
  <si>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W4-003</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</si>
  <si>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</si>
  <si>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</si>
  <si>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</si>
  <si>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</si>
  <si>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</si>
  <si>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</si>
  <si>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</si>
  <si>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</si>
  <si>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</si>
  <si>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</si>
  <si>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</si>
  <si>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</si>
  <si>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</si>
  <si>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</si>
  <si>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</si>
  <si>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</si>
  <si>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</si>
  <si>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</si>
  <si>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</si>
  <si>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W3-11</t>
  </si>
  <si>
    <t>Rollback drill</t>
  </si>
  <si>
    <t>Restore prior prompt/model/retriever/index configuration and re-evaluate.</t>
  </si>
  <si>
    <t>RAG changes can regress without application code changes.</t>
  </si>
  <si>
    <t>W3-ROLLBACK-001</t>
  </si>
  <si>
    <t>Last-known-good configuration returns baseline results.</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</si>
  <si>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</si>
  <si>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</si>
  <si>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</si>
  <si>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</si>
  <si>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</si>
  <si>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W3-12</t>
  </si>
  <si>
    <t>Approve cited RAG and quality gate before adding agent behavior.</t>
  </si>
  <si>
    <t>Agent tools should not be added to an ungrounded answer system.</t>
  </si>
  <si>
    <t>APP-001</t>
  </si>
  <si>
    <t>Grounded answer or abstention works; security/regression/rollback tests pass.</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</si>
  <si>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</si>
  <si>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</si>
  <si>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</si>
  <si>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</si>
  <si>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</si>
  <si>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</si>
  <si>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</si>
  <si>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</si>
  <si>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</si>
  <si>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</si>
  <si>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</si>
  <si>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</si>
  <si>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</si>
  <si>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</si>
  <si>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</si>
  <si>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</si>
  <si>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</si>
  <si>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W4-001</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</si>
  <si>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</si>
  <si>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</si>
  <si>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</si>
  <si>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</si>
  <si>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</si>
  <si>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</si>
  <si>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</si>
  <si>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</si>
  <si>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</si>
  <si>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</si>
  <si>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</si>
  <si>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</si>
  <si>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</si>
  <si>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</si>
  <si>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</si>
  <si>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</si>
  <si>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</si>
  <si>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</si>
  <si>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</si>
  <si>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</si>
  <si>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W4-002</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</si>
  <si>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</si>
  <si>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</si>
  <si>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</si>
  <si>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</si>
  <si>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</si>
  <si>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</si>
  <si>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</si>
  <si>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</si>
  <si>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</si>
  <si>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</si>
  <si>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</si>
  <si>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</si>
  <si>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</si>
  <si>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</si>
  <si>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</si>
  <si>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</si>
  <si>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</si>
  <si>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</si>
  <si>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</si>
  <si>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</si>
  <si>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</si>
  <si>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</si>
  <si>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</si>
  <si>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</si>
  <si>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</si>
  <si>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</si>
  <si>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</si>
  <si>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</si>
  <si>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</si>
  <si>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</si>
  <si>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</si>
  <si>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</si>
  <si>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</si>
  <si>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</si>
  <si>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</si>
  <si>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</si>
  <si>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</si>
  <si>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</si>
  <si>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</si>
  <si>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</si>
  <si>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</si>
  <si>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</si>
  <si>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</si>
  <si>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</si>
  <si>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</si>
  <si>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</si>
  <si>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</si>
  <si>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</si>
  <si>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</si>
  <si>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</si>
  <si>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</si>
  <si>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</si>
  <si>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</si>
  <si>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</si>
  <si>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</si>
  <si>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</si>
  <si>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</si>
  <si>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</si>
  <si>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</si>
  <si>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</si>
  <si>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</si>
  <si>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</si>
  <si>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</si>
  <si>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</si>
  <si>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</si>
  <si>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</si>
  <si>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</si>
  <si>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</si>
  <si>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</si>
  <si>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</si>
  <si>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</si>
  <si>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</si>
  <si>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</si>
  <si>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</si>
  <si>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</si>
  <si>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</si>
  <si>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</si>
  <si>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</si>
  <si>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</si>
  <si>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</si>
  <si>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</si>
  <si>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</si>
  <si>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</si>
  <si>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</si>
  <si>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</si>
  <si>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</si>
  <si>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W4-11</t>
  </si>
  <si>
    <t>Release rollback</t>
  </si>
  <si>
    <t>Deploy local immutable version N+1, force regression and restore N.</t>
  </si>
  <si>
    <t>Release rollback is separate from infrastructure rollback.</t>
  </si>
  <si>
    <t>W4-ROLLBACK-001</t>
  </si>
  <si>
    <t>N becomes healthy and passes feature tests after rollback.</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</si>
  <si>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</si>
  <si>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</si>
  <si>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</si>
  <si>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</si>
  <si>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</si>
  <si>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W4-12</t>
  </si>
  <si>
    <t>Approve controlled API/agent and Week 5 AWS inputs.</t>
  </si>
  <si>
    <t>Cloud infrastructure should not be planned for an unsafe runtime.</t>
  </si>
  <si>
    <t>AWS-001, AWS-002, NET-001, TAG-001, COST-001</t>
  </si>
  <si>
    <t>All consequential actions are policy-valid and approved.</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</si>
  <si>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</si>
  <si>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</si>
  <si>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</si>
  <si>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</si>
  <si>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</si>
  <si>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</si>
  <si>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</si>
  <si>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</si>
  <si>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</si>
  <si>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</si>
  <si>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</si>
  <si>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</si>
  <si>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</si>
  <si>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W5-01</t>
  </si>
  <si>
    <t>AWS inputs</t>
  </si>
  <si>
    <t>Confirm sandbox account, region, network, tags, data residency and budget ceiling.</t>
  </si>
  <si>
    <t>Terraform cannot be safely reviewed with ambiguous ownership or cost.</t>
  </si>
  <si>
    <t>W5-INPUTS-001</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</si>
  <si>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</si>
  <si>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</si>
  <si>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</si>
  <si>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</si>
  <si>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</si>
  <si>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</si>
  <si>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</si>
  <si>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</si>
  <si>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t>
  </si>
  <si>
    <t>Build isolated encrypted/versioned S3 state and Terraform 1.5 DynamoDB locking stack.</t>
  </si>
  <si>
    <t>State must survive platform rollback and be removed last during full teardown.</t>
  </si>
  <si>
    <t>W5-001</t>
  </si>
  <si>
    <t>fmt/validate/Checkov pass; apply remains manual.</t>
  </si>
  <si>
    <t>Bootstrap plan contains only expected resources.</t>
  </si>
  <si>
    <t>docs/test-evidence/W5-02-bootstrap.txt</t>
  </si>
  <si>
    <t>Destroy platform first; bootstrap destroy is separately reviewed.</t>
  </si>
  <si>
    <t>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t>
  </si>
  <si>
    <t>W5-03</t>
  </si>
  <si>
    <t>Security foundation</t>
  </si>
  <si>
    <t>Create KMS, private/versioned S3 and secret-metadata modules.</t>
  </si>
  <si>
    <t>Encryption and secret separation are foundational controls.</t>
  </si>
  <si>
    <t>KMS-001, TAG-001</t>
  </si>
  <si>
    <t>No public access or secret value resource exists.</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</si>
  <si>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</si>
  <si>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</si>
  <si>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</si>
  <si>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</si>
  <si>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</si>
  <si>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</si>
  <si>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</si>
  <si>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</si>
  <si>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</si>
  <si>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</si>
  <si>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</si>
  <si>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</si>
  <si>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</si>
  <si>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</si>
  <si>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</si>
  <si>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</si>
  <si>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</si>
  <si>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</si>
  <si>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</si>
  <si>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</si>
  <si>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</si>
  <si>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</si>
  <si>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</si>
  <si>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</si>
  <si>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</si>
  <si>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</si>
  <si>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</si>
  <si>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</si>
  <si>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</si>
  <si>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</si>
  <si>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W5-06</t>
  </si>
  <si>
    <t>Policy as code</t>
  </si>
  <si>
    <t>Implement OPA and Checkov security/tagging policies with fixtures.</t>
  </si>
  <si>
    <t>Policy gates make critical architecture decisions executable.</t>
  </si>
  <si>
    <t>W5-003</t>
  </si>
  <si>
    <t>AWS-002, TAG-001</t>
  </si>
  <si>
    <t>Insecure fixtures fail; secure fixtures pass.</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</si>
  <si>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</si>
  <si>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</si>
  <si>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</si>
  <si>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</si>
  <si>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</si>
  <si>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</si>
  <si>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</si>
  <si>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</si>
  <si>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</si>
  <si>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</si>
  <si>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W5-002</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</si>
  <si>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</si>
  <si>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</si>
  <si>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</si>
  <si>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</si>
  <si>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</si>
  <si>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</si>
  <si>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</si>
  <si>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</si>
  <si>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</si>
  <si>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</si>
  <si>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</si>
  <si>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</si>
  <si>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</si>
  <si>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</si>
  <si>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</si>
  <si>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</si>
  <si>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</si>
  <si>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</si>
  <si>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</si>
  <si>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</si>
  <si>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</si>
  <si>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W5-004</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</si>
  <si>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</si>
  <si>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</si>
  <si>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</si>
  <si>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</si>
  <si>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</si>
  <si>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</si>
  <si>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</si>
  <si>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</si>
  <si>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</si>
  <si>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</si>
  <si>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</si>
  <si>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</si>
  <si>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</si>
  <si>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</si>
  <si>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</si>
  <si>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</si>
  <si>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</si>
  <si>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</si>
  <si>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</si>
  <si>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</si>
  <si>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</si>
  <si>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</si>
  <si>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</si>
  <si>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</si>
  <si>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</si>
  <si>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</si>
  <si>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</si>
  <si>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</si>
  <si>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</si>
  <si>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</si>
  <si>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</si>
  <si>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</si>
  <si>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</si>
  <si>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</si>
  <si>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</si>
  <si>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</si>
  <si>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</si>
  <si>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W5-13</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</si>
  <si>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</si>
  <si>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</si>
  <si>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</si>
  <si>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</si>
  <si>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</si>
  <si>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</si>
  <si>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</si>
  <si>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</si>
  <si>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</si>
  <si>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</si>
  <si>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</si>
  <si>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</si>
  <si>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</si>
  <si>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</si>
  <si>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</si>
  <si>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</si>
  <si>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</si>
  <si>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</si>
  <si>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</si>
  <si>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</si>
  <si>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</si>
  <si>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</si>
  <si>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</si>
  <si>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</si>
  <si>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</si>
  <si>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</si>
  <si>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</si>
  <si>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</si>
  <si>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</si>
  <si>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</si>
  <si>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</si>
  <si>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</si>
  <si>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</si>
  <si>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</si>
  <si>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W6-001</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</si>
  <si>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</si>
  <si>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</si>
  <si>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</si>
  <si>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</si>
  <si>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</si>
  <si>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</si>
  <si>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</si>
  <si>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</si>
  <si>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</si>
  <si>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</si>
  <si>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</si>
  <si>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</si>
  <si>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</si>
  <si>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</si>
  <si>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</si>
  <si>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</si>
  <si>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</si>
  <si>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</si>
  <si>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</si>
  <si>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</si>
  <si>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</si>
  <si>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</si>
  <si>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</si>
  <si>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</si>
  <si>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</si>
  <si>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</si>
  <si>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</si>
  <si>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</si>
  <si>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</si>
  <si>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</si>
  <si>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</si>
  <si>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</si>
  <si>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</si>
  <si>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</si>
  <si>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</si>
  <si>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</si>
  <si>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</si>
  <si>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</si>
  <si>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</si>
  <si>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</si>
  <si>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</si>
  <si>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</si>
  <si>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</si>
  <si>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</si>
  <si>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W6-002</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</si>
  <si>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</si>
  <si>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</si>
  <si>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</si>
  <si>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</si>
  <si>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</si>
  <si>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</si>
  <si>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</si>
  <si>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</si>
  <si>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</si>
  <si>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</si>
  <si>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</si>
  <si>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</si>
  <si>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</si>
  <si>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</si>
  <si>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</si>
  <si>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</si>
  <si>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</si>
  <si>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</si>
  <si>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</si>
  <si>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</si>
  <si>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</si>
  <si>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</si>
  <si>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</si>
  <si>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</si>
  <si>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</si>
  <si>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</si>
  <si>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</si>
  <si>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</si>
  <si>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</si>
  <si>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</si>
  <si>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</si>
  <si>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</si>
  <si>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</si>
  <si>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</si>
  <si>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</si>
  <si>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</si>
  <si>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</si>
  <si>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</si>
  <si>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</si>
  <si>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</si>
  <si>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</si>
  <si>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</si>
  <si>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</si>
  <si>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</si>
  <si>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</si>
  <si>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</si>
  <si>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W6-003</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</si>
  <si>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</si>
  <si>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</si>
  <si>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</si>
  <si>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</si>
  <si>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</si>
  <si>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</si>
  <si>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</si>
  <si>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</si>
  <si>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</si>
  <si>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</si>
  <si>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</si>
  <si>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</si>
  <si>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</si>
  <si>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</si>
  <si>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</si>
  <si>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</si>
  <si>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</si>
  <si>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</si>
  <si>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</si>
  <si>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</si>
  <si>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</si>
  <si>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</si>
  <si>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</si>
  <si>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</si>
  <si>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</si>
  <si>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</si>
  <si>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</si>
  <si>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</si>
  <si>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</si>
  <si>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</si>
  <si>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</si>
  <si>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</si>
  <si>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</si>
  <si>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</si>
  <si>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</si>
  <si>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</si>
  <si>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</si>
  <si>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</si>
  <si>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</si>
  <si>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</si>
  <si>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</si>
  <si>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</si>
  <si>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</si>
  <si>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</si>
  <si>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</si>
  <si>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</si>
  <si>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</si>
  <si>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</si>
  <si>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</si>
  <si>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</si>
  <si>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</si>
  <si>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</si>
  <si>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</si>
  <si>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</si>
  <si>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</si>
  <si>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</si>
  <si>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</si>
  <si>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</si>
  <si>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</si>
  <si>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</si>
  <si>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</si>
  <si>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</si>
  <si>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Feature</t>
  </si>
  <si>
    <t>Purpose</t>
  </si>
  <si>
    <t>Required Inputs</t>
  </si>
  <si>
    <t>Expected Outputs</t>
  </si>
  <si>
    <t>Example Usage</t>
  </si>
  <si>
    <t>MVP scope and approval record</t>
  </si>
  <si>
    <t>Create the missing one-page MVP-001 source-of-truth artifact before repository implementation.</t>
  </si>
  <si>
    <t>USE-001, DATA-001 and five starter EVAL-001 questions; no credentials</t>
  </si>
  <si>
    <t>docs/features/MVP-001.md with scope, exclusions, measures and approval fields</t>
  </si>
  <si>
    <t>Review Main Prompt → Column M document approval → owner review → Column N final approval</t>
  </si>
  <si>
    <t>Source precedence ADR</t>
  </si>
  <si>
    <t>Create the missing governance decision without creating unrelated Codex context files.</t>
  </si>
  <si>
    <t>Source of Truth v1.1 and Coaching Blueprint as read-only references; no credentials</t>
  </si>
  <si>
    <t>docs/adr/ADR-000-source-precedence.md in Proposed state</t>
  </si>
  <si>
    <t>Repository and feature-control foundation</t>
  </si>
  <si>
    <t>Create the traceability and evidence structure before feature code.</t>
  </si>
  <si>
    <t>TODO_REPOSITORY, TODO_USER_OR_TEAM, TODO_COST_CENTER</t>
  </si>
  <si>
    <t>Monorepo skeleton, feature-matrix.yaml, ADR/test/evidence folders, Makefile, README</t>
  </si>
  <si>
    <t>Review Main Prompt → Column L code approval → owner runs TEST-001 guidance → Column M documents → Column N final approval</t>
  </si>
  <si>
    <t>Dependency and configuration foundation</t>
  </si>
  <si>
    <t>Make installation reproducible and configuration explicit.</t>
  </si>
  <si>
    <t>Python 3.11; no cloud credentials</t>
  </si>
  <si>
    <t>requirements*.txt, pyproject.toml, .env.example, typed config and unit tests</t>
  </si>
  <si>
    <t>Test and evidence framework</t>
  </si>
  <si>
    <t>Make every acceptance criterion executable and auditable.</t>
  </si>
  <si>
    <t>Feature template and repo skeleton</t>
  </si>
  <si>
    <t>pytest markers, fixtures, evidence naming rules, sample feature test</t>
  </si>
  <si>
    <t>Lifecycle controller and cleanup-verifier skeleton</t>
  </si>
  <si>
    <t>Treat deployability and reversibility as platform features.</t>
  </si>
  <si>
    <t>Required tag schema; sandbox-only scope</t>
  </si>
  <si>
    <t>platformctl commands, dry-run workflows, mocked residual-resource tests</t>
  </si>
  <si>
    <t>Reusable weekly checkpoint</t>
  </si>
  <si>
    <t>Stop between weeks until MUST work, evidence, decisions, TODOs and rollback readiness are reviewed.</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</si>
  <si>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</si>
  <si>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</si>
  <si>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</si>
  <si>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</si>
  <si>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</si>
  <si>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</si>
  <si>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</si>
  <si>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</si>
  <si>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</si>
  <si>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</si>
  <si>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</si>
  <si>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</si>
  <si>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contract and local adapter</t>
  </si>
  <si>
    <t>Support local and future provider embeddings through one boundary.</t>
  </si>
  <si>
    <t>EMBEDDING_MODEL_ID</t>
  </si>
  <si>
    <t>Embedder protocol, sentence-transformer/fake adapters, batch and dimension tests</t>
  </si>
  <si>
    <t>Secure ingestion pipeline</t>
  </si>
  <si>
    <t>Turn approved files into versioned, authorized chunks.</t>
  </si>
  <si>
    <t>Approved local sample path; tenant/classification rules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</si>
  <si>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</si>
  <si>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</si>
  <si>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</si>
  <si>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</si>
  <si>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</si>
  <si>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Local retrieval architecture explanation</t>
  </si>
  <si>
    <t>Create an interview-ready explanation grounded in the implemented retrieval evidence.</t>
  </si>
  <si>
    <t>Approved W2 ADRs, adapter/chunking configuration and W2 evidence</t>
  </si>
  <si>
    <t>Use only for owner learning and teach-back; no code, command or document mutation</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</si>
  <si>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</si>
  <si>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</si>
  <si>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</si>
  <si>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</si>
  <si>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</si>
  <si>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LLM adapters and cited RAG pipeline</t>
  </si>
  <si>
    <t>Generate evidence-bound answers while retaining provider portability.</t>
  </si>
  <si>
    <t>LLM_PROVIDER, LLM_MODEL_ID, AWS_REGION; Bedrock test is marked</t>
  </si>
  <si>
    <t>LLM protocol, fake/Bedrock adapters, prompt loader, RAG service and tests</t>
  </si>
  <si>
    <t>Evaluation harness and release gate</t>
  </si>
  <si>
    <t>Replace subjective demonstrations with repeatable evidence.</t>
  </si>
  <si>
    <t>configs/eval/golden.jsonl with 25+ approved cases</t>
  </si>
  <si>
    <t>JSONL schema, deterministic metrics, Ragas adapter, baseline and report</t>
  </si>
  <si>
    <t>RAG guardrails and security regression suite</t>
  </si>
  <si>
    <t>Treat retrieved content as untrusted and enforce authorization outside the model.</t>
  </si>
  <si>
    <t>Classification/tenant rules; injection fixtures</t>
  </si>
  <si>
    <t>Input/output validators, citation/abstention gates, security tests</t>
  </si>
  <si>
    <t>Cited-RAG configuration rollback drill</t>
  </si>
  <si>
    <t>Prove prompt/model/retriever/index configuration can return to a known-good baseline.</t>
  </si>
  <si>
    <t>Approved baseline and exact local configuration paths from the pre-edit plan</t>
  </si>
  <si>
    <t>Restored configuration and docs/rollback-records/W3-rag.md</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</si>
  <si>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</si>
  <si>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</si>
  <si>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</si>
  <si>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</si>
  <si>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</si>
  <si>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service boundary</t>
  </si>
  <si>
    <t>Expose production-shaped, testable endpoints.</t>
  </si>
  <si>
    <t>Fake providers by default; auth interface choice</t>
  </si>
  <si>
    <t>FastAPI endpoints, schemas, dependencies, health, error mapping and tests</t>
  </si>
  <si>
    <t>Bounded LangGraph agent controller</t>
  </si>
  <si>
    <t>Add controlled agent behavior without uncontrolled autonomy.</t>
  </si>
  <si>
    <t>Step/tool/time budgets; approval-store decision</t>
  </si>
  <si>
    <t>Typed graph, nodes/edges, approval interrupt, tools, tests and Mermaid</t>
  </si>
  <si>
    <t>Application telemetry and redacted audit trail</t>
  </si>
  <si>
    <t>Make each RAG and agent stage explainable operationally.</t>
  </si>
  <si>
    <t>OTEL exporter endpoint; no content export</t>
  </si>
  <si>
    <t>Telemetry module, structured logs, trace tests and local collector config</t>
  </si>
  <si>
    <t>Local immutable release rollback drill</t>
  </si>
  <si>
    <t>Prove release rollback separately from infrastructure rollback.</t>
  </si>
  <si>
    <t>Approved local immutable releases N and N+1 and safe regression method</t>
  </si>
  <si>
    <t>Restored release N and docs/rollback-records/W4-release.md</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</si>
  <si>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</si>
  <si>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</si>
  <si>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</si>
  <si>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</si>
  <si>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</si>
  <si>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AWS sandbox input approval</t>
  </si>
  <si>
    <t>Capture all non-secret AWS, network, tagging, residency and budget choices before Terraform work.</t>
  </si>
  <si>
    <t>AWS-001, AWS-002, NET-001, TAG-001, COST-001 and PRIV-001; no credentials</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</si>
  <si>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</si>
  <si>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</si>
  <si>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</si>
  <si>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</si>
  <si>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</si>
  <si>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GitHub Actions DevSecOps pipeline</t>
  </si>
  <si>
    <t>Enforce quality, IaC and supply-chain gates with short-lived identity.</t>
  </si>
  <si>
    <t>GitHub environment, OIDC role ARN, sandbox variables</t>
  </si>
  <si>
    <t>PR CI, Terraform plan workflow, image/SBOM scans and approval-gated deploy shell</t>
  </si>
  <si>
    <t>OPA and Checkov policy pack</t>
  </si>
  <si>
    <t>Make critical cloud controls executable before apply.</t>
  </si>
  <si>
    <t>Approved regions, encryption/tag rules, exception process</t>
  </si>
  <si>
    <t>Rego policies/tests, Checkov custom policies and fixtures</t>
  </si>
  <si>
    <t>Reviewed deploy, rollback, teardown and orphan scan</t>
  </si>
  <si>
    <t>Prove the AWS lifecycle without leaving unmanaged resources.</t>
  </si>
  <si>
    <t>Approved saved plan; budget ceiling; typed owner confirmations</t>
  </si>
  <si>
    <t>platformctl AWS implementations, deployment/rollback/destroy records, cleanup report</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</si>
  <si>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</si>
  <si>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</si>
  <si>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</si>
  <si>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</si>
  <si>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</si>
  <si>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Immutable EKS application deployment</t>
  </si>
  <si>
    <t>Deploy the verified service with workload identity and safe rollout controls.</t>
  </si>
  <si>
    <t>EKS cluster/namespace, ECR digest, domain/cert, pod identity choice</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</si>
  <si>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</si>
  <si>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</si>
  <si>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</si>
  <si>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</si>
  <si>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</si>
  <si>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</si>
  <si>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</si>
  <si>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</si>
  <si>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</si>
  <si>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</si>
  <si>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</si>
  <si>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</si>
  <si>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</si>
  <si>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</si>
  <si>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</si>
  <si>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</si>
  <si>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</si>
  <si>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</si>
  <si>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</si>
  <si>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</si>
  <si>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</si>
  <si>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</si>
  <si>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</si>
  <si>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</si>
  <si>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</si>
  <si>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</si>
  <si>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</si>
  <si>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</si>
  <si>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</si>
  <si>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</si>
  <si>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</si>
  <si>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</si>
  <si>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</si>
  <si>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</si>
  <si>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</si>
  <si>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</si>
  <si>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</si>
  <si>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</si>
  <si>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</si>
  <si>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</si>
  <si>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</si>
  <si>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</si>
  <si>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</si>
  <si>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</si>
  <si>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</si>
  <si>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</si>
  <si>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</si>
  <si>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</si>
  <si>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</si>
  <si>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</si>
  <si>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</si>
  <si>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</si>
  <si>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</si>
  <si>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</si>
  <si>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</si>
  <si>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</si>
  <si>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</si>
  <si>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</si>
  <si>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</si>
  <si>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</si>
  <si>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</si>
  <si>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</si>
  <si>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</si>
  <si>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</si>
  <si>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</si>
  <si>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</si>
  <si>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</si>
  <si>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</si>
  <si>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</si>
  <si>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</si>
  <si>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</si>
  <si>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</si>
  <si>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</si>
  <si>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</si>
  <si>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</si>
  <si>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</si>
  <si>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</si>
  <si>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</si>
  <si>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</si>
  <si>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</si>
  <si>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</si>
  <si>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</si>
  <si>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</si>
  <si>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</si>
  <si>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</si>
  <si>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</si>
  <si>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</si>
  <si>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</si>
  <si>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</si>
  <si>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</si>
  <si>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</si>
  <si>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</si>
  <si>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</si>
  <si>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</si>
  <si>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</si>
  <si>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</si>
  <si>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</si>
  <si>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</si>
  <si>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</si>
  <si>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</si>
  <si>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</si>
  <si>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</si>
  <si>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</si>
  <si>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</si>
  <si>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</si>
  <si>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</si>
  <si>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</si>
  <si>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</si>
  <si>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</si>
  <si>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</si>
  <si>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</si>
  <si>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</si>
  <si>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</si>
  <si>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</si>
  <si>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</si>
  <si>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</si>
  <si>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</si>
  <si>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</si>
  <si>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</si>
  <si>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</si>
  <si>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</si>
  <si>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</si>
  <si>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</si>
  <si>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</si>
  <si>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</si>
  <si>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</si>
  <si>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</si>
  <si>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</si>
  <si>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</si>
  <si>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</si>
  <si>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</si>
  <si>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Controlled Owner-Led Codex Prompt Library — v1.3.4</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</si>
  <si>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</si>
  <si>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</si>
  <si>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</si>
  <si>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</si>
  <si>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</si>
  <si>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</si>
  <si>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</si>
  <si>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</si>
  <si>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</si>
  <si>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</si>
  <si>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</si>
  <si>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</si>
  <si>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</si>
  <si>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</si>
  <si>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</si>
  <si>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</si>
  <si>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</si>
  <si>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</si>
  <si>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</si>
  <si>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</si>
  <si>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</si>
  <si>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</si>
  <si>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</si>
  <si>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</si>
  <si>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</si>
  <si>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</si>
  <si>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</si>
  <si>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</si>
  <si>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</si>
  <si>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</si>
  <si>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</si>
  <si>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</si>
  <si>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</si>
  <si>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</si>
  <si>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</si>
  <si>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</si>
  <si>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</si>
  <si>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</si>
  <si>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</si>
  <si>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</si>
  <si>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</si>
  <si>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</si>
  <si>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</si>
  <si>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</si>
  <si>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</si>
  <si>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</si>
  <si>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</si>
  <si>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</si>
  <si>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</si>
  <si>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</si>
  <si>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</si>
  <si>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</si>
  <si>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</si>
  <si>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</si>
  <si>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</si>
  <si>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</si>
  <si>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</si>
  <si>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</si>
  <si>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</si>
  <si>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</si>
  <si>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</si>
  <si>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</si>
  <si>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</si>
  <si>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</si>
  <si>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</si>
  <si>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</si>
  <si>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</si>
  <si>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</si>
  <si>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</si>
  <si>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</si>
  <si>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</si>
  <si>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</si>
  <si>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</si>
  <si>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</si>
  <si>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</si>
  <si>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</si>
  <si>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</si>
  <si>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</si>
  <si>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</si>
  <si>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</si>
  <si>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</si>
  <si>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</si>
  <si>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</si>
  <si>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</si>
  <si>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</si>
  <si>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</si>
  <si>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</si>
  <si>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</si>
  <si>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</si>
  <si>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</si>
  <si>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</si>
  <si>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</si>
  <si>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</si>
  <si>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</si>
  <si>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</si>
  <si>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</si>
  <si>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</si>
  <si>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</si>
  <si>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</si>
  <si>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</si>
  <si>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</si>
  <si>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</si>
  <si>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</si>
  <si>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</si>
  <si>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</si>
  <si>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</si>
  <si>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</si>
  <si>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</si>
  <si>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</si>
  <si>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</si>
  <si>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</si>
  <si>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</si>
  <si>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Exit 0</t>
  </si>
  <si>
    <t>docs/test-evidence/W5-terraform.txt</t>
  </si>
  <si>
    <t>T-W5-002</t>
  </si>
  <si>
    <t>Policy</t>
  </si>
  <si>
    <t>tflint/Checkov/OPA</t>
  </si>
  <si>
    <t>Secure config passes; insecure fixtures fail</t>
  </si>
  <si>
    <t>docs/test-evidence/W5-policy.txt</t>
  </si>
  <si>
    <t>T-W5-003</t>
  </si>
  <si>
    <t>Reviewed sandbox plan</t>
  </si>
  <si>
    <t>Only expected resources; no secret values</t>
  </si>
  <si>
    <t>T-W5-004</t>
  </si>
  <si>
    <t>Trivy, Syft and Grype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</si>
  <si>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</si>
  <si>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</si>
  <si>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</si>
  <si>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</si>
  <si>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</si>
  <si>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</si>
  <si>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</si>
  <si>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</si>
  <si>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</si>
  <si>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</si>
  <si>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</si>
  <si>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</si>
  <si>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</si>
  <si>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</si>
  <si>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</si>
  <si>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</si>
  <si>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</si>
  <si>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</si>
  <si>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</si>
  <si>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</si>
  <si>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</si>
  <si>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</si>
  <si>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</si>
  <si>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</si>
  <si>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</si>
  <si>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</si>
  <si>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</si>
  <si>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</si>
  <si>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</si>
  <si>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</si>
  <si>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</si>
  <si>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</si>
  <si>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</si>
  <si>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</si>
  <si>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</si>
  <si>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</si>
  <si>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</si>
  <si>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</si>
  <si>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</si>
  <si>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</si>
  <si>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</si>
  <si>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</si>
  <si>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</si>
  <si>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</si>
  <si>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</si>
  <si>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</si>
  <si>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</si>
  <si>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</si>
  <si>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</si>
  <si>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</si>
  <si>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</si>
  <si>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</si>
  <si>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</si>
  <si>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</si>
  <si>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</si>
  <si>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</si>
  <si>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</si>
  <si>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</si>
  <si>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</si>
  <si>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</si>
  <si>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</si>
  <si>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</si>
  <si>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</si>
  <si>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</si>
  <si>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</si>
  <si>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</si>
  <si>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</si>
  <si>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</si>
  <si>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</si>
  <si>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</si>
  <si>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</si>
  <si>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</si>
  <si>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</si>
  <si>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</si>
  <si>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</si>
  <si>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</si>
  <si>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</si>
  <si>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</si>
  <si>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</si>
  <si>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</si>
  <si>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</si>
  <si>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</si>
  <si>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</si>
  <si>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</si>
  <si>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</si>
  <si>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</si>
  <si>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</si>
  <si>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</si>
  <si>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</si>
  <si>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</si>
  <si>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</si>
  <si>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</si>
  <si>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</si>
  <si>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</si>
  <si>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</si>
  <si>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</si>
  <si>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</si>
  <si>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</si>
  <si>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</si>
  <si>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</si>
  <si>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</si>
  <si>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</si>
  <si>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</si>
  <si>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</si>
  <si>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</si>
  <si>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</si>
  <si>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</si>
  <si>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</si>
  <si>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</si>
  <si>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</si>
  <si>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</si>
  <si>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</si>
  <si>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</si>
  <si>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</si>
  <si>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</si>
  <si>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</si>
  <si>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</si>
  <si>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</si>
  <si>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</si>
  <si>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</si>
  <si>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</si>
  <si>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</si>
  <si>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</si>
  <si>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</si>
  <si>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</si>
  <si>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</si>
  <si>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</si>
  <si>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</si>
  <si>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</si>
  <si>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</si>
  <si>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</si>
  <si>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</si>
  <si>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</si>
  <si>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</si>
  <si>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</si>
  <si>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</si>
  <si>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</si>
  <si>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</si>
  <si>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</si>
  <si>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</si>
  <si>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</si>
  <si>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</si>
  <si>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</si>
  <si>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</si>
  <si>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</si>
  <si>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</si>
  <si>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</si>
  <si>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</si>
  <si>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</si>
  <si>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</si>
  <si>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</si>
  <si>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</si>
  <si>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</si>
  <si>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</si>
  <si>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</si>
  <si>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</si>
  <si>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</si>
  <si>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</si>
  <si>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</si>
  <si>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</si>
  <si>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</si>
  <si>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</si>
  <si>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</si>
  <si>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</si>
  <si>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</si>
  <si>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</si>
  <si>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</si>
  <si>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</si>
  <si>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</si>
  <si>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</si>
  <si>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Post-MVP</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</si>
  <si>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</si>
  <si>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</si>
  <si>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</si>
  <si>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</si>
  <si>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</si>
  <si>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</si>
  <si>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</si>
  <si>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</si>
  <si>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</si>
  <si>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</si>
  <si>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</si>
  <si>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</si>
  <si>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</si>
  <si>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</si>
  <si>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</si>
  <si>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</si>
  <si>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</si>
  <si>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</si>
  <si>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</si>
  <si>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</si>
  <si>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</si>
  <si>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</si>
  <si>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</si>
  <si>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</si>
  <si>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</si>
  <si>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</si>
  <si>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</si>
  <si>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</si>
  <si>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</si>
  <si>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</si>
  <si>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</si>
  <si>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</si>
  <si>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</si>
  <si>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</si>
  <si>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</si>
  <si>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</si>
  <si>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</si>
  <si>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</si>
  <si>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</si>
  <si>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</si>
  <si>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</si>
  <si>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</si>
  <si>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</si>
  <si>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</si>
  <si>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</si>
  <si>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</si>
  <si>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</si>
  <si>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</si>
  <si>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</si>
  <si>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</si>
  <si>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</si>
  <si>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</si>
  <si>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</si>
  <si>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</si>
  <si>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</si>
  <si>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</si>
  <si>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</si>
  <si>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</si>
  <si>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</si>
  <si>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</si>
  <si>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</si>
  <si>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</si>
  <si>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</si>
  <si>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</si>
  <si>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</si>
  <si>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</si>
  <si>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</si>
  <si>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</si>
  <si>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</si>
  <si>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</si>
  <si>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</si>
  <si>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</si>
  <si>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</si>
  <si>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</si>
  <si>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</si>
  <si>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</si>
  <si>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</si>
  <si>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</si>
  <si>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</si>
  <si>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</si>
  <si>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</si>
  <si>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</si>
  <si>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</si>
  <si>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</si>
  <si>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</si>
  <si>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</si>
  <si>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</si>
  <si>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</si>
  <si>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</si>
  <si>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</si>
  <si>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</si>
  <si>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</si>
  <si>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</si>
  <si>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</si>
  <si>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</si>
  <si>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</si>
  <si>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</si>
  <si>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</si>
  <si>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</si>
  <si>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</si>
  <si>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</si>
  <si>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</si>
  <si>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</si>
  <si>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</si>
  <si>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</si>
  <si>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</si>
  <si>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</si>
  <si>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</si>
  <si>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</si>
  <si>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</si>
  <si>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</si>
  <si>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</si>
  <si>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</si>
  <si>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</si>
  <si>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</si>
  <si>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</si>
  <si>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</si>
  <si>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All</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</si>
  <si>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</si>
  <si>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</si>
  <si>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</si>
  <si>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</si>
  <si>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</si>
  <si>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</si>
  <si>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</si>
  <si>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</si>
  <si>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</si>
  <si>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</si>
  <si>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</si>
  <si>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</si>
  <si>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</si>
  <si>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</si>
  <si>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</si>
  <si>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</si>
  <si>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</si>
  <si>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</si>
  <si>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</si>
  <si>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</si>
  <si>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</si>
  <si>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</si>
  <si>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</si>
  <si>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</si>
  <si>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</si>
  <si>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</si>
  <si>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</si>
  <si>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</si>
  <si>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</si>
  <si>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</si>
  <si>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</si>
  <si>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</si>
  <si>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</si>
  <si>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</si>
  <si>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</si>
  <si>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</si>
  <si>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</si>
  <si>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</si>
  <si>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</si>
  <si>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</si>
  <si>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</si>
  <si>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</si>
  <si>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</si>
  <si>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</si>
  <si>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</si>
  <si>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</si>
  <si>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</si>
  <si>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</si>
  <si>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</si>
  <si>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</si>
  <si>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</si>
  <si>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</si>
  <si>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</si>
  <si>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</si>
  <si>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</si>
  <si>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</si>
  <si>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</si>
  <si>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</si>
  <si>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</si>
  <si>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</si>
  <si>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</si>
  <si>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</si>
  <si>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</si>
  <si>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</si>
  <si>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</si>
  <si>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</si>
  <si>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</si>
  <si>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</si>
  <si>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</si>
  <si>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</si>
  <si>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</si>
  <si>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</si>
  <si>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</si>
  <si>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</si>
  <si>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</si>
  <si>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</si>
  <si>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</si>
  <si>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</si>
  <si>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</si>
  <si>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</si>
  <si>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</si>
  <si>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</si>
  <si>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</si>
  <si>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</si>
  <si>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</si>
  <si>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</si>
  <si>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</si>
  <si>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</si>
  <si>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</si>
  <si>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</si>
  <si>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</si>
  <si>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</si>
  <si>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</si>
  <si>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</si>
  <si>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</si>
  <si>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</si>
  <si>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</si>
  <si>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</si>
  <si>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</si>
  <si>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</si>
  <si>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</si>
  <si>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</si>
  <si>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</si>
  <si>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</si>
  <si>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</si>
  <si>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</si>
  <si>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</si>
  <si>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</si>
  <si>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</si>
  <si>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</si>
  <si>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</si>
  <si>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</si>
  <si>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</si>
  <si>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</si>
  <si>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</si>
  <si>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</si>
  <si>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</si>
  <si>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</si>
  <si>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</si>
  <si>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</si>
  <si>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</si>
  <si>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</si>
  <si>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</si>
  <si>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</si>
  <si>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</si>
  <si>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</si>
  <si>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</si>
  <si>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</si>
  <si>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</si>
  <si>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</si>
  <si>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</si>
  <si>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</si>
  <si>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</si>
  <si>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</si>
  <si>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</si>
  <si>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</si>
  <si>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</si>
  <si>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</si>
  <si>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</si>
  <si>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</si>
  <si>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</si>
  <si>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</si>
  <si>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</si>
  <si>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</si>
  <si>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</si>
  <si>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</si>
  <si>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</si>
  <si>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</si>
  <si>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</si>
  <si>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</si>
  <si>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</si>
  <si>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</si>
  <si>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</si>
  <si>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</si>
  <si>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</si>
  <si>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</si>
  <si>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</si>
  <si>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</si>
  <si>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</si>
  <si>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</si>
  <si>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</si>
  <si>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</si>
  <si>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</si>
  <si>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</si>
  <si>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</si>
  <si>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</si>
  <si>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</si>
  <si>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</si>
  <si>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SageMaker Model Registry</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</si>
  <si>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</si>
  <si>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</si>
  <si>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</si>
  <si>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</si>
  <si>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</si>
  <si>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</si>
  <si>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</si>
  <si>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</si>
  <si>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</si>
  <si>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</si>
  <si>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</si>
  <si>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</si>
  <si>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</si>
  <si>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</si>
  <si>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</si>
  <si>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</si>
  <si>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</si>
  <si>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</si>
  <si>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</si>
  <si>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</si>
  <si>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</si>
  <si>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</si>
  <si>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</si>
  <si>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</si>
  <si>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</si>
  <si>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</si>
  <si>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</si>
  <si>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</si>
  <si>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</si>
  <si>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</si>
  <si>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</si>
  <si>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</si>
  <si>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</si>
  <si>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</si>
  <si>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</si>
  <si>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</si>
  <si>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</si>
  <si>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</si>
  <si>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</si>
  <si>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</si>
  <si>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</si>
  <si>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</si>
  <si>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</si>
  <si>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</si>
  <si>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</si>
  <si>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</si>
  <si>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</si>
  <si>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</si>
  <si>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</si>
  <si>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</si>
  <si>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</si>
  <si>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</si>
  <si>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</si>
  <si>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</si>
  <si>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</si>
  <si>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</si>
  <si>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</si>
  <si>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</si>
  <si>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</si>
  <si>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</si>
  <si>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</si>
  <si>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</si>
  <si>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</si>
  <si>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</si>
  <si>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</si>
  <si>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</si>
  <si>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</si>
  <si>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</si>
  <si>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</si>
  <si>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EventBridge + Step Functions</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</si>
  <si>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</si>
  <si>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</si>
  <si>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</si>
  <si>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</si>
  <si>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</si>
  <si>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</si>
  <si>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</si>
  <si>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</si>
  <si>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</si>
  <si>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</si>
  <si>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</si>
  <si>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</si>
  <si>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</si>
  <si>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</si>
  <si>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</si>
  <si>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</si>
  <si>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</si>
  <si>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</si>
  <si>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</si>
  <si>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</si>
  <si>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</si>
  <si>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</si>
  <si>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</si>
  <si>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</si>
  <si>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</si>
  <si>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</si>
  <si>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</si>
  <si>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</si>
  <si>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</si>
  <si>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</si>
  <si>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</si>
  <si>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</si>
  <si>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</si>
  <si>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</si>
  <si>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</si>
  <si>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</si>
  <si>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</si>
  <si>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</si>
  <si>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</si>
  <si>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</si>
  <si>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</si>
  <si>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</si>
  <si>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</si>
  <si>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</si>
  <si>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</si>
  <si>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</si>
  <si>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</si>
  <si>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</si>
  <si>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</si>
  <si>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</si>
  <si>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</si>
  <si>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</si>
  <si>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</si>
  <si>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</si>
  <si>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</si>
  <si>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</si>
  <si>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</si>
  <si>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</si>
  <si>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</si>
  <si>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</si>
  <si>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</si>
  <si>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</si>
  <si>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</si>
  <si>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</si>
  <si>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</si>
  <si>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</si>
  <si>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</si>
  <si>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</si>
  <si>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</si>
  <si>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</si>
  <si>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</si>
  <si>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</si>
  <si>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</si>
  <si>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</si>
  <si>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</si>
  <si>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</si>
  <si>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</si>
  <si>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</si>
  <si>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</si>
  <si>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</si>
  <si>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</si>
  <si>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</si>
  <si>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</si>
  <si>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</si>
  <si>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</si>
  <si>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</si>
  <si>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</si>
  <si>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</si>
  <si>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</si>
  <si>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</si>
  <si>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</si>
  <si>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</si>
  <si>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</si>
  <si>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</si>
  <si>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</si>
  <si>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</si>
  <si>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</si>
  <si>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</si>
  <si>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</si>
  <si>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</si>
  <si>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</si>
  <si>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</si>
  <si>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</si>
  <si>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</si>
  <si>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</si>
  <si>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</si>
  <si>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</si>
  <si>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</si>
  <si>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</si>
  <si>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</si>
  <si>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</si>
  <si>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</si>
  <si>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</si>
  <si>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</si>
  <si>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</si>
  <si>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</si>
  <si>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</si>
  <si>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</si>
  <si>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</si>
  <si>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</si>
  <si>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</si>
  <si>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</si>
  <si>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</si>
  <si>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</si>
  <si>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</si>
  <si>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</si>
  <si>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</si>
  <si>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</si>
  <si>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</si>
  <si>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</si>
  <si>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</si>
  <si>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</si>
  <si>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</si>
  <si>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</si>
  <si>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</si>
  <si>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</si>
  <si>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</si>
  <si>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</si>
  <si>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</si>
  <si>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</si>
  <si>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</si>
  <si>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</si>
  <si>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</si>
  <si>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</si>
  <si>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</si>
  <si>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</si>
  <si>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</si>
  <si>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</si>
  <si>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</si>
  <si>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</si>
  <si>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</si>
  <si>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</si>
  <si>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</si>
  <si>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</si>
  <si>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</si>
  <si>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</si>
  <si>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</si>
  <si>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</si>
  <si>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</si>
  <si>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</si>
  <si>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</si>
  <si>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</si>
  <si>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</si>
  <si>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</si>
  <si>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</si>
  <si>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</si>
  <si>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</si>
  <si>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</si>
  <si>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</si>
  <si>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</si>
  <si>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</si>
  <si>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</si>
  <si>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</si>
  <si>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</si>
  <si>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</si>
  <si>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</si>
  <si>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</si>
  <si>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</si>
  <si>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</si>
  <si>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</si>
  <si>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</si>
  <si>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</si>
  <si>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</si>
  <si>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</si>
  <si>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</si>
  <si>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</si>
  <si>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</si>
  <si>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</si>
  <si>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</si>
  <si>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</si>
  <si>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</si>
  <si>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</si>
  <si>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</si>
  <si>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</si>
  <si>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</si>
  <si>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</si>
  <si>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</si>
  <si>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</si>
  <si>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</si>
  <si>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</si>
  <si>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</si>
  <si>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</si>
  <si>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</si>
  <si>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</si>
  <si>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</si>
  <si>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</si>
  <si>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</si>
  <si>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</si>
  <si>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</si>
  <si>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</si>
  <si>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</si>
  <si>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</si>
  <si>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</si>
  <si>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</si>
  <si>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</si>
  <si>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</si>
  <si>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</si>
  <si>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</si>
  <si>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</si>
  <si>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</si>
  <si>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</si>
  <si>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</si>
  <si>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</si>
  <si>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</si>
  <si>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</si>
  <si>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</si>
  <si>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</si>
  <si>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</si>
  <si>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</si>
  <si>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</si>
  <si>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</si>
  <si>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</si>
  <si>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</si>
  <si>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</si>
  <si>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</si>
  <si>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</si>
  <si>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</si>
  <si>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</si>
  <si>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</si>
  <si>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</si>
  <si>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</si>
  <si>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</si>
  <si>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</si>
  <si>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</si>
  <si>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</si>
  <si>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</si>
  <si>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</si>
  <si>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</si>
  <si>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</si>
  <si>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Source and Traceability Register — v1.3.4</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</si>
  <si>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</si>
  <si>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</si>
  <si>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</si>
  <si>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</si>
  <si>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</si>
  <si>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</si>
  <si>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</si>
  <si>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</si>
  <si>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</si>
  <si>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</si>
  <si>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</si>
  <si>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</si>
  <si>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</si>
  <si>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</si>
  <si>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</si>
  <si>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</si>
  <si>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</si>
  <si>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</si>
  <si>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</si>
  <si>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v1.3.4</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</si>
  <si>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</si>
  <si>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</si>
  <si>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</si>
  <si>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</si>
  <si>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</si>
  <si>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Enterprise AI Owner Learning Journey — v1.3.4</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</si>
  <si>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</si>
  <si>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</si>
  <si>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</si>
  <si>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</si>
  <si>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</si>
  <si>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</si>
  <si>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</si>
  <si>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</si>
  <si>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</si>
  <si>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</si>
  <si>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</si>
  <si>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</si>
  <si>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</si>
  <si>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</si>
  <si>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</si>
  <si>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</si>
  <si>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</si>
  <si>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</si>
  <si>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</si>
  <si>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TEST-001</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</si>
  <si>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</si>
  <si>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</si>
  <si>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</si>
  <si>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</si>
  <si>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</si>
  <si>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</si>
  <si>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</si>
  <si>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</si>
  <si>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</si>
  <si>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</si>
  <si>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</si>
  <si>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</si>
  <si>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</si>
  <si>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</si>
  <si>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</si>
  <si>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</si>
  <si>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</si>
  <si>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</si>
  <si>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</si>
  <si>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</si>
  <si>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</si>
  <si>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</si>
  <si>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</si>
  <si>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</si>
  <si>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</si>
  <si>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</si>
  <si>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</si>
  <si>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</si>
  <si>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</si>
  <si>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</si>
  <si>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</si>
  <si>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</si>
  <si>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</si>
  <si>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</si>
  <si>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</si>
  <si>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</si>
  <si>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</si>
  <si>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</si>
  <si>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</si>
  <si>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</si>
  <si>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</si>
  <si>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</si>
  <si>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</si>
  <si>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</si>
  <si>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</si>
  <si>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</si>
  <si>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</si>
  <si>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</si>
  <si>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</si>
  <si>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</si>
  <si>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</si>
  <si>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</si>
  <si>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</si>
  <si>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</si>
  <si>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</si>
  <si>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</si>
  <si>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</si>
  <si>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</si>
  <si>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</si>
  <si>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</si>
  <si>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</si>
  <si>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</si>
  <si>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</si>
  <si>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</si>
  <si>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Architecture</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</si>
  <si>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</si>
  <si>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</si>
  <si>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</si>
  <si>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</si>
  <si>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</si>
  <si>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</si>
  <si>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</si>
  <si>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</si>
  <si>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python -m tools.platformctl validate</t>
  </si>
  <si>
    <t>python -m enterprise_ai_platform.evaluation.runner --dataset configs/eval/golden.jsonl --out reports/eval.json</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</si>
  <si>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</si>
  <si>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</si>
  <si>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</si>
  <si>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</si>
  <si>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</si>
  <si>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</si>
  <si>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M — EXACT DOCUMENT WRITING APPROVAL — W5-001
This is a separate owner approval after the bounded edit and owner testing or content review. Classify every path under one—and only one—of the CREATE and UPDATE headings after read-only preflight inspection.
EXACT DOCUMENTATION BOUNDARY
CREATE:
- docs/test-evidence/W5-001.md
- docs/test-evidence/W5-02-bootstrap.txt
- docs/test-evidence/W5-03-security.txt
- docs/test-evidence/W5-04-iam.txt
- docs/test-evidence/W5-05-platform-plan.txt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W5-001.
</t>
  </si>
  <si>
    <t xml:space="preserve">COLUMN M — EXACT DOCUMENT WRITING APPROVAL — W5-002
This is a separate owner approval after the bounded edit and owner testing or content review. Classify every path under one—and only one—of the CREATE and UPDATE headings after read-only preflight inspection.
EXACT DOCUMENTATION BOUNDARY
CREATE:
- docs/test-evidence/W5-002.md
- docs/deployment-records/W6-image.md
- docs/test-evidence/W5-07-ci.txt
- docs/test-evidence/W5-08-supply-chain.txt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W5-002.
</t>
  </si>
  <si>
    <t xml:space="preserve">COLUMN M — EXACT DOCUMENT WRITING APPROVAL — W5-004
This is a separate owner approval after the bounded edit and owner testing or content review. Classify every path under one—and only one—of the CREATE and UPDATE headings after read-only preflight inspection.
EXACT DOCUMENTATION BOUNDARY
CREATE:
- docs/test-evidence/W5-004.md
- docs/deployment-records/W5-plan-review.md
- docs/deployment-records/W5-sandbox.md
- docs/deployment-records/W5-destroy-plan.md
- docs/resource-cleanliness/W5-report.json
- docs/resource-cleanliness/W6-final.json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W5-004.
</t>
  </si>
  <si>
    <t xml:space="preserve">COLUMN M — EXACT DOCUMENT WRITING APPROVAL — W6-001
This is a separate owner approval after the bounded edit and owner testing or content review. Classify every path under one—and only one—of the CREATE and UPDATE headings after read-only preflight inspection.
EXACT DOCUMENTATION BOUNDARY
CREATE:
- docs/test-evidence/W6-001.md
- docs/test-evidence/W6-02-k8s.txt
- docs/test-evidence/W6-03-identity.txt
- docs/test-evidence/W6-04-network.txt
- docs/test-evidence/W6-05-resilience.txt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W6-001.
</t>
  </si>
  <si>
    <t xml:space="preserve">COLUMN M — EXACT DOCUMENT WRITING APPROVAL — W6-003
This is a separate owner approval after the bounded edit and owner testing or content review. Classify every path under one—and only one—of the CREATE and UPDATE headings after read-only preflight inspection.
EXACT DOCUMENTATION BOUNDARY
CREATE:
- docs/test-evidence/W6-003.md
- docs/test-evidence/W6-final-index.md
- docs/rollback-records/W6-release.md
- docs/architecture/final-review.md
UPDATE:
- docs/test-evidence/README.md
- docs/resource-cleanliness/W6-final.json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W6-003.
</t>
  </si>
  <si>
    <t>Read-only teaching plan → owner teach-back → owner writes the exact weekly evidence note → final teach-back approval → owner tracker update</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</si>
  <si>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</si>
  <si>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</si>
  <si>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</si>
  <si>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Owner completes the teach-back and records notes in docs/learning/W1-learning-review.md</t>
  </si>
  <si>
    <t>Owner completes the teach-back and records notes in docs/learning/W2-learning-review.md</t>
  </si>
  <si>
    <t>Owner completes the teach-back and records notes in docs/learning/W3-learning-review.md</t>
  </si>
  <si>
    <t>Owner completes the teach-back and records notes in docs/learning/W4-learning-review.md</t>
  </si>
  <si>
    <t>Owner completes the teach-back and records notes in docs/learning/W5-learning-review.md</t>
  </si>
  <si>
    <t>Owner completes the teach-back and records notes in docs/learning/W6-learning-review.md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</si>
  <si>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</si>
  <si>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</si>
  <si>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</si>
  <si>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</si>
  <si>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W1-REVIEW-001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</si>
  <si>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</si>
  <si>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</si>
  <si>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</si>
  <si>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</si>
  <si>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</si>
  <si>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records the five-minute teach-back notes in docs/architecture/local-retrieval.md</t>
  </si>
  <si>
    <t>W2-REVIEW-001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</si>
  <si>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</si>
  <si>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</si>
  <si>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W3-REVIEW-001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</si>
  <si>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</si>
  <si>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</si>
  <si>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W4-REVIEW-001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</si>
  <si>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</si>
  <si>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</si>
  <si>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</si>
  <si>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</si>
  <si>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</si>
  <si>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</si>
  <si>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</si>
  <si>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W5-REVIEW-001</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</si>
  <si>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</si>
  <si>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Week 1 sheet, evidence register, ADRs, TODOs and owner-supplied results</t>
  </si>
  <si>
    <t>Owner-written evidence: docs/architecture/local-retrieval.md</t>
  </si>
  <si>
    <t>Week 2 sheet, evidence register, ADRs, TODOs and owner-supplied results</t>
  </si>
  <si>
    <t>Week 3 sheet, evidence register, ADRs, TODOs and owner-supplied results</t>
  </si>
  <si>
    <t>Week 4 sheet, evidence register, ADRs, TODOs and owner-supplied results</t>
  </si>
  <si>
    <t>Week 5 sheet, evidence register, ADRs, TODOs and owner-supplied results</t>
  </si>
  <si>
    <t>CTX-001</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</si>
  <si>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</si>
  <si>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</si>
  <si>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</si>
  <si>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</si>
  <si>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v1.3.4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</si>
  <si>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</si>
  <si>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</si>
  <si>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</si>
  <si>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</si>
  <si>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</si>
  <si>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</si>
  <si>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</si>
  <si>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</si>
  <si>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</si>
  <si>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v1.3.4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</si>
  <si>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</si>
  <si>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</si>
  <si>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</si>
  <si>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</si>
  <si>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</si>
  <si>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v1.3.4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</si>
  <si>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Approved business-first documentation/decision record only; no code or command execution</t>
  </si>
  <si>
    <t>FOUR APPROVAL GATES PLUS OWNER TESTING AND WEEKLY LEARNING — TRACKER v1.3.4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</si>
  <si>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</si>
  <si>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</si>
  <si>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</si>
  <si>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</si>
  <si>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</si>
  <si>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</si>
  <si>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FOUR APPROVAL GATES PLUS OWNER TESTING AND WEEKLY LEARNING — TRACKER v1.3.4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</si>
  <si>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</si>
  <si>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</si>
  <si>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</si>
  <si>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</si>
  <si>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Approved code/configuration/test-code changes; owner test/deployment/remediation guide; business/technical/layman/interview summary</t>
  </si>
  <si>
    <t xml:space="preserve">FOUR APPROVAL GATES PLUS OWNER TESTING AND WEEKLY LEARNING — TRACKER v1.3.4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</si>
  <si>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</si>
  <si>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</si>
  <si>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</si>
  <si>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</si>
  <si>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</si>
  <si>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 xml:space="preserve">FOUR APPROVAL GATES PLUS OWNER TESTING AND WEEKLY LEARNING — TRACKER v1.3.4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</si>
  <si>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</si>
  <si>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</si>
  <si>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</si>
  <si>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 xml:space="preserve">FOUR APPROVAL GATES PLUS OWNER TESTING AND WEEKLY LEARNING — TRACKER v1.3.4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</si>
  <si>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</si>
  <si>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</si>
  <si>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</si>
  <si>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</si>
  <si>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 xml:space="preserve">FOUR APPROVAL GATES PLUS OWNER TESTING AND WEEKLY LEARNING — TRACKER v1.3.4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</si>
  <si>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</si>
  <si>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</si>
  <si>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</si>
  <si>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</si>
  <si>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</si>
  <si>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</si>
  <si>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</si>
  <si>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v1.3.4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</si>
  <si>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</si>
  <si>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</si>
  <si>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</si>
  <si>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</si>
  <si>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</si>
  <si>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 xml:space="preserve">FOUR APPROVAL GATES PLUS OWNER TESTING AND WEEKLY LEARNING — TRACKER v1.3.4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</si>
  <si>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</si>
  <si>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</si>
  <si>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</si>
  <si>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</si>
  <si>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 xml:space="preserve">FOUR APPROVAL GATES PLUS OWNER TESTING AND WEEKLY LEARNING — TRACKER v1.3.4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v1.3.4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</si>
  <si>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</si>
  <si>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</si>
  <si>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</si>
  <si>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</si>
  <si>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</si>
  <si>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</si>
  <si>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</si>
  <si>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</si>
  <si>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v1.3.4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</si>
  <si>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</si>
  <si>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</si>
  <si>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</si>
  <si>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</si>
  <si>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Business/technical/layman explanation, decision review and interview practice only</t>
  </si>
  <si>
    <t>FOUR APPROVAL GATES PLUS OWNER TESTING AND WEEKLY LEARNING — TRACKER v1.3.4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</si>
  <si>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</si>
  <si>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</si>
  <si>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</si>
  <si>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</si>
  <si>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READY FOR PRE-EDIT REVIEW — W3-001</t>
  </si>
  <si>
    <t>W3-01, W3-02, W3-03, W3-04</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</si>
  <si>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</si>
  <si>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READY FOR PRE-EDIT REVIEW — W3-002</t>
  </si>
  <si>
    <t>W3-06, W3-07, W3-10</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</si>
  <si>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</si>
  <si>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READY FOR PRE-EDIT REVIEW — W3-003</t>
  </si>
  <si>
    <t>W3-05, W3-08</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</si>
  <si>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</si>
  <si>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</si>
  <si>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READY FOR PRE-EDIT REVIEW — W3-ROLLBACK-001</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</si>
  <si>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</si>
  <si>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READY FOR PRE-EDIT REVIEW — W4-001</t>
  </si>
  <si>
    <t>W4-01, W4-02, W4-10</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</si>
  <si>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</si>
  <si>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READY FOR PRE-EDIT REVIEW — W4-002</t>
  </si>
  <si>
    <t>W4-03, W4-04, W4-05, W4-06, W4-07, W4-09</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</si>
  <si>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</si>
  <si>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READY FOR PRE-EDIT REVIEW — W4-003</t>
  </si>
  <si>
    <t>W3-09, W4-08</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</si>
  <si>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</si>
  <si>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 xml:space="preserve">FOUR APPROVAL GATES PLUS OWNER TESTING AND WEEKLY LEARNING — TRACKER v1.3.4
MAIN PROMPT — W4-ROLLBACK-001
TASK IDENTITY
- Week: Week 4
- Feature/outcome: Local immutable release rollback drill
- Business purpose: Prove release rollback separately from infrastructure rollback.
- Covered tracker steps: W4-11
- Required inputs: Approved local immutable releases N and N+1 and safe regression method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W4-11 — Deploy local immutable version N+1, force regression and restore N.
  Business reason: Release rollback is separate from infrastructure rollback.
  Acceptance: N becomes healthy and passes feature tests after rollback.
  Dependency: W4-01:W4-10
  Owner verification reference: make rollback-release &amp;&amp; make smoke
  Expected result: Rollback duration and health evidence recorded.
  Canonical evidence: docs/rollback-records/W4-release.md
  Rollback/teardown: Keep agent route disabled until the failure is fixed.
  Current tracker status (read-only historical/current fact): Not Started
  Separate Task Context: 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
Downstream tracker steps identified from recorded dependencies: W4-12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SCOPED TASK — W4-ROLLBACK-001
Using only local immutable release artifacts and files explicitly listed in the approved pre-edit plan, design owner-run TEST-001 steps to deploy local version N+1, introduce the approved safe regression, restore N, and execute the rollback and smoke commands. The owner supplies versions, digests, results, duration and risks for later Column M documentation in docs/rollback-records/W4-release.md. Do not push images, mutate Kubernetes/cloud resources or edit this tracker.
TASK-SPECIFIC AMENDMENT — IMMUTABLE LOCAL RELEASE ROLLBACK
Require completion of W4-01 through W4-10 and an approved safe regression. Capture immutable release N and N+1 digests/config hashes, health/evaluation baseline and exact local resources. Prove N+1 failure, restore N without changing infrastructure or shared data, then rerun liveness/readiness, API/auth, agent safety, smoke, telemetry and cleanup checks. Do not build or pull an unapproved image, use a mutable tag as authority, push an image, mutate Kubernetes/cloud or treat teardown as rollback. Record rollback time, failure signal, restored digest and residuals at docs/rollback-records/W4-release.md; remove task-owned local containers/networks/volumes/caches according to approval.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release rollback separately from infrastructure rollback. The primary beneficiaries are release owner, SRE, support and risk managers.
- Process and risk: This task supports known-good baseline -&gt; bounded change -&gt; regression detection -&gt; owner rollback -&gt; verification and evidence. Without it, the platform can produce an unauditable, insecure or non-reproducible result at this exact layer.
- Measurable outcome: restored baseline passes exact regression and leaves no ambiguous active version. It contributes to the MVP by making Local immutable release rollback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END-TO-END ARCHITECTURE LEARNING
- Position and flow: known-good baseline -&gt; bounded change -&gt; regression detection -&gt; owner rollback -&gt; verification and evidence.
- Upstream/dependency boundary: W4-01:W4-10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immutable/versioned configuration or releases, activation pointer, regression check and cleanup plan.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immutable/versioned configuration or releases, activation pointer, regression check and cleanup plan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switching a railway signal back to a tested track.
- What goes in / happens / comes out: approved Approved local immutable releases N and N+1 and safe regression method goes through Local immutable release rollback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configuration rollback reverses behavior settings; infrastructure rollback reverses resources.
ARCHITECTURE DECISIONS AND TRADE-OFFS
- Selected recorded direction: rollback targets an exact known-good identity instead of editing forward under pressure.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approval, artifact integrity and redacted evidence prevent unauthorized rollback. Apply classification, PII handling, tenant isolation, authorization before provider/storage calls, secret exclusion, redacted evidence, residency, retention, provenance and least privilege where applicable.
- Failure/operations: failed rollback is explicit and escalated; never destroy the last known-good version.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immutable release rollback drill addresses prove release rollback separately from infrastructure rollback. It makes the result governed, testable and reversible, measured by restored baseline passes exact regression and leaves no ambiguous active version.
- Two-minute technical explanation: describe immutable/versioned configuration or releases, activation pointer, regression check and cleanup plan; trace known-good baseline -&gt; bounded change -&gt; regression detection -&gt; owner rollback -&gt; verification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immutable release rollback drill solve?
   Answer points: Connect Prove release rollback separately from infrastructure rollback. to restored baseline passes exact regression and leaves no ambiguous active version and identify release owner, SRE, support and risk managers.
2. Q: Trace the end-to-end flow for W4-ROLLBACK-001.
   Answer points: Explain known-good baseline -&gt; bounded change -&gt; regression detection -&gt; owner rollback -&gt; verification and evidence; name upstream dependencies, downstream consumers, trust and state boundaries.
3. Q: Which design decision matters most and what alternative was rejected?
   Answer points: Discuss rollback targets an exact known-good identity instead of editing forward under pressure; compare the adjacent alternative and when it could be preferable.
4. Q: How does this task fail safely and how is it recovered?
   Answer points: Use this scenario: failed rollback is explicit and escalated; never destroy the last known-good version; distinguish retry, remediation, rollback, teardown and evidence.
5. Q: How are security, privacy and cost controlled?
   Answer points: Explain owner approval, artifact integrity and redacted evidence prevent unauthorized rollback; include least privilege, redaction/residency, bounded resources and owner-only access.
- Design trade-off: volume/latency increases tenfold; explain whether rollback targets an exact known-good identity instead of editing forward under pressure still holds and what evidence/ADR/approval must change.
- Failure/remediation: failed rollback is explicit and escalated; never destroy the last known-good version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immutable release rollback drill. Task — establish the governed contract. Action — map consumers, work within gates, owner-test, diagnose completely and prove lifecycle. Result — report only accepted evidence and restored baseline passes exact regression and leaves no ambiguous active version.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immutable releases N and N+1 and safe regression method.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W4-ROLLBACK-001.
</t>
  </si>
  <si>
    <t>READY FOR PRE-EDIT REVIEW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</si>
  <si>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</si>
  <si>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</si>
  <si>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FOUR APPROVAL GATES PLUS OWNER TESTING AND WEEKLY LEARNING — TRACKER v1.3.4
MAIN PROMPT — W5-INPUTS-001
TASK IDENTITY
- Week: Week 5
- Feature/outcome: AWS sandbox input approval
- Business purpose: Capture all non-secret AWS, network, tagging, residency and budget choices before Terraform work.
- Covered tracker steps: W5-01
- Required inputs: AWS-001, AWS-002, NET-001, TAG-001, COST-001 and PRIV-001;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W5-01 — Confirm sandbox account, region, network, tags, data residency and budget ceiling.
  Business reason: Terraform cannot be safely reviewed with ambiguous ownership or cost.
  Acceptance: All variables are non-secret and approved.
  Dependency: W4-13
  Owner verification reference: Review infra/environments/sandbox/terraform.tfvars.example
  Expected result: No credential/secret value is requested.
  Canonical evidence: docs/cost-estimates/W5-inputs.md
  Rollback/teardown: Do not initialize/apply until inputs are approved.
  Current tracker status (read-only historical/current fact): Not Started
  Separate Task Context: 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
Downstream tracker steps identified from recorded dependencies: W5-02, W5-03, W5-04, W5-13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W5-INPUTS-001
The planned Column L content boundary is create only infra/environments/sandbox/terraform.tfvars.example and docs/cost-estimates/W5-inputs.md; their approved parent structure exists. Use TODO placeholders for sandbox account ID, approved region, VPC/subnets, mandatory tags, data-residency/privacy constraints, expiry and monthly budget. Never request, store or display credentials, secret values or live tokens. Do not run terraform init/plan/apply/destroy and do not access AWS. Leave the approval record READY FOR OWNER REVIEW.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Record which later owner-run Terraform/AWS actions remain prohibited until a separate approval; do not provide or execute those actions in this task.
6. Confirm no ignored or Git-invisible residue remains.
TASK-SPECIFIC AMENDMENT — COMPLETE NON-SECRET AWS INPUT GATE
Do not start Terraform design until W4-12 is signed off. Reconcile and obtain owner decisions for AWS-001, AWS-002, NET-001, TAG-001, COST-001, PRIV-001, KMS-001, GHA-001 and BED-001; also identify EKS-001, OBS-001 and SLO-001 as required before W5-13/Week 6. Record account ID, region/service availability, existing-vs-owned VPC/subnets/CIDRs/DNS/egress/endpoints, data residency, mandatory tags/expiry, monthly/daily/paid-evaluation ceilings, KMS deletion window/follow-up owner, GitHub repository/environment/OIDC naming and Bedrock model/quota/fallback—never credentials, role sessions, secret values or live tokens. Validate ownership boundaries so shared networking/EKS resources can never be destroyed. Modify only the two scoped input documents, leave status READY FOR OWNER REVIEW, run no Terraform/AWS/network command and do not infer approval from placeholders.
CONTENT-SPECIFIC READ-ONLY REVIEW — REQUIRED RESPONSE SECTIONS
1. Business and document outcome
Explain the non-secret sandbox variable example and cost/input decision record; Terraform and AWS execution remain outside this task.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infra/environments/sandbox/terraform.tfvars.example
- docs/cost-estimates/W5-inputs.md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Capture all non-secret AWS, network, tagging, residency and budget choices before Terraform work. The primary beneficiaries are cloud owner, security, finance, networking and platform teams.
- Process and risk: This task supports owner-approved non-secret account/network/tag/residency/budget choices -&gt; decision record -&gt; Terraform inputs. Without it, the platform can produce an unauditable, insecure or non-reproducible result at this exact layer.
- Measurable outcome: complete non-secret input record with zero unresolved code-blocking values. It contributes to the MVP by making AWS sandbox input approval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END-TO-END ARCHITECTURE LEARNING
- Position and flow: owner-approved non-secret account/network/tag/residency/budget choices -&gt; decision record -&gt; Terraform inputs.
- Upstream/dependency boundary: W4-13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AWS account/region, VPC/subnets, tags, GitHub OIDC, Bedrock IDs, residency and cost ceiling.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AWS account/region, VPC/subnets, tags, GitHub OIDC, Bedrock IDs, residency and cost ceiling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signed travel authorization before booking anything.
- What goes in / happens / comes out: approved AWS-001, AWS-002, NET-001, TAG-001, COST-001 and PRIV-001; no credentials goes through AWS sandbox input approval; validation and controls run; the output is Approved business-first documentation/decision record only; no code or command execution or a clear, non-fabricated stop.
- Why the business cares: the process becomes explainable, safer and repeatable.
- Adjacent technology: input approval chooses constraints; Terraform later implements them.
ARCHITECTURE DECISIONS AND TRADE-OFFS
- Selected recorded direction: record every cloud boundary before IaC so placeholders cannot become accidental production values.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credentials in workbook/repository; least privilege, residency and budget are explicit. Apply classification, PII handling, tenant isolation, authorization before provider/storage calls, secret exclusion, redacted evidence, residency, retention, provenance and least privilege where applicable.
- Failure/operations: missing or conflicting input blocks Terraform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AWS sandbox input approval addresses capture all non-secret aws, network, tagging, residency and budget choices before terraform work. It makes the result governed, testable and reversible, measured by complete non-secret input record with zero unresolved code-blocking values.
- Two-minute technical explanation: describe AWS account/region, VPC/subnets, tags, GitHub OIDC, Bedrock IDs, residency and cost ceiling; trace owner-approved non-secret account/network/tag/residency/budget choices -&gt; decision record -&gt; Terraform inputs;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AWS sandbox input approval solve?
   Answer points: Connect Capture all non-secret AWS, network, tagging, residency and budget choices before Terraform work. to complete non-secret input record with zero unresolved code-blocking values and identify cloud owner, security, finance, networking and platform teams.
2. Q: Trace the end-to-end flow for W5-INPUTS-001.
   Answer points: Explain owner-approved non-secret account/network/tag/residency/budget choices -&gt; decision record -&gt; Terraform inputs; name upstream dependencies, downstream consumers, trust and state boundaries.
3. Q: Which design decision matters most and what alternative was rejected?
   Answer points: Discuss record every cloud boundary before IaC so placeholders cannot become accidental production values; compare the adjacent alternative and when it could be preferable.
4. Q: How does this task fail safely and how is it recovered?
   Answer points: Use this scenario: missing or conflicting input blocks Terraform approval; distinguish retry, remediation, rollback, teardown and evidence.
5. Q: How are security, privacy and cost controlled?
   Answer points: Explain no credentials in workbook/repository; least privilege, residency and budget are explicit; include least privilege, redaction/residency, bounded resources and owner-only access.
- Design trade-off: volume/latency increases tenfold; explain whether record every cloud boundary before IaC so placeholders cannot become accidental production values still holds and what evidence/ADR/approval must change.
- Failure/remediation: missing or conflicting input blocks Terraform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AWS sandbox input approval. Task — establish the governed contract. Action — map consumers, work within gates, owner-test, diagnose completely and prove lifecycle. Result — report only accepted evidence and complete non-secret input record with zero unresolved code-blocking values.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AWS-001, AWS-002, NET-001, TAG-001, COST-001 and PRIV-001; no credentials.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resource creation and provider/API execution do not apply to this document gate
- Column L activation: no workbook text grants authority until the owner explicitly issues an exact bounded Code or Content Edit Approval after all edit-blocking decisions are resolved and patch contexts are re-read.
End exactly: READY FOR PRE-EDIT REVIEW — W5-INPUTS-001.</t>
  </si>
  <si>
    <t>READY FOR PRE-EDIT REVIEW — W5-INPUTS-001</t>
  </si>
  <si>
    <t xml:space="preserve">COLUMN M — EXACT DOCUMENT WRITING APPROVAL — W5-INPUTS-001
This is a separate owner approval after the bounded edit and owner testing or content review. Classify every path under one—and only one—of the CREATE and UPDATE headings after read-only preflight inspection.
EXACT DOCUMENTATION BOUNDARY
CREATE:
- infra/environments/sandbox/terraform.tfvars.example
- docs/cost-estimates/W5-inputs.md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W5-INPUTS-001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W5-INPUTS-001.
</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</si>
  <si>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</si>
  <si>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 xml:space="preserve">FOUR APPROVAL GATES PLUS OWNER TESTING AND WEEKLY LEARNING — TRACKER v1.3.4
MAIN PROMPT — W5-001
TASK IDENTITY
- Week: Week 5
- Feature/outcome: Terraform AWS sandbox modules
- Business purpose: Produce reviewable infrastructure without secret material.
- Covered tracker steps: W5-02, W5-03, W5-04, W5-05
- Required inputs: TODO account, region, VPC/subnets, GitHub repo, tags, Bedrock models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W5-02 — Build isolated encrypted/versioned S3 state and Terraform 1.5 DynamoDB locking stack.
  Business reason: State must survive platform rollback and be removed last during full teardown.
  Acceptance: fmt/validate/Checkov pass; apply remains manual.
  Dependency: W5-01
  Owner verification reference: terraform -chdir=infra/bootstrap fmt -check &amp;&amp; terraform -chdir=infra/bootstrap validate
  Expected result: Bootstrap plan contains only expected resources.
  Canonical evidence: docs/test-evidence/W5-02-bootstrap.txt
  Rollback/teardown: Destroy platform first; bootstrap destroy is separately reviewed.
  Current tracker status (read-only historical/current fact): Not Started
  Separate Task Context: Week 5 State bootstrap task in the end-to-end architecture. After Code Edit Approval, Codex writes only the approved code/configuration/test code for “Build isolated encrypted/versioned S3 state and Terraform 1.5 DynamoDB locking stack.”; you run the verification/deployment commands and return the results. Business value: State must survive platform rollback and be removed last during full teardown. Interview focus: explain where this component sits, how it fails safely and how it is rolled back.
- W5-03 — Create KMS, private/versioned S3 and secret-metadata modules.
  Business reason: Encryption and secret separation are foundational controls.
  Acceptance: No public access or secret value resource exists.
  Dependency: W5-01,W5-02
  Owner verification reference: terraform -chdir=infra/environments/sandbox validate &amp;&amp; checkov -d infra/modules
  Expected result: Security controls pass; deletion settings are explicit.
  Canonical evidence: docs/test-evidence/W5-03-security.txt
  Rollback/teardown: Apply prior Terraform version; use purge only for disposable sandbox.
  Current tracker status (read-only historical/current fact): Not Started
  Separate Task Context: 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
- W5-04 — Create least-privilege runtime, ingestion and GitHub OIDC roles.
  Business reason: Workloads need short-lived, separated permissions.
  Acceptance: No wildcard action/resource without reviewed exception.
  Dependency: W5-01
  Owner verification reference: checkov -d infra &amp;&amp; opa test policies/opa -v
  Expected result: Trust policies bind approved repo/environment and workload identity.
  Canonical evidence: docs/test-evidence/W5-04-iam.txt
  Rollback/teardown: Disable role session/restore prior policy; do not store keys.
  Current tracker status (read-only historical/current fact): Not Started
  Separate Task Context: 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
- W5-05 — Create private encrypted OpenSearch and ECR modules.
  Business reason: OpenSearch is the AWS vector target; ECR stores immutable images.
  Acceptance: Private network, TLS, encryption, logs and access controls are planned.
  Dependency: W5-03,W5-04
  Owner verification reference: terraform -chdir=infra/environments/sandbox plan -out=tfplan
  Expected result: Plan summary shows only expected resources and estimated baseline cost.
  Canonical evidence: docs/test-evidence/W5-05-platform-plan.txt
  Rollback/teardown: Apply reviewed previous Terraform version or destroy disposable resources in order.
  Current tracker status (read-only historical/current fact): Not Started
  Separate Task Context: 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
Downstream tracker steps identified from recorded dependencies: W5-03, W5-05, W5-06, W5-07, W5-09, W6-03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Terraform &gt;=1.5 modules and sandbox composition for KMS, private versioned S3, Secrets Manager metadata only, least-privilege runtime/ingestion roles, ECR and a private VPC OpenSearch domain with encryption, HTTPS, fine-grained access, logs and security groups. Isolate an encrypted/versioned S3 state plus DynamoDB-locking bootstrap for Terraform 1.5 and document newer S3 lockfiles. Never create secret versions or accept secret values. Validate inputs, apply mandatory tags, gate deletion protection and document every suppression with owner/reason/expiry. Plan only.
TASK-SPECIFIC AMENDMENT — TERRAFORM STATIC FOUNDATION AND BOOTSTRAP DEPENDENCY
1. Require W5-INPUTS-001 final approval and exact non-secret inputs. Pin Terraform/provider/module versions; owner-run reviewed initialization may generate exact dependency lock files for a separately reviewed repository update, but Codex does not initialize, stage or commit them. Use external TF_DATA_DIR/plugin caches; repository .terraform, plan binaries, state and credentials are prohibited.
2. Separate bootstrap and platform roots. Static work here creates/validates code only. Use terraform init -backend=false for offline/static checks unless an exact read-only network initialization is separately approved. A real plan requires approved short-lived AWS identity/account/region and is not an offline test.
3. The remote backend must physically exist before the W5-09 platform saved plan. Therefore W5-004 must perform a separately approved bootstrap saved-plan/apply cycle when the backend is absent; W5-001 must not claim that platform planning can use an unapplied backend.
4. No secret value/resource version, public endpoint, wildcard IAM or unbounded cost default. OpenSearch must be private, encrypted in transit/at rest, access-controlled, logged and deletion/cost guarded. ECR uses immutable scanning settings. Tags apply to every supported resource; exceptions require owner/rationale/expiry.
5. Test variables, outputs, fmt/validate/tflint/Checkov/OPA, plan redaction, secret-in-state prevention, provider-lock integrity, bootstrap/platform dependency and destroy ordering. Canonical evidence: W5-02-bootstrap.txt, W5-03-security.txt, W5-04-iam.txt and W5-05-platform-plan.txt; reconcile aggregate W5-terraform.txt. No apply/destroy, live AWS mutation,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Produce reviewable infrastructure without secret material. The primary beneficiaries are platform, security, networking, finance and SRE.
- Process and risk: This task supports approved cloud inputs -&gt; Terraform modules -&gt; static/policy validation -&gt; saved plan -&gt; owner review -&gt; later apply. Without it, the platform can produce an unauditable, insecure or non-reproducible result at this exact layer.
- Measurable outcome: reproducible plan with zero critical policy findings and bounded cost. It contributes to the MVP by making Terraform AWS sandbox modules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END-TO-END ARCHITECTURE LEARNING
- Position and flow: approved cloud inputs -&gt; Terraform modules -&gt; static/policy validation -&gt; saved plan -&gt; owner review -&gt; later apply.
- Upstream/dependency boundary: W5-01, W5-01,W5-02, W5-01, W5-03,W5-04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providers, state/bootstrap boundary, network, IAM, KMS, storage/search/compute modules, variables and outputs.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providers, state/bootstrap boundary, network, IAM, KMS, storage/search/compute modules, variables and outputs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engineering blueprint that can be reviewed before machinery builds anything.
- What goes in / happens / comes out: approved TODO account, region, VPC/subnets, GitHub repo, tags, Bedrock models goes through Terraform AWS sandbox modules;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declares infrastructure; deployment applies an approved plan.
ARCHITECTURE DECISIONS AND TRADE-OFFS
- Selected recorded direction: modular IaC, reviewed plans and immutable inputs are selected over console changes.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encryption, private networking, mandatory tags and no secrets in state/code. Apply classification, PII handling, tenant isolation, authorization before provider/storage calls, secret exclusion, redacted evidence, residency, retention, provenance and least privilege where applicable.
- Failure/operations: plan or policy failure blocks apply; rollback uses reviewed prior configuration; teardown is dependency ordered.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Terraform AWS sandbox modules addresses produce reviewable infrastructure without secret material. It makes the result governed, testable and reversible, measured by reproducible plan with zero critical policy findings and bounded cost.
- Two-minute technical explanation: describe providers, state/bootstrap boundary, network, IAM, KMS, storage/search/compute modules, variables and outputs; trace approved cloud inputs -&gt; Terraform modules -&gt; static/policy validation -&gt; saved plan -&gt; owner review -&gt; later apply;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Terraform AWS sandbox modules solve?
   Answer points: Connect Produce reviewable infrastructure without secret material. to reproducible plan with zero critical policy findings and bounded cost and identify platform, security, networking, finance and SRE.
2. Q: Trace the end-to-end flow for W5-001.
   Answer points: Explain approved cloud inputs -&gt; Terraform modules -&gt; static/policy validation -&gt; saved plan -&gt; owner review -&gt; later apply; name upstream dependencies, downstream consumers, trust and state boundaries.
3. Q: Which design decision matters most and what alternative was rejected?
   Answer points: Discuss modular IaC, reviewed plans and immutable inputs are selected over console changes; compare the adjacent alternative and when it could be preferable.
4. Q: How does this task fail safely and how is it recovered?
   Answer points: Use this scenario: plan or policy failure blocks apply; rollback uses reviewed prior configuration; teardown is dependency ordered; distinguish retry, remediation, rollback, teardown and evidence.
5. Q: How are security, privacy and cost controlled?
   Answer points: Explain least privilege, encryption, private networking, mandatory tags and no secrets in state/code; include least privilege, redaction/residency, bounded resources and owner-only access.
- Design trade-off: volume/latency increases tenfold; explain whether modular IaC, reviewed plans and immutable inputs are selected over console changes still holds and what evidence/ADR/approval must change.
- Failure/remediation: plan or policy failure blocks apply; rollback uses reviewed prior configuration; teardown is dependency ordered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Terraform AWS sandbox modules. Task — establish the governed contract. Action — map consumers, work within gates, owner-test, diagnose completely and prove lifecycle. Result — report only accepted evidence and reproducible plan with zero critical policy findings and bounded cost.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TODO account, region, VPC/subnets, GitHub repo, tags, Bedrock models.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W5-001.
</t>
  </si>
  <si>
    <t>READY FOR PRE-EDIT REVIEW — W5-001</t>
  </si>
  <si>
    <t>W5-02, W5-03, W5-04, W5-05</t>
  </si>
  <si>
    <t xml:space="preserve">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
</t>
  </si>
  <si>
    <t xml:space="preserve">FOUR APPROVAL GATES PLUS OWNER TESTING AND WEEKLY LEARNING — TRACKER v1.3.4
MAIN PROMPT — W5-002
TASK IDENTITY
- Week: Week 5
- Feature/outcome: GitHub Actions DevSecOps pipeline
- Business purpose: Enforce quality, IaC and supply-chain gates with short-lived identity.
- Covered tracker steps: W5-07, W5-08, W6-01
- Required inputs: GitHub environment, OIDC role ARN, sandbox variables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W5-07 — Create PR CI and Terraform-plan workflow using GitHub OIDC.
  Business reason: Automated gates and short-lived identity reduce change and credential risk.
  Acceptance: All required checks run; apply/destroy are owner-gated.
  Dependency: W5-04,W5-06
  Owner verification reference: Review .github/workflows and run actionlint if available
  Expected result: No access-key secret; immutable action pins are TODO/approved.
  Canonical evidence: docs/test-evidence/W5-07-ci.txt
  Rollback/teardown: Disable workflow; revoke OIDC trust; keep last good release.
  Current tracker status (read-only historical/current fact): Not Started
  Separate Task Context: 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
- W5-08 — Build image, scan with Trivy/Grype and generate Syft SBOM.
  Business reason: Deployment must use a known, scanned immutable artifact.
  Acceptance: Critical findings fail per policy and SBOM is retained.
  Dependency: W5-07
  Owner verification reference: docker build -t enterprise-ai:test . &amp;&amp; trivy image enterprise-ai:test
  Expected result: Redacted scan reports and SPDX/CycloneDX SBOM exist.
  Canonical evidence: docs/test-evidence/W5-08-supply-chain.txt
  Rollback/teardown: Do not publish vulnerable digest; restore prior approved digest.
  Current tracker status (read-only historical/current fact): Not Started
  Separate Task Context: 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
- W6-01 — Publish scanned image to ECR by immutable digest.
  Business reason: Rollback and provenance require immutable deployment identity.
  Acceptance: Digest matches the scanned/SBOM artifact.
  Dependency: W5-14
  Owner verification reference: docker inspect --format='{{index .RepoDigests 0}}' enterprise-ai:test
  Expected result: Digest, scan and SBOM are linked in deployment record.
  Canonical evidence: docs/deployment-records/W6-image.md
  Rollback/teardown: Restore prior approved digest; never reuse a mutable tag as authority.
  Current tracker status (read-only historical/current fact): Not Started
  Separate Task Context: 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
Downstream tracker steps identified from recorded dependencies: W5-08, W5-09, W6-02, W6-10,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least-privilege GitHub Actions workflows. On PR run Python 3.11 cache/install, Ruff, mypy, pytest, secret scan, terraform fmt/validate/tflint, Checkov, plan JSON through OPA, Docker build, Trivy filesystem/image scan, Syft SPDX/CycloneDX SBOM, Grype scan and a RAG smoke evaluation. Use Qdrant service container if useful. Upload only redacted reports and do not upload sensitive plans. Use GitHub OIDC, immutable image digest, protected environment approval and explicit timeouts. Pin actions to immutable SHAs with TODOs. Never use AWS access-key secrets or auto-run apply/destroy.
TASK-SPECIFIC AMENDMENT — TWO SEPARATE CI/SUPPLY-CHAIN AND PROMOTION CYCLES
This prompt is executed in two separately approved cycles; W6-01 cannot be completed before W5-13.
PHASE A — WEEK 5 / W5-07 AND W5-08
- Require W5-001/W5-003 and GHA-001. Pin every GitHub Action to an immutable commit SHA, base/service images to approved digests and tools/dependencies to reviewed versions. Use least-privilege OIDC with exact repository/ref/environment trust and no access-key secret.
- Build locally/CI without push, scan the exact image with Trivy/Grype, generate Syft SPDX/CycloneDX SBOM, enforce policy thresholds and preserve redacted provenance. Do not upload sensitive Terraform plans, logs, environment dumps or source data. A workflow/PR run is an external action and requires explicit approval.
- Canonical evidence: W5-07-ci.txt and W5-08-supply-chain.txt; reconcile W5-oidc.txt/W5-supply-chain.txt.
PHASE B — WEEK 6 / W6-01
- Run only after W5-13, W5-004 Week-6 environment recreation and a passing Phase A. Require the exact scanned image digest, SBOM/provenance, ECR target and separate push authorization.
- Push/promote only the approved digest; verify the ECR digest matches the scanned artifact. Mutable tags may be convenience labels but never deployment authority. Record docs/deployment-records/W6-image.md and leave no unapproved local builder/cache residue.
Each phase requires its own pre-edit approval, independent TEST-001 and final owner approval. No apply/destroy, Kubernetes mutation or automatic deployment.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Enforce quality, IaC and supply-chain gates with short-lived identity. The primary beneficiaries are developers, release managers, security and auditors.
- Process and risk: This task supports Git change -&gt; CI quality/security/IaC gates -&gt; OIDC token -&gt; approved artifact/plan -&gt; environment approval. Without it, the platform can produce an unauditable, insecure or non-reproducible result at this exact layer.
- Measurable outcome: all configured gates pass and no long-lived credential exists. It contributes to the MVP by making GitHub Actions DevSecOps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W6-01 (Not Started): Publish scanned image to ECR by immutable digest. Why: Rollback and provenance require immutable deployment identity. Acceptance: Digest matches the scanned/SBOM artifact. Dependency: W5-14. Owner verification: follow 02 Master Plan!M72 through TEST-001 one command at a time. Expected: Digest, scan and SBOM are linked in deployment record. Evidence: docs/deployment-records/W6-image.md Rollback/teardown: Restore prior approved digest; never reuse a mutable tag as authority.
END-TO-END ARCHITECTURE LEARNING
- Position and flow: Git change -&gt; CI quality/security/IaC gates -&gt; OIDC token -&gt; approved artifact/plan -&gt; environment approval.
- Upstream/dependency boundary: W5-04,W5-06, W5-07, W5-14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GitHub workflow, job permissions, OIDC role, pinned actions, quality/security stages and artifact provenance.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GitHub workflow, job permissions, OIDC role, pinned actions, quality/security stages and artifact provenance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automated border checkpoint that verifies every package and temporary pass.
- What goes in / happens / comes out: approved GitHub environment, OIDC role ARN, sandbox variables goes through GitHub Actions DevSecOps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CI validates changes; CD promotes an approved immutable artifact.
ARCHITECTURE DECISIONS AND TRADE-OFFS
- Selected recorded direction: short-lived OIDC and pinned actions replace stored cloud keys and floating supply-chain dependencies.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minimum job permissions, environment approvals and no secret output. Apply classification, PII handling, tenant isolation, authorization before provider/storage calls, secret exclusion, redacted evidence, residency, retention, provenance and least privilege where applicable.
- Failure/operations: failed gate prevents promotion; compromised/unverified artifact is rejected.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GitHub Actions DevSecOps pipeline addresses enforce quality, iac and supply-chain gates with short-lived identity. It makes the result governed, testable and reversible, measured by all configured gates pass and no long-lived credential exists.
- Two-minute technical explanation: describe GitHub workflow, job permissions, OIDC role, pinned actions, quality/security stages and artifact provenance; trace Git change -&gt; CI quality/security/IaC gates -&gt; OIDC token -&gt; approved artifact/plan -&gt; environment approval;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GitHub Actions DevSecOps pipeline solve?
   Answer points: Connect Enforce quality, IaC and supply-chain gates with short-lived identity. to all configured gates pass and no long-lived credential exists and identify developers, release managers, security and auditors.
2. Q: Trace the end-to-end flow for W5-002.
   Answer points: Explain Git change -&gt; CI quality/security/IaC gates -&gt; OIDC token -&gt; approved artifact/plan -&gt; environment approval; name upstream dependencies, downstream consumers, trust and state boundaries.
3. Q: Which design decision matters most and what alternative was rejected?
   Answer points: Discuss short-lived OIDC and pinned actions replace stored cloud keys and floating supply-chain dependencies; compare the adjacent alternative and when it could be preferable.
4. Q: How does this task fail safely and how is it recovered?
   Answer points: Use this scenario: failed gate prevents promotion; compromised/unverified artifact is rejected; distinguish retry, remediation, rollback, teardown and evidence.
5. Q: How are security, privacy and cost controlled?
   Answer points: Explain minimum job permissions, environment approvals and no secret output; include least privilege, redaction/residency, bounded resources and owner-only access.
- Design trade-off: volume/latency increases tenfold; explain whether short-lived OIDC and pinned actions replace stored cloud keys and floating supply-chain dependencies still holds and what evidence/ADR/approval must change.
- Failure/remediation: failed gate prevents promotion; compromised/unverified artifact is rejected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GitHub Actions DevSecOps pipeline. Task — establish the governed contract. Action — map consumers, work within gates, owner-test, diagnose completely and prove lifecycle. Result — report only accepted evidence and all configured gates pass and no long-lived credential exists.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GitHub environment, OIDC role ARN, sandbox variables.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W5-002.
</t>
  </si>
  <si>
    <t>READY FOR PRE-EDIT REVIEW — W5-002</t>
  </si>
  <si>
    <t>W5-07, W5-08, W6-01</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</si>
  <si>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</si>
  <si>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 xml:space="preserve">FOUR APPROVAL GATES PLUS OWNER TESTING AND WEEKLY LEARNING — TRACKER v1.3.4
MAIN PROMPT — W5-003
TASK IDENTITY
- Week: Week 5
- Feature/outcome: OPA and Checkov policy pack
- Business purpose: Make critical cloud controls executable before apply.
- Covered tracker steps: W5-06
- Required inputs: Approved regions, encryption/tag rules, exception process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W5-06 — Implement OPA and Checkov security/tagging policies with fixtures.
  Business reason: Policy gates make critical architecture decisions executable.
  Acceptance: Insecure fixtures fail; secure fixtures pass.
  Dependency: W5-03:W5-05
  Owner verification reference: opa test policies/opa -v &amp;&amp; checkov -d infra
  Expected result: Failures identify resource/rule/remediation.
  Canonical evidence: docs/test-evidence/W5-06-policy.txt
  Rollback/teardown: Revert candidate policy only through reviewed exception/ADR.
  Current tracker status (read-only historical/current fact): Not Started
  Separate Task Context: 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
Downstream tracker steps identified from recorded dependencies: W5-07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OPA/Rego tests over Terraform plan JSON to deny public S3, missing KMS encryption, unrestricted security groups, unapproved regions, missing mandatory tags and IAM wildcard actions unless an explicit time-bound exception is approved. Add equivalent focused Checkov custom policies where appropriate, secure/insecure fixtures and CI commands. Policy failures must show resource address, violated rule and remediation without exposing sensitive values.
TASK-SPECIFIC AMENDMENT — POLICY TESTING AND NARROW EXCEPTIONS
Require W5-001 design and approved region/tag/encryption/IAM rules. Test deny and allow cases for public S3, encryption/KMS, unrestricted ingress/egress, unapproved regions, mandatory tags, IAM wildcard actions/resources, public OpenSearch, mutable images and missing deletion/cost guards. Parse Terraform plan JSON without exposing sensitive values. Every denial identifies resource address, rule and remediation. Secure fixtures pass; each insecure fixture fails for the intended rule; tests must detect a policy accidentally disabled or not evaluated. Exceptions are resource/rule scoped and require owner, rationale, expires_at and evidence; expired/malformed/broad directory/file/type bypasses deny. Rego and Checkov controls must not contradict. Canonical evidence: docs/test-evidence/W5-06-policy.txt; reconcile aggregate W5-policy.txt. No live AWS, Terraform mutation or CI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CI/CD: Pin actions and artifacts, use least permissions and protected approvals, and keep deployment/rollback jobs owner-authorized.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critical cloud controls executable before apply. The primary beneficiaries are security, compliance, platform and auditors.
- Process and risk: This task supports Terraform/configuration -&gt; policy checks -&gt; deny findings or approved exception -&gt; release gate. Without it, the platform can produce an unauditable, insecure or non-reproducible result at this exact layer.
- Measurable outcome: critical misconfiguration fixtures are denied and valid fixtures pass. It contributes to the MVP by making OPA and Checkov policy pack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END-TO-END ARCHITECTURE LEARNING
- Position and flow: Terraform/configuration -&gt; policy checks -&gt; deny findings or approved exception -&gt; release gate.
- Upstream/dependency boundary: W5-03:W5-05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OPA/Rego policies, Checkov configuration, fixtures, exception schema and CI consumer.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OPA/Rego policies, Checkov configuration, fixtures, exception schema and CI consumer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building inspector applying the same checklist to every blueprint.
- What goes in / happens / comes out: approved Approved regions, encryption/tag rules, exception process goes through OPA and Checkov policy pack;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describes resources; policy code decides whether a plan is allowed.
ARCHITECTURE DECISIONS AND TRADE-OFFS
- Selected recorded direction: policy-as-code and default deny make cloud controls repeatable.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reject public access, missing encryption/tags, wildcard IAM and unapproved regions. Apply classification, PII handling, tenant isolation, authorization before provider/storage calls, secret exclusion, redacted evidence, residency, retention, provenance and least privilege where applicable.
- Failure/operations: policy errors or expired exceptions fail the gate; rollback restores the last passing policy pack.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OPA and Checkov policy pack addresses make critical cloud controls executable before apply. It makes the result governed, testable and reversible, measured by critical misconfiguration fixtures are denied and valid fixtures pass.
- Two-minute technical explanation: describe OPA/Rego policies, Checkov configuration, fixtures, exception schema and CI consumer; trace Terraform/configuration -&gt; policy checks -&gt; deny findings or approved exception -&gt; release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OPA and Checkov policy pack solve?
   Answer points: Connect Make critical cloud controls executable before apply. to critical misconfiguration fixtures are denied and valid fixtures pass and identify security, compliance, platform and auditors.
2. Q: Trace the end-to-end flow for W5-003.
   Answer points: Explain Terraform/configuration -&gt; policy checks -&gt; deny findings or approved exception -&gt; release gate; name upstream dependencies, downstream consumers, trust and state boundaries.
3. Q: Which design decision matters most and what alternative was rejected?
   Answer points: Discuss policy-as-code and default deny make cloud controls repeatable; compare the adjacent alternative and when it could be preferable.
4. Q: How does this task fail safely and how is it recovered?
   Answer points: Use this scenario: policy errors or expired exceptions fail the gate; rollback restores the last passing policy pack; distinguish retry, remediation, rollback, teardown and evidence.
5. Q: How are security, privacy and cost controlled?
   Answer points: Explain reject public access, missing encryption/tags, wildcard IAM and unapproved regions; include least privilege, redaction/residency, bounded resources and owner-only access.
- Design trade-off: volume/latency increases tenfold; explain whether policy-as-code and default deny make cloud controls repeatable still holds and what evidence/ADR/approval must change.
- Failure/remediation: policy errors or expired exceptions fail the gate; rollback restores the last passing policy pack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OPA and Checkov policy pack. Task — establish the governed contract. Action — map consumers, work within gates, owner-test, diagnose completely and prove lifecycle. Result — report only accepted evidence and critical misconfiguration fixtures are denied and valid fixtures pass.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regions, encryption/tag rules, exception process.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W5-003.
</t>
  </si>
  <si>
    <t>READY FOR PRE-EDIT REVIEW — W5-003</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</si>
  <si>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</si>
  <si>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</si>
  <si>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 xml:space="preserve">FOUR APPROVAL GATES PLUS OWNER TESTING AND WEEKLY LEARNING — TRACKER v1.3.4
MAIN PROMPT — W5-004
TASK IDENTITY
- Week: Week 5
- Feature/outcome: Reviewed deploy, rollback, teardown and orphan scan
- Business purpose: Prove the AWS lifecycle without leaving unmanaged resources.
- Covered tracker steps: W5-09, W5-10, W5-11, W5-12, W6-12
- Required inputs: Approved saved plan; budget ceiling; typed owner confirmations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W5-09 — Generate saved Terraform plan, JSON policy result and human-readable summary.
  Business reason: Applying the reviewed bytes prevents unseen infrastructure change.
  Acceptance: Plan, policy and cost review are approved before any apply.
  Dependency: W5-02:W5-08
  Owner verification reference: make plan-sandbox
  Expected result: Summary lists creates/updates/deletes, costs and residual risks.
  Canonical evidence: docs/deployment-records/W5-plan-review.md
  Rollback/teardown: Discard saved plan on code/input drift and regenerate.
  Current tracker status (read-only historical/current fact): Not Started
  Separate Task Context: 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
- W5-10 — After explicit approval, deploy/validate/rollback/destroy in controlled sequence.
  Business reason: Capability must be proven, but Codex must never self-approve mutations.
  Acceptance: Reviewed plan applies; validation passes; rollback path is recorded.
  Dependency: W5-09
  Owner verification reference: make deploy-sandbox  # owner-approved only
  Expected result: Deployment record contains plan hash, approver, resources and health.
  Canonical evidence: docs/deployment-records/W5-sandbox.md
  Rollback/teardown: Use last-known-good Terraform version; destroy is not ordinary rollback.
  Current tracker status (read-only historical/current fact): Not Started
  Separate Task Context: 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
- W5-11 — Create and review platform destroy plan; preserve bootstrap until platform is gone.
  Business reason: Deletion order prevents dependency residue and loss of auditability.
  Acceptance: Destroy plan targets only approved sandbox resources.
  Dependency: W5-10
  Owner verification reference: make plan-destroy-sandbox
  Expected result: Plan and deletion order approved; KMS window noted.
  Canonical evidence: docs/deployment-records/W5-destroy-plan.md
  Rollback/teardown: Cancel before apply if any unexpected target appears.
  Current tracker status (read-only historical/current fact): Not Started
  Separate Task Context: 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
- W5-12 — Run verify-clean using required tags and native service APIs after approved teardown.
  Business reason: A successful Terraform destroy is not proof of zero residual resources.
  Acceptance: No active unmanaged resource remains; exception is documented PendingDeletion KMS key.
  Dependency: W5-11
  Owner verification reference: make destroy-sandbox &amp;&amp; make verify-clean  # owner-approved only
  Expected result: Resource-cleanliness report is complete and signed.
  Canonical evidence: docs/resource-cleanliness/W5-report.json
  Rollback/teardown: Remove residuals in dependency order; do not delete bootstrap until clean.
  Current tracker status (read-only historical/current fact): Not Started
  Separate Task Context: 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
- W6-12 — Run approved destroy sequence, remove bootstrap last and verify cleanliness.
  Business reason: Learning-project cost and residue must stop after use.
  Acceptance: No active project resource remains; KMS exception is PendingDeletion only.
  Dependency: W6-11
  Owner verification reference: make plan-destroy-sandbox; owner approve; make destroy-sandbox; make verify-clean
  Expected result: Signed cleanup report and deletion record exist.
  Canonical evidence: docs/resource-cleanliness/W6-final.json
  Rollback/teardown: Remove residuals in dependency order; never broadly target unverified resources.
  Current tracker status (read-only historical/current fact): Not Started
  Separate Task Context: 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
Downstream tracker steps identified from recorded dependencies: W5-10, W5-11, W5-12, W5-13, W6-13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Complete platformctl for reviewed saved-plan deployment, post-deploy validation, release rollback, last-known-good Terraform rollback, destroy-safe, purge-sandbox and verify-clean. Resolve targets only by approved environment and required tags, add service-specific checks for S3 versions/multipart uploads, ECR images, OpenSearch, EKS/load balancers, IAM, Secrets Manager, logs and KMS. The remote-state bootstrap is removed last. Mutations require owner approval and explicit typed confirmation; unit/integration tests use moto/LocalStack where valid and never auto-apply or destroy.
TASK-SPECIFIC AMENDMENT — THREE SEPARATE OWNER-GATED AWS LIFECYCLE CYCLES
Never combine these cycles. Each requires a fresh read-only pre-edit plan, exact saved-plan/input/code hashes, typed owner command approval, independent validation and final owner approval. Terraform plan may read AWS; apply/destroy mutate AWS and are never implied by Column L.
CYCLE A — WEEK 5 / W5-09 TO W5-12
1. If the remote backend is absent, create a bootstrap saved plan, review policy/cost/targets, obtain explicit apply approval, apply those exact bytes and validate the backend before the platform plan.
2. Generate the platform saved plan, redacted JSON/policy/cost summaries and plan hash. Invalidate/regenerate on any code/input/lock/provider/state drift.
3. After separate apply approval, deploy exact reviewed bytes, validate, run release and infrastructure rollback controls separately, create/review the destroy plan, obtain separate destroy approval, destroy platform then bootstrap last, and run tag plus native service cleanup. Complete W5 with no active project resource except documented KMS PendingDeletion.
CYCLE B — AFTER W5-13 / BEFORE W6-01
Recreate the approved Week 6 sandbox from new bootstrap and platform saved plans with separate review/apply approvals. Validate ECR/EKS/network/identity/observability prerequisites. This is a new controlled deployment, never reuse stale Week 5 plan bytes.
CYCLE C — AFTER W6-11 / W6-12 FINAL TEARDOWN
Generate/review the final destroy plan, remove traffic/triggers and platform resources in dependency order, remove bootstrap/state last, schedule KMS deletion and prove zero active project residuals. Shared VPC/EKS or owner resources are never targets.
Across all cycles: resolve exact account/region/environment/tags; enforce budget; use short-lived identity; never log secrets/plan-sensitive values; distinguish release rollback, infrastructure rollback and teardown; verify S3 versions/delete markers/multipart uploads, ECR, OpenSearch, EKS/LBs/ENIs, IAM, Secrets Manager, logs/alarms and KMS natively. Canonical Week 5 records: W5-plan-review.md, W5-sandbox.md, W5-destroy-plan.md and W5-report.json; final Week 6 cleanliness: W6-final.json. Any unexpected target/residual, missing approval or hash drift stops execution.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Terraform: Keep roots and modules explicit, providers constrained, state isolated and saved-plan/apply/destroy commands owner-only.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the AWS lifecycle without leaving unmanaged resources. The primary beneficiaries are owner, SRE, security, finance and reviewers.
- Process and risk: This task supports approved saved plan/artifact -&gt; typed owner confirmation -&gt; deploy -&gt; verification -&gt; rollback/teardown -&gt; orphan and cost scan. Without it, the platform can produce an unauditable, insecure or non-reproducible result at this exact layer.
- Measurable outcome: verified service plus complete removal and zero unexplained spend/residue. It contributes to the MVP by making Reviewed deploy, rollback, teardown and orphan scan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W6-12 (Not Started): Run approved destroy sequence, remove bootstrap last and verify cleanliness. Why: Learning-project cost and residue must stop after use. Acceptance: No active project resource remains; KMS exception is PendingDeletion only. Dependency: W6-11. Owner verification: follow 02 Master Plan!M83 through TEST-001 one command at a time. Expected: Signed cleanup report and deletion record exist. Evidence: docs/resource-cleanliness/W6-final.json Rollback/teardown: Remove residuals in dependency order; never broadly target unverified resources.
END-TO-END ARCHITECTURE LEARNING
- Position and flow: approved saved plan/artifact -&gt; typed owner confirmation -&gt; deploy -&gt; verification -&gt; rollback/teardown -&gt; orphan and cost scan.
- Upstream/dependency boundary: W5-02:W5-08, W5-09, W5-10, W5-11, W6-11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deployment checklist, saved plan, evidence, rollback target, destroy plan, tag/native scans and budget review.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deployment checklist, saved plan, evidence, rollback target, destroy plan, tag/native scans and budget review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launching and recovering a spacecraft using signed go/no-go checklists.
- What goes in / happens / comes out: approved Approved saved plan; budget ceiling; typed owner confirmations goes through Reviewed deploy, rollback, teardown and orphan scan;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activates resources; rollback restores service; teardown removes the sandbox.
ARCHITECTURE DECISIONS AND TRADE-OFFS
- Selected recorded direction: reviewed immutable inputs and explicit lifecycle checkpoints constrain cloud blast radius.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owner credentials stay outside Codex; tags, region, residency and least privilege are verified. Apply classification, PII handling, tenant isolation, authorization before provider/storage calls, secret exclusion, redacted evidence, residency, retention, provenance and least privilege where applicable.
- Failure/operations: partial deployment stops; rollback or teardown preserves dependencies and reports residuals.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Reviewed deploy, rollback, teardown and orphan scan addresses prove the aws lifecycle without leaving unmanaged resources. It makes the result governed, testable and reversible, measured by verified service plus complete removal and zero unexplained spend/residue.
- Two-minute technical explanation: describe deployment checklist, saved plan, evidence, rollback target, destroy plan, tag/native scans and budget review; trace approved saved plan/artifact -&gt; typed owner confirmation -&gt; deploy -&gt; verification -&gt; rollback/teardown -&gt; orphan and cost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Reviewed deploy, rollback, teardown and orphan scan solve?
   Answer points: Connect Prove the AWS lifecycle without leaving unmanaged resources. to verified service plus complete removal and zero unexplained spend/residue and identify owner, SRE, security, finance and reviewers.
2. Q: Trace the end-to-end flow for W5-004.
   Answer points: Explain approved saved plan/artifact -&gt; typed owner confirmation -&gt; deploy -&gt; verification -&gt; rollback/teardown -&gt; orphan and cost scan; name upstream dependencies, downstream consumers, trust and state boundaries.
3. Q: Which design decision matters most and what alternative was rejected?
   Answer points: Discuss reviewed immutable inputs and explicit lifecycle checkpoints constrain cloud blast radius; compare the adjacent alternative and when it could be preferable.
4. Q: How does this task fail safely and how is it recovered?
   Answer points: Use this scenario: partial deployment stops; rollback or teardown preserves dependencies and reports residuals; distinguish retry, remediation, rollback, teardown and evidence.
5. Q: How are security, privacy and cost controlled?
   Answer points: Explain owner credentials stay outside Codex; tags, region, residency and least privilege are verified; include least privilege, redaction/residency, bounded resources and owner-only access.
- Design trade-off: volume/latency increases tenfold; explain whether reviewed immutable inputs and explicit lifecycle checkpoints constrain cloud blast radius still holds and what evidence/ADR/approval must change.
- Failure/remediation: partial deployment stops; rollback or teardown preserves dependencies and reports residuals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Reviewed deploy, rollback, teardown and orphan scan. Task — establish the governed contract. Action — map consumers, work within gates, owner-test, diagnose completely and prove lifecycle. Result — report only accepted evidence and verified service plus complete removal and zero unexplained spend/residue.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saved plan; budget ceiling; typed owner confirmations.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W5-004.
</t>
  </si>
  <si>
    <t>READY FOR PRE-EDIT REVIEW — W5-004</t>
  </si>
  <si>
    <t>W5-09, W5-10, W5-11, W5-12, W6-12</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</si>
  <si>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</si>
  <si>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 xml:space="preserve">FOUR APPROVAL GATES PLUS OWNER TESTING AND WEEKLY LEARNING — TRACKER v1.3.4
MAIN PROMPT — W6-001
TASK IDENTITY
- Week: Week 6
- Feature/outcome: Immutable EKS application deployment
- Business purpose: Deploy the verified service with workload identity and safe rollout controls.
- Covered tracker steps: W6-02, W6-03, W6-04, W6-05
- Required inputs: EKS cluster/namespace, ECR digest, domain/cert, pod identity choice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W6-02 — Create EKS deployment/Service with non-root/read-only settings and probes.
  Business reason: Production-shaped runtime boundaries reduce container and availability risk.
  Acceptance: Server dry-run and policy validation pass.
  Dependency: W6-01
  Owner verification reference: kubectl apply --dry-run=server -f deploy/k8s
  Expected result: Manifests use immutable digest and no secret literal.
  Canonical evidence: docs/test-evidence/W6-02-k8s.txt
  Rollback/teardown: kubectl rollout undo or redeploy previous digest.
  Current tracker status (read-only historical/current fact): Not Started
  Separate Task Context: 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
- W6-03 — Configure EKS Pod Identity/IRSA, RBAC and least-privilege service account.
  Business reason: Pods must never contain static AWS credentials.
  Acceptance: Pod accesses only required AWS APIs and env has no static key.
  Dependency: W5-04,W6-02
  Owner verification reference: kubectl exec deploy/enterprise-ai-api -- env | grep AWS_ACCESS_KEY_ID; test $? -ne 0
  Expected result: No static credential; role session is short-lived and scoped.
  Canonical evidence: docs/test-evidence/W6-03-identity.txt
  Rollback/teardown: Remove service-account binding and restore prior role policy.
  Current tracker status (read-only historical/current fact): Not Started
  Separate Task Context: 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
- W6-04 — Apply NetworkPolicy and approved ingress/egress boundaries.
  Business reason: Retrieval/model paths should be explicit and least privilege.
  Acceptance: Denied destination test fails; approved dependencies remain reachable.
  Dependency: W6-03
  Owner verification reference: kubectl apply --dry-run=server -f deploy/k8s/networkpolicy.yaml
  Expected result: Network test evidence documents permitted flows.
  Canonical evidence: docs/test-evidence/W6-04-network.txt
  Rollback/teardown: Restore last-known-good policy; scale down if isolation is uncertain.
  Current tracker status (read-only historical/current fact): Not Started
  Separate Task Context: 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
- W6-05 — Configure requests/limits, HPA, PDB and rolling update settings.
  Business reason: Availability and autoscaling must be defined before load/chaos tests.
  Acceptance: Schema/policy checks pass and settings have rationale.
  Dependency: W6-02
  Owner verification reference: kubectl apply --dry-run=server -f deploy/k8s
  Expected result: PDB/HPA do not conflict at minimum replicas.
  Canonical evidence: docs/test-evidence/W6-05-resilience.txt
  Rollback/teardown: Rollback manifests and return to last safe replica/settings.
  Current tracker status (read-only historical/current fact): Not Started
  Separate Task Context: 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
Downstream tracker steps identified from recorded dependencies: W6-03, W6-04, W6-05, W6-06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deployment manifests or a Helm chart for the FastAPI service using immutable ECR image digest, non-root/read-only container settings, resource requests/limits, readiness/liveness/startup probes, Service, NetworkPolicy, PodDisruptionBudget and HPA. Use EKS Pod Identity or IRSA with least privilege and no static keys. Add rolling deployment settings, revision history and a documented rollback to the last-known-good digest. Keep organization values as TODOs. Add manifest/schema and policy tests.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OWNER-GATED IMMUTABLE EKS ROLLOUT
Require W5-13, successful W5-004 Cycle B, W5-002 Phase B, EKS-001/NET-001/SLO-001 and an immutable ECR digest with matching scan/SBOM. Confirm whether EKS/VPC are project-owned or shared; shared resources are never teardown targets.
1. Static manifest/Helm/schema/Gatekeeper checks are offline. Server dry-run, cluster inspection and rollout are networked; apply/rollout/rollback are Kubernetes mutations requiring separate exact namespace/context/digest command approval beyond Column L.
2. Use non-root, read-only root filesystem, seccomp RuntimeDefault, dropped capabilities, no privilege escalation, explicit service account, least-privilege Pod Identity/IRSA, namespace RBAC and no static AWS key. Do not dump the full pod environment; test only targeted key-name absence and expected caller identity without exposing credentials.
3. NetworkPolicy is default-deny with explicit DNS, Bedrock/OpenSearch/OTel and approved ingress/egress paths; validate dependencies before enforcement. Probes have distinct startup/liveness/readiness semantics and bounded timeouts. Configure justified requests/limits, HPA min/max/metrics, PDB and rolling maxSurge/maxUnavailable with termination grace and revision history.
4. Test immutable digest, schema/policy, RBAC/service-account binding, forbidden secret literals, denied/allowed network paths, probe failures, scheduling/resources, HPA/PDB interaction, rollout timeout and rollback to prior digest. Canonical evidence: W6-02-k8s.txt, W6-03-identity.txt, W6-04-network.txt and W6-05-resilience.txt; reconcile aggregate W6-k8s/W6-identity records. No mutation without exact approval and cleanup/rollback plan.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Kubernetes: Require immutable digests, namespace scope, workload identity, probes, resource bounds, rollout safety and owner-only cluster commands.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Deploy the verified service with workload identity and safe rollout controls. The primary beneficiaries are platform, application, security and SRE teams.
- Process and risk: This task supports verified image digest -&gt; manifests/Helm -&gt; EKS admission -&gt; workload identity -&gt; service/ingress -&gt; rollout evidence. Without it, the platform can produce an unauditable, insecure or non-reproducible result at this exact layer.
- Measurable outcome: healthy rollout on approved digest with rollback proven. It contributes to the MVP by making Immutable EKS application deployment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W6-02 (Not Started): Create EKS deployment/Service with non-root/read-only settings and probes. Why: Production-shaped runtime boundaries reduce container and availability risk. Acceptance: Server dry-run and policy validation pass. Dependency: W6-01. Owner verification: follow 02 Master Plan!M73 through TEST-001 one command at a time. Expected: Manifests use immutable digest and no secret literal. Evidence: docs/test-evidence/W6-02-k8s.txt Rollback/teardown: kubectl rollout undo or redeploy previous digest.
- W6-03 (Not Started): Configure EKS Pod Identity/IRSA, RBAC and least-privilege service account. Why: Pods must never contain static AWS credentials. Acceptance: Pod accesses only required AWS APIs and env has no static key. Dependency: W5-04,W6-02. Owner verification: follow 02 Master Plan!M74 through TEST-001 one command at a time. Expected: No static credential; role session is short-lived and scoped. Evidence: docs/test-evidence/W6-03-identity.txt Rollback/teardown: Remove service-account binding and restore prior role policy.
- W6-04 (Not Started): Apply NetworkPolicy and approved ingress/egress boundaries. Why: Retrieval/model paths should be explicit and least privilege. Acceptance: Denied destination test fails; approved dependencies remain reachable. Dependency: W6-03. Owner verification: follow 02 Master Plan!M75 through TEST-001 one command at a time. Expected: Network test evidence documents permitted flows. Evidence: docs/test-evidence/W6-04-network.txt Rollback/teardown: Restore last-known-good policy; scale down if isolation is uncertain.
- W6-05 (Not Started): Configure requests/limits, HPA, PDB and rolling update settings. Why: Availability and autoscaling must be defined before load/chaos tests. Acceptance: Schema/policy checks pass and settings have rationale. Dependency: W6-02. Owner verification: follow 02 Master Plan!M76 through TEST-001 one command at a time. Expected: PDB/HPA do not conflict at minimum replicas. Evidence: docs/test-evidence/W6-05-resilience.txt Rollback/teardown: Rollback manifests and return to last safe replica/settings.
END-TO-END ARCHITECTURE LEARNING
- Position and flow: verified image digest -&gt; manifests/Helm -&gt; EKS admission -&gt; workload identity -&gt; service/ingress -&gt; rollout evidence.
- Upstream/dependency boundary: W6-01, W5-04,W6-02, W6-03, W6-02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Kubernetes workload, Service, ingress, probes, resources, security context, Pod Identity/IRSA and immutable image.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Kubernetes workload, Service, ingress, probes, resources, security context, Pod Identity/IRSA and immutable image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sealed cargo container admitted to a controlled port with its own badge.
- What goes in / happens / comes out: approved EKS cluster/namespace, ECR digest, domain/cert, pod identity choice goes through Immutable EKS application deployment;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ECR stores images; Kubernetes schedules workloads; ingress exposes approved traffic.
ARCHITECTURE DECISIONS AND TRADE-OFFS
- Selected recorded direction: digest pinning, least-privilege identity and controlled rollout replace mutable tags and node credentials.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non-root/read-only pod, network/secret boundaries and namespace RBAC constrain access. Apply classification, PII handling, tenant isolation, authorization before provider/storage calls, secret exclusion, redacted evidence, residency, retention, provenance and least privilege where applicable.
- Failure/operations: failed readiness/regression triggers rollout undo to the prior digest; namespace resources are inventoried for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Immutable EKS application deployment addresses deploy the verified service with workload identity and safe rollout controls. It makes the result governed, testable and reversible, measured by healthy rollout on approved digest with rollback proven.
- Two-minute technical explanation: describe Kubernetes workload, Service, ingress, probes, resources, security context, Pod Identity/IRSA and immutable image; trace verified image digest -&gt; manifests/Helm -&gt; EKS admission -&gt; workload identity -&gt; service/ingress -&gt; rollout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Immutable EKS application deployment solve?
   Answer points: Connect Deploy the verified service with workload identity and safe rollout controls. to healthy rollout on approved digest with rollback proven and identify platform, application, security and SRE teams.
2. Q: Trace the end-to-end flow for W6-001.
   Answer points: Explain verified image digest -&gt; manifests/Helm -&gt; EKS admission -&gt; workload identity -&gt; service/ingress -&gt; rollout evidence; name upstream dependencies, downstream consumers, trust and state boundaries.
3. Q: Which design decision matters most and what alternative was rejected?
   Answer points: Discuss digest pinning, least-privilege identity and controlled rollout replace mutable tags and node credentials; compare the adjacent alternative and when it could be preferable.
4. Q: How does this task fail safely and how is it recovered?
   Answer points: Use this scenario: failed readiness/regression triggers rollout undo to the prior digest; namespace resources are inventoried for teardown; distinguish retry, remediation, rollback, teardown and evidence.
5. Q: How are security, privacy and cost controlled?
   Answer points: Explain non-root/read-only pod, network/secret boundaries and namespace RBAC constrain access; include least privilege, redaction/residency, bounded resources and owner-only access.
- Design trade-off: volume/latency increases tenfold; explain whether digest pinning, least-privilege identity and controlled rollout replace mutable tags and node credentials still holds and what evidence/ADR/approval must change.
- Failure/remediation: failed readiness/regression triggers rollout undo to the prior digest; namespace resources are inventoried for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Immutable EKS application deployment. Task — establish the governed contract. Action — map consumers, work within gates, owner-test, diagnose completely and prove lifecycle. Result — report only accepted evidence and healthy rollout on approved digest with rollback proven.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EKS cluster/namespace, ECR digest, domain/cert, pod identity choice.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W6-001.
</t>
  </si>
  <si>
    <t>READY FOR PRE-EDIT REVIEW — W6-001</t>
  </si>
  <si>
    <t>W6-02, W6-03, W6-04, W6-05</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</si>
  <si>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</si>
  <si>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 xml:space="preserve">FOUR APPROVAL GATES PLUS OWNER TESTING AND WEEKLY LEARNING — TRACKER v1.3.4
MAIN PROMPT — W6-002
TASK IDENTITY
- Week: Week 6
- Feature/outcome: SRE observability, alerts, runbook and chaos plan
- Business purpose: Make the platform supportable and measurable.
- Covered tracker steps: W6-06, W6-07, W6-08, W6-09
- Required inputs: SLO approval; alert destination; pre-production chaos approval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W6-06 — Deploy OTel path to CloudWatch/X-Ray plus Prometheus/Grafana/Jaeger option.
  Business reason: Vendor-neutral telemetry supports both AWS and open-source operations.
  Acceptance: One request trace links API, retrieval and LLM spans.
  Dependency: W4-08,W6-02
  Owner verification reference: pytest tests/feature/test_trace_correlation.py -q
  Expected result: Trace/log/metric IDs correlate without sensitive content.
  Canonical evidence: docs/test-evidence/W6-06-observability.json
  Rollback/teardown: Disable broken exporter; preserve local telemetry path.
  Current tracker status (read-only historical/current fact): Not Started
  Separate Task Context: 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
- W6-07 — Approve SLIs/SLOs, error-budget policy and burn alerts.
  Business reason: Reliability targets must reflect user pain and govern releases.
  Acceptance: Availability 99.9%, p95&lt;4s, p99&lt;10s, retrieval p99&lt;750ms, grounded&gt;=95%, isolation/safety=100% are reviewed.
  Dependency: W6-06
  Owner verification reference: promtool check rules observability/alerts.yml
  Expected result: Rules validate and map to an owner/runbook.
  Canonical evidence: docs/architecture/slo.md
  Rollback/teardown: Disable noisy alert only through reviewed threshold/runbook update.
  Current tracker status (read-only historical/current fact): Not Started
  Separate Task Context: 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
- W6-08 — Create and rehearse inference-latency-spike runbook.
  Business reason: An alert is useful only if it drives a safe action.
  Acceptance: Runbook covers impact, stabilize, stage isolation, rollback and evidence.
  Dependency: W6-06,W6-07
  Owner verification reference: Run tabletop and record timeline
  Expected result: Owner can distinguish retrieval, model, queue and dependency latency.
  Canonical evidence: runbooks/inference-latency.md
  Rollback/teardown: Rollback release/config; use safe refusal/fallback if approved.
  Current tracker status (read-only historical/current fact): Not Started
  Separate Task Context: 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
- W6-09 — Stop Qdrant/inject LLM timeout locally; prepare FIS plan without executing it.
  Business reason: Controlled failure proves readiness, bounded retries and alert/runbook quality.
  Acceptance: Readiness fails, no retry storm, alert/runbook activates; FIS has tag targets/stop alarms.
  Dependency: W6-07,W6-08
  Owner verification reference: pytest tests/feature/test_failure_modes.py -q
  Expected result: RTO and alert evidence recorded; no production target.
  Canonical evidence: docs/test-evidence/W6-09-chaos.txt
  Rollback/teardown: Stop experiment, restore dependency, rollback configuration.
  Current tracker status (read-only historical/current fact): Not Started
  Separate Task Context: 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
Downstream tracker steps identified from recorded dependencies: W6-07, W6-08, W6-09, W6-10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OpenTelemetry Collector configuration, Prometheus scrape config, Grafana dashboard JSON, CloudWatch/X-Ray export path and alert rules for availability, p95/p99 end-to-end latency, retrieval latency, errors, throttles, token/cost rate and agent-policy failures. Define SLIs/SLOs and burn-rate alerts. Write the inference-latency-spike runbook with impact, triage, stabilization, investigation, rollback and evidence steps. Add local Qdrant-stop/LLM-timeout tests and a pre-production AWS FIS experiment plan with tag targets and alarm stop conditions; do not execute FIS.
TASK-SPECIFIC AMENDMENT — OBSERVABILITY, SLO AND SAFE FAILURE EXERCISES
Require independently approved W6-001 plus OBS-001, SLO-001 and FIS-001 decisions. Record alert destination/on-call, telemetry retention/redaction, SLI windows/exclusions, error-budget/burn policy and FIS owner/targets/stop alarms; never invent them.
1. Keep telemetry low-cardinality and content-free. Correlate API, auth, retrieval, embedding, LLM, guardrail, approval and tool stages. Exporter failure/backpressure must be bounded and must not break the core answer path. CloudWatch/X-Ray/collector deployment is networked/Kubernetes/cloud mutation and separately authorized; local configs/tests come first.
2. Define measurable availability, p95/p99, retrieval latency, grounded/citation/safe-abstention and isolation/safety SLIs with denominators, windows and exclusions. Validate burn-rate rules against synthetic firing/non-firing series and link every alert to owner/runbook.
3. Rehearse the inference-latency runbook with impact → stabilize → isolate stage → mitigate/rollback → recover → learn, evidence and escalation. Local Qdrant stop/LLM timeout is a bounded local mutation requiring exact target, duration, restoration and cleanup approval.
4. FIS is plan-only: tag-scoped targets, blast-radius caps, IAM, stop alarms, abort/recovery and cost estimate. Do not create or execute an FIS experiment.
5. Test redaction/cardinality/correlation, alert rules, exporter outage, readiness, retry-storm prevention, timeout/fallback/refusal and full restoration. Canonical evidence: W6-06-observability.json, docs/architecture/slo.md, runbooks/inference-latency.md and W6-09-chaos.txt; reconcile aggregate W6-alerts/W6-chaos evidence.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Network: Enumerate every permitted and denied flow, bind only approved interfaces and prevent implicit public or host exposure.
- Data/privacy: Classify data, minimize content, prohibit secrets/PII in logs and evidence, and state residency, retention and deletion effects.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the platform supportable and measurable. The primary beneficiaries are users, on-call SRE, product owner and security.
- Process and risk: This task supports service signals -&gt; SLI calculations -&gt; SLO/error budget -&gt; alerts -&gt; runbook/chaos exercise -&gt; remediation evidence. Without it, the platform can produce an unauditable, insecure or non-reproducible result at this exact layer.
- Measurable outcome: alerts detect real SLO risk and the runbook restores service within bounds. It contributes to the MVP by making SRE observability, alerts, runbook and chaos plan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W6-06 (Not Started): Deploy OTel path to CloudWatch/X-Ray plus Prometheus/Grafana/Jaeger option. Why: Vendor-neutral telemetry supports both AWS and open-source operations. Acceptance: One request trace links API, retrieval and LLM spans. Dependency: W4-08,W6-02. Owner verification: follow 02 Master Plan!M77 through TEST-001 one command at a time. Expected: Trace/log/metric IDs correlate without sensitive content. Evidence: docs/test-evidence/W6-06-observability.json Rollback/teardown: Disable broken exporter; preserve local telemetry path.
- W6-07 (Not Started): Approve SLIs/SLOs, error-budget policy and burn alerts. Why: Reliability targets must reflect user pain and govern releases. Acceptance: Availability 99.9%, p95&lt;4s, p99&lt;10s, retrieval p99&lt;750ms, grounded&gt;=95%, isolation/safety=100% are reviewed. Dependency: W6-06. Owner verification: follow 02 Master Plan!M78 through TEST-001 one command at a time. Expected: Rules validate and map to an owner/runbook. Evidence: docs/architecture/slo.md Rollback/teardown: Disable noisy alert only through reviewed threshold/runbook update.
- W6-08 (Not Started): Create and rehearse inference-latency-spike runbook. Why: An alert is useful only if it drives a safe action. Acceptance: Runbook covers impact, stabilize, stage isolation, rollback and evidence. Dependency: W6-06,W6-07. Owner verification: follow 02 Master Plan!M79 through TEST-001 one command at a time. Expected: Owner can distinguish retrieval, model, queue and dependency latency. Evidence: runbooks/inference-latency.md Rollback/teardown: Rollback release/config; use safe refusal/fallback if approved.
- W6-09 (Not Started): Stop Qdrant/inject LLM timeout locally; prepare FIS plan without executing it. Why: Controlled failure proves readiness, bounded retries and alert/runbook quality. Acceptance: Readiness fails, no retry storm, alert/runbook activates; FIS has tag targets/stop alarms. Dependency: W6-07,W6-08. Owner verification: follow 02 Master Plan!M80 through TEST-001 one command at a time. Expected: RTO and alert evidence recorded; no production target. Evidence: docs/test-evidence/W6-09-chaos.txt Rollback/teardown: Stop experiment, restore dependency, rollback configuration.
END-TO-END ARCHITECTURE LEARNING
- Position and flow: service signals -&gt; SLI calculations -&gt; SLO/error budget -&gt; alerts -&gt; runbook/chaos exercise -&gt; remediation evidence.
- Upstream/dependency boundary: W4-08,W6-02, W6-06, W6-06,W6-07, W6-07,W6-08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metrics/traces/logs, dashboards, alert rules, SLOs, runbook and bounded chaos scenarios.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metrics/traces/logs, dashboards, alert rules, SLOs, runbook and bounded chaos scenarios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smoke alarm plus evacuation drill, not just a thermometer.
- What goes in / happens / comes out: approved SLO approval; alert destination; pre-production chaos approval goes through SRE observability, alerts, runbook and chaos plan;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observability supplies signals; SRE turns them into objectives and response.
ARCHITECTURE DECISIONS AND TRADE-OFFS
- Selected recorded direction: user-centered SLOs and actionable alerts are selected over raw infrastructure noise.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telemetry is redacted/access-controlled; chaos uses pre-production approval. Apply classification, PII handling, tenant isolation, authorization before provider/storage calls, secret exclusion, redacted evidence, residency, retention, provenance and least privilege where applicable.
- Failure/operations: alert/runbook gaps are found in bounded exercises; stop and restore steady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SRE observability, alerts, runbook and chaos plan addresses make the platform supportable and measurable. It makes the result governed, testable and reversible, measured by alerts detect real SLO risk and the runbook restores service within bounds.
- Two-minute technical explanation: describe metrics/traces/logs, dashboards, alert rules, SLOs, runbook and bounded chaos scenarios; trace service signals -&gt; SLI calculations -&gt; SLO/error budget -&gt; alerts -&gt; runbook/chaos exercise -&gt; remediation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SRE observability, alerts, runbook and chaos plan solve?
   Answer points: Connect Make the platform supportable and measurable. to alerts detect real SLO risk and the runbook restores service within bounds and identify users, on-call SRE, product owner and security.
2. Q: Trace the end-to-end flow for W6-002.
   Answer points: Explain service signals -&gt; SLI calculations -&gt; SLO/error budget -&gt; alerts -&gt; runbook/chaos exercise -&gt; remediation evidence; name upstream dependencies, downstream consumers, trust and state boundaries.
3. Q: Which design decision matters most and what alternative was rejected?
   Answer points: Discuss user-centered SLOs and actionable alerts are selected over raw infrastructure noise; compare the adjacent alternative and when it could be preferable.
4. Q: How does this task fail safely and how is it recovered?
   Answer points: Use this scenario: alert/runbook gaps are found in bounded exercises; stop and restore steady state; distinguish retry, remediation, rollback, teardown and evidence.
5. Q: How are security, privacy and cost controlled?
   Answer points: Explain telemetry is redacted/access-controlled; chaos uses pre-production approval; include least privilege, redaction/residency, bounded resources and owner-only access.
- Design trade-off: volume/latency increases tenfold; explain whether user-centered SLOs and actionable alerts are selected over raw infrastructure noise still holds and what evidence/ADR/approval must change.
- Failure/remediation: alert/runbook gaps are found in bounded exercises; stop and restore steady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SRE observability, alerts, runbook and chaos plan. Task — establish the governed contract. Action — map consumers, work within gates, owner-test, diagnose completely and prove lifecycle. Result — report only accepted evidence and alerts detect real SLO risk and the runbook restores service within bounds.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SLO approval; alert destination; pre-production chaos approval.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W6-002.
</t>
  </si>
  <si>
    <t>READY FOR PRE-EDIT REVIEW — W6-002</t>
  </si>
  <si>
    <t>W6-06, W6-07, W6-08, W6-09</t>
  </si>
  <si>
    <t xml:space="preserve">COLUMN M — EXACT DOCUMENT WRITING APPROVAL — W6-002
This is a separate owner approval after the bounded edit and owner testing or content review. Classify every path under one—and only one—of the CREATE and UPDATE headings after read-only preflight inspection.
EXACT DOCUMENTATION BOUNDARY
CREATE:
- docs/test-evidence/W6-002.md
- docs/architecture/slo.md
- docs/test-evidence/W6-06-observability.json
- docs/test-evidence/W6-09-chaos.txt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W6-002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W6-002.
</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</si>
  <si>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</si>
  <si>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 xml:space="preserve">FOUR APPROVAL GATES PLUS OWNER TESTING AND WEEKLY LEARNING — TRACKER v1.3.4
MAIN PROMPT — W6-003
TASK IDENTITY
- Week: Week 6
- Feature/outcome: Final end-to-end proof and handover
- Business purpose: Demonstrate architecture, quality, safety, rollback and clean teardown together.
- Covered tracker steps: W6-10, W6-11, W6-13
- Required inputs: Approved sandbox window and evidence locations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W6-10 — Run local and sandbox cited query plus golden evaluation/security suite.
  Business reason: Final proof must combine functionality, quality, security and observability.
  Acceptance: No material regression; sandbox query has citations and trace ID.
  Dependency: W6-01:W6-09
  Owner verification reference: make final-proof
  Expected result: Evidence index links tests, eval, scans, traces and decisions.
  Canonical evidence: docs/test-evidence/W6-final-index.md
  Rollback/teardown: Block promotion and restore last-known-good release/config.
  Current tracker status (read-only historical/current fact): Not Started
  Separate Task Context: 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
- W6-11 — Force a safe sandbox regression and restore previous image/configuration.
  Business reason: Rollback must be timed and revalidated before handover.
  Acceptance: Last-known-good release passes health, smoke and evaluation gates.
  Dependency: W6-10
  Owner verification reference: make rollback-release &amp;&amp; make validate-sandbox
  Expected result: Rollback record includes trigger, approver, duration and post-checks.
  Canonical evidence: docs/rollback-records/W6-release.md
  Rollback/teardown: Keep failed digest blocked; open defect with evidence.
  Current tracker status (read-only historical/current fact): Not Started
  Separate Task Context: 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
- W6-13 — Update ADRs with actual outcomes and deliver a 10-minute architecture explanation.
  Business reason: The engineer must understand and defend every decision, not just run generated code.
  Acceptance: Explain objective, flows, security, evaluation, agent controls, SLOs and reversibility.
  Dependency: W6-01:W6-12
  Owner verification reference: Owner presentation rehearsal and final workbook review
  Expected result: All TODOs/deferrals are visible; source-of-truth and workbook agree.
  Canonical evidence: docs/architecture/final-review.md
  Rollback/teardown: Any future change starts a new controlled feature cycle.
  Current tracker status (read-only historical/current fact): Not Started
  Separate Task Context: 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
Downstream tracker steps identified from recorded dependencies: W6-11, W6-12, W6-14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final verification command that installs dependencies, starts Qdrant, runs unit/contract/integration/security tests, ingests sample data, executes a cited query, runs the golden evaluation, validates Terraform and policies, verifies container/SBOM scans, checks EKS health when available, performs an approved release rollback drill, generates a destroy plan and runs verify-clean after owner-approved teardown. Produce a redacted evidence index and update ADRs with actual results and variances. Never auto-approve or conceal failures.
TASK-SPECIFIC AMENDMENT — TWO-PHASE FINAL PROOF, ROLLBACK, TEARDOWN DEPENDENCY AND HANDOVER
This prompt is executed in two separately approved phases. make final-proof must be a fail-closed orchestrator that classifies offline, networked, paid and mutating subcommands; it must never hide or auto-authorize Docker, AWS, Kubernetes, apply/destroy or paid judge calls.
PHASE A — W6-10 AND W6-11
- Require W6-01 through W6-09, an approved sandbox window, exact implementation/release hashes and complete evidence inventory.
- Run local and sandbox cited-query, golden evaluation, authorization/security, telemetry and platform checks only under their approvals. Distinguish NOT RUN, expected policy denial and PASS. Prove a safe release regression, restore the prior immutable digest/configuration and revalidate health, query, evaluation, isolation and traces. Do not destroy infrastructure as rollback.
- Canonical evidence: docs/test-evidence/W6-final-index.md and docs/rollback-records/W6-release.md.
- Stop after W6-11 and require W5-004 Cycle C to complete W6-12 final teardown independently.
PHASE B — W6-13 HANDOVER
- Start only after W5-004 Cycle C independently proves docs/resource-cleanliness/W6-final.json with zero active project resources except the documented KMS PendingDeletion state and follow-up date.
- Reconcile every Week 1–6 MUST acceptance, decision, evidence path, failure/skip, cost/privacy result, release rollback, infrastructure rollback and teardown. Update ADR outcomes/variances without rewriting history. Produce the final architecture explanation/demo checklist and identify residual risks/TODOs.
Each phase has its own pre-edit approval, TEST-001 and owner approval. Do not pre-claim final acceptance, edit Excel, stage, commit or push. Any regression, missing evidence, unapproved mutation, active residual or inconsistent report blocks handover.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CI/CD: Pin actions and artifacts, use least permissions and protected approvals, and keep deployment/rollback jobs owner-authorized.
- AWS/cloud: Use explicit account, region, role and service boundaries, short-lived identity, least privilege, cost limits and owner-only API execution.
- Kubernetes: Require immutable digests, namespace scope, workload identity, probes, resource bounds, rollout safety and owner-only cluster commands.
- Security/authorization: Enforce least privilege and tenant/classification controls before provider calls; fail closed and redact errors.
- Documentation/governance: Trace every decision to its authority; separate historical facts, owner-approved values, proposals and unresolved owner inputs without rewriting history.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Demonstrate architecture, quality, safety, rollback and clean teardown together. The primary beneficiaries are business owner, architecture board, operations, security and interviewers.
- Process and risk: This task supports business scenario -&gt; deployed API/RAG/agent -&gt; security and quality evidence -&gt; rollback -&gt; teardown -&gt; handover. Without it, the platform can produce an unauditable, insecure or non-reproducible result at this exact layer.
- Measurable outcome: business flow, SLO, security, rollback and zero-residue acceptance reconciled. It contributes to the MVP by making Final end-to-end proof and handover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W6-10 (Not Started): Run local and sandbox cited query plus golden evaluation/security suite. Why: Final proof must combine functionality, quality, security and observability. Acceptance: No material regression; sandbox query has citations and trace ID. Dependency: W6-01:W6-09. Owner verification: follow 02 Master Plan!M81 through TEST-001 one command at a time. Expected: Evidence index links tests, eval, scans, traces and decisions. Evidence: docs/test-evidence/W6-final-index.md Rollback/teardown: Block promotion and restore last-known-good release/config.
- W6-11 (Not Started): Force a safe sandbox regression and restore previous image/configuration. Why: Rollback must be timed and revalidated before handover. Acceptance: Last-known-good release passes health, smoke and evaluation gates. Dependency: W6-10. Owner verification: follow 02 Master Plan!M82 through TEST-001 one command at a time. Expected: Rollback record includes trigger, approver, duration and post-checks. Evidence: docs/rollback-records/W6-release.md Rollback/teardown: Keep failed digest blocked; open defect with evidence.
- W6-13 (Not Started): Update ADRs with actual outcomes and deliver a 10-minute architecture explanation. Why: The engineer must understand and defend every decision, not just run generated code. Acceptance: Explain objective, flows, security, evaluation, agent controls, SLOs and reversibility. Dependency: W6-01:W6-12. Owner verification: follow 02 Master Plan!M84 through TEST-001 one command at a time. Expected: All TODOs/deferrals are visible; source-of-truth and workbook agree. Evidence: docs/architecture/final-review.md Rollback/teardown: Any future change starts a new controlled feature cycle.
END-TO-END ARCHITECTURE LEARNING
- Position and flow: business scenario -&gt; deployed API/RAG/agent -&gt; security and quality evidence -&gt; rollback -&gt; teardown -&gt; handover.
- Upstream/dependency boundary: W6-01:W6-09, W6-10, W6-01:W6-12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all approved application, retrieval, cloud, EKS, CI/policy, observability and evidence components.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all approved application, retrieval, cloud, EKS, CI/policy, observability and evidence components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final building inspection, fire drill and handover pack.
- What goes in / happens / comes out: approved Approved sandbox window and evidence locations goes through Final end-to-end proof and handover;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component PASS proves parts; end-to-end proof shows the governed operating system.
ARCHITECTURE DECISIONS AND TRADE-OFFS
- Selected recorded direction: one evidence-backed lifecycle demonstration proves integration without erasing NOT RUN gaps.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authorization, privacy, provenance, least privilege and audit evidence are reconciled end to end. Apply classification, PII handling, tenant isolation, authorization before provider/storage calls, secret exclusion, redacted evidence, residency, retention, provenance and least privilege where applicable.
- Failure/operations: failure invokes the correct layer rollback; teardown and residue/cost scans close the sandbox.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Final end-to-end proof and handover addresses demonstrate architecture, quality, safety, rollback and clean teardown together. It makes the result governed, testable and reversible, measured by business flow, SLO, security, rollback and zero-residue acceptance reconciled.
- Two-minute technical explanation: describe all approved application, retrieval, cloud, EKS, CI/policy, observability and evidence components; trace business scenario -&gt; deployed API/RAG/agent -&gt; security and quality evidence -&gt; rollback -&gt; teardown -&gt;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Final end-to-end proof and handover solve?
   Answer points: Connect Demonstrate architecture, quality, safety, rollback and clean teardown together. to business flow, SLO, security, rollback and zero-residue acceptance reconciled and identify business owner, architecture board, operations, security and interviewers.
2. Q: Trace the end-to-end flow for W6-003.
   Answer points: Explain business scenario -&gt; deployed API/RAG/agent -&gt; security and quality evidence -&gt; rollback -&gt; teardown -&gt; handover; name upstream dependencies, downstream consumers, trust and state boundaries.
3. Q: Which design decision matters most and what alternative was rejected?
   Answer points: Discuss one evidence-backed lifecycle demonstration proves integration without erasing NOT RUN gaps; compare the adjacent alternative and when it could be preferable.
4. Q: How does this task fail safely and how is it recovered?
   Answer points: Use this scenario: failure invokes the correct layer rollback; teardown and residue/cost scans close the sandbox; distinguish retry, remediation, rollback, teardown and evidence.
5. Q: How are security, privacy and cost controlled?
   Answer points: Explain authorization, privacy, provenance, least privilege and audit evidence are reconciled end to end; include least privilege, redaction/residency, bounded resources and owner-only access.
- Design trade-off: volume/latency increases tenfold; explain whether one evidence-backed lifecycle demonstration proves integration without erasing NOT RUN gaps still holds and what evidence/ADR/approval must change.
- Failure/remediation: failure invokes the correct layer rollback; teardown and residue/cost scans close the sandbox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Final end-to-end proof and handover. Task — establish the governed contract. Action — map consumers, work within gates, owner-test, diagnose completely and prove lifecycle. Result — report only accepted evidence and business flow, SLO, security, rollback and zero-residue acceptance reconciled.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sandbox window and evidence locations.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W6-003.
</t>
  </si>
  <si>
    <t>READY FOR PRE-EDIT REVIEW — W6-003</t>
  </si>
  <si>
    <t>W6-10, W6-11, W6-13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</si>
  <si>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</si>
  <si>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</si>
  <si>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</si>
  <si>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</si>
  <si>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</si>
  <si>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v1.3.4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</si>
  <si>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</si>
  <si>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</si>
  <si>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</si>
  <si>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</si>
  <si>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</si>
  <si>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</si>
  <si>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v1.3.4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</si>
  <si>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</si>
  <si>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</si>
  <si>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</si>
  <si>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</si>
  <si>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</si>
  <si>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</si>
  <si>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v1.3.4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</si>
  <si>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</si>
  <si>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</si>
  <si>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</si>
  <si>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</si>
  <si>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</si>
  <si>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</si>
  <si>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v1.3.4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</si>
  <si>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</si>
  <si>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</si>
  <si>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</si>
  <si>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</si>
  <si>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</si>
  <si>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</si>
  <si>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v1.3.4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</si>
  <si>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</si>
  <si>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</si>
  <si>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</si>
  <si>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</si>
  <si>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PyTorch Lightning and PEFT/LoRA training lab</t>
  </si>
  <si>
    <t>Learn model development without making it an MVP dependency.</t>
  </si>
  <si>
    <t>Approved model/dataset IDs, license and GPU budget</t>
  </si>
  <si>
    <t xml:space="preserve">FOUR APPROVAL GATES PLUS OWNER TESTING AND WEEKLY LEARNING — TRACKER v1.3.4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</si>
  <si>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</si>
  <si>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</si>
  <si>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</si>
  <si>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</si>
  <si>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</si>
  <si>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</si>
  <si>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</si>
  <si>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v1.3.4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</si>
  <si>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</si>
  <si>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</si>
  <si>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</si>
  <si>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</si>
  <si>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</si>
  <si>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</si>
  <si>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</si>
  <si>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v1.3.4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</si>
  <si>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</si>
  <si>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</si>
  <si>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</si>
  <si>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</si>
  <si>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</si>
  <si>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</si>
  <si>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</si>
  <si>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</si>
  <si>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</si>
  <si>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v1.3.4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</si>
  <si>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Owner learning and teach-back review — WEEKLY-LEARN-001</t>
  </si>
  <si>
    <t>W1-13, W2-13, W3-13, W4-13, W5-14, W6-14</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</si>
  <si>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</si>
  <si>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</si>
  <si>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</si>
  <si>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</si>
  <si>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AND TEARDOWN</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</si>
  <si>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docs/governance/Enterprise_AI_Architecture_6_Week_Execution_Tracker_v1.3.4_repaired.xlsx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</si>
  <si>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In Progress</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</si>
  <si>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</si>
  <si>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OWNER-CONTROLLED WORKFLOW — FOUR APPROVAL GATES PLUS OWNER TESTING AND WEEKLY LEARNING — TRACKER v1.3.4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docs/governance/Enterprise_AI_Architecture_6_Week_Execution_Tracker_v1.3.4_repaired.xlsx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</si>
  <si>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OWNER-CONTROLLED WORKFLOW — FOUR APPROVAL GATES PLUS OWNER TESTING AND LEARNING — TRACKER v1.3.4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docs/governance/Enterprise_AI_Architecture_6_Week_Execution_Tracker_v1.3.4_repaired.xlsx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</si>
  <si>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COLUMN L — COMPLETE BOUNDED CODE EDIT APPROVAL — W4-ROLLBACK-001
APPROVED TASK CONTRACT
- Prompt and tracker steps: W4-ROLLBACK-001 / W4-11
- Business purpose: Prove release rollback separately from infrastructure rollback.
- Architecture and design: Signed local release manifests identify immutable releases N and N+1; platformctl validates and selects the previous release without conflating infrastructure rollback.
- Exact interfaces, functions and connections: validate_release_manifest, compare_releases and rollback_release return digest, configuration and health-verification plans; mutation remains owner executed.
- Exact inputs, outputs, errors and invariants: Inputs are limited to Approved local immutable releases N and N+1 and safe regression method.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Release manifest contains schema version, image digest, configuration hash, feature versions and creation evidence; mutable tags and missing hashes are rejected.
- Exact dependency and runtime API rules: Rollback planning is local and dry-run; Docker or service commands appear only in the Owner Execution Guide.
- Exact security, privacy, concurrency and operational controls: Only the verified prior digest may be selected; failed release remains blocked; cleanup removes drill-only state.
- Exact automated-test behavior: Contract tests reject mutable or mismatched manifests; feature test forces a safe regression and restores N; teardown test verifies no drill container, network, volume or state remains.
- Accepted baseline: The inspected repository contains every UPDATE path and does not contain every CREATE path. Historical results remain unchanged; future execution must revalidate content and patch anchors.
EXACT APPROVED PATH MANIFEST
CREATE:
- tests/fixtures/releases/release-n.json
- tests/fixtures/releases/release-n-plus-one.json
- tools/platformctl/release.py
- tests/contract/test_release_manifest.py
- tests/feature/test_release_rollback.py
- tests/teardown/test_w4_release_cleanliness.py
UPDATE:
- tools/platformctl/cli.py
- tools/platformctl/contracts.py
- feature-matrix.yaml
- tools/platformctl/validate.py
- tests/feature/test_feature_matrix.py
- tests/unit/test_platformctl.py
DELETE:
- None
VERIFIED IMPLEMENTED PRODUCERS / UNCHANGED CONSUMERS:
- src/enterprise_ai_platform/app.py
- docker-compose.yml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release rollback separately from infrastructure rollback. and measurable acceptance.
2. Architecture position: known-good baseline -&gt; bounded change -&gt; regression detection -&gt; owner rollback -&gt; verification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switching a railway signal back to a tested track; what goes in, happens and comes out.
7. Decisions/trade-offs: rollback targets an exact known-good identity instead of editing forward under pressure, alternatives, pros/cons, conditions to differ and consequences.
8. Security/privacy/reliability/cost: owner approval, artifact integrity and redacted evidence prevent unauthorized rollback, failure isolation, retained resources and accepted access/cost.
9. Failure/remediation/rollback/teardown: failed rollback is explicit and escalated; never destroy the last known-good version;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W4-ROLLBACK-001.</t>
  </si>
  <si>
    <t>COLUMN L — COMPLETE BOUNDED CONTENT EDIT APPROVAL — W5-INPUTS-001
APPROVED TASK CONTRACT
- Prompt and tracker steps: W5-INPUTS-001 / W5-01
- Business purpose: Capture all non-secret AWS, network, tagging, residency and budget choices before Terraform work.
- Architecture position and content design: Capture non-secret AWS sandbox choices in a human-readable decision record and a Terraform variable example; neither file grants Terraform or AWS execution authority.
- Exact interfaces, functions and connections: No application function, class, API, service or infrastructure connection is changed. The exact document sections are Account and region placeholders, network identifiers, tags, budget, residency, GitHub/OIDC identifiers, Bedrock model IDs, unresolved owner decisions and explicit no-secret warnings.
- Exact inputs, outputs, errors and invariants: Inputs are limited to AWS-001, AWS-002, NET-001, TAG-001, COST-001 and PRIV-001;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or Terraform-example format; the Terraform example contains placeholders only,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infra/environments/sandbox/terraform.tfvars.example
- docs/cost-estimates/W5-inputs.md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and executable infrastructure other than the exact non-secret Terraform variable example.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Capture all non-secret AWS, network, tagging, residency and budget choices before Terraform work. and measurable acceptance.
2. Architecture position: owner-approved non-secret account/network/tag/residency/budget choices -&gt; decision record -&gt; Terraform inputs,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signed travel authorization before booking anything; what goes in, happens and comes out.
7. Decisions/trade-offs: record every cloud boundary before IaC so placeholders cannot become accidental production values, alternatives, pros/cons, conditions to differ and consequences.
8. Security/privacy/reliability/cost: no credentials in workbook/repository; least privilege, residency and budget are explicit, failure isolation, retained resources and accepted access/cost.
9. Failure/remediation/rollback/teardown: missing or conflicting input blocks Terraform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W5-INPUTS-001.</t>
  </si>
  <si>
    <t>COLUMN L — COMPLETE BOUNDED CODE EDIT APPROVAL — W5-001
APPROVED TASK CONTRACT
- Prompt and tracker steps: W5-001 / W5-02, W5-03, W5-04, W5-05
- Business purpose: Produce reviewable infrastructure without secret material.
- Architecture and design: Separate Terraform bootstrap and sandbox roots compose KMS, storage, secret metadata, IAM, OpenSearch and ECR modules; state remains isolated and removed last.
- Exact interfaces, functions and connections: Typed Terraform variables accept owner-approved account, region, network, tags and service identifiers; module outputs expose only non-secret IDs and ARNs.
- Exact inputs, outputs, errors and invariants: Inputs are limited to TODO account, region, VPC/subnets, GitHub repo, tags, Bedrock models.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no model runtime or local inference control applies.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 inspects expected plan shape; teardown test preserves bootstrap-last boundary.
- Accepted baseline: The inspected repository contains every UPDATE path and does not contain every CREATE path. Historical results remain unchanged; future execution must revalidate content and patch anchors.
EXACT APPROVED PATH MANIFEST
CREATE: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src/enterprise_ai_platform/config.py
- src/enterprise_ai_platform/retrieval/adapters/opensearch.py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</si>
  <si>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L — COMPLETE BOUNDED CODE EDIT APPROVAL — W5-002
APPROVED TASK CONTRACT
- Prompt and tracker steps: W5-002 / W5-07, W5-08, W6-01
- Business purpose: Enforce quality, IaC and supply-chain gates with short-lived identity.
- Architecture and design: GitHub Actions workflows separate pull-request quality gates, sandbox plan, approved deploy, rollback and security scanning through environments and OIDC.
- Exact interfaces, functions and connections: Workflow dispatch inputs carry environment, plan artifact identity and typed confirmation; jobs exchange immutable artifacts and explicit outputs.
- Exact inputs, outputs, errors and invariants: Inputs are limited to GitHub environment, OIDC role ARN, sandbox variables.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YAML workflows pin actions, declare least permissions and artifact retention; secret names are references only and no static credential value is permitted.
- Exact dependency and runtime API rules: GitHub-hosted runners and approved tool versions apply; cloud mutation jobs require the protected environment and owner execution/approval.
- Exact security, privacy, concurrency and operational controls: OIDC trust, least permissions, concurrency groups, timeouts, immutable image digests, scan gates and artifact provenance are mandatory.
- Exact automated-test behavior: Workflow contract tests parse job/permission structure; OIDC security tests reject static keys and broad permissions; release-gate tests prove deploy dependency; teardown tests check retention and no local runner residue.
- Accepted baseline: The inspected repository contains every UPDATE path and does not contain every CREATE path. Historical results remain unchanged; future execution must revalidate content and patch anchors.
EXACT APPROVED PATH MANIFEST
CREATE:
- .github/dependabot.yml
- .github/workflows/ci.yml
- .github/workflows/plan-sandbox.yml
- .github/workflows/deploy-sandbox.yml
- .github/workflows/rollback-sandbox.yml
- .github/workflows/security-scan.yml
- tests/contract/test_workflow_contract.py
- tests/security/test_github_oidc_workflows.py
- tests/feature/test_release_gate_workflows.py
- tests/teardown/test_workflow_artifact_retention.py
UPDATE:
- Makefile
- feature-matrix.yaml
- tools/platformctl/validate.py
- tests/feature/test_feature_matrix.py
- tests/unit/test_platformctl.py
DELETE:
- None
VERIFIED IMPLEMENTED PRODUCERS / UNCHANGED CONSUMERS:
- infra/environments/sandbox/main.tf
REQUIRED UPSTREAM PRODUCERS: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Enforce quality, IaC and supply-chain gates with short-lived identity. and measurable acceptance.
2. Architecture position: Git change -&gt; CI quality/security/IaC gates -&gt; OIDC token -&gt; approved artifact/plan -&gt; environment approval,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automated border checkpoint that verifies every package and temporary pass; what goes in, happens and comes out.
7. Decisions/trade-offs: short-lived OIDC and pinned actions replace stored cloud keys and floating supply-chain dependencies, alternatives, pros/cons, conditions to differ and consequences.
8. Security/privacy/reliability/cost: minimum job permissions, environment approvals and no secret output, failure isolation, retained resources and accepted access/cost.
9. Failure/remediation/rollback/teardown: failed gate prevents promotion; compromised/unverified artifact is rejected;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W5-002.</t>
  </si>
  <si>
    <t>COLUMN L — COMPLETE BOUNDED CODE EDIT APPROVAL — W5-003
APPROVED TASK CONTRACT
- Prompt and tracker steps: W5-003 / W5-06
- Business purpose: Make critical cloud controls executable before apply.
- Architecture and design: Checkov configuration and OPA policies validate Terraform plans for encryption, private access, tagging, region and IAM controls before owner apply.
- Exact interfaces, functions and connections: OPA deny rules accept normalized Terraform-plan JSON and return deterministic policy messages; exception records require policy ID, owner, reason and expiry.
- Exact inputs, outputs, errors and invariants: Inputs are limited to Approved regions, encryption/tag rules, exception process.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Exception JSON has schema version, policy ID, resource scope, approver, expiry and rationale; expired, duplicate or broad exceptions are rejected.
- Exact dependency and runtime API rules: Policy evaluation is offline against files; no Terraform or cloud operation is performed by Codex.
- Exact security, privacy, concurrency and operational controls: Default deny covers public storage/search, missing encryption, wildcard IAM, missing tags and unapproved region; exception use is explicit and auditable.
- Exact automated-test behavior: OPA unit tests cover allow and deny plans; exception contract tests reject invalid records; security tests cover critical controls; feature test proves the gate blocks a violating plan.
- Accepted baseline: The inspected repository contains every UPDATE path and does not contain every CREATE path. Historical results remain unchanged; future execution must revalidate content and patch anchors.
EXACT APPROVED PATH MANIFEST
CREATE:
- .checkov.yml
- policies/opa/terraform.rego
- policies/opa/terraform_test.rego
- policies/opa/exceptions.json
- tests/contract/test_policy_exception_contract.py
- tests/security/test_policy_pack.py
- tests/feature/test_policy_gate.py
UPDATE:
- Makefile
- feature-matrix.yaml
- tools/platformctl/validate.py
- tests/feature/test_feature_matrix.py
- tests/unit/test_platformctl.py
DELETE:
- None
VERIFIED IMPLEMENTED PRODUCERS / UNCHANGED CONSUMERS:
- infra/environments/sandbox/main.tf
REQUIRED UPSTREAM PRODUCERS:
- .github/workflows/security-scan.yml — produced by W5-002;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critical cloud controls executable before apply. and measurable acceptance.
2. Architecture position: Terraform/configuration -&gt; policy checks -&gt; deny findings or approved exception -&gt; release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building inspector applying the same checklist to every blueprint; what goes in, happens and comes out.
7. Decisions/trade-offs: policy-as-code and default deny make cloud controls repeatable, alternatives, pros/cons, conditions to differ and consequences.
8. Security/privacy/reliability/cost: reject public access, missing encryption/tags, wildcard IAM and unapproved regions, failure isolation, retained resources and accepted access/cost.
9. Failure/remediation/rollback/teardown: policy errors or expired exceptions fail the gate; rollback restores the last passing policy pack;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W5-003.</t>
  </si>
  <si>
    <t>COLUMN L — COMPLETE BOUNDED CODE EDIT APPROVAL — W5-004
APPROVED TASK CONTRACT
- Prompt and tracker steps: W5-004 / W5-09, W5-10, W5-11, W5-12, W6-12
- Business purpose: Prove the AWS lifecycle without leaving unmanaged resources.
- Architecture and design: platformctl coordinates saved-plan deployment, rollback, ordered teardown and two-source orphan discovery while Terraform remains the resource authority.
- Exact interfaces, functions and connections: validate_saved_plan, deploy_sandbox, rollback_sandbox, destroy_sandbox and verify_aws_clean accept exact environment and approval data and return typed lifecycle reports.
- Exact inputs, outputs, errors and invariants: Inputs are limited to Approved saved plan; budget ceiling; typed owner confirmations.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Saved-plan contract fixes plan hash, commit, workspace, account, region, cost review and approval; inventory records identify native and tag-derived resources.
- Exact dependency and runtime API rules: AWS and Terraform commands are owner executed; code defaults to dry-run and injected fake inventories; timeouts and retries are bounded.
- Exact security, privacy, concurrency and operational controls: Typed confirmation, account/region/project checks, budget ceiling, dependency-ordered destroy, KMS pending-deletion handling and residual-resource reporting apply.
- Exact automated-test behavior: Saved-plan contract rejects drift; lifecycle and rollback feature tests use fakes; security test rejects unapproved destroy; teardown test reconciles native and tag inventories and distinguishes retained resources.
- Accepted baseline: The inspected repository contains every UPDATE path and does not contain every CREATE path. Historical results remain unchanged; future execution must revalidate content and patch anchors.
EXACT APPROVED PATH MANIFEST
CREATE:
- tests/contract/test_saved_plan_contract.py
- tests/feature/test_aws_lifecycle.py
- tests/feature/test_aws_rollback.py
- tests/security/test_destroy_approval.py
- tests/teardown/test_aws_resource_cleanliness.py
UPDATE:
- tools/platformctl/deploy.py
- tools/platformctl/rollback.py
- tools/platformctl/destroy.py
- tools/platformctl/verify_clean.py
- tools/platformctl/aws_inventory.py
- tools/platformctl/cli.py
- tools/platformctl/contracts.py
- tests/fakes/aws_inventory.py
- Makefile
- feature-matrix.yaml
- tools/platformctl/validate.py
- tests/feature/test_feature_matrix.py
- tests/unit/test_platformctl.py
DELETE:
- None
VERIFIED IMPLEMENTED PRODUCERS / UNCHANGED CONSUMERS:
- infra/bootstrap/main.tf
- infra/environments/sandbox/main.tf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Prove the AWS lifecycle without leaving unmanaged resources. and measurable acceptance.
2. Architecture position: approved saved plan/artifact -&gt; typed owner confirmation -&gt; deploy -&gt; verification -&gt; rollback/teardown -&gt; orphan and cost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launching and recovering a spacecraft using signed go/no-go checklists; what goes in, happens and comes out.
7. Decisions/trade-offs: reviewed immutable inputs and explicit lifecycle checkpoints constrain cloud blast radius, alternatives, pros/cons, conditions to differ and consequences.
8. Security/privacy/reliability/cost: owner credentials stay outside Codex; tags, region, residency and least privilege are verified, failure isolation, retained resources and accepted access/cost.
9. Failure/remediation/rollback/teardown: partial deployment stops; rollback or teardown preserves dependencies and reports residuals;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W5-004.</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</si>
  <si>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</si>
  <si>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L — COMPLETE BOUNDED CODE EDIT APPROVAL — W6-002
APPROVED TASK CONTRACT
- Prompt and tracker steps: W6-002 / W6-06, W6-07, W6-08, W6-09
- Business purpose: Make the platform supportable and measurable.
- Architecture and design: OTel Collector, Prometheus, Grafana and alert rules provide vendor-neutral telemetry; a tag-bounded FIS module records but does not execute approved chaos design.
- Exact interfaces, functions and connections: Collector pipelines receive OTLP and export approved traces/metrics; alert rules map SLIs to burn conditions; FIS variables accept exact sandbox targets and stop alarms.
- Exact inputs, outputs, errors and invariants: Inputs are limited to SLO approval; alert destination; pre-production chaos approval.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Telemetry configurations prohibit content; dashboard and alert files use stable metric names; FIS target selectors require project/environment tags and stop conditions.
- Exact dependency and runtime API rules: Exporter endpoints and credentials are owner-provided runtime inputs; owner performs deployment and chaos actions; code/config validation remains offline.
- Exact security, privacy, concurrency and operational controls: No sensitive content, bounded exporter queues/timeouts, least-privilege FIS role, pre-production-only targets, stop alarms and explicit cleanup apply.
- Exact automated-test behavior: Config contract tests parse pipelines; trace and alert feature tests cover correlation and thresholds; failure-mode tests prove bounded retries; security tests cover redaction and FIS targeting; teardown tests inventory telemetry resources.
- Accepted baseline: The inspected repository contains every UPDATE path and does not contain every CREATE path. Historical results remain unchanged; future execution must revalidate content and patch anchors.
EXACT APPROVED PATH MANIFEST
CREATE:
- observability/otel-collector.yaml
- observability/prometheus.yml
- observability/alerts.yml
- observability/grafana/enterprise-ai-dashboard.json
- infra/modules/fis/main.tf
- infra/modules/fis/variables.tf
- infra/modules/fis/outputs.tf
- tests/contract/test_observability_config.py
- tests/feature/test_slo_alerts.py
- tests/feature/test_failure_modes.py
- tests/security/test_observability_redaction.py
- tests/security/test_fis_targeting.py
- tests/teardown/test_observability_cleanliness.py
UPDATE:
- tests/feature/test_trace_correlation.py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src/enterprise_ai_platform/observability/tracing.py — produced by W4-003; Gate 1 must verify existence and contract alignment before activation.
- deploy/k8s/deployment.yaml — produced by W6-001;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the platform supportable and measurable. and measurable acceptance.
2. Architecture position: service signals -&gt; SLI calculations -&gt; SLO/error budget -&gt; alerts -&gt; runbook/chaos exercise -&gt; remediation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smoke alarm plus evacuation drill, not just a thermometer; what goes in, happens and comes out.
7. Decisions/trade-offs: user-centered SLOs and actionable alerts are selected over raw infrastructure noise, alternatives, pros/cons, conditions to differ and consequences.
8. Security/privacy/reliability/cost: telemetry is redacted/access-controlled; chaos uses pre-production approval, failure isolation, retained resources and accepted access/cost.
9. Failure/remediation/rollback/teardown: alert/runbook gaps are found in bounded exercises; stop and restore steady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W6-002.</t>
  </si>
  <si>
    <t>COLUMN L — COMPLETE BOUNDED CODE EDIT APPROVAL — W6-003
APPROVED TASK CONTRACT
- Prompt and tracker steps: W6-003 / W6-10, W6-11, W6-13
- Business purpose: Demonstrate architecture, quality, safety, rollback and clean teardown together.
- Architecture and design: A final automated proof composes existing API, retrieval, RAG, evaluation, security, observability, rollback and cleanliness gates without introducing a new runtime component.
- Exact interfaces, functions and connections: final-proof Make target and platformctl validation return a consolidated gate result; rollback and verify-clean retain their established typed contracts.
- Exact inputs, outputs, errors and invariants: Inputs are limited to Approved sandbox window and evidence locations.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Final gate result records component status as PASS, FAIL, NOT RUN or INDETERMINATE with exact evidence references and no fabricated result.
- Exact dependency and runtime API rules: Local and sandbox commands, deployment, rollback and teardown are owner executed; tests use existing opt-in markers and bounded external access.
- Exact security, privacy, concurrency and operational controls: Any failed safety, isolation, citation, release or residue gate blocks handover; retained resources and deferred work remain explicit.
- Exact automated-test behavior: End-to-end test covers cited query and trace; release gate covers evaluation/security; rollback test restores known-good release; final security and teardown tests prove isolation and zero unintended residue.
- Accepted baseline: The inspected repository contains every UPDATE path and does not contain every CREATE path. Historical results remain unchanged; future execution must revalidate content and patch anchors.
EXACT APPROVED PATH MANIFEST
CREATE:
- tests/e2e/test_final_proof.py
- tests/feature/test_final_release_gate.py
- tests/feature/test_final_rollback.py
- tests/security/test_final_security_gate.py
- tests/teardown/test_final_resource_cleanliness.py
UPDATE:
- tools/platformctl/validate.py
- tools/platformctl/rollback.py
- tools/platformctl/verify_clean.py
- Makefile
- feature-matrix.yaml
- tests/feature/test_feature_matrix.py
- tests/unit/test_platformctl.py
DELETE:
- None
VERIFIED IMPLEMENTED PRODUCERS / UNCHANGED CONSUMERS:
- observability/alerts.yml
REQUIRED UPSTREAM PRODUCERS:
- configs/eval/golden.jsonl — produced by W3-002; Gate 1 must verify existence and contract alignment before activation.
- deploy/k8s/deployment.yaml — produced by W6-001; Gate 1 must verify existence and contract alignment before activation.
- configs/monitoring/alerts.yaml — produced by W6-002;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Demonstrate architecture, quality, safety, rollback and clean teardown together. and measurable acceptance.
2. Architecture position: business scenario -&gt; deployed API/RAG/agent -&gt; security and quality evidence -&gt; rollback -&gt; teardown -&gt;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final building inspection, fire drill and handover pack; what goes in, happens and comes out.
7. Decisions/trade-offs: one evidence-backed lifecycle demonstration proves integration without erasing NOT RUN gaps, alternatives, pros/cons, conditions to differ and consequences.
8. Security/privacy/reliability/cost: authorization, privacy, provenance, least privilege and audit evidence are reconciled end to end, failure isolation, retained resources and accepted access/cost.
9. Failure/remediation/rollback/teardown: failure invokes the correct layer rollback; teardown and residue/cost scans close the sandbox;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W6-003.</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</si>
  <si>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</si>
  <si>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</si>
  <si>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</si>
  <si>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</si>
  <si>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</si>
  <si>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</si>
  <si>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</si>
  <si>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</si>
  <si>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</si>
  <si>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</si>
  <si>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FOUR APPROVAL GATES PLUS OWNER TESTING AND WEEKLY LEARNING — TRACKER v1.3.4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</si>
  <si>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</si>
  <si>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FOUR APPROVAL GATES PLUS OWNER TESTING AND WEEKLY LEARNING — TRACKER v1.3.4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</si>
  <si>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</si>
  <si>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</si>
  <si>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Deferred</t>
  </si>
  <si>
    <t>FOUR APPROVAL GATES PLUS OWNER TESTING AND WEEKLY LEARNING — TRACKER v1.3.4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</si>
  <si>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</si>
  <si>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</si>
  <si>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FOUR APPROVAL GATES PLUS OWNER TESTING AND WEEKLY LEARNING — TRACKER v1.3.4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v1.3.4,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v1.3.4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</si>
  <si>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</si>
  <si>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</si>
  <si>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</si>
  <si>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FOUR APPROVAL GATES PLUS OWNER TESTING AND WEEKLY LEARNING — TRACKER v1.3.4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v1.3.4.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</si>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</sst>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6">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style="thin">
        <color rgb="FFC8D4E3"/>
      </left>
      <right/>
      <top style="thin">
        <color rgb="FFC8D4E3"/>
      </top>
      <bottom/>
      <diagonal/>
    </border>
    <border>
      <left/>
      <right/>
      <top style="thin">
        <color rgb="FFC8D4E3"/>
      </top>
      <bottom/>
      <diagonal/>
    </border>
    <border>
      <left/>
      <right style="thin">
        <color rgb="FFC8D4E3"/>
      </right>
      <top style="thin">
        <color rgb="FFC8D4E3"/>
      </top>
      <bottom/>
      <diagonal/>
    </border>
    <border>
      <left style="thin">
        <color rgb="FFC8D4E3"/>
      </left>
      <right/>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s>
  <cellStyleXfs count="1">
    <xf numFmtId="0" fontId="0" fillId="0" borderId="0"/>
  </cellStyleXfs>
  <cellXfs count="123">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5" xfId="0" applyFont="1" applyFill="1" applyBorder="1"/>
    <xf numFmtId="0" fontId="7" fillId="7" borderId="15" xfId="0" applyFont="1" applyFill="1" applyBorder="1"/>
    <xf numFmtId="164" fontId="7" fillId="7" borderId="15"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6" xfId="0" applyFont="1" applyBorder="1" applyAlignment="1">
      <alignment vertical="top" wrapText="1"/>
    </xf>
    <xf numFmtId="0" fontId="10" fillId="11" borderId="16" xfId="0" applyFont="1" applyFill="1" applyBorder="1" applyAlignment="1">
      <alignment vertical="top" wrapText="1"/>
    </xf>
    <xf numFmtId="0" fontId="4" fillId="10" borderId="0" xfId="0" applyFont="1" applyFill="1"/>
    <xf numFmtId="14" fontId="10" fillId="11" borderId="16" xfId="0" applyNumberFormat="1" applyFont="1" applyFill="1" applyBorder="1" applyAlignment="1">
      <alignment vertical="top" wrapText="1"/>
    </xf>
    <xf numFmtId="14" fontId="10" fillId="0" borderId="16"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5" xfId="0" applyFont="1" applyFill="1" applyBorder="1" applyAlignment="1">
      <alignment vertical="center" wrapText="1"/>
    </xf>
    <xf numFmtId="0" fontId="4" fillId="13" borderId="0" xfId="0" applyFont="1" applyFill="1" applyAlignment="1">
      <alignment wrapText="1"/>
    </xf>
    <xf numFmtId="0" fontId="14" fillId="13" borderId="16" xfId="0" applyFont="1" applyFill="1" applyBorder="1" applyAlignment="1">
      <alignment vertical="top" wrapText="1"/>
    </xf>
    <xf numFmtId="0" fontId="14" fillId="13" borderId="15" xfId="0" applyFont="1" applyFill="1" applyBorder="1" applyAlignment="1">
      <alignment vertical="top" wrapText="1"/>
    </xf>
    <xf numFmtId="0" fontId="10" fillId="3" borderId="16" xfId="0" applyFont="1" applyFill="1" applyBorder="1" applyAlignment="1">
      <alignment vertical="top" wrapText="1"/>
    </xf>
    <xf numFmtId="0" fontId="7" fillId="0" borderId="16" xfId="0" applyFont="1"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16" borderId="17" xfId="0" applyFill="1" applyBorder="1" applyAlignment="1">
      <alignment vertical="top" wrapText="1"/>
    </xf>
    <xf numFmtId="0" fontId="0" fillId="16" borderId="19" xfId="0" applyFill="1" applyBorder="1" applyAlignment="1">
      <alignment vertical="top" wrapText="1"/>
    </xf>
    <xf numFmtId="0" fontId="0" fillId="16" borderId="20" xfId="0" applyFill="1" applyBorder="1" applyAlignment="1">
      <alignment vertical="top" wrapText="1"/>
    </xf>
    <xf numFmtId="0" fontId="0" fillId="16" borderId="22" xfId="0" applyFill="1" applyBorder="1" applyAlignment="1">
      <alignment vertical="top" wrapText="1"/>
    </xf>
    <xf numFmtId="0" fontId="0" fillId="16" borderId="23" xfId="0" applyFill="1" applyBorder="1" applyAlignment="1">
      <alignment vertical="top" wrapText="1"/>
    </xf>
    <xf numFmtId="0" fontId="0" fillId="16" borderId="25"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5" xfId="0" applyFont="1" applyFill="1" applyBorder="1" applyAlignment="1">
      <alignment vertical="top" wrapText="1"/>
    </xf>
    <xf numFmtId="0" fontId="3" fillId="13" borderId="15" xfId="0" applyFont="1" applyFill="1" applyBorder="1" applyAlignment="1">
      <alignment vertical="top" wrapText="1"/>
    </xf>
    <xf numFmtId="0" fontId="10" fillId="15" borderId="16" xfId="0" applyFont="1" applyFill="1" applyBorder="1" applyAlignment="1">
      <alignment vertical="top" wrapText="1"/>
    </xf>
    <xf numFmtId="0" fontId="4" fillId="13" borderId="0" xfId="0" applyFont="1" applyFill="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1" fillId="2" borderId="0" xfId="0" applyFont="1" applyFill="1" applyAlignment="1">
      <alignment vertical="center"/>
    </xf>
    <xf numFmtId="0" fontId="2" fillId="3" borderId="0" xfId="0" applyFont="1" applyFill="1" applyAlignment="1">
      <alignment vertical="center" wrapText="1"/>
    </xf>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5" fillId="6" borderId="10"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8" fillId="8" borderId="7" xfId="0" applyFont="1" applyFill="1" applyBorder="1" applyAlignment="1">
      <alignment wrapText="1"/>
    </xf>
    <xf numFmtId="0" fontId="8" fillId="8" borderId="8" xfId="0" applyFont="1" applyFill="1" applyBorder="1" applyAlignment="1">
      <alignment wrapText="1"/>
    </xf>
    <xf numFmtId="0" fontId="8" fillId="8" borderId="9" xfId="0" applyFont="1" applyFill="1" applyBorder="1" applyAlignment="1">
      <alignment wrapText="1"/>
    </xf>
    <xf numFmtId="0" fontId="8" fillId="8" borderId="12" xfId="0" applyFont="1" applyFill="1" applyBorder="1" applyAlignment="1">
      <alignment wrapText="1"/>
    </xf>
    <xf numFmtId="0" fontId="8" fillId="8" borderId="13" xfId="0" applyFont="1" applyFill="1" applyBorder="1" applyAlignment="1">
      <alignment wrapText="1"/>
    </xf>
    <xf numFmtId="0" fontId="8" fillId="8" borderId="14" xfId="0" applyFont="1" applyFill="1" applyBorder="1" applyAlignment="1">
      <alignment wrapText="1"/>
    </xf>
    <xf numFmtId="0" fontId="5" fillId="6" borderId="12" xfId="0" applyFont="1" applyFill="1" applyBorder="1" applyAlignment="1">
      <alignment vertical="center" wrapText="1"/>
    </xf>
    <xf numFmtId="0" fontId="5" fillId="6" borderId="13" xfId="0" applyFont="1" applyFill="1" applyBorder="1" applyAlignment="1">
      <alignment vertical="center" wrapText="1"/>
    </xf>
    <xf numFmtId="0" fontId="5" fillId="6" borderId="14" xfId="0" applyFont="1" applyFill="1" applyBorder="1" applyAlignment="1">
      <alignment vertical="center" wrapText="1"/>
    </xf>
    <xf numFmtId="0" fontId="3" fillId="4" borderId="0" xfId="0" applyFont="1" applyFill="1" applyAlignment="1">
      <alignment horizontal="center"/>
    </xf>
    <xf numFmtId="0" fontId="9" fillId="6" borderId="7" xfId="0" applyFont="1" applyFill="1" applyBorder="1" applyAlignment="1">
      <alignment horizontal="center" vertical="center"/>
    </xf>
    <xf numFmtId="0" fontId="9" fillId="6" borderId="9" xfId="0" applyFont="1" applyFill="1" applyBorder="1" applyAlignment="1">
      <alignment horizontal="center" vertical="center"/>
    </xf>
    <xf numFmtId="0" fontId="9" fillId="6" borderId="12" xfId="0" applyFont="1" applyFill="1" applyBorder="1" applyAlignment="1">
      <alignment horizontal="center" vertical="center"/>
    </xf>
    <xf numFmtId="0" fontId="9" fillId="6" borderId="14" xfId="0" applyFont="1" applyFill="1" applyBorder="1" applyAlignment="1">
      <alignment horizontal="center" vertical="center"/>
    </xf>
    <xf numFmtId="9" fontId="9" fillId="6" borderId="7" xfId="0" applyNumberFormat="1" applyFont="1" applyFill="1" applyBorder="1" applyAlignment="1">
      <alignment horizontal="center" vertical="center"/>
    </xf>
    <xf numFmtId="9" fontId="9" fillId="6" borderId="9" xfId="0" applyNumberFormat="1" applyFont="1" applyFill="1" applyBorder="1" applyAlignment="1">
      <alignment horizontal="center" vertical="center"/>
    </xf>
    <xf numFmtId="9" fontId="9" fillId="6" borderId="12" xfId="0" applyNumberFormat="1" applyFont="1" applyFill="1" applyBorder="1" applyAlignment="1">
      <alignment horizontal="center" vertical="center"/>
    </xf>
    <xf numFmtId="9" fontId="9" fillId="6" borderId="14" xfId="0" applyNumberFormat="1" applyFont="1" applyFill="1" applyBorder="1" applyAlignment="1">
      <alignment horizontal="center" vertical="center"/>
    </xf>
    <xf numFmtId="0" fontId="5" fillId="6" borderId="10" xfId="0" applyFont="1" applyFill="1" applyBorder="1" applyAlignment="1">
      <alignment wrapText="1"/>
    </xf>
    <xf numFmtId="0" fontId="5" fillId="6" borderId="0" xfId="0" applyFont="1" applyFill="1" applyAlignment="1">
      <alignment wrapText="1"/>
    </xf>
    <xf numFmtId="0" fontId="5" fillId="6" borderId="11" xfId="0" applyFont="1" applyFill="1" applyBorder="1" applyAlignment="1">
      <alignment wrapText="1"/>
    </xf>
    <xf numFmtId="0" fontId="5" fillId="6" borderId="12" xfId="0" applyFont="1" applyFill="1" applyBorder="1" applyAlignment="1">
      <alignment wrapText="1"/>
    </xf>
    <xf numFmtId="0" fontId="5" fillId="6" borderId="13" xfId="0" applyFont="1" applyFill="1" applyBorder="1" applyAlignment="1">
      <alignment wrapText="1"/>
    </xf>
    <xf numFmtId="0" fontId="5" fillId="6" borderId="14" xfId="0" applyFont="1" applyFill="1" applyBorder="1" applyAlignment="1">
      <alignment wrapText="1"/>
    </xf>
    <xf numFmtId="0" fontId="5" fillId="6" borderId="7" xfId="0" applyFont="1" applyFill="1" applyBorder="1" applyAlignment="1">
      <alignment wrapText="1"/>
    </xf>
    <xf numFmtId="0" fontId="5" fillId="6" borderId="8" xfId="0" applyFont="1" applyFill="1" applyBorder="1" applyAlignment="1">
      <alignment wrapText="1"/>
    </xf>
    <xf numFmtId="0" fontId="5" fillId="6" borderId="9" xfId="0" applyFont="1" applyFill="1" applyBorder="1" applyAlignment="1">
      <alignment wrapText="1"/>
    </xf>
    <xf numFmtId="0" fontId="4" fillId="10" borderId="0" xfId="0" applyFont="1" applyFill="1"/>
    <xf numFmtId="0" fontId="0" fillId="0" borderId="0" xfId="0"/>
    <xf numFmtId="9" fontId="11" fillId="6" borderId="7" xfId="0" applyNumberFormat="1" applyFont="1" applyFill="1" applyBorder="1" applyAlignment="1">
      <alignment horizontal="center" vertical="center"/>
    </xf>
    <xf numFmtId="9" fontId="11" fillId="6" borderId="9" xfId="0" applyNumberFormat="1" applyFont="1" applyFill="1" applyBorder="1" applyAlignment="1">
      <alignment horizontal="center" vertical="center"/>
    </xf>
    <xf numFmtId="9" fontId="11" fillId="6" borderId="12" xfId="0" applyNumberFormat="1" applyFont="1" applyFill="1" applyBorder="1" applyAlignment="1">
      <alignment horizontal="center" vertical="center"/>
    </xf>
    <xf numFmtId="9" fontId="11" fillId="6" borderId="14" xfId="0" applyNumberFormat="1" applyFont="1" applyFill="1" applyBorder="1" applyAlignment="1">
      <alignment horizontal="center" vertical="center"/>
    </xf>
    <xf numFmtId="0" fontId="12" fillId="6" borderId="7" xfId="0" applyFont="1" applyFill="1" applyBorder="1" applyAlignment="1">
      <alignment horizontal="center" vertical="center"/>
    </xf>
    <xf numFmtId="0" fontId="12" fillId="6" borderId="9" xfId="0" applyFont="1" applyFill="1" applyBorder="1" applyAlignment="1">
      <alignment horizontal="center" vertical="center"/>
    </xf>
    <xf numFmtId="0" fontId="12" fillId="6" borderId="12" xfId="0" applyFont="1" applyFill="1" applyBorder="1" applyAlignment="1">
      <alignment horizontal="center" vertical="center"/>
    </xf>
    <xf numFmtId="0" fontId="12" fillId="6" borderId="14" xfId="0" applyFont="1" applyFill="1" applyBorder="1" applyAlignment="1">
      <alignment horizontal="center" vertical="center"/>
    </xf>
    <xf numFmtId="0" fontId="13" fillId="9" borderId="7" xfId="0" applyFont="1" applyFill="1" applyBorder="1" applyAlignment="1">
      <alignment vertical="center" wrapText="1"/>
    </xf>
    <xf numFmtId="0" fontId="13" fillId="9" borderId="8" xfId="0" applyFont="1" applyFill="1" applyBorder="1" applyAlignment="1">
      <alignment vertical="center" wrapText="1"/>
    </xf>
    <xf numFmtId="0" fontId="13" fillId="9" borderId="9" xfId="0" applyFont="1" applyFill="1" applyBorder="1" applyAlignment="1">
      <alignment vertical="center" wrapText="1"/>
    </xf>
    <xf numFmtId="0" fontId="13" fillId="9" borderId="12" xfId="0" applyFont="1" applyFill="1" applyBorder="1" applyAlignment="1">
      <alignment vertical="center" wrapText="1"/>
    </xf>
    <xf numFmtId="0" fontId="13" fillId="9" borderId="13" xfId="0" applyFont="1" applyFill="1" applyBorder="1" applyAlignment="1">
      <alignment vertical="center" wrapText="1"/>
    </xf>
    <xf numFmtId="0" fontId="13" fillId="9" borderId="14" xfId="0" applyFont="1" applyFill="1" applyBorder="1" applyAlignment="1">
      <alignment vertical="center" wrapText="1"/>
    </xf>
    <xf numFmtId="0" fontId="3" fillId="12" borderId="15" xfId="0" applyFont="1" applyFill="1" applyBorder="1" applyAlignment="1">
      <alignment vertical="center" wrapText="1"/>
    </xf>
    <xf numFmtId="0" fontId="13" fillId="9" borderId="1" xfId="0" applyFont="1" applyFill="1" applyBorder="1" applyAlignment="1">
      <alignment wrapText="1"/>
    </xf>
    <xf numFmtId="0" fontId="13" fillId="9" borderId="2" xfId="0" applyFont="1" applyFill="1" applyBorder="1" applyAlignment="1">
      <alignment wrapText="1"/>
    </xf>
    <xf numFmtId="0" fontId="13" fillId="9" borderId="3" xfId="0" applyFont="1" applyFill="1" applyBorder="1" applyAlignment="1">
      <alignment wrapText="1"/>
    </xf>
    <xf numFmtId="0" fontId="8" fillId="8" borderId="1" xfId="0" applyFont="1" applyFill="1" applyBorder="1" applyAlignment="1">
      <alignment wrapText="1"/>
    </xf>
    <xf numFmtId="0" fontId="8" fillId="8" borderId="2" xfId="0" applyFont="1" applyFill="1" applyBorder="1" applyAlignment="1">
      <alignment wrapText="1"/>
    </xf>
    <xf numFmtId="0" fontId="8" fillId="8" borderId="3" xfId="0" applyFont="1" applyFill="1" applyBorder="1" applyAlignment="1">
      <alignment wrapText="1"/>
    </xf>
    <xf numFmtId="0" fontId="4" fillId="14" borderId="0" xfId="0" applyFont="1" applyFill="1" applyAlignment="1">
      <alignment horizontal="left" vertical="center" wrapText="1"/>
    </xf>
    <xf numFmtId="0" fontId="7" fillId="15" borderId="0" xfId="0" applyFont="1" applyFill="1" applyAlignment="1">
      <alignment wrapText="1"/>
    </xf>
    <xf numFmtId="0" fontId="4" fillId="13" borderId="0" xfId="0" applyFont="1" applyFill="1" applyAlignment="1">
      <alignment wrapText="1"/>
    </xf>
  </cellXfs>
  <cellStyles count="1">
    <cellStyle name="Normal" xfId="0" builtinId="0"/>
  </cellStyles>
  <dxfs count="49">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alignment horizontal="general"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0.92307692307692313</c:v>
                </c:pt>
                <c:pt idx="3">
                  <c:v>0</c:v>
                </c:pt>
                <c:pt idx="4">
                  <c:v>0</c:v>
                </c:pt>
                <c:pt idx="5">
                  <c:v>0</c:v>
                </c:pt>
              </c:numCache>
            </c:numRef>
          </c:val>
          <c:extLst>
            <c:ext xmlns:c16="http://schemas.microsoft.com/office/drawing/2014/chart" uri="{C3380CC4-5D6E-409C-BE32-E72D297353CC}">
              <c16:uniqueId val="{00000000-C879-4CFA-B124-97E34B2B3DDD}"/>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85" totalsRowShown="0">
  <autoFilter ref="A5:T85" xr:uid="{00000000-0009-0000-0100-000001000000}">
    <filterColumn colId="1">
      <filters>
        <filter val="Week 3"/>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dataDxfId="4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24" totalsRowShown="0">
  <autoFilter ref="A6:H24"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09000000}" name="TestEvidenceTable" displayName="TestEvidenceTable" ref="A5:L39"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23" totalsRowShown="0">
  <autoFilter ref="A5:K23"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30" totalsRowShown="0">
  <autoFilter ref="A5:J30" xr:uid="{00000000-0009-0000-0100-00000C000000}">
    <filterColumn colId="3">
      <filters>
        <filter val="Week 3"/>
        <filter val="Week 4"/>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echAdoptionTable" displayName="TechAdoptionTable" ref="A5:G69" totalsRowShown="0">
  <autoFilter ref="A5:G69" xr:uid="{00000000-0009-0000-0100-00000E000000}"/>
  <tableColumns count="7">
    <tableColumn id="1" xr3:uid="{00000000-0010-0000-0D00-000001000000}" name="Category"/>
    <tableColumn id="2" xr3:uid="{00000000-0010-0000-0D00-000002000000}" name="Technology"/>
    <tableColumn id="3" xr3:uid="{00000000-0010-0000-0D00-000003000000}" name="Priority"/>
    <tableColumn id="4" xr3:uid="{00000000-0010-0000-0D00-000004000000}" name="When"/>
    <tableColumn id="5" xr3:uid="{00000000-0010-0000-0D00-000005000000}" name="Why / Role"/>
    <tableColumn id="6" xr3:uid="{00000000-0010-0000-0D00-000006000000}" name="Open Alternative / Migration"/>
    <tableColumn id="7" xr3:uid="{00000000-0010-0000-0D00-000007000000}" name="Cost, Residency and Privacy Not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EnvironmentVariableTable" displayName="EnvironmentVariableTable" ref="A5:H38" totalsRowShown="0">
  <autoFilter ref="A5:H38" xr:uid="{00000000-0009-0000-0100-00000F000000}"/>
  <tableColumns count="8">
    <tableColumn id="1" xr3:uid="{00000000-0010-0000-0E00-000001000000}" name="Variable"/>
    <tableColumn id="2" xr3:uid="{00000000-0010-0000-0E00-000002000000}" name="Scope"/>
    <tableColumn id="3" xr3:uid="{00000000-0010-0000-0E00-000003000000}" name="Secret?"/>
    <tableColumn id="4" xr3:uid="{00000000-0010-0000-0E00-000004000000}" name="Example / Placeholder"/>
    <tableColumn id="5" xr3:uid="{00000000-0010-0000-0E00-000005000000}" name="Needed By"/>
    <tableColumn id="6" xr3:uid="{00000000-0010-0000-0E00-000006000000}" name="Validation / Rule"/>
    <tableColumn id="7" xr3:uid="{00000000-0010-0000-0E00-000007000000}" name="Consumer"/>
    <tableColumn id="8" xr3:uid="{00000000-0010-0000-0E00-000008000000}" name="Owner Notes"/>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SourceTraceTable" displayName="SourceTraceTable" ref="A5:F8" totalsRowShown="0">
  <autoFilter ref="A5:F8" xr:uid="{00000000-0009-0000-0100-000010000000}"/>
  <tableColumns count="6">
    <tableColumn id="1" xr3:uid="{00000000-0010-0000-0F00-000001000000}" name="Source"/>
    <tableColumn id="2" xr3:uid="{00000000-0010-0000-0F00-000002000000}" name="Version / Type"/>
    <tableColumn id="3" xr3:uid="{00000000-0010-0000-0F00-000003000000}" name="Content Used"/>
    <tableColumn id="4" xr3:uid="{00000000-0010-0000-0F00-000004000000}" name="Authority"/>
    <tableColumn id="5" xr3:uid="{00000000-0010-0000-0F00-000005000000}" name="Conflict Rule"/>
    <tableColumn id="6" xr3:uid="{00000000-0010-0000-0F00-000006000000}" name="Review Status"/>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0000000}" name="LearningJourneyTable" displayName="LearningJourneyTable" ref="A12:H18" totalsRowShown="0">
  <tableColumns count="8">
    <tableColumn id="1" xr3:uid="{00000000-0010-0000-1000-000001000000}" name="Week"/>
    <tableColumn id="2" xr3:uid="{00000000-0010-0000-1000-000002000000}" name="Business Outcome"/>
    <tableColumn id="3" xr3:uid="{00000000-0010-0000-1000-000003000000}" name="Technical Focus"/>
    <tableColumn id="4" xr3:uid="{00000000-0010-0000-1000-000004000000}" name="Owner Hands-On"/>
    <tableColumn id="5" xr3:uid="{00000000-0010-0000-1000-000005000000}" name="Decisions to Explain"/>
    <tableColumn id="6" xr3:uid="{00000000-0010-0000-1000-000006000000}" name="Interview Story"/>
    <tableColumn id="7" xr3:uid="{00000000-0010-0000-1000-000007000000}" name="Weekly Learning Task"/>
    <tableColumn id="8" xr3:uid="{00000000-0010-0000-1000-000008000000}" name="Learning 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 r="A1" s="59" t="s">
        <v>0</v>
      </c>
      <c r="B1" s="59"/>
      <c r="C1" s="59"/>
      <c r="D1" s="59"/>
      <c r="E1" s="59"/>
      <c r="F1" s="59"/>
      <c r="G1" s="59"/>
      <c r="H1" s="59"/>
      <c r="I1" s="59"/>
      <c r="J1" s="59"/>
    </row>
    <row r="2" spans="1:10">
      <c r="A2" s="60" t="s">
        <v>1</v>
      </c>
      <c r="B2" s="60"/>
      <c r="C2" s="60"/>
      <c r="D2" s="60"/>
      <c r="E2" s="60"/>
      <c r="F2" s="60"/>
      <c r="G2" s="60"/>
      <c r="H2" s="60"/>
      <c r="I2" s="60"/>
      <c r="J2" s="60"/>
    </row>
    <row r="4" spans="1:10">
      <c r="A4" s="61" t="s">
        <v>2</v>
      </c>
      <c r="B4" s="62"/>
      <c r="C4" s="62"/>
      <c r="D4" s="62"/>
      <c r="E4" s="61" t="s">
        <v>3</v>
      </c>
      <c r="F4" s="62"/>
      <c r="G4" s="62"/>
      <c r="H4" s="62"/>
      <c r="I4" s="62"/>
      <c r="J4" s="63"/>
    </row>
    <row r="5" spans="1:10" ht="39.6">
      <c r="A5" s="21">
        <v>1</v>
      </c>
      <c r="B5" s="4" t="s">
        <v>4</v>
      </c>
      <c r="C5" s="4" t="s">
        <v>5</v>
      </c>
      <c r="E5" s="64" t="s">
        <v>6</v>
      </c>
      <c r="F5" s="65"/>
      <c r="G5" s="65"/>
      <c r="H5" s="65"/>
      <c r="I5" s="65"/>
      <c r="J5" s="66"/>
    </row>
    <row r="6" spans="1:10" ht="39.6">
      <c r="A6" s="21">
        <v>2</v>
      </c>
      <c r="B6" s="5" t="s">
        <v>7</v>
      </c>
      <c r="C6" s="5" t="s">
        <v>8</v>
      </c>
      <c r="E6" s="67" t="s">
        <v>9</v>
      </c>
      <c r="F6" s="68"/>
      <c r="G6" s="68"/>
      <c r="H6" s="68"/>
      <c r="I6" s="68"/>
      <c r="J6" s="69"/>
    </row>
    <row r="7" spans="1:10" ht="66">
      <c r="A7" s="21">
        <v>3</v>
      </c>
      <c r="B7" s="5" t="s">
        <v>10</v>
      </c>
      <c r="C7" s="5" t="s">
        <v>11</v>
      </c>
      <c r="E7" s="67" t="s">
        <v>12</v>
      </c>
      <c r="F7" s="68"/>
      <c r="G7" s="68"/>
      <c r="H7" s="68"/>
      <c r="I7" s="68"/>
      <c r="J7" s="69"/>
    </row>
    <row r="8" spans="1:10" ht="79.2">
      <c r="A8" s="21">
        <v>4</v>
      </c>
      <c r="B8" s="5" t="s">
        <v>13</v>
      </c>
      <c r="C8" s="5" t="s">
        <v>14</v>
      </c>
      <c r="E8" s="67" t="s">
        <v>15</v>
      </c>
      <c r="F8" s="68"/>
      <c r="G8" s="68"/>
      <c r="H8" s="68"/>
      <c r="I8" s="68"/>
      <c r="J8" s="69"/>
    </row>
    <row r="9" spans="1:10" ht="66">
      <c r="A9" s="21">
        <v>5</v>
      </c>
      <c r="B9" s="5" t="s">
        <v>16</v>
      </c>
      <c r="C9" s="5" t="s">
        <v>17</v>
      </c>
      <c r="E9" s="67" t="s">
        <v>18</v>
      </c>
      <c r="F9" s="68"/>
      <c r="G9" s="68"/>
      <c r="H9" s="68"/>
      <c r="I9" s="68"/>
      <c r="J9" s="69"/>
    </row>
    <row r="10" spans="1:10" ht="79.2">
      <c r="A10" s="21">
        <v>6</v>
      </c>
      <c r="B10" s="5" t="s">
        <v>19</v>
      </c>
      <c r="C10" s="5" t="s">
        <v>20</v>
      </c>
      <c r="E10" s="67" t="s">
        <v>21</v>
      </c>
      <c r="F10" s="68"/>
      <c r="G10" s="68"/>
      <c r="H10" s="68"/>
      <c r="I10" s="68"/>
      <c r="J10" s="69"/>
    </row>
    <row r="11" spans="1:10" ht="92.4">
      <c r="A11" s="21">
        <v>7</v>
      </c>
      <c r="B11" s="5" t="s">
        <v>22</v>
      </c>
      <c r="C11" s="5" t="s">
        <v>23</v>
      </c>
      <c r="E11" s="76" t="s">
        <v>24</v>
      </c>
      <c r="F11" s="77"/>
      <c r="G11" s="77"/>
      <c r="H11" s="77"/>
      <c r="I11" s="77"/>
      <c r="J11" s="78"/>
    </row>
    <row r="12" spans="1:10" ht="66">
      <c r="A12" s="21">
        <v>8</v>
      </c>
      <c r="B12" s="5" t="s">
        <v>25</v>
      </c>
      <c r="C12" s="5" t="s">
        <v>26</v>
      </c>
      <c r="E12" t="s">
        <v>27</v>
      </c>
    </row>
    <row r="13" spans="1:10" ht="66">
      <c r="A13" s="21">
        <v>9</v>
      </c>
      <c r="B13" s="5" t="s">
        <v>28</v>
      </c>
      <c r="C13" s="5" t="s">
        <v>29</v>
      </c>
      <c r="E13" s="61" t="s">
        <v>30</v>
      </c>
      <c r="F13" s="62"/>
      <c r="G13" s="62"/>
      <c r="H13" s="62"/>
      <c r="I13" s="62"/>
      <c r="J13" s="63"/>
    </row>
    <row r="14" spans="1:10" ht="79.2">
      <c r="A14" s="21">
        <v>10</v>
      </c>
      <c r="B14" s="6" t="s">
        <v>31</v>
      </c>
      <c r="C14" s="6" t="s">
        <v>32</v>
      </c>
      <c r="E14" s="7" t="s">
        <v>33</v>
      </c>
      <c r="F14" s="9"/>
    </row>
    <row r="15" spans="1:10">
      <c r="E15" s="7" t="s">
        <v>34</v>
      </c>
      <c r="F15" s="8" t="s">
        <v>35</v>
      </c>
    </row>
    <row r="16" spans="1:10">
      <c r="E16" s="7" t="s">
        <v>36</v>
      </c>
      <c r="F16" s="8" t="s">
        <v>37</v>
      </c>
    </row>
    <row r="17" spans="1:10">
      <c r="E17" s="7" t="s">
        <v>38</v>
      </c>
      <c r="F17" s="8" t="s">
        <v>39</v>
      </c>
    </row>
    <row r="18" spans="1:10">
      <c r="E18" t="s">
        <v>40</v>
      </c>
      <c r="F18" t="s">
        <v>41</v>
      </c>
    </row>
    <row r="19" spans="1:10">
      <c r="A19" s="70" t="s">
        <v>42</v>
      </c>
      <c r="B19" s="71"/>
      <c r="C19" s="71"/>
      <c r="D19" s="71"/>
      <c r="E19" s="71"/>
      <c r="F19" s="71"/>
      <c r="G19" s="71"/>
      <c r="H19" s="71"/>
      <c r="I19" s="71"/>
      <c r="J19" s="72"/>
    </row>
    <row r="20" spans="1:10">
      <c r="A20" s="73"/>
      <c r="B20" s="74"/>
      <c r="C20" s="74"/>
      <c r="D20" s="74"/>
      <c r="E20" s="74"/>
      <c r="F20" s="74"/>
      <c r="G20" s="74"/>
      <c r="H20" s="74"/>
      <c r="I20" s="74"/>
      <c r="J20" s="75"/>
    </row>
  </sheetData>
  <mergeCells count="12">
    <mergeCell ref="E13:J13"/>
    <mergeCell ref="A19:J20"/>
    <mergeCell ref="E7:J7"/>
    <mergeCell ref="E8:J8"/>
    <mergeCell ref="E9:J9"/>
    <mergeCell ref="E10:J10"/>
    <mergeCell ref="E11:J11"/>
    <mergeCell ref="A1:J1"/>
    <mergeCell ref="A2:J2"/>
    <mergeCell ref="A4:J4"/>
    <mergeCell ref="E5:J5"/>
    <mergeCell ref="E6:J6"/>
  </mergeCells>
  <dataValidations count="1">
    <dataValidation type="list" sqref="F16" xr:uid="{00000000-0002-0000-0000-000000000000}">
      <formula1>"Week 1,Week 2,Week 3,Week 4,Week 5,Week 6,Complete"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6"/>
  <sheetViews>
    <sheetView showGridLines="0" workbookViewId="0">
      <selection activeCell="M6" sqref="M6"/>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59" t="s">
        <v>43</v>
      </c>
      <c r="B1" s="59"/>
      <c r="C1" s="59"/>
      <c r="D1" s="59"/>
      <c r="E1" s="59"/>
      <c r="F1" s="59"/>
      <c r="G1" s="59"/>
      <c r="H1" s="59"/>
      <c r="I1" s="59"/>
      <c r="J1" s="59"/>
      <c r="K1" s="59"/>
      <c r="L1" s="59"/>
      <c r="M1" s="59"/>
      <c r="N1" s="59"/>
      <c r="O1" s="59"/>
      <c r="P1" s="59"/>
    </row>
    <row r="2" spans="1:16" ht="31.95" customHeight="1">
      <c r="A2" s="60" t="s">
        <v>44</v>
      </c>
      <c r="B2" s="60"/>
      <c r="C2" s="60"/>
      <c r="D2" s="60"/>
      <c r="E2" s="60"/>
      <c r="F2" s="60"/>
      <c r="G2" s="60"/>
      <c r="H2" s="60"/>
      <c r="I2" s="60"/>
      <c r="J2" s="60"/>
      <c r="K2" s="60"/>
      <c r="L2" s="60"/>
      <c r="M2" s="60"/>
      <c r="N2" s="60"/>
      <c r="O2" s="60"/>
      <c r="P2" s="60"/>
    </row>
    <row r="4" spans="1:16">
      <c r="A4" s="79" t="s">
        <v>45</v>
      </c>
      <c r="B4" s="79"/>
      <c r="D4" s="79" t="s">
        <v>46</v>
      </c>
      <c r="E4" s="79"/>
      <c r="G4" s="79" t="s">
        <v>47</v>
      </c>
      <c r="H4" s="79"/>
      <c r="J4" s="79" t="s">
        <v>48</v>
      </c>
      <c r="K4" s="79"/>
    </row>
    <row r="5" spans="1:16">
      <c r="A5" s="80">
        <f>COUNTA('02 Master Plan'!$A$6:$A$120)</f>
        <v>80</v>
      </c>
      <c r="B5" s="81"/>
      <c r="D5" s="80">
        <f>COUNTIF('02 Master Plan'!$S$6:$S$120,"Done")</f>
        <v>38</v>
      </c>
      <c r="E5" s="81"/>
      <c r="G5" s="84">
        <f>IF(A5=0,0,D5/A5)</f>
        <v>0.47499999999999998</v>
      </c>
      <c r="H5" s="85"/>
      <c r="J5" s="80">
        <f>COUNTIF('02 Master Plan'!$S$6:$S$120,"Blocked")</f>
        <v>0</v>
      </c>
      <c r="K5" s="81"/>
    </row>
    <row r="6" spans="1:16">
      <c r="A6" s="82"/>
      <c r="B6" s="83"/>
      <c r="D6" s="82"/>
      <c r="E6" s="83"/>
      <c r="G6" s="86"/>
      <c r="H6" s="87"/>
      <c r="J6" s="82"/>
      <c r="K6" s="83"/>
    </row>
    <row r="7" spans="1:16">
      <c r="A7" s="79" t="s">
        <v>49</v>
      </c>
      <c r="B7" s="79"/>
      <c r="D7" s="79" t="s">
        <v>50</v>
      </c>
      <c r="E7" s="79"/>
      <c r="G7" s="79" t="s">
        <v>51</v>
      </c>
      <c r="H7" s="79"/>
      <c r="J7" s="79" t="s">
        <v>52</v>
      </c>
      <c r="K7" s="79"/>
    </row>
    <row r="8" spans="1:16">
      <c r="A8" s="80">
        <f>COUNTIFS('13 Owner TODOs'!$F$6:$F$80,"&lt;&gt;Done",'13 Owner TODOs'!$A$6:$A$80,"&lt;&gt;")</f>
        <v>14</v>
      </c>
      <c r="B8" s="81"/>
      <c r="D8" s="80">
        <f>COUNTIF('11 Test Evidence'!$H$6:$H$80,"Pass")</f>
        <v>6</v>
      </c>
      <c r="E8" s="81"/>
      <c r="G8" s="80">
        <f>COUNTIF('12 Decision Log'!$C$6:$C$60,"Baseline Approved")+COUNTIF('12 Decision Log'!$C$6:$C$60,"Approved")</f>
        <v>18</v>
      </c>
      <c r="H8" s="81"/>
      <c r="J8" s="80">
        <f>COUNTIFS('11 Test Evidence'!$C$6:$C$80,"Teardown",'11 Test Evidence'!$H$6:$H$80,"Pass")</f>
        <v>1</v>
      </c>
      <c r="K8" s="81"/>
    </row>
    <row r="9" spans="1:16">
      <c r="A9" s="82"/>
      <c r="B9" s="83"/>
      <c r="D9" s="82"/>
      <c r="E9" s="83"/>
      <c r="G9" s="82"/>
      <c r="H9" s="83"/>
      <c r="J9" s="82"/>
      <c r="K9" s="83"/>
    </row>
    <row r="12" spans="1:16" ht="28.05" customHeight="1">
      <c r="A12" s="1" t="s">
        <v>53</v>
      </c>
      <c r="B12" s="2" t="s">
        <v>54</v>
      </c>
      <c r="C12" s="2" t="s">
        <v>46</v>
      </c>
      <c r="D12" s="2" t="s">
        <v>55</v>
      </c>
      <c r="E12" s="3" t="s">
        <v>48</v>
      </c>
      <c r="G12" s="1" t="s">
        <v>53</v>
      </c>
      <c r="H12" s="3" t="s">
        <v>55</v>
      </c>
    </row>
    <row r="13" spans="1:16">
      <c r="A13" s="10" t="s">
        <v>56</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37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57</v>
      </c>
      <c r="B15" s="11">
        <f>COUNTIF('02 Master Plan'!$B$6:$B$120,A15)</f>
        <v>13</v>
      </c>
      <c r="C15" s="11">
        <f>COUNTIFS('02 Master Plan'!$B$6:$B$120,A15,'02 Master Plan'!$S$6:$S$120,"Done")</f>
        <v>12</v>
      </c>
      <c r="D15" s="13">
        <f t="shared" si="0"/>
        <v>0.92307692307692313</v>
      </c>
      <c r="E15" s="11">
        <f>COUNTIFS('02 Master Plan'!$B$6:$B$120,A15,'02 Master Plan'!$S$6:$S$120,"Blocked")</f>
        <v>0</v>
      </c>
      <c r="G15" t="str">
        <f t="shared" si="1"/>
        <v>Week 3</v>
      </c>
      <c r="H15" s="14">
        <f t="shared" si="2"/>
        <v>0.92307692307692313</v>
      </c>
    </row>
    <row r="16" spans="1:16">
      <c r="A16" s="11" t="s">
        <v>58</v>
      </c>
      <c r="B16" s="11">
        <f>COUNTIF('02 Master Plan'!$B$6:$B$120,A16)</f>
        <v>13</v>
      </c>
      <c r="C16" s="11">
        <f>COUNTIFS('02 Master Plan'!$B$6:$B$120,A16,'02 Master Plan'!$S$6:$S$120,"Done")</f>
        <v>0</v>
      </c>
      <c r="D16" s="13">
        <f t="shared" si="0"/>
        <v>0</v>
      </c>
      <c r="E16" s="11">
        <f>COUNTIFS('02 Master Plan'!$B$6:$B$120,A16,'02 Master Plan'!$S$6:$S$120,"Blocked")</f>
        <v>0</v>
      </c>
      <c r="G16" t="str">
        <f t="shared" si="1"/>
        <v>Week 4</v>
      </c>
      <c r="H16" s="14">
        <f t="shared" si="2"/>
        <v>0</v>
      </c>
    </row>
    <row r="17" spans="1:8">
      <c r="A17" s="11" t="s">
        <v>59</v>
      </c>
      <c r="B17" s="11">
        <f>COUNTIF('02 Master Plan'!$B$6:$B$120,A17)</f>
        <v>14</v>
      </c>
      <c r="C17" s="11">
        <f>COUNTIFS('02 Master Plan'!$B$6:$B$120,A17,'02 Master Plan'!$S$6:$S$120,"Done")</f>
        <v>0</v>
      </c>
      <c r="D17" s="13">
        <f t="shared" si="0"/>
        <v>0</v>
      </c>
      <c r="E17" s="11">
        <f>COUNTIFS('02 Master Plan'!$B$6:$B$120,A17,'02 Master Plan'!$S$6:$S$120,"Blocked")</f>
        <v>0</v>
      </c>
      <c r="G17" t="str">
        <f t="shared" si="1"/>
        <v>Week 5</v>
      </c>
      <c r="H17" s="14">
        <f t="shared" si="2"/>
        <v>0</v>
      </c>
    </row>
    <row r="18" spans="1:8">
      <c r="A18" s="11" t="s">
        <v>60</v>
      </c>
      <c r="B18" s="11">
        <f>COUNTIF('02 Master Plan'!$B$6:$B$120,A18)</f>
        <v>14</v>
      </c>
      <c r="C18" s="11">
        <f>COUNTIFS('02 Master Plan'!$B$6:$B$120,A18,'02 Master Plan'!$S$6:$S$120,"Done")</f>
        <v>0</v>
      </c>
      <c r="D18" s="13">
        <f t="shared" si="0"/>
        <v>0</v>
      </c>
      <c r="E18" s="11">
        <f>COUNTIFS('02 Master Plan'!$B$6:$B$120,A18,'02 Master Plan'!$S$6:$S$120,"Blocked")</f>
        <v>0</v>
      </c>
      <c r="G18" t="str">
        <f t="shared" si="1"/>
        <v>Week 6</v>
      </c>
      <c r="H18" s="14">
        <f t="shared" si="2"/>
        <v>0</v>
      </c>
    </row>
    <row r="21" spans="1:8" ht="28.05" customHeight="1">
      <c r="A21" s="61" t="s">
        <v>61</v>
      </c>
      <c r="B21" s="62"/>
      <c r="C21" s="62"/>
      <c r="D21" s="62"/>
      <c r="E21" s="62"/>
      <c r="F21" s="62"/>
      <c r="G21" s="62"/>
      <c r="H21" s="63"/>
    </row>
    <row r="22" spans="1:8" ht="30" customHeight="1">
      <c r="A22" s="94" t="s">
        <v>62</v>
      </c>
      <c r="B22" s="95"/>
      <c r="C22" s="95"/>
      <c r="D22" s="95"/>
      <c r="E22" s="95"/>
      <c r="F22" s="95"/>
      <c r="G22" s="95"/>
      <c r="H22" s="96"/>
    </row>
    <row r="23" spans="1:8" ht="30" customHeight="1">
      <c r="A23" s="88" t="s">
        <v>63</v>
      </c>
      <c r="B23" s="89"/>
      <c r="C23" s="89"/>
      <c r="D23" s="89"/>
      <c r="E23" s="89"/>
      <c r="F23" s="89"/>
      <c r="G23" s="89"/>
      <c r="H23" s="90"/>
    </row>
    <row r="24" spans="1:8" ht="30" customHeight="1">
      <c r="A24" s="88" t="s">
        <v>64</v>
      </c>
      <c r="B24" s="89"/>
      <c r="C24" s="89"/>
      <c r="D24" s="89"/>
      <c r="E24" s="89"/>
      <c r="F24" s="89"/>
      <c r="G24" s="89"/>
      <c r="H24" s="90"/>
    </row>
    <row r="25" spans="1:8" ht="30" customHeight="1">
      <c r="A25" s="88" t="s">
        <v>65</v>
      </c>
      <c r="B25" s="89"/>
      <c r="C25" s="89"/>
      <c r="D25" s="89"/>
      <c r="E25" s="89"/>
      <c r="F25" s="89"/>
      <c r="G25" s="89"/>
      <c r="H25" s="90"/>
    </row>
    <row r="26" spans="1:8" ht="30" customHeight="1">
      <c r="A26" s="91" t="s">
        <v>66</v>
      </c>
      <c r="B26" s="92"/>
      <c r="C26" s="92"/>
      <c r="D26" s="92"/>
      <c r="E26" s="92"/>
      <c r="F26" s="92"/>
      <c r="G26" s="92"/>
      <c r="H26" s="93"/>
    </row>
  </sheetData>
  <mergeCells count="24">
    <mergeCell ref="A24:H24"/>
    <mergeCell ref="A25:H25"/>
    <mergeCell ref="A26:H26"/>
    <mergeCell ref="J7:K7"/>
    <mergeCell ref="J8:K9"/>
    <mergeCell ref="A21:H21"/>
    <mergeCell ref="A22:H22"/>
    <mergeCell ref="A23:H23"/>
    <mergeCell ref="A7:B7"/>
    <mergeCell ref="A8:B9"/>
    <mergeCell ref="D7:E7"/>
    <mergeCell ref="D8:E9"/>
    <mergeCell ref="G7:H7"/>
    <mergeCell ref="G8:H9"/>
    <mergeCell ref="A1:P1"/>
    <mergeCell ref="A2:P2"/>
    <mergeCell ref="A4:B4"/>
    <mergeCell ref="A5:B6"/>
    <mergeCell ref="D4:E4"/>
    <mergeCell ref="D5:E6"/>
    <mergeCell ref="G4:H4"/>
    <mergeCell ref="G5:H6"/>
    <mergeCell ref="J4:K4"/>
    <mergeCell ref="J5:K6"/>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extLst>
        <ext xmlns:x14="http://schemas.microsoft.com/office/spreadsheetml/2009/9/main" uri="{B025F937-C7B1-47D3-B67F-A62EFF666E3E}">
          <x14:id>{7ACD7930-3F82-D6B8-3D5C-A73611924FBF}</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7ACD7930-3F82-D6B8-3D5C-A73611924FBF}">
            <x14:dataBar gradient="0">
              <x14:cfvo type="min"/>
              <x14:cfvo type="max"/>
              <x14:negativeFillColor auto="1"/>
              <x14:axisColor auto="1"/>
            </x14:dataBar>
          </x14:cfRule>
          <xm:sqref>D13:D18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85"/>
  <sheetViews>
    <sheetView showGridLines="0" topLeftCell="N42" workbookViewId="0">
      <selection activeCell="S43" sqref="S43"/>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59" t="s">
        <v>67</v>
      </c>
      <c r="B1" s="59"/>
      <c r="C1" s="59"/>
      <c r="D1" s="59"/>
      <c r="E1" s="59"/>
      <c r="F1" s="59"/>
      <c r="G1" s="59"/>
      <c r="H1" s="59"/>
      <c r="I1" s="59"/>
      <c r="J1" s="59"/>
      <c r="K1" s="59"/>
      <c r="L1" s="59"/>
      <c r="M1" s="59"/>
      <c r="N1" s="59"/>
      <c r="O1" s="59"/>
      <c r="P1" s="59"/>
      <c r="Q1" s="59"/>
      <c r="R1" s="59"/>
      <c r="S1" s="59"/>
      <c r="T1" s="59"/>
    </row>
    <row r="2" spans="1:21" ht="31.95" customHeight="1">
      <c r="A2" s="60" t="s">
        <v>68</v>
      </c>
      <c r="B2" s="60"/>
      <c r="C2" s="60"/>
      <c r="D2" s="60"/>
      <c r="E2" s="60"/>
      <c r="F2" s="60"/>
      <c r="G2" s="60"/>
      <c r="H2" s="60"/>
      <c r="I2" s="60"/>
      <c r="J2" s="60"/>
      <c r="K2" s="60"/>
      <c r="L2" s="60"/>
      <c r="M2" s="60"/>
      <c r="N2" s="60"/>
      <c r="O2" s="60"/>
      <c r="P2" s="60"/>
      <c r="Q2" s="60"/>
      <c r="R2" s="60"/>
      <c r="S2" s="60"/>
      <c r="T2" s="60"/>
    </row>
    <row r="5" spans="1:21" ht="28.05" customHeight="1">
      <c r="A5" s="1" t="s">
        <v>69</v>
      </c>
      <c r="B5" s="2" t="s">
        <v>53</v>
      </c>
      <c r="C5" s="2" t="s">
        <v>70</v>
      </c>
      <c r="D5" s="2" t="s">
        <v>71</v>
      </c>
      <c r="E5" s="2" t="s">
        <v>72</v>
      </c>
      <c r="F5" s="2" t="s">
        <v>73</v>
      </c>
      <c r="G5" s="2" t="s">
        <v>74</v>
      </c>
      <c r="H5" s="2" t="s">
        <v>34</v>
      </c>
      <c r="I5" s="2" t="s">
        <v>75</v>
      </c>
      <c r="J5" s="2" t="s">
        <v>76</v>
      </c>
      <c r="K5" s="2" t="s">
        <v>77</v>
      </c>
      <c r="L5" s="2" t="s">
        <v>78</v>
      </c>
      <c r="M5" s="2" t="s">
        <v>79</v>
      </c>
      <c r="N5" s="2" t="s">
        <v>80</v>
      </c>
      <c r="O5" s="2" t="s">
        <v>81</v>
      </c>
      <c r="P5" s="2" t="s">
        <v>82</v>
      </c>
      <c r="Q5" s="2" t="s">
        <v>83</v>
      </c>
      <c r="R5" s="2" t="s">
        <v>84</v>
      </c>
      <c r="S5" s="2" t="s">
        <v>85</v>
      </c>
      <c r="T5" s="3" t="s">
        <v>86</v>
      </c>
      <c r="U5" s="28" t="s">
        <v>87</v>
      </c>
    </row>
    <row r="6" spans="1:21" ht="96.6" hidden="1">
      <c r="A6" s="10" t="s">
        <v>88</v>
      </c>
      <c r="B6" s="10" t="s">
        <v>56</v>
      </c>
      <c r="C6" s="10">
        <v>1</v>
      </c>
      <c r="D6" s="10" t="s">
        <v>89</v>
      </c>
      <c r="E6" s="10" t="s">
        <v>90</v>
      </c>
      <c r="F6" s="10" t="s">
        <v>91</v>
      </c>
      <c r="G6" s="10" t="s">
        <v>92</v>
      </c>
      <c r="H6" s="10" t="s">
        <v>93</v>
      </c>
      <c r="I6" s="15">
        <v>1</v>
      </c>
      <c r="J6" s="10" t="s">
        <v>94</v>
      </c>
      <c r="K6" s="10" t="s">
        <v>95</v>
      </c>
      <c r="L6" s="10" t="s">
        <v>96</v>
      </c>
      <c r="M6" s="10" t="s">
        <v>97</v>
      </c>
      <c r="N6" s="10" t="s">
        <v>98</v>
      </c>
      <c r="O6" s="10" t="s">
        <v>99</v>
      </c>
      <c r="P6" s="10" t="s">
        <v>100</v>
      </c>
      <c r="Q6" s="10" t="s">
        <v>101</v>
      </c>
      <c r="R6" s="10" t="s">
        <v>102</v>
      </c>
      <c r="S6" s="10" t="s">
        <v>46</v>
      </c>
      <c r="T6" s="10" t="s">
        <v>103</v>
      </c>
      <c r="U6" s="28" t="s">
        <v>104</v>
      </c>
    </row>
    <row r="7" spans="1:21" ht="96.6" hidden="1">
      <c r="A7" s="11" t="s">
        <v>105</v>
      </c>
      <c r="B7" s="11" t="s">
        <v>56</v>
      </c>
      <c r="C7" s="11">
        <v>2</v>
      </c>
      <c r="D7" s="11" t="s">
        <v>89</v>
      </c>
      <c r="E7" s="11" t="s">
        <v>106</v>
      </c>
      <c r="F7" s="11" t="s">
        <v>107</v>
      </c>
      <c r="G7" s="11" t="s">
        <v>108</v>
      </c>
      <c r="H7" s="11" t="s">
        <v>109</v>
      </c>
      <c r="I7" s="16">
        <v>0.5</v>
      </c>
      <c r="J7" s="11" t="s">
        <v>110</v>
      </c>
      <c r="K7" s="11" t="s">
        <v>101</v>
      </c>
      <c r="L7" s="11" t="s">
        <v>111</v>
      </c>
      <c r="M7" s="11" t="s">
        <v>112</v>
      </c>
      <c r="N7" s="11" t="s">
        <v>113</v>
      </c>
      <c r="O7" s="11" t="s">
        <v>114</v>
      </c>
      <c r="P7" s="11" t="s">
        <v>115</v>
      </c>
      <c r="Q7" s="11" t="s">
        <v>88</v>
      </c>
      <c r="R7" s="11" t="s">
        <v>116</v>
      </c>
      <c r="S7" s="11" t="s">
        <v>46</v>
      </c>
      <c r="T7" s="11" t="s">
        <v>117</v>
      </c>
      <c r="U7" s="28" t="s">
        <v>118</v>
      </c>
    </row>
    <row r="8" spans="1:21" ht="110.4" hidden="1">
      <c r="A8" s="11" t="s">
        <v>119</v>
      </c>
      <c r="B8" s="11" t="s">
        <v>56</v>
      </c>
      <c r="C8" s="11">
        <v>3</v>
      </c>
      <c r="D8" s="11" t="s">
        <v>89</v>
      </c>
      <c r="E8" s="11" t="s">
        <v>120</v>
      </c>
      <c r="F8" s="11" t="s">
        <v>121</v>
      </c>
      <c r="G8" s="11" t="s">
        <v>122</v>
      </c>
      <c r="H8" s="11" t="s">
        <v>123</v>
      </c>
      <c r="I8" s="16">
        <v>1.5</v>
      </c>
      <c r="J8" s="11" t="s">
        <v>124</v>
      </c>
      <c r="K8" s="11" t="s">
        <v>125</v>
      </c>
      <c r="L8" s="11" t="s">
        <v>126</v>
      </c>
      <c r="M8" s="11" t="s">
        <v>127</v>
      </c>
      <c r="N8" s="11" t="s">
        <v>128</v>
      </c>
      <c r="O8" s="11" t="s">
        <v>129</v>
      </c>
      <c r="P8" s="11" t="s">
        <v>115</v>
      </c>
      <c r="Q8" s="11" t="s">
        <v>105</v>
      </c>
      <c r="R8" s="11" t="s">
        <v>130</v>
      </c>
      <c r="S8" s="11" t="s">
        <v>46</v>
      </c>
      <c r="T8" s="11" t="s">
        <v>131</v>
      </c>
      <c r="U8" s="28" t="s">
        <v>132</v>
      </c>
    </row>
    <row r="9" spans="1:21" ht="110.4" hidden="1">
      <c r="A9" s="11" t="s">
        <v>133</v>
      </c>
      <c r="B9" s="11" t="s">
        <v>56</v>
      </c>
      <c r="C9" s="11">
        <v>4</v>
      </c>
      <c r="D9" s="11" t="s">
        <v>89</v>
      </c>
      <c r="E9" s="11" t="s">
        <v>134</v>
      </c>
      <c r="F9" s="11" t="s">
        <v>135</v>
      </c>
      <c r="G9" s="11" t="s">
        <v>136</v>
      </c>
      <c r="H9" s="11" t="s">
        <v>123</v>
      </c>
      <c r="I9" s="16">
        <v>1</v>
      </c>
      <c r="J9" s="11" t="s">
        <v>124</v>
      </c>
      <c r="K9" s="11" t="s">
        <v>137</v>
      </c>
      <c r="L9" s="11" t="s">
        <v>138</v>
      </c>
      <c r="M9" s="11" t="s">
        <v>2294</v>
      </c>
      <c r="N9" s="11" t="s">
        <v>139</v>
      </c>
      <c r="O9" s="11" t="s">
        <v>140</v>
      </c>
      <c r="P9" s="11" t="s">
        <v>115</v>
      </c>
      <c r="Q9" s="11" t="s">
        <v>119</v>
      </c>
      <c r="R9" s="11" t="s">
        <v>141</v>
      </c>
      <c r="S9" s="11" t="s">
        <v>46</v>
      </c>
      <c r="T9" s="11" t="s">
        <v>131</v>
      </c>
      <c r="U9" s="28" t="s">
        <v>142</v>
      </c>
    </row>
    <row r="10" spans="1:21" ht="193.8" hidden="1">
      <c r="A10" s="11" t="s">
        <v>143</v>
      </c>
      <c r="B10" s="11" t="s">
        <v>56</v>
      </c>
      <c r="C10" s="11">
        <v>5</v>
      </c>
      <c r="D10" s="11" t="s">
        <v>89</v>
      </c>
      <c r="E10" s="11" t="s">
        <v>144</v>
      </c>
      <c r="F10" s="11" t="s">
        <v>145</v>
      </c>
      <c r="G10" s="11" t="s">
        <v>146</v>
      </c>
      <c r="H10" s="11" t="s">
        <v>123</v>
      </c>
      <c r="I10" s="16">
        <v>1.5</v>
      </c>
      <c r="J10" s="11" t="s">
        <v>147</v>
      </c>
      <c r="K10" s="11" t="s">
        <v>148</v>
      </c>
      <c r="L10" s="11" t="s">
        <v>149</v>
      </c>
      <c r="M10" s="11" t="s">
        <v>2317</v>
      </c>
      <c r="N10" s="11" t="s">
        <v>150</v>
      </c>
      <c r="O10" s="11" t="s">
        <v>151</v>
      </c>
      <c r="P10" s="11" t="s">
        <v>152</v>
      </c>
      <c r="Q10" s="11" t="s">
        <v>119</v>
      </c>
      <c r="R10" s="11" t="s">
        <v>153</v>
      </c>
      <c r="S10" s="11" t="s">
        <v>46</v>
      </c>
      <c r="T10" s="11" t="s">
        <v>131</v>
      </c>
      <c r="U10" s="28" t="s">
        <v>154</v>
      </c>
    </row>
    <row r="11" spans="1:21" ht="96.6" hidden="1">
      <c r="A11" s="11" t="s">
        <v>155</v>
      </c>
      <c r="B11" s="11" t="s">
        <v>56</v>
      </c>
      <c r="C11" s="11">
        <v>6</v>
      </c>
      <c r="D11" s="11" t="s">
        <v>89</v>
      </c>
      <c r="E11" s="11" t="s">
        <v>156</v>
      </c>
      <c r="F11" s="11" t="s">
        <v>157</v>
      </c>
      <c r="G11" s="11" t="s">
        <v>158</v>
      </c>
      <c r="H11" s="11" t="s">
        <v>123</v>
      </c>
      <c r="I11" s="16">
        <v>1.25</v>
      </c>
      <c r="J11" s="11" t="s">
        <v>159</v>
      </c>
      <c r="K11" s="11" t="s">
        <v>101</v>
      </c>
      <c r="L11" s="11" t="s">
        <v>160</v>
      </c>
      <c r="M11" s="11" t="s">
        <v>161</v>
      </c>
      <c r="N11" s="11" t="s">
        <v>162</v>
      </c>
      <c r="O11" s="11" t="s">
        <v>163</v>
      </c>
      <c r="P11" s="11" t="s">
        <v>164</v>
      </c>
      <c r="Q11" s="11" t="s">
        <v>165</v>
      </c>
      <c r="R11" s="11" t="s">
        <v>166</v>
      </c>
      <c r="S11" s="11" t="s">
        <v>46</v>
      </c>
      <c r="T11" s="11" t="s">
        <v>131</v>
      </c>
      <c r="U11" s="28" t="s">
        <v>167</v>
      </c>
    </row>
    <row r="12" spans="1:21" ht="193.8" hidden="1">
      <c r="A12" s="11" t="s">
        <v>168</v>
      </c>
      <c r="B12" s="11" t="s">
        <v>56</v>
      </c>
      <c r="C12" s="11">
        <v>7</v>
      </c>
      <c r="D12" s="11" t="s">
        <v>89</v>
      </c>
      <c r="E12" s="11" t="s">
        <v>169</v>
      </c>
      <c r="F12" s="11" t="s">
        <v>170</v>
      </c>
      <c r="G12" s="11" t="s">
        <v>171</v>
      </c>
      <c r="H12" s="11" t="s">
        <v>123</v>
      </c>
      <c r="I12" s="16">
        <v>1</v>
      </c>
      <c r="J12" s="11" t="s">
        <v>124</v>
      </c>
      <c r="K12" s="11" t="s">
        <v>101</v>
      </c>
      <c r="L12" s="11" t="s">
        <v>172</v>
      </c>
      <c r="M12" s="11" t="s">
        <v>2318</v>
      </c>
      <c r="N12" s="11" t="s">
        <v>173</v>
      </c>
      <c r="O12" s="11" t="s">
        <v>174</v>
      </c>
      <c r="P12" s="11" t="s">
        <v>175</v>
      </c>
      <c r="Q12" s="11" t="s">
        <v>119</v>
      </c>
      <c r="R12" s="11" t="s">
        <v>176</v>
      </c>
      <c r="S12" s="11" t="s">
        <v>46</v>
      </c>
      <c r="T12" s="11" t="s">
        <v>131</v>
      </c>
      <c r="U12" s="28" t="s">
        <v>177</v>
      </c>
    </row>
    <row r="13" spans="1:21" ht="110.4" hidden="1">
      <c r="A13" s="11" t="s">
        <v>178</v>
      </c>
      <c r="B13" s="11" t="s">
        <v>56</v>
      </c>
      <c r="C13" s="11">
        <v>8</v>
      </c>
      <c r="D13" s="11" t="s">
        <v>89</v>
      </c>
      <c r="E13" s="11" t="s">
        <v>179</v>
      </c>
      <c r="F13" s="11" t="s">
        <v>180</v>
      </c>
      <c r="G13" s="11" t="s">
        <v>181</v>
      </c>
      <c r="H13" s="11" t="s">
        <v>123</v>
      </c>
      <c r="I13" s="16">
        <v>1</v>
      </c>
      <c r="J13" s="11" t="s">
        <v>159</v>
      </c>
      <c r="K13" s="11" t="s">
        <v>182</v>
      </c>
      <c r="L13" s="11" t="s">
        <v>183</v>
      </c>
      <c r="M13" s="11" t="s">
        <v>184</v>
      </c>
      <c r="N13" s="11" t="s">
        <v>185</v>
      </c>
      <c r="O13" s="11" t="s">
        <v>186</v>
      </c>
      <c r="P13" s="11" t="s">
        <v>164</v>
      </c>
      <c r="Q13" s="11" t="s">
        <v>143</v>
      </c>
      <c r="R13" s="11" t="s">
        <v>187</v>
      </c>
      <c r="S13" s="11" t="s">
        <v>46</v>
      </c>
      <c r="T13" s="11" t="s">
        <v>131</v>
      </c>
      <c r="U13" s="28" t="s">
        <v>188</v>
      </c>
    </row>
    <row r="14" spans="1:21" ht="193.8" hidden="1">
      <c r="A14" s="11" t="s">
        <v>189</v>
      </c>
      <c r="B14" s="11" t="s">
        <v>56</v>
      </c>
      <c r="C14" s="11">
        <v>9</v>
      </c>
      <c r="D14" s="11" t="s">
        <v>89</v>
      </c>
      <c r="E14" s="11" t="s">
        <v>190</v>
      </c>
      <c r="F14" s="11" t="s">
        <v>191</v>
      </c>
      <c r="G14" s="11" t="s">
        <v>192</v>
      </c>
      <c r="H14" s="11" t="s">
        <v>123</v>
      </c>
      <c r="I14" s="16">
        <v>1.25</v>
      </c>
      <c r="J14" s="11" t="s">
        <v>193</v>
      </c>
      <c r="K14" s="11" t="s">
        <v>194</v>
      </c>
      <c r="L14" s="11" t="s">
        <v>195</v>
      </c>
      <c r="M14" s="11" t="s">
        <v>2319</v>
      </c>
      <c r="N14" s="11" t="s">
        <v>196</v>
      </c>
      <c r="O14" s="11" t="s">
        <v>197</v>
      </c>
      <c r="P14" s="11" t="s">
        <v>198</v>
      </c>
      <c r="Q14" s="11" t="s">
        <v>119</v>
      </c>
      <c r="R14" s="11" t="s">
        <v>199</v>
      </c>
      <c r="S14" s="11" t="s">
        <v>46</v>
      </c>
      <c r="T14" s="11" t="s">
        <v>200</v>
      </c>
      <c r="U14" s="28" t="s">
        <v>201</v>
      </c>
    </row>
    <row r="15" spans="1:21" ht="193.8" hidden="1">
      <c r="A15" s="11" t="s">
        <v>202</v>
      </c>
      <c r="B15" s="11" t="s">
        <v>56</v>
      </c>
      <c r="C15" s="11">
        <v>10</v>
      </c>
      <c r="D15" s="11" t="s">
        <v>89</v>
      </c>
      <c r="E15" s="11" t="s">
        <v>203</v>
      </c>
      <c r="F15" s="11" t="s">
        <v>204</v>
      </c>
      <c r="G15" s="11" t="s">
        <v>205</v>
      </c>
      <c r="H15" s="11" t="s">
        <v>123</v>
      </c>
      <c r="I15" s="16">
        <v>1.5</v>
      </c>
      <c r="J15" s="11" t="s">
        <v>193</v>
      </c>
      <c r="K15" s="11" t="s">
        <v>206</v>
      </c>
      <c r="L15" s="11" t="s">
        <v>207</v>
      </c>
      <c r="M15" s="11" t="s">
        <v>2320</v>
      </c>
      <c r="N15" s="11" t="s">
        <v>208</v>
      </c>
      <c r="O15" s="11" t="s">
        <v>209</v>
      </c>
      <c r="P15" s="11" t="s">
        <v>210</v>
      </c>
      <c r="Q15" s="11" t="s">
        <v>189</v>
      </c>
      <c r="R15" s="11" t="s">
        <v>211</v>
      </c>
      <c r="S15" s="11" t="s">
        <v>46</v>
      </c>
      <c r="T15" s="11" t="s">
        <v>200</v>
      </c>
      <c r="U15" s="28" t="s">
        <v>212</v>
      </c>
    </row>
    <row r="16" spans="1:21" ht="125.4" hidden="1">
      <c r="A16" s="11" t="s">
        <v>213</v>
      </c>
      <c r="B16" s="11" t="s">
        <v>56</v>
      </c>
      <c r="C16" s="11">
        <v>11</v>
      </c>
      <c r="D16" s="11" t="s">
        <v>89</v>
      </c>
      <c r="E16" s="11" t="s">
        <v>214</v>
      </c>
      <c r="F16" s="11" t="s">
        <v>215</v>
      </c>
      <c r="G16" s="11" t="s">
        <v>216</v>
      </c>
      <c r="H16" s="11" t="s">
        <v>123</v>
      </c>
      <c r="I16" s="16">
        <v>1</v>
      </c>
      <c r="J16" s="11" t="s">
        <v>193</v>
      </c>
      <c r="K16" s="11" t="s">
        <v>217</v>
      </c>
      <c r="L16" s="11" t="s">
        <v>218</v>
      </c>
      <c r="M16" s="11" t="s">
        <v>219</v>
      </c>
      <c r="N16" s="11" t="s">
        <v>220</v>
      </c>
      <c r="O16" s="11" t="s">
        <v>221</v>
      </c>
      <c r="P16" s="11" t="s">
        <v>222</v>
      </c>
      <c r="Q16" s="11" t="s">
        <v>202</v>
      </c>
      <c r="R16" s="11" t="s">
        <v>223</v>
      </c>
      <c r="S16" s="11" t="s">
        <v>46</v>
      </c>
      <c r="T16" s="11" t="s">
        <v>200</v>
      </c>
      <c r="U16" s="28" t="s">
        <v>224</v>
      </c>
    </row>
    <row r="17" spans="1:21" ht="193.8" hidden="1">
      <c r="A17" s="11" t="s">
        <v>225</v>
      </c>
      <c r="B17" s="11" t="s">
        <v>56</v>
      </c>
      <c r="C17" s="11">
        <v>12</v>
      </c>
      <c r="D17" s="11" t="s">
        <v>89</v>
      </c>
      <c r="E17" s="11" t="s">
        <v>226</v>
      </c>
      <c r="F17" s="11" t="s">
        <v>227</v>
      </c>
      <c r="G17" s="11" t="s">
        <v>228</v>
      </c>
      <c r="H17" s="11" t="s">
        <v>93</v>
      </c>
      <c r="I17" s="16">
        <v>1</v>
      </c>
      <c r="J17" s="11" t="s">
        <v>2321</v>
      </c>
      <c r="K17" s="11" t="s">
        <v>229</v>
      </c>
      <c r="L17" s="11" t="s">
        <v>230</v>
      </c>
      <c r="M17" s="11" t="s">
        <v>2322</v>
      </c>
      <c r="N17" s="11" t="s">
        <v>231</v>
      </c>
      <c r="O17" s="11" t="s">
        <v>232</v>
      </c>
      <c r="P17" s="11" t="s">
        <v>115</v>
      </c>
      <c r="Q17" s="11" t="s">
        <v>233</v>
      </c>
      <c r="R17" s="11" t="s">
        <v>234</v>
      </c>
      <c r="S17" s="11" t="s">
        <v>46</v>
      </c>
      <c r="T17" s="11" t="s">
        <v>235</v>
      </c>
      <c r="U17" s="28" t="s">
        <v>236</v>
      </c>
    </row>
    <row r="18" spans="1:21" ht="69" hidden="1">
      <c r="A18" s="11" t="s">
        <v>237</v>
      </c>
      <c r="B18" s="11" t="s">
        <v>56</v>
      </c>
      <c r="C18" s="11">
        <v>13</v>
      </c>
      <c r="D18" s="11" t="s">
        <v>89</v>
      </c>
      <c r="E18" s="11" t="s">
        <v>238</v>
      </c>
      <c r="F18" s="11" t="s">
        <v>239</v>
      </c>
      <c r="G18" s="11" t="s">
        <v>240</v>
      </c>
      <c r="H18" s="11" t="s">
        <v>109</v>
      </c>
      <c r="I18" s="16">
        <v>1</v>
      </c>
      <c r="J18" s="11" t="s">
        <v>241</v>
      </c>
      <c r="K18" s="11" t="s">
        <v>101</v>
      </c>
      <c r="L18" s="11" t="s">
        <v>242</v>
      </c>
      <c r="M18" s="11" t="s">
        <v>2311</v>
      </c>
      <c r="N18" s="11" t="s">
        <v>243</v>
      </c>
      <c r="O18" s="11" t="s">
        <v>244</v>
      </c>
      <c r="P18" s="11" t="s">
        <v>245</v>
      </c>
      <c r="Q18" s="11" t="s">
        <v>225</v>
      </c>
      <c r="R18" s="11" t="s">
        <v>246</v>
      </c>
      <c r="S18" s="11" t="s">
        <v>46</v>
      </c>
      <c r="T18" s="11" t="s">
        <v>247</v>
      </c>
      <c r="U18" s="28" t="s">
        <v>248</v>
      </c>
    </row>
    <row r="19" spans="1:21" ht="110.4" hidden="1">
      <c r="A19" s="11" t="s">
        <v>249</v>
      </c>
      <c r="B19" s="11" t="s">
        <v>37</v>
      </c>
      <c r="C19" s="11">
        <v>1</v>
      </c>
      <c r="D19" s="11" t="s">
        <v>89</v>
      </c>
      <c r="E19" s="11" t="s">
        <v>250</v>
      </c>
      <c r="F19" s="11" t="s">
        <v>251</v>
      </c>
      <c r="G19" s="11" t="s">
        <v>252</v>
      </c>
      <c r="H19" s="11" t="s">
        <v>123</v>
      </c>
      <c r="I19" s="16">
        <v>1</v>
      </c>
      <c r="J19" s="11" t="s">
        <v>253</v>
      </c>
      <c r="K19" s="11" t="s">
        <v>254</v>
      </c>
      <c r="L19" s="11" t="s">
        <v>255</v>
      </c>
      <c r="M19" s="11" t="s">
        <v>256</v>
      </c>
      <c r="N19" s="11" t="s">
        <v>257</v>
      </c>
      <c r="O19" s="11" t="s">
        <v>258</v>
      </c>
      <c r="P19" s="11" t="s">
        <v>152</v>
      </c>
      <c r="Q19" s="11" t="s">
        <v>237</v>
      </c>
      <c r="R19" s="11" t="s">
        <v>259</v>
      </c>
      <c r="S19" s="11" t="s">
        <v>46</v>
      </c>
      <c r="T19" s="11"/>
      <c r="U19" s="28" t="s">
        <v>260</v>
      </c>
    </row>
    <row r="20" spans="1:21" ht="110.4" hidden="1">
      <c r="A20" s="11" t="s">
        <v>261</v>
      </c>
      <c r="B20" s="11" t="s">
        <v>37</v>
      </c>
      <c r="C20" s="11">
        <v>2</v>
      </c>
      <c r="D20" s="11" t="s">
        <v>89</v>
      </c>
      <c r="E20" s="11" t="s">
        <v>262</v>
      </c>
      <c r="F20" s="11" t="s">
        <v>263</v>
      </c>
      <c r="G20" s="11" t="s">
        <v>264</v>
      </c>
      <c r="H20" s="11" t="s">
        <v>123</v>
      </c>
      <c r="I20" s="16">
        <v>1.25</v>
      </c>
      <c r="J20" s="11" t="s">
        <v>253</v>
      </c>
      <c r="K20" s="11" t="s">
        <v>101</v>
      </c>
      <c r="L20" s="11" t="s">
        <v>265</v>
      </c>
      <c r="M20" s="11" t="s">
        <v>266</v>
      </c>
      <c r="N20" s="11" t="s">
        <v>267</v>
      </c>
      <c r="O20" s="11" t="s">
        <v>268</v>
      </c>
      <c r="P20" s="11" t="s">
        <v>269</v>
      </c>
      <c r="Q20" s="11" t="s">
        <v>249</v>
      </c>
      <c r="R20" s="11" t="s">
        <v>270</v>
      </c>
      <c r="S20" s="11" t="s">
        <v>46</v>
      </c>
      <c r="T20" s="11"/>
      <c r="U20" s="28" t="s">
        <v>271</v>
      </c>
    </row>
    <row r="21" spans="1:21" ht="330.6" hidden="1">
      <c r="A21" s="11" t="s">
        <v>272</v>
      </c>
      <c r="B21" s="11" t="s">
        <v>37</v>
      </c>
      <c r="C21" s="11">
        <v>3</v>
      </c>
      <c r="D21" s="11" t="s">
        <v>89</v>
      </c>
      <c r="E21" s="11" t="s">
        <v>273</v>
      </c>
      <c r="F21" s="11" t="s">
        <v>274</v>
      </c>
      <c r="G21" s="11" t="s">
        <v>275</v>
      </c>
      <c r="H21" s="11" t="s">
        <v>123</v>
      </c>
      <c r="I21" s="16">
        <v>1</v>
      </c>
      <c r="J21" s="11" t="s">
        <v>253</v>
      </c>
      <c r="K21" s="11" t="s">
        <v>101</v>
      </c>
      <c r="L21" s="11" t="s">
        <v>276</v>
      </c>
      <c r="M21" s="11" t="s">
        <v>2323</v>
      </c>
      <c r="N21" s="11" t="s">
        <v>277</v>
      </c>
      <c r="O21" s="11" t="s">
        <v>278</v>
      </c>
      <c r="P21" s="11" t="s">
        <v>279</v>
      </c>
      <c r="Q21" s="11" t="s">
        <v>225</v>
      </c>
      <c r="R21" s="11" t="s">
        <v>2324</v>
      </c>
      <c r="S21" s="11" t="s">
        <v>46</v>
      </c>
      <c r="T21" s="11"/>
      <c r="U21" s="28" t="s">
        <v>280</v>
      </c>
    </row>
    <row r="22" spans="1:21" ht="330.6" hidden="1">
      <c r="A22" s="11" t="s">
        <v>281</v>
      </c>
      <c r="B22" s="11" t="s">
        <v>37</v>
      </c>
      <c r="C22" s="11">
        <v>4</v>
      </c>
      <c r="D22" s="11" t="s">
        <v>89</v>
      </c>
      <c r="E22" s="11" t="s">
        <v>282</v>
      </c>
      <c r="F22" s="11" t="s">
        <v>283</v>
      </c>
      <c r="G22" s="11" t="s">
        <v>284</v>
      </c>
      <c r="H22" s="11" t="s">
        <v>123</v>
      </c>
      <c r="I22" s="16">
        <v>1.5</v>
      </c>
      <c r="J22" s="11" t="s">
        <v>253</v>
      </c>
      <c r="K22" s="11" t="s">
        <v>285</v>
      </c>
      <c r="L22" s="11" t="s">
        <v>286</v>
      </c>
      <c r="M22" s="11" t="s">
        <v>2323</v>
      </c>
      <c r="N22" s="11" t="s">
        <v>287</v>
      </c>
      <c r="O22" s="11" t="s">
        <v>288</v>
      </c>
      <c r="P22" s="11" t="s">
        <v>279</v>
      </c>
      <c r="Q22" s="11" t="s">
        <v>289</v>
      </c>
      <c r="R22" s="11" t="s">
        <v>290</v>
      </c>
      <c r="S22" s="11" t="s">
        <v>46</v>
      </c>
      <c r="T22" s="11"/>
      <c r="U22" s="28" t="s">
        <v>291</v>
      </c>
    </row>
    <row r="23" spans="1:21" ht="110.4" hidden="1">
      <c r="A23" s="11" t="s">
        <v>292</v>
      </c>
      <c r="B23" s="11" t="s">
        <v>37</v>
      </c>
      <c r="C23" s="11">
        <v>5</v>
      </c>
      <c r="D23" s="11" t="s">
        <v>89</v>
      </c>
      <c r="E23" s="11" t="s">
        <v>293</v>
      </c>
      <c r="F23" s="11" t="s">
        <v>294</v>
      </c>
      <c r="G23" s="11" t="s">
        <v>295</v>
      </c>
      <c r="H23" s="11" t="s">
        <v>123</v>
      </c>
      <c r="I23" s="16">
        <v>1.25</v>
      </c>
      <c r="J23" s="11" t="s">
        <v>296</v>
      </c>
      <c r="K23" s="11" t="s">
        <v>297</v>
      </c>
      <c r="L23" s="11" t="s">
        <v>298</v>
      </c>
      <c r="M23" s="11" t="s">
        <v>299</v>
      </c>
      <c r="N23" s="11" t="s">
        <v>300</v>
      </c>
      <c r="O23" s="11" t="s">
        <v>301</v>
      </c>
      <c r="P23" s="11" t="s">
        <v>152</v>
      </c>
      <c r="Q23" s="11" t="s">
        <v>249</v>
      </c>
      <c r="R23" s="11" t="s">
        <v>302</v>
      </c>
      <c r="S23" s="11" t="s">
        <v>46</v>
      </c>
      <c r="T23" s="11"/>
      <c r="U23" s="28" t="s">
        <v>304</v>
      </c>
    </row>
    <row r="24" spans="1:21" ht="110.4" hidden="1">
      <c r="A24" s="11" t="s">
        <v>305</v>
      </c>
      <c r="B24" s="11" t="s">
        <v>37</v>
      </c>
      <c r="C24" s="11">
        <v>6</v>
      </c>
      <c r="D24" s="11" t="s">
        <v>89</v>
      </c>
      <c r="E24" s="11" t="s">
        <v>306</v>
      </c>
      <c r="F24" s="11" t="s">
        <v>307</v>
      </c>
      <c r="G24" s="11" t="s">
        <v>308</v>
      </c>
      <c r="H24" s="11" t="s">
        <v>123</v>
      </c>
      <c r="I24" s="16">
        <v>1.5</v>
      </c>
      <c r="J24" s="11" t="s">
        <v>309</v>
      </c>
      <c r="K24" s="11" t="s">
        <v>310</v>
      </c>
      <c r="L24" s="11" t="s">
        <v>311</v>
      </c>
      <c r="M24" s="11" t="s">
        <v>312</v>
      </c>
      <c r="N24" s="11" t="s">
        <v>313</v>
      </c>
      <c r="O24" s="11" t="s">
        <v>314</v>
      </c>
      <c r="P24" s="11" t="s">
        <v>164</v>
      </c>
      <c r="Q24" s="11" t="s">
        <v>315</v>
      </c>
      <c r="R24" s="11" t="s">
        <v>316</v>
      </c>
      <c r="S24" s="11" t="s">
        <v>46</v>
      </c>
      <c r="T24" s="11"/>
      <c r="U24" s="28" t="s">
        <v>317</v>
      </c>
    </row>
    <row r="25" spans="1:21" ht="96.6" hidden="1">
      <c r="A25" s="11" t="s">
        <v>318</v>
      </c>
      <c r="B25" s="11" t="s">
        <v>37</v>
      </c>
      <c r="C25" s="11">
        <v>7</v>
      </c>
      <c r="D25" s="11" t="s">
        <v>89</v>
      </c>
      <c r="E25" s="11" t="s">
        <v>319</v>
      </c>
      <c r="F25" s="11" t="s">
        <v>320</v>
      </c>
      <c r="G25" s="11" t="s">
        <v>321</v>
      </c>
      <c r="H25" s="11" t="s">
        <v>123</v>
      </c>
      <c r="I25" s="16">
        <v>1</v>
      </c>
      <c r="J25" s="11" t="s">
        <v>309</v>
      </c>
      <c r="K25" s="11" t="s">
        <v>322</v>
      </c>
      <c r="L25" s="11" t="s">
        <v>323</v>
      </c>
      <c r="M25" s="11" t="s">
        <v>324</v>
      </c>
      <c r="N25" s="11" t="s">
        <v>325</v>
      </c>
      <c r="O25" s="11" t="s">
        <v>326</v>
      </c>
      <c r="P25" s="11" t="s">
        <v>327</v>
      </c>
      <c r="Q25" s="11" t="s">
        <v>305</v>
      </c>
      <c r="R25" s="11" t="s">
        <v>328</v>
      </c>
      <c r="S25" s="11" t="s">
        <v>46</v>
      </c>
      <c r="T25" s="11"/>
      <c r="U25" s="28" t="s">
        <v>329</v>
      </c>
    </row>
    <row r="26" spans="1:21" ht="110.4" hidden="1">
      <c r="A26" s="11" t="s">
        <v>330</v>
      </c>
      <c r="B26" s="11" t="s">
        <v>37</v>
      </c>
      <c r="C26" s="11">
        <v>8</v>
      </c>
      <c r="D26" s="11" t="s">
        <v>89</v>
      </c>
      <c r="E26" s="11" t="s">
        <v>331</v>
      </c>
      <c r="F26" s="11" t="s">
        <v>332</v>
      </c>
      <c r="G26" s="11" t="s">
        <v>333</v>
      </c>
      <c r="H26" s="11" t="s">
        <v>123</v>
      </c>
      <c r="I26" s="16">
        <v>1</v>
      </c>
      <c r="J26" s="11" t="s">
        <v>253</v>
      </c>
      <c r="K26" s="11" t="s">
        <v>334</v>
      </c>
      <c r="L26" s="11" t="s">
        <v>335</v>
      </c>
      <c r="M26" s="11" t="s">
        <v>336</v>
      </c>
      <c r="N26" s="11" t="s">
        <v>337</v>
      </c>
      <c r="O26" s="11" t="s">
        <v>338</v>
      </c>
      <c r="P26" s="11" t="s">
        <v>327</v>
      </c>
      <c r="Q26" s="11" t="s">
        <v>281</v>
      </c>
      <c r="R26" s="11" t="s">
        <v>339</v>
      </c>
      <c r="S26" s="11" t="s">
        <v>46</v>
      </c>
      <c r="T26" s="11"/>
      <c r="U26" s="28" t="s">
        <v>340</v>
      </c>
    </row>
    <row r="27" spans="1:21" ht="205.2" hidden="1">
      <c r="A27" s="11" t="s">
        <v>341</v>
      </c>
      <c r="B27" s="11" t="s">
        <v>37</v>
      </c>
      <c r="C27" s="11">
        <v>9</v>
      </c>
      <c r="D27" s="11" t="s">
        <v>89</v>
      </c>
      <c r="E27" s="11" t="s">
        <v>342</v>
      </c>
      <c r="F27" s="11" t="s">
        <v>343</v>
      </c>
      <c r="G27" s="11" t="s">
        <v>344</v>
      </c>
      <c r="H27" s="11" t="s">
        <v>109</v>
      </c>
      <c r="I27" s="16">
        <v>1</v>
      </c>
      <c r="J27" s="11" t="s">
        <v>345</v>
      </c>
      <c r="K27" s="11" t="s">
        <v>346</v>
      </c>
      <c r="L27" s="11" t="s">
        <v>347</v>
      </c>
      <c r="M27" s="11" t="s">
        <v>2325</v>
      </c>
      <c r="N27" s="11" t="s">
        <v>348</v>
      </c>
      <c r="O27" s="11" t="s">
        <v>349</v>
      </c>
      <c r="P27" s="11" t="s">
        <v>350</v>
      </c>
      <c r="Q27" s="11" t="s">
        <v>351</v>
      </c>
      <c r="R27" s="11" t="s">
        <v>352</v>
      </c>
      <c r="S27" s="11" t="s">
        <v>46</v>
      </c>
      <c r="T27" s="11"/>
      <c r="U27" s="28" t="s">
        <v>353</v>
      </c>
    </row>
    <row r="28" spans="1:21" ht="205.2" hidden="1">
      <c r="A28" s="11" t="s">
        <v>354</v>
      </c>
      <c r="B28" s="11" t="s">
        <v>37</v>
      </c>
      <c r="C28" s="11">
        <v>10</v>
      </c>
      <c r="D28" s="11" t="s">
        <v>89</v>
      </c>
      <c r="E28" s="11" t="s">
        <v>203</v>
      </c>
      <c r="F28" s="11" t="s">
        <v>355</v>
      </c>
      <c r="G28" s="11" t="s">
        <v>356</v>
      </c>
      <c r="H28" s="11" t="s">
        <v>109</v>
      </c>
      <c r="I28" s="16">
        <v>1</v>
      </c>
      <c r="J28" s="11" t="s">
        <v>345</v>
      </c>
      <c r="K28" s="11" t="s">
        <v>357</v>
      </c>
      <c r="L28" s="11" t="s">
        <v>358</v>
      </c>
      <c r="M28" s="11" t="s">
        <v>2326</v>
      </c>
      <c r="N28" s="11" t="s">
        <v>359</v>
      </c>
      <c r="O28" s="11" t="s">
        <v>360</v>
      </c>
      <c r="P28" s="11" t="s">
        <v>361</v>
      </c>
      <c r="Q28" s="11" t="s">
        <v>341</v>
      </c>
      <c r="R28" s="11" t="s">
        <v>362</v>
      </c>
      <c r="S28" s="11" t="s">
        <v>46</v>
      </c>
      <c r="T28" s="11"/>
      <c r="U28" s="28" t="s">
        <v>363</v>
      </c>
    </row>
    <row r="29" spans="1:21" ht="110.4" hidden="1">
      <c r="A29" s="11" t="s">
        <v>364</v>
      </c>
      <c r="B29" s="11" t="s">
        <v>37</v>
      </c>
      <c r="C29" s="11">
        <v>11</v>
      </c>
      <c r="D29" s="11" t="s">
        <v>365</v>
      </c>
      <c r="E29" s="11" t="s">
        <v>366</v>
      </c>
      <c r="F29" s="11" t="s">
        <v>367</v>
      </c>
      <c r="G29" s="11" t="s">
        <v>368</v>
      </c>
      <c r="H29" s="11" t="s">
        <v>93</v>
      </c>
      <c r="I29" s="16">
        <v>0.75</v>
      </c>
      <c r="J29" s="11" t="s">
        <v>369</v>
      </c>
      <c r="K29" s="11" t="s">
        <v>101</v>
      </c>
      <c r="L29" s="11" t="s">
        <v>370</v>
      </c>
      <c r="M29" s="11" t="s">
        <v>2327</v>
      </c>
      <c r="N29" s="11" t="s">
        <v>371</v>
      </c>
      <c r="O29" s="11" t="s">
        <v>372</v>
      </c>
      <c r="P29" s="11" t="s">
        <v>373</v>
      </c>
      <c r="Q29" s="11" t="s">
        <v>341</v>
      </c>
      <c r="R29" s="11" t="s">
        <v>374</v>
      </c>
      <c r="S29" s="11" t="s">
        <v>46</v>
      </c>
      <c r="T29" s="11"/>
      <c r="U29" s="28" t="s">
        <v>375</v>
      </c>
    </row>
    <row r="30" spans="1:21" ht="193.8" hidden="1">
      <c r="A30" s="11" t="s">
        <v>376</v>
      </c>
      <c r="B30" s="11" t="s">
        <v>37</v>
      </c>
      <c r="C30" s="11">
        <v>12</v>
      </c>
      <c r="D30" s="11" t="s">
        <v>89</v>
      </c>
      <c r="E30" s="11" t="s">
        <v>226</v>
      </c>
      <c r="F30" s="11" t="s">
        <v>377</v>
      </c>
      <c r="G30" s="11" t="s">
        <v>378</v>
      </c>
      <c r="H30" s="11" t="s">
        <v>93</v>
      </c>
      <c r="I30" s="16">
        <v>0.75</v>
      </c>
      <c r="J30" s="11" t="s">
        <v>2328</v>
      </c>
      <c r="K30" s="11" t="s">
        <v>379</v>
      </c>
      <c r="L30" s="11" t="s">
        <v>380</v>
      </c>
      <c r="M30" s="11" t="s">
        <v>2329</v>
      </c>
      <c r="N30" s="11" t="s">
        <v>381</v>
      </c>
      <c r="O30" s="11" t="s">
        <v>382</v>
      </c>
      <c r="P30" s="11" t="s">
        <v>115</v>
      </c>
      <c r="Q30" s="11" t="s">
        <v>383</v>
      </c>
      <c r="R30" s="11" t="s">
        <v>384</v>
      </c>
      <c r="S30" s="11" t="s">
        <v>46</v>
      </c>
      <c r="T30" s="11"/>
      <c r="U30" s="28" t="s">
        <v>385</v>
      </c>
    </row>
    <row r="31" spans="1:21" ht="69" hidden="1">
      <c r="A31" s="11" t="s">
        <v>386</v>
      </c>
      <c r="B31" s="11" t="s">
        <v>37</v>
      </c>
      <c r="C31" s="11">
        <v>13</v>
      </c>
      <c r="D31" s="11" t="s">
        <v>89</v>
      </c>
      <c r="E31" s="11" t="s">
        <v>238</v>
      </c>
      <c r="F31" s="11" t="s">
        <v>387</v>
      </c>
      <c r="G31" s="11" t="s">
        <v>388</v>
      </c>
      <c r="H31" s="11" t="s">
        <v>109</v>
      </c>
      <c r="I31" s="16">
        <v>1</v>
      </c>
      <c r="J31" s="11" t="s">
        <v>241</v>
      </c>
      <c r="K31" s="11" t="s">
        <v>101</v>
      </c>
      <c r="L31" s="11" t="s">
        <v>389</v>
      </c>
      <c r="M31" s="11" t="s">
        <v>2312</v>
      </c>
      <c r="N31" s="11" t="s">
        <v>243</v>
      </c>
      <c r="O31" s="11" t="s">
        <v>390</v>
      </c>
      <c r="P31" s="11" t="s">
        <v>373</v>
      </c>
      <c r="Q31" s="11" t="s">
        <v>376</v>
      </c>
      <c r="R31" s="11" t="s">
        <v>246</v>
      </c>
      <c r="S31" s="11" t="s">
        <v>46</v>
      </c>
      <c r="T31" s="11" t="s">
        <v>391</v>
      </c>
      <c r="U31" s="28" t="s">
        <v>392</v>
      </c>
    </row>
    <row r="32" spans="1:21" ht="110.4">
      <c r="A32" s="11" t="s">
        <v>393</v>
      </c>
      <c r="B32" s="11" t="s">
        <v>57</v>
      </c>
      <c r="C32" s="11">
        <v>1</v>
      </c>
      <c r="D32" s="11" t="s">
        <v>89</v>
      </c>
      <c r="E32" s="11" t="s">
        <v>394</v>
      </c>
      <c r="F32" s="11" t="s">
        <v>395</v>
      </c>
      <c r="G32" s="11" t="s">
        <v>396</v>
      </c>
      <c r="H32" s="11" t="s">
        <v>123</v>
      </c>
      <c r="I32" s="16">
        <v>1</v>
      </c>
      <c r="J32" s="11" t="s">
        <v>397</v>
      </c>
      <c r="K32" s="11" t="s">
        <v>398</v>
      </c>
      <c r="L32" s="11" t="s">
        <v>399</v>
      </c>
      <c r="M32" s="11" t="s">
        <v>400</v>
      </c>
      <c r="N32" s="11" t="s">
        <v>401</v>
      </c>
      <c r="O32" s="11" t="s">
        <v>402</v>
      </c>
      <c r="P32" s="11" t="s">
        <v>403</v>
      </c>
      <c r="Q32" s="11" t="s">
        <v>386</v>
      </c>
      <c r="R32" s="11" t="s">
        <v>404</v>
      </c>
      <c r="S32" s="11" t="s">
        <v>46</v>
      </c>
      <c r="T32" s="11"/>
      <c r="U32" s="28" t="s">
        <v>405</v>
      </c>
    </row>
    <row r="33" spans="1:21" ht="110.4">
      <c r="A33" s="11" t="s">
        <v>406</v>
      </c>
      <c r="B33" s="11" t="s">
        <v>57</v>
      </c>
      <c r="C33" s="11">
        <v>2</v>
      </c>
      <c r="D33" s="11" t="s">
        <v>89</v>
      </c>
      <c r="E33" s="11" t="s">
        <v>407</v>
      </c>
      <c r="F33" s="11" t="s">
        <v>408</v>
      </c>
      <c r="G33" s="11" t="s">
        <v>409</v>
      </c>
      <c r="H33" s="11" t="s">
        <v>123</v>
      </c>
      <c r="I33" s="16">
        <v>1.25</v>
      </c>
      <c r="J33" s="11" t="s">
        <v>397</v>
      </c>
      <c r="K33" s="11" t="s">
        <v>410</v>
      </c>
      <c r="L33" s="11" t="s">
        <v>411</v>
      </c>
      <c r="M33" s="11" t="s">
        <v>412</v>
      </c>
      <c r="N33" s="11" t="s">
        <v>413</v>
      </c>
      <c r="O33" s="11" t="s">
        <v>414</v>
      </c>
      <c r="P33" s="11" t="s">
        <v>415</v>
      </c>
      <c r="Q33" s="11" t="s">
        <v>393</v>
      </c>
      <c r="R33" s="11" t="s">
        <v>416</v>
      </c>
      <c r="S33" s="11" t="s">
        <v>46</v>
      </c>
      <c r="T33" s="11"/>
      <c r="U33" s="28" t="s">
        <v>417</v>
      </c>
    </row>
    <row r="34" spans="1:21" ht="96.6">
      <c r="A34" s="11" t="s">
        <v>418</v>
      </c>
      <c r="B34" s="11" t="s">
        <v>57</v>
      </c>
      <c r="C34" s="11">
        <v>3</v>
      </c>
      <c r="D34" s="11" t="s">
        <v>89</v>
      </c>
      <c r="E34" s="11" t="s">
        <v>419</v>
      </c>
      <c r="F34" s="11" t="s">
        <v>420</v>
      </c>
      <c r="G34" s="11" t="s">
        <v>421</v>
      </c>
      <c r="H34" s="11" t="s">
        <v>123</v>
      </c>
      <c r="I34" s="16">
        <v>0.75</v>
      </c>
      <c r="J34" s="11" t="s">
        <v>397</v>
      </c>
      <c r="K34" s="11" t="s">
        <v>101</v>
      </c>
      <c r="L34" s="11" t="s">
        <v>422</v>
      </c>
      <c r="M34" s="11" t="s">
        <v>423</v>
      </c>
      <c r="N34" s="11" t="s">
        <v>424</v>
      </c>
      <c r="O34" s="11" t="s">
        <v>425</v>
      </c>
      <c r="P34" s="11" t="s">
        <v>426</v>
      </c>
      <c r="Q34" s="11" t="s">
        <v>393</v>
      </c>
      <c r="R34" s="11" t="s">
        <v>427</v>
      </c>
      <c r="S34" s="11" t="s">
        <v>46</v>
      </c>
      <c r="T34" s="11"/>
      <c r="U34" s="28" t="s">
        <v>428</v>
      </c>
    </row>
    <row r="35" spans="1:21" ht="110.4">
      <c r="A35" s="11" t="s">
        <v>429</v>
      </c>
      <c r="B35" s="11" t="s">
        <v>57</v>
      </c>
      <c r="C35" s="11">
        <v>4</v>
      </c>
      <c r="D35" s="11" t="s">
        <v>89</v>
      </c>
      <c r="E35" s="11" t="s">
        <v>430</v>
      </c>
      <c r="F35" s="11" t="s">
        <v>431</v>
      </c>
      <c r="G35" s="11" t="s">
        <v>432</v>
      </c>
      <c r="H35" s="11" t="s">
        <v>123</v>
      </c>
      <c r="I35" s="16">
        <v>1.5</v>
      </c>
      <c r="J35" s="11" t="s">
        <v>397</v>
      </c>
      <c r="K35" s="11" t="s">
        <v>433</v>
      </c>
      <c r="L35" s="11" t="s">
        <v>434</v>
      </c>
      <c r="M35" s="11" t="s">
        <v>435</v>
      </c>
      <c r="N35" s="11" t="s">
        <v>436</v>
      </c>
      <c r="O35" s="11" t="s">
        <v>437</v>
      </c>
      <c r="P35" s="11" t="s">
        <v>426</v>
      </c>
      <c r="Q35" s="11" t="s">
        <v>438</v>
      </c>
      <c r="R35" s="11" t="s">
        <v>439</v>
      </c>
      <c r="S35" s="11" t="s">
        <v>46</v>
      </c>
      <c r="T35" s="11"/>
      <c r="U35" s="28" t="s">
        <v>440</v>
      </c>
    </row>
    <row r="36" spans="1:21" ht="110.4">
      <c r="A36" s="11" t="s">
        <v>441</v>
      </c>
      <c r="B36" s="11" t="s">
        <v>57</v>
      </c>
      <c r="C36" s="11">
        <v>5</v>
      </c>
      <c r="D36" s="11" t="s">
        <v>89</v>
      </c>
      <c r="E36" s="11" t="s">
        <v>442</v>
      </c>
      <c r="F36" s="11" t="s">
        <v>443</v>
      </c>
      <c r="G36" s="11" t="s">
        <v>444</v>
      </c>
      <c r="H36" s="11" t="s">
        <v>123</v>
      </c>
      <c r="I36" s="16">
        <v>1</v>
      </c>
      <c r="J36" s="11" t="s">
        <v>445</v>
      </c>
      <c r="K36" s="11" t="s">
        <v>446</v>
      </c>
      <c r="L36" s="11" t="s">
        <v>447</v>
      </c>
      <c r="M36" s="11" t="s">
        <v>448</v>
      </c>
      <c r="N36" s="11" t="s">
        <v>449</v>
      </c>
      <c r="O36" s="11" t="s">
        <v>450</v>
      </c>
      <c r="P36" s="11" t="s">
        <v>327</v>
      </c>
      <c r="Q36" s="11" t="s">
        <v>429</v>
      </c>
      <c r="R36" s="11" t="s">
        <v>451</v>
      </c>
      <c r="S36" s="11" t="s">
        <v>46</v>
      </c>
      <c r="T36" s="11"/>
      <c r="U36" s="28" t="s">
        <v>452</v>
      </c>
    </row>
    <row r="37" spans="1:21" ht="110.4">
      <c r="A37" s="11" t="s">
        <v>453</v>
      </c>
      <c r="B37" s="11" t="s">
        <v>57</v>
      </c>
      <c r="C37" s="11">
        <v>6</v>
      </c>
      <c r="D37" s="11" t="s">
        <v>89</v>
      </c>
      <c r="E37" s="11" t="s">
        <v>454</v>
      </c>
      <c r="F37" s="11" t="s">
        <v>455</v>
      </c>
      <c r="G37" s="11" t="s">
        <v>456</v>
      </c>
      <c r="H37" s="11" t="s">
        <v>93</v>
      </c>
      <c r="I37" s="16">
        <v>1.25</v>
      </c>
      <c r="J37" s="11" t="s">
        <v>457</v>
      </c>
      <c r="K37" s="11" t="s">
        <v>458</v>
      </c>
      <c r="L37" s="11" t="s">
        <v>459</v>
      </c>
      <c r="M37" s="11" t="s">
        <v>460</v>
      </c>
      <c r="N37" s="11" t="s">
        <v>461</v>
      </c>
      <c r="O37" s="11" t="s">
        <v>462</v>
      </c>
      <c r="P37" s="11" t="s">
        <v>164</v>
      </c>
      <c r="Q37" s="11" t="s">
        <v>341</v>
      </c>
      <c r="R37" s="11" t="s">
        <v>463</v>
      </c>
      <c r="S37" s="11" t="s">
        <v>46</v>
      </c>
      <c r="T37" s="11"/>
      <c r="U37" s="28" t="s">
        <v>464</v>
      </c>
    </row>
    <row r="38" spans="1:21" ht="110.4">
      <c r="A38" s="11" t="s">
        <v>465</v>
      </c>
      <c r="B38" s="11" t="s">
        <v>57</v>
      </c>
      <c r="C38" s="11">
        <v>7</v>
      </c>
      <c r="D38" s="11" t="s">
        <v>89</v>
      </c>
      <c r="E38" s="11" t="s">
        <v>466</v>
      </c>
      <c r="F38" s="11" t="s">
        <v>467</v>
      </c>
      <c r="G38" s="11" t="s">
        <v>468</v>
      </c>
      <c r="H38" s="11" t="s">
        <v>123</v>
      </c>
      <c r="I38" s="16">
        <v>1.5</v>
      </c>
      <c r="J38" s="11" t="s">
        <v>457</v>
      </c>
      <c r="K38" s="11" t="s">
        <v>469</v>
      </c>
      <c r="L38" s="11" t="s">
        <v>470</v>
      </c>
      <c r="M38" s="11" t="s">
        <v>2295</v>
      </c>
      <c r="N38" s="11" t="s">
        <v>471</v>
      </c>
      <c r="O38" s="11" t="s">
        <v>472</v>
      </c>
      <c r="P38" s="11" t="s">
        <v>164</v>
      </c>
      <c r="Q38" s="11" t="s">
        <v>473</v>
      </c>
      <c r="R38" s="11" t="s">
        <v>474</v>
      </c>
      <c r="S38" s="11" t="s">
        <v>46</v>
      </c>
      <c r="T38" s="11"/>
      <c r="U38" s="28" t="s">
        <v>475</v>
      </c>
    </row>
    <row r="39" spans="1:21" ht="110.4">
      <c r="A39" s="11" t="s">
        <v>476</v>
      </c>
      <c r="B39" s="11" t="s">
        <v>57</v>
      </c>
      <c r="C39" s="11">
        <v>8</v>
      </c>
      <c r="D39" s="11" t="s">
        <v>89</v>
      </c>
      <c r="E39" s="11" t="s">
        <v>477</v>
      </c>
      <c r="F39" s="11" t="s">
        <v>478</v>
      </c>
      <c r="G39" s="11" t="s">
        <v>479</v>
      </c>
      <c r="H39" s="11" t="s">
        <v>123</v>
      </c>
      <c r="I39" s="16">
        <v>1</v>
      </c>
      <c r="J39" s="11" t="s">
        <v>445</v>
      </c>
      <c r="K39" s="11" t="s">
        <v>334</v>
      </c>
      <c r="L39" s="11" t="s">
        <v>480</v>
      </c>
      <c r="M39" s="11" t="s">
        <v>481</v>
      </c>
      <c r="N39" s="11" t="s">
        <v>482</v>
      </c>
      <c r="O39" s="11" t="s">
        <v>483</v>
      </c>
      <c r="P39" s="11" t="s">
        <v>327</v>
      </c>
      <c r="Q39" s="11" t="s">
        <v>441</v>
      </c>
      <c r="R39" s="11" t="s">
        <v>484</v>
      </c>
      <c r="S39" s="11" t="s">
        <v>46</v>
      </c>
      <c r="T39" s="11"/>
      <c r="U39" s="28" t="s">
        <v>485</v>
      </c>
    </row>
    <row r="40" spans="1:21" ht="110.4">
      <c r="A40" s="11" t="s">
        <v>486</v>
      </c>
      <c r="B40" s="11" t="s">
        <v>57</v>
      </c>
      <c r="C40" s="11">
        <v>9</v>
      </c>
      <c r="D40" s="11" t="s">
        <v>89</v>
      </c>
      <c r="E40" s="11" t="s">
        <v>487</v>
      </c>
      <c r="F40" s="11" t="s">
        <v>488</v>
      </c>
      <c r="G40" s="11" t="s">
        <v>489</v>
      </c>
      <c r="H40" s="11" t="s">
        <v>123</v>
      </c>
      <c r="I40" s="16">
        <v>0.75</v>
      </c>
      <c r="J40" s="11" t="s">
        <v>490</v>
      </c>
      <c r="K40" s="11" t="s">
        <v>491</v>
      </c>
      <c r="L40" s="11" t="s">
        <v>492</v>
      </c>
      <c r="M40" s="11" t="s">
        <v>493</v>
      </c>
      <c r="N40" s="11" t="s">
        <v>494</v>
      </c>
      <c r="O40" s="11" t="s">
        <v>495</v>
      </c>
      <c r="P40" s="11" t="s">
        <v>496</v>
      </c>
      <c r="Q40" s="11" t="s">
        <v>429</v>
      </c>
      <c r="R40" s="11" t="s">
        <v>497</v>
      </c>
      <c r="S40" s="11" t="s">
        <v>2601</v>
      </c>
      <c r="T40" s="11"/>
      <c r="U40" s="28" t="s">
        <v>498</v>
      </c>
    </row>
    <row r="41" spans="1:21" ht="110.4">
      <c r="A41" s="11" t="s">
        <v>499</v>
      </c>
      <c r="B41" s="11" t="s">
        <v>57</v>
      </c>
      <c r="C41" s="11">
        <v>10</v>
      </c>
      <c r="D41" s="11" t="s">
        <v>89</v>
      </c>
      <c r="E41" s="11" t="s">
        <v>500</v>
      </c>
      <c r="F41" s="11" t="s">
        <v>501</v>
      </c>
      <c r="G41" s="11" t="s">
        <v>502</v>
      </c>
      <c r="H41" s="11" t="s">
        <v>109</v>
      </c>
      <c r="I41" s="16">
        <v>0.75</v>
      </c>
      <c r="J41" s="11" t="s">
        <v>457</v>
      </c>
      <c r="K41" s="11" t="s">
        <v>503</v>
      </c>
      <c r="L41" s="11" t="s">
        <v>504</v>
      </c>
      <c r="M41" s="11" t="s">
        <v>505</v>
      </c>
      <c r="N41" s="11" t="s">
        <v>506</v>
      </c>
      <c r="O41" s="11" t="s">
        <v>507</v>
      </c>
      <c r="P41" s="11" t="s">
        <v>164</v>
      </c>
      <c r="Q41" s="11" t="s">
        <v>465</v>
      </c>
      <c r="R41" s="11" t="s">
        <v>508</v>
      </c>
      <c r="S41" s="11" t="s">
        <v>46</v>
      </c>
      <c r="T41" s="11"/>
      <c r="U41" s="28" t="s">
        <v>509</v>
      </c>
    </row>
    <row r="42" spans="1:21" ht="193.8">
      <c r="A42" s="11" t="s">
        <v>510</v>
      </c>
      <c r="B42" s="11" t="s">
        <v>57</v>
      </c>
      <c r="C42" s="11">
        <v>11</v>
      </c>
      <c r="D42" s="11" t="s">
        <v>89</v>
      </c>
      <c r="E42" s="11" t="s">
        <v>511</v>
      </c>
      <c r="F42" s="11" t="s">
        <v>512</v>
      </c>
      <c r="G42" s="11" t="s">
        <v>513</v>
      </c>
      <c r="H42" s="11" t="s">
        <v>109</v>
      </c>
      <c r="I42" s="16">
        <v>1</v>
      </c>
      <c r="J42" s="11" t="s">
        <v>514</v>
      </c>
      <c r="K42" s="11" t="s">
        <v>101</v>
      </c>
      <c r="L42" s="11" t="s">
        <v>515</v>
      </c>
      <c r="M42" s="11" t="s">
        <v>2330</v>
      </c>
      <c r="N42" s="11" t="s">
        <v>516</v>
      </c>
      <c r="O42" s="11" t="s">
        <v>517</v>
      </c>
      <c r="P42" s="11" t="s">
        <v>518</v>
      </c>
      <c r="Q42" s="11" t="s">
        <v>499</v>
      </c>
      <c r="R42" s="11" t="s">
        <v>519</v>
      </c>
      <c r="S42" s="11" t="s">
        <v>46</v>
      </c>
      <c r="T42" s="11"/>
      <c r="U42" s="28" t="s">
        <v>520</v>
      </c>
    </row>
    <row r="43" spans="1:21" ht="193.8">
      <c r="A43" s="11" t="s">
        <v>521</v>
      </c>
      <c r="B43" s="11" t="s">
        <v>57</v>
      </c>
      <c r="C43" s="11">
        <v>12</v>
      </c>
      <c r="D43" s="11" t="s">
        <v>89</v>
      </c>
      <c r="E43" s="11" t="s">
        <v>226</v>
      </c>
      <c r="F43" s="11" t="s">
        <v>522</v>
      </c>
      <c r="G43" s="11" t="s">
        <v>523</v>
      </c>
      <c r="H43" s="11" t="s">
        <v>93</v>
      </c>
      <c r="I43" s="16">
        <v>0.75</v>
      </c>
      <c r="J43" s="11" t="s">
        <v>2331</v>
      </c>
      <c r="K43" s="11" t="s">
        <v>524</v>
      </c>
      <c r="L43" s="11" t="s">
        <v>525</v>
      </c>
      <c r="M43" s="11" t="s">
        <v>2332</v>
      </c>
      <c r="N43" s="11" t="s">
        <v>526</v>
      </c>
      <c r="O43" s="11" t="s">
        <v>527</v>
      </c>
      <c r="P43" s="11" t="s">
        <v>115</v>
      </c>
      <c r="Q43" s="11" t="s">
        <v>528</v>
      </c>
      <c r="R43" s="11" t="s">
        <v>529</v>
      </c>
      <c r="S43" s="11" t="s">
        <v>46</v>
      </c>
      <c r="T43" s="11"/>
      <c r="U43" s="28" t="s">
        <v>530</v>
      </c>
    </row>
    <row r="44" spans="1:21" ht="69">
      <c r="A44" s="11" t="s">
        <v>531</v>
      </c>
      <c r="B44" s="11" t="s">
        <v>57</v>
      </c>
      <c r="C44" s="11">
        <v>13</v>
      </c>
      <c r="D44" s="11" t="s">
        <v>89</v>
      </c>
      <c r="E44" s="11" t="s">
        <v>238</v>
      </c>
      <c r="F44" s="11" t="s">
        <v>532</v>
      </c>
      <c r="G44" s="11" t="s">
        <v>533</v>
      </c>
      <c r="H44" s="11" t="s">
        <v>109</v>
      </c>
      <c r="I44" s="16">
        <v>1</v>
      </c>
      <c r="J44" s="11" t="s">
        <v>241</v>
      </c>
      <c r="K44" s="11" t="s">
        <v>101</v>
      </c>
      <c r="L44" s="11" t="s">
        <v>534</v>
      </c>
      <c r="M44" s="11" t="s">
        <v>2313</v>
      </c>
      <c r="N44" s="11" t="s">
        <v>243</v>
      </c>
      <c r="O44" s="11" t="s">
        <v>535</v>
      </c>
      <c r="P44" s="11" t="s">
        <v>536</v>
      </c>
      <c r="Q44" s="11" t="s">
        <v>521</v>
      </c>
      <c r="R44" s="11" t="s">
        <v>246</v>
      </c>
      <c r="S44" s="11" t="s">
        <v>46</v>
      </c>
      <c r="T44" s="11" t="s">
        <v>537</v>
      </c>
      <c r="U44" s="28" t="s">
        <v>538</v>
      </c>
    </row>
    <row r="45" spans="1:21" ht="110.4" hidden="1">
      <c r="A45" s="11" t="s">
        <v>539</v>
      </c>
      <c r="B45" s="11" t="s">
        <v>58</v>
      </c>
      <c r="C45" s="11">
        <v>1</v>
      </c>
      <c r="D45" s="11" t="s">
        <v>89</v>
      </c>
      <c r="E45" s="11" t="s">
        <v>540</v>
      </c>
      <c r="F45" s="11" t="s">
        <v>541</v>
      </c>
      <c r="G45" s="11" t="s">
        <v>542</v>
      </c>
      <c r="H45" s="11" t="s">
        <v>123</v>
      </c>
      <c r="I45" s="16">
        <v>1.5</v>
      </c>
      <c r="J45" s="11" t="s">
        <v>543</v>
      </c>
      <c r="K45" s="11" t="s">
        <v>334</v>
      </c>
      <c r="L45" s="11" t="s">
        <v>544</v>
      </c>
      <c r="M45" s="11" t="s">
        <v>545</v>
      </c>
      <c r="N45" s="11" t="s">
        <v>546</v>
      </c>
      <c r="O45" s="11" t="s">
        <v>547</v>
      </c>
      <c r="P45" s="11" t="s">
        <v>548</v>
      </c>
      <c r="Q45" s="11" t="s">
        <v>531</v>
      </c>
      <c r="R45" s="11" t="s">
        <v>549</v>
      </c>
      <c r="S45" s="11" t="s">
        <v>303</v>
      </c>
      <c r="T45" s="11"/>
      <c r="U45" s="28" t="s">
        <v>550</v>
      </c>
    </row>
    <row r="46" spans="1:21" ht="110.4" hidden="1">
      <c r="A46" s="11" t="s">
        <v>551</v>
      </c>
      <c r="B46" s="11" t="s">
        <v>58</v>
      </c>
      <c r="C46" s="11">
        <v>2</v>
      </c>
      <c r="D46" s="11" t="s">
        <v>89</v>
      </c>
      <c r="E46" s="11" t="s">
        <v>331</v>
      </c>
      <c r="F46" s="11" t="s">
        <v>552</v>
      </c>
      <c r="G46" s="11" t="s">
        <v>553</v>
      </c>
      <c r="H46" s="11" t="s">
        <v>123</v>
      </c>
      <c r="I46" s="16">
        <v>1</v>
      </c>
      <c r="J46" s="11" t="s">
        <v>543</v>
      </c>
      <c r="K46" s="11" t="s">
        <v>334</v>
      </c>
      <c r="L46" s="11" t="s">
        <v>554</v>
      </c>
      <c r="M46" s="11" t="s">
        <v>555</v>
      </c>
      <c r="N46" s="11" t="s">
        <v>556</v>
      </c>
      <c r="O46" s="11" t="s">
        <v>557</v>
      </c>
      <c r="P46" s="11" t="s">
        <v>327</v>
      </c>
      <c r="Q46" s="11" t="s">
        <v>539</v>
      </c>
      <c r="R46" s="11" t="s">
        <v>558</v>
      </c>
      <c r="S46" s="11" t="s">
        <v>303</v>
      </c>
      <c r="T46" s="11"/>
      <c r="U46" s="28" t="s">
        <v>559</v>
      </c>
    </row>
    <row r="47" spans="1:21" ht="110.4" hidden="1">
      <c r="A47" s="11" t="s">
        <v>560</v>
      </c>
      <c r="B47" s="11" t="s">
        <v>58</v>
      </c>
      <c r="C47" s="11">
        <v>3</v>
      </c>
      <c r="D47" s="11" t="s">
        <v>89</v>
      </c>
      <c r="E47" s="11" t="s">
        <v>561</v>
      </c>
      <c r="F47" s="11" t="s">
        <v>562</v>
      </c>
      <c r="G47" s="11" t="s">
        <v>563</v>
      </c>
      <c r="H47" s="11" t="s">
        <v>123</v>
      </c>
      <c r="I47" s="16">
        <v>1.25</v>
      </c>
      <c r="J47" s="11" t="s">
        <v>564</v>
      </c>
      <c r="K47" s="11" t="s">
        <v>524</v>
      </c>
      <c r="L47" s="11" t="s">
        <v>565</v>
      </c>
      <c r="M47" s="11" t="s">
        <v>566</v>
      </c>
      <c r="N47" s="11" t="s">
        <v>567</v>
      </c>
      <c r="O47" s="11" t="s">
        <v>568</v>
      </c>
      <c r="P47" s="11" t="s">
        <v>569</v>
      </c>
      <c r="Q47" s="11" t="s">
        <v>551</v>
      </c>
      <c r="R47" s="11" t="s">
        <v>570</v>
      </c>
      <c r="S47" s="11" t="s">
        <v>303</v>
      </c>
      <c r="T47" s="11"/>
      <c r="U47" s="28" t="s">
        <v>571</v>
      </c>
    </row>
    <row r="48" spans="1:21" ht="96.6" hidden="1">
      <c r="A48" s="11" t="s">
        <v>572</v>
      </c>
      <c r="B48" s="11" t="s">
        <v>58</v>
      </c>
      <c r="C48" s="11">
        <v>4</v>
      </c>
      <c r="D48" s="11" t="s">
        <v>89</v>
      </c>
      <c r="E48" s="11" t="s">
        <v>573</v>
      </c>
      <c r="F48" s="11" t="s">
        <v>574</v>
      </c>
      <c r="G48" s="11" t="s">
        <v>575</v>
      </c>
      <c r="H48" s="11" t="s">
        <v>123</v>
      </c>
      <c r="I48" s="16">
        <v>0.75</v>
      </c>
      <c r="J48" s="11" t="s">
        <v>564</v>
      </c>
      <c r="K48" s="11" t="s">
        <v>101</v>
      </c>
      <c r="L48" s="11" t="s">
        <v>576</v>
      </c>
      <c r="M48" s="11" t="s">
        <v>577</v>
      </c>
      <c r="N48" s="11" t="s">
        <v>578</v>
      </c>
      <c r="O48" s="11" t="s">
        <v>579</v>
      </c>
      <c r="P48" s="11" t="s">
        <v>569</v>
      </c>
      <c r="Q48" s="11" t="s">
        <v>560</v>
      </c>
      <c r="R48" s="11" t="s">
        <v>580</v>
      </c>
      <c r="S48" s="11" t="s">
        <v>303</v>
      </c>
      <c r="T48" s="11"/>
      <c r="U48" s="28" t="s">
        <v>581</v>
      </c>
    </row>
    <row r="49" spans="1:21" ht="96.6" hidden="1">
      <c r="A49" s="11" t="s">
        <v>582</v>
      </c>
      <c r="B49" s="11" t="s">
        <v>58</v>
      </c>
      <c r="C49" s="11">
        <v>5</v>
      </c>
      <c r="D49" s="11" t="s">
        <v>89</v>
      </c>
      <c r="E49" s="11" t="s">
        <v>583</v>
      </c>
      <c r="F49" s="11" t="s">
        <v>584</v>
      </c>
      <c r="G49" s="11" t="s">
        <v>585</v>
      </c>
      <c r="H49" s="11" t="s">
        <v>123</v>
      </c>
      <c r="I49" s="16">
        <v>1.25</v>
      </c>
      <c r="J49" s="11" t="s">
        <v>564</v>
      </c>
      <c r="K49" s="11" t="s">
        <v>524</v>
      </c>
      <c r="L49" s="11" t="s">
        <v>586</v>
      </c>
      <c r="M49" s="11" t="s">
        <v>587</v>
      </c>
      <c r="N49" s="11" t="s">
        <v>588</v>
      </c>
      <c r="O49" s="11" t="s">
        <v>589</v>
      </c>
      <c r="P49" s="11" t="s">
        <v>590</v>
      </c>
      <c r="Q49" s="11" t="s">
        <v>591</v>
      </c>
      <c r="R49" s="11" t="s">
        <v>592</v>
      </c>
      <c r="S49" s="11" t="s">
        <v>303</v>
      </c>
      <c r="T49" s="11"/>
      <c r="U49" s="28" t="s">
        <v>593</v>
      </c>
    </row>
    <row r="50" spans="1:21" ht="110.4" hidden="1">
      <c r="A50" s="11" t="s">
        <v>594</v>
      </c>
      <c r="B50" s="11" t="s">
        <v>58</v>
      </c>
      <c r="C50" s="11">
        <v>6</v>
      </c>
      <c r="D50" s="11" t="s">
        <v>89</v>
      </c>
      <c r="E50" s="11" t="s">
        <v>595</v>
      </c>
      <c r="F50" s="11" t="s">
        <v>596</v>
      </c>
      <c r="G50" s="11" t="s">
        <v>597</v>
      </c>
      <c r="H50" s="11" t="s">
        <v>123</v>
      </c>
      <c r="I50" s="16">
        <v>1</v>
      </c>
      <c r="J50" s="11" t="s">
        <v>564</v>
      </c>
      <c r="K50" s="11" t="s">
        <v>598</v>
      </c>
      <c r="L50" s="11" t="s">
        <v>599</v>
      </c>
      <c r="M50" s="11" t="s">
        <v>600</v>
      </c>
      <c r="N50" s="11" t="s">
        <v>601</v>
      </c>
      <c r="O50" s="11" t="s">
        <v>602</v>
      </c>
      <c r="P50" s="11" t="s">
        <v>569</v>
      </c>
      <c r="Q50" s="11" t="s">
        <v>560</v>
      </c>
      <c r="R50" s="11" t="s">
        <v>603</v>
      </c>
      <c r="S50" s="11" t="s">
        <v>303</v>
      </c>
      <c r="T50" s="11"/>
      <c r="U50" s="28" t="s">
        <v>604</v>
      </c>
    </row>
    <row r="51" spans="1:21" ht="96.6" hidden="1">
      <c r="A51" s="11" t="s">
        <v>605</v>
      </c>
      <c r="B51" s="11" t="s">
        <v>58</v>
      </c>
      <c r="C51" s="11">
        <v>7</v>
      </c>
      <c r="D51" s="11" t="s">
        <v>89</v>
      </c>
      <c r="E51" s="11" t="s">
        <v>606</v>
      </c>
      <c r="F51" s="11" t="s">
        <v>607</v>
      </c>
      <c r="G51" s="11" t="s">
        <v>608</v>
      </c>
      <c r="H51" s="11" t="s">
        <v>123</v>
      </c>
      <c r="I51" s="16">
        <v>0.75</v>
      </c>
      <c r="J51" s="11" t="s">
        <v>564</v>
      </c>
      <c r="K51" s="11" t="s">
        <v>609</v>
      </c>
      <c r="L51" s="11" t="s">
        <v>610</v>
      </c>
      <c r="M51" s="11" t="s">
        <v>611</v>
      </c>
      <c r="N51" s="11" t="s">
        <v>612</v>
      </c>
      <c r="O51" s="11" t="s">
        <v>613</v>
      </c>
      <c r="P51" s="11" t="s">
        <v>327</v>
      </c>
      <c r="Q51" s="11" t="s">
        <v>582</v>
      </c>
      <c r="R51" s="11" t="s">
        <v>614</v>
      </c>
      <c r="S51" s="11" t="s">
        <v>303</v>
      </c>
      <c r="T51" s="11"/>
      <c r="U51" s="28" t="s">
        <v>615</v>
      </c>
    </row>
    <row r="52" spans="1:21" ht="110.4" hidden="1">
      <c r="A52" s="11" t="s">
        <v>616</v>
      </c>
      <c r="B52" s="11" t="s">
        <v>58</v>
      </c>
      <c r="C52" s="11">
        <v>8</v>
      </c>
      <c r="D52" s="11" t="s">
        <v>89</v>
      </c>
      <c r="E52" s="11" t="s">
        <v>617</v>
      </c>
      <c r="F52" s="11" t="s">
        <v>618</v>
      </c>
      <c r="G52" s="11" t="s">
        <v>619</v>
      </c>
      <c r="H52" s="11" t="s">
        <v>123</v>
      </c>
      <c r="I52" s="16">
        <v>1</v>
      </c>
      <c r="J52" s="11" t="s">
        <v>490</v>
      </c>
      <c r="K52" s="11" t="s">
        <v>491</v>
      </c>
      <c r="L52" s="11" t="s">
        <v>620</v>
      </c>
      <c r="M52" s="11" t="s">
        <v>621</v>
      </c>
      <c r="N52" s="11" t="s">
        <v>622</v>
      </c>
      <c r="O52" s="11" t="s">
        <v>623</v>
      </c>
      <c r="P52" s="11" t="s">
        <v>496</v>
      </c>
      <c r="Q52" s="11" t="s">
        <v>624</v>
      </c>
      <c r="R52" s="11" t="s">
        <v>625</v>
      </c>
      <c r="S52" s="11" t="s">
        <v>303</v>
      </c>
      <c r="T52" s="11"/>
      <c r="U52" s="28" t="s">
        <v>626</v>
      </c>
    </row>
    <row r="53" spans="1:21" ht="110.4" hidden="1">
      <c r="A53" s="11" t="s">
        <v>627</v>
      </c>
      <c r="B53" s="11" t="s">
        <v>58</v>
      </c>
      <c r="C53" s="11">
        <v>9</v>
      </c>
      <c r="D53" s="11" t="s">
        <v>89</v>
      </c>
      <c r="E53" s="11" t="s">
        <v>628</v>
      </c>
      <c r="F53" s="11" t="s">
        <v>629</v>
      </c>
      <c r="G53" s="11" t="s">
        <v>630</v>
      </c>
      <c r="H53" s="11" t="s">
        <v>123</v>
      </c>
      <c r="I53" s="16">
        <v>1</v>
      </c>
      <c r="J53" s="11" t="s">
        <v>564</v>
      </c>
      <c r="K53" s="11" t="s">
        <v>101</v>
      </c>
      <c r="L53" s="11" t="s">
        <v>631</v>
      </c>
      <c r="M53" s="11" t="s">
        <v>632</v>
      </c>
      <c r="N53" s="11" t="s">
        <v>633</v>
      </c>
      <c r="O53" s="11" t="s">
        <v>634</v>
      </c>
      <c r="P53" s="11" t="s">
        <v>635</v>
      </c>
      <c r="Q53" s="11" t="s">
        <v>636</v>
      </c>
      <c r="R53" s="11" t="s">
        <v>637</v>
      </c>
      <c r="S53" s="11" t="s">
        <v>303</v>
      </c>
      <c r="T53" s="11"/>
      <c r="U53" s="28" t="s">
        <v>638</v>
      </c>
    </row>
    <row r="54" spans="1:21" ht="110.4" hidden="1">
      <c r="A54" s="11" t="s">
        <v>639</v>
      </c>
      <c r="B54" s="11" t="s">
        <v>58</v>
      </c>
      <c r="C54" s="11">
        <v>10</v>
      </c>
      <c r="D54" s="11" t="s">
        <v>365</v>
      </c>
      <c r="E54" s="11" t="s">
        <v>640</v>
      </c>
      <c r="F54" s="11" t="s">
        <v>641</v>
      </c>
      <c r="G54" s="11" t="s">
        <v>642</v>
      </c>
      <c r="H54" s="11" t="s">
        <v>123</v>
      </c>
      <c r="I54" s="16">
        <v>0.75</v>
      </c>
      <c r="J54" s="11" t="s">
        <v>543</v>
      </c>
      <c r="K54" s="11" t="s">
        <v>598</v>
      </c>
      <c r="L54" s="11" t="s">
        <v>643</v>
      </c>
      <c r="M54" s="11" t="s">
        <v>644</v>
      </c>
      <c r="N54" s="11" t="s">
        <v>645</v>
      </c>
      <c r="O54" s="11" t="s">
        <v>646</v>
      </c>
      <c r="P54" s="11" t="s">
        <v>647</v>
      </c>
      <c r="Q54" s="11" t="s">
        <v>648</v>
      </c>
      <c r="R54" s="11" t="s">
        <v>649</v>
      </c>
      <c r="S54" s="11" t="s">
        <v>303</v>
      </c>
      <c r="T54" s="11"/>
      <c r="U54" s="28" t="s">
        <v>650</v>
      </c>
    </row>
    <row r="55" spans="1:21" ht="193.8" hidden="1">
      <c r="A55" s="11" t="s">
        <v>651</v>
      </c>
      <c r="B55" s="11" t="s">
        <v>58</v>
      </c>
      <c r="C55" s="11">
        <v>11</v>
      </c>
      <c r="D55" s="11" t="s">
        <v>89</v>
      </c>
      <c r="E55" s="11" t="s">
        <v>652</v>
      </c>
      <c r="F55" s="11" t="s">
        <v>653</v>
      </c>
      <c r="G55" s="11" t="s">
        <v>654</v>
      </c>
      <c r="H55" s="11" t="s">
        <v>109</v>
      </c>
      <c r="I55" s="16">
        <v>1</v>
      </c>
      <c r="J55" s="11" t="s">
        <v>655</v>
      </c>
      <c r="K55" s="11" t="s">
        <v>101</v>
      </c>
      <c r="L55" s="11" t="s">
        <v>656</v>
      </c>
      <c r="M55" s="11" t="s">
        <v>2333</v>
      </c>
      <c r="N55" s="11" t="s">
        <v>657</v>
      </c>
      <c r="O55" s="11" t="s">
        <v>658</v>
      </c>
      <c r="P55" s="11" t="s">
        <v>518</v>
      </c>
      <c r="Q55" s="11" t="s">
        <v>659</v>
      </c>
      <c r="R55" s="11" t="s">
        <v>660</v>
      </c>
      <c r="S55" s="11" t="s">
        <v>303</v>
      </c>
      <c r="T55" s="11"/>
      <c r="U55" s="28" t="s">
        <v>661</v>
      </c>
    </row>
    <row r="56" spans="1:21" ht="193.8" hidden="1">
      <c r="A56" s="11" t="s">
        <v>662</v>
      </c>
      <c r="B56" s="11" t="s">
        <v>58</v>
      </c>
      <c r="C56" s="11">
        <v>12</v>
      </c>
      <c r="D56" s="11" t="s">
        <v>89</v>
      </c>
      <c r="E56" s="11" t="s">
        <v>226</v>
      </c>
      <c r="F56" s="11" t="s">
        <v>663</v>
      </c>
      <c r="G56" s="11" t="s">
        <v>664</v>
      </c>
      <c r="H56" s="11" t="s">
        <v>93</v>
      </c>
      <c r="I56" s="16">
        <v>0.75</v>
      </c>
      <c r="J56" s="11" t="s">
        <v>2334</v>
      </c>
      <c r="K56" s="11" t="s">
        <v>665</v>
      </c>
      <c r="L56" s="11" t="s">
        <v>666</v>
      </c>
      <c r="M56" s="11" t="s">
        <v>2335</v>
      </c>
      <c r="N56" s="11" t="s">
        <v>667</v>
      </c>
      <c r="O56" s="11" t="s">
        <v>668</v>
      </c>
      <c r="P56" s="11" t="s">
        <v>115</v>
      </c>
      <c r="Q56" s="11" t="s">
        <v>669</v>
      </c>
      <c r="R56" s="11" t="s">
        <v>670</v>
      </c>
      <c r="S56" s="11" t="s">
        <v>303</v>
      </c>
      <c r="T56" s="11"/>
      <c r="U56" s="28" t="s">
        <v>671</v>
      </c>
    </row>
    <row r="57" spans="1:21" ht="69" hidden="1">
      <c r="A57" s="11" t="s">
        <v>672</v>
      </c>
      <c r="B57" s="11" t="s">
        <v>58</v>
      </c>
      <c r="C57" s="11">
        <v>13</v>
      </c>
      <c r="D57" s="11" t="s">
        <v>89</v>
      </c>
      <c r="E57" s="11" t="s">
        <v>238</v>
      </c>
      <c r="F57" s="11" t="s">
        <v>673</v>
      </c>
      <c r="G57" s="11" t="s">
        <v>674</v>
      </c>
      <c r="H57" s="11" t="s">
        <v>109</v>
      </c>
      <c r="I57" s="16">
        <v>1</v>
      </c>
      <c r="J57" s="11" t="s">
        <v>241</v>
      </c>
      <c r="K57" s="11" t="s">
        <v>101</v>
      </c>
      <c r="L57" s="11" t="s">
        <v>675</v>
      </c>
      <c r="M57" s="11" t="s">
        <v>2314</v>
      </c>
      <c r="N57" s="11" t="s">
        <v>243</v>
      </c>
      <c r="O57" s="11" t="s">
        <v>676</v>
      </c>
      <c r="P57" s="11" t="s">
        <v>677</v>
      </c>
      <c r="Q57" s="11" t="s">
        <v>662</v>
      </c>
      <c r="R57" s="11" t="s">
        <v>246</v>
      </c>
      <c r="S57" s="11" t="s">
        <v>303</v>
      </c>
      <c r="T57" s="11" t="s">
        <v>678</v>
      </c>
      <c r="U57" s="28" t="s">
        <v>679</v>
      </c>
    </row>
    <row r="58" spans="1:21" ht="96.6" hidden="1">
      <c r="A58" s="11" t="s">
        <v>680</v>
      </c>
      <c r="B58" s="11" t="s">
        <v>59</v>
      </c>
      <c r="C58" s="11">
        <v>1</v>
      </c>
      <c r="D58" s="11" t="s">
        <v>89</v>
      </c>
      <c r="E58" s="11" t="s">
        <v>681</v>
      </c>
      <c r="F58" s="11" t="s">
        <v>682</v>
      </c>
      <c r="G58" s="11" t="s">
        <v>683</v>
      </c>
      <c r="H58" s="11" t="s">
        <v>93</v>
      </c>
      <c r="I58" s="16">
        <v>1</v>
      </c>
      <c r="J58" s="11" t="s">
        <v>684</v>
      </c>
      <c r="K58" s="11" t="s">
        <v>685</v>
      </c>
      <c r="L58" s="11" t="s">
        <v>686</v>
      </c>
      <c r="M58" s="11" t="s">
        <v>687</v>
      </c>
      <c r="N58" s="11" t="s">
        <v>688</v>
      </c>
      <c r="O58" s="11" t="s">
        <v>689</v>
      </c>
      <c r="P58" s="11" t="s">
        <v>175</v>
      </c>
      <c r="Q58" s="11" t="s">
        <v>672</v>
      </c>
      <c r="R58" s="11" t="s">
        <v>690</v>
      </c>
      <c r="S58" s="11" t="s">
        <v>303</v>
      </c>
      <c r="T58" s="11"/>
      <c r="U58" s="28" t="s">
        <v>691</v>
      </c>
    </row>
    <row r="59" spans="1:21" ht="193.8" hidden="1">
      <c r="A59" s="11" t="s">
        <v>692</v>
      </c>
      <c r="B59" s="11" t="s">
        <v>59</v>
      </c>
      <c r="C59" s="11">
        <v>2</v>
      </c>
      <c r="D59" s="11" t="s">
        <v>89</v>
      </c>
      <c r="E59" s="11" t="s">
        <v>693</v>
      </c>
      <c r="F59" s="11" t="s">
        <v>694</v>
      </c>
      <c r="G59" s="11" t="s">
        <v>695</v>
      </c>
      <c r="H59" s="11" t="s">
        <v>123</v>
      </c>
      <c r="I59" s="16">
        <v>1.25</v>
      </c>
      <c r="J59" s="11" t="s">
        <v>696</v>
      </c>
      <c r="K59" s="11" t="s">
        <v>194</v>
      </c>
      <c r="L59" s="11" t="s">
        <v>697</v>
      </c>
      <c r="M59" s="11" t="s">
        <v>2336</v>
      </c>
      <c r="N59" s="11" t="s">
        <v>698</v>
      </c>
      <c r="O59" s="11" t="s">
        <v>699</v>
      </c>
      <c r="P59" s="11" t="s">
        <v>198</v>
      </c>
      <c r="Q59" s="11" t="s">
        <v>680</v>
      </c>
      <c r="R59" s="11" t="s">
        <v>700</v>
      </c>
      <c r="S59" s="11" t="s">
        <v>303</v>
      </c>
      <c r="T59" s="11"/>
      <c r="U59" s="28" t="s">
        <v>701</v>
      </c>
    </row>
    <row r="60" spans="1:21" ht="193.8" hidden="1">
      <c r="A60" s="11" t="s">
        <v>702</v>
      </c>
      <c r="B60" s="11" t="s">
        <v>59</v>
      </c>
      <c r="C60" s="11">
        <v>3</v>
      </c>
      <c r="D60" s="11" t="s">
        <v>89</v>
      </c>
      <c r="E60" s="11" t="s">
        <v>703</v>
      </c>
      <c r="F60" s="11" t="s">
        <v>704</v>
      </c>
      <c r="G60" s="11" t="s">
        <v>705</v>
      </c>
      <c r="H60" s="11" t="s">
        <v>123</v>
      </c>
      <c r="I60" s="16">
        <v>1.25</v>
      </c>
      <c r="J60" s="11" t="s">
        <v>696</v>
      </c>
      <c r="K60" s="11" t="s">
        <v>706</v>
      </c>
      <c r="L60" s="11" t="s">
        <v>707</v>
      </c>
      <c r="M60" s="11" t="s">
        <v>2337</v>
      </c>
      <c r="N60" s="11" t="s">
        <v>708</v>
      </c>
      <c r="O60" s="11" t="s">
        <v>709</v>
      </c>
      <c r="P60" s="11" t="s">
        <v>710</v>
      </c>
      <c r="Q60" s="11" t="s">
        <v>711</v>
      </c>
      <c r="R60" s="11" t="s">
        <v>712</v>
      </c>
      <c r="S60" s="11" t="s">
        <v>303</v>
      </c>
      <c r="T60" s="11"/>
      <c r="U60" s="28" t="s">
        <v>713</v>
      </c>
    </row>
    <row r="61" spans="1:21" ht="193.8" hidden="1">
      <c r="A61" s="11" t="s">
        <v>714</v>
      </c>
      <c r="B61" s="11" t="s">
        <v>59</v>
      </c>
      <c r="C61" s="11">
        <v>4</v>
      </c>
      <c r="D61" s="11" t="s">
        <v>89</v>
      </c>
      <c r="E61" s="11" t="s">
        <v>715</v>
      </c>
      <c r="F61" s="11" t="s">
        <v>716</v>
      </c>
      <c r="G61" s="11" t="s">
        <v>717</v>
      </c>
      <c r="H61" s="11" t="s">
        <v>123</v>
      </c>
      <c r="I61" s="16">
        <v>1.25</v>
      </c>
      <c r="J61" s="11" t="s">
        <v>696</v>
      </c>
      <c r="K61" s="11" t="s">
        <v>718</v>
      </c>
      <c r="L61" s="11" t="s">
        <v>719</v>
      </c>
      <c r="M61" s="11" t="s">
        <v>2338</v>
      </c>
      <c r="N61" s="11" t="s">
        <v>720</v>
      </c>
      <c r="O61" s="11" t="s">
        <v>721</v>
      </c>
      <c r="P61" s="11" t="s">
        <v>722</v>
      </c>
      <c r="Q61" s="11" t="s">
        <v>680</v>
      </c>
      <c r="R61" s="11" t="s">
        <v>723</v>
      </c>
      <c r="S61" s="11" t="s">
        <v>303</v>
      </c>
      <c r="T61" s="11"/>
      <c r="U61" s="28" t="s">
        <v>724</v>
      </c>
    </row>
    <row r="62" spans="1:21" ht="110.4" hidden="1">
      <c r="A62" s="11" t="s">
        <v>725</v>
      </c>
      <c r="B62" s="11" t="s">
        <v>59</v>
      </c>
      <c r="C62" s="11">
        <v>5</v>
      </c>
      <c r="D62" s="11" t="s">
        <v>89</v>
      </c>
      <c r="E62" s="11" t="s">
        <v>726</v>
      </c>
      <c r="F62" s="11" t="s">
        <v>727</v>
      </c>
      <c r="G62" s="11" t="s">
        <v>728</v>
      </c>
      <c r="H62" s="11" t="s">
        <v>123</v>
      </c>
      <c r="I62" s="16">
        <v>1.5</v>
      </c>
      <c r="J62" s="11" t="s">
        <v>696</v>
      </c>
      <c r="K62" s="11" t="s">
        <v>729</v>
      </c>
      <c r="L62" s="11" t="s">
        <v>730</v>
      </c>
      <c r="M62" s="11" t="s">
        <v>731</v>
      </c>
      <c r="N62" s="11" t="s">
        <v>732</v>
      </c>
      <c r="O62" s="11" t="s">
        <v>733</v>
      </c>
      <c r="P62" s="11" t="s">
        <v>734</v>
      </c>
      <c r="Q62" s="11" t="s">
        <v>735</v>
      </c>
      <c r="R62" s="11" t="s">
        <v>736</v>
      </c>
      <c r="S62" s="11" t="s">
        <v>303</v>
      </c>
      <c r="T62" s="11"/>
      <c r="U62" s="28" t="s">
        <v>737</v>
      </c>
    </row>
    <row r="63" spans="1:21" ht="193.8" hidden="1">
      <c r="A63" s="11" t="s">
        <v>738</v>
      </c>
      <c r="B63" s="11" t="s">
        <v>59</v>
      </c>
      <c r="C63" s="11">
        <v>6</v>
      </c>
      <c r="D63" s="11" t="s">
        <v>89</v>
      </c>
      <c r="E63" s="11" t="s">
        <v>739</v>
      </c>
      <c r="F63" s="11" t="s">
        <v>740</v>
      </c>
      <c r="G63" s="11" t="s">
        <v>741</v>
      </c>
      <c r="H63" s="11" t="s">
        <v>123</v>
      </c>
      <c r="I63" s="16">
        <v>1</v>
      </c>
      <c r="J63" s="11" t="s">
        <v>742</v>
      </c>
      <c r="K63" s="11" t="s">
        <v>743</v>
      </c>
      <c r="L63" s="11" t="s">
        <v>744</v>
      </c>
      <c r="M63" s="11" t="s">
        <v>2339</v>
      </c>
      <c r="N63" s="11" t="s">
        <v>745</v>
      </c>
      <c r="O63" s="11" t="s">
        <v>746</v>
      </c>
      <c r="P63" s="11" t="s">
        <v>747</v>
      </c>
      <c r="Q63" s="11" t="s">
        <v>748</v>
      </c>
      <c r="R63" s="11" t="s">
        <v>749</v>
      </c>
      <c r="S63" s="11" t="s">
        <v>303</v>
      </c>
      <c r="T63" s="11"/>
      <c r="U63" s="28" t="s">
        <v>750</v>
      </c>
    </row>
    <row r="64" spans="1:21" ht="110.4" hidden="1">
      <c r="A64" s="11" t="s">
        <v>751</v>
      </c>
      <c r="B64" s="11" t="s">
        <v>59</v>
      </c>
      <c r="C64" s="11">
        <v>7</v>
      </c>
      <c r="D64" s="11" t="s">
        <v>89</v>
      </c>
      <c r="E64" s="11" t="s">
        <v>752</v>
      </c>
      <c r="F64" s="11" t="s">
        <v>753</v>
      </c>
      <c r="G64" s="11" t="s">
        <v>754</v>
      </c>
      <c r="H64" s="11" t="s">
        <v>123</v>
      </c>
      <c r="I64" s="16">
        <v>1.5</v>
      </c>
      <c r="J64" s="11" t="s">
        <v>755</v>
      </c>
      <c r="K64" s="11" t="s">
        <v>756</v>
      </c>
      <c r="L64" s="11" t="s">
        <v>757</v>
      </c>
      <c r="M64" s="11" t="s">
        <v>758</v>
      </c>
      <c r="N64" s="11" t="s">
        <v>759</v>
      </c>
      <c r="O64" s="11" t="s">
        <v>760</v>
      </c>
      <c r="P64" s="11" t="s">
        <v>175</v>
      </c>
      <c r="Q64" s="11" t="s">
        <v>761</v>
      </c>
      <c r="R64" s="11" t="s">
        <v>762</v>
      </c>
      <c r="S64" s="11" t="s">
        <v>303</v>
      </c>
      <c r="T64" s="11"/>
      <c r="U64" s="28" t="s">
        <v>763</v>
      </c>
    </row>
    <row r="65" spans="1:21" ht="193.8" hidden="1">
      <c r="A65" s="11" t="s">
        <v>764</v>
      </c>
      <c r="B65" s="11" t="s">
        <v>59</v>
      </c>
      <c r="C65" s="11">
        <v>8</v>
      </c>
      <c r="D65" s="11" t="s">
        <v>89</v>
      </c>
      <c r="E65" s="11" t="s">
        <v>765</v>
      </c>
      <c r="F65" s="11" t="s">
        <v>766</v>
      </c>
      <c r="G65" s="11" t="s">
        <v>767</v>
      </c>
      <c r="H65" s="11" t="s">
        <v>123</v>
      </c>
      <c r="I65" s="16">
        <v>1</v>
      </c>
      <c r="J65" s="11" t="s">
        <v>755</v>
      </c>
      <c r="K65" s="11" t="s">
        <v>101</v>
      </c>
      <c r="L65" s="11" t="s">
        <v>768</v>
      </c>
      <c r="M65" s="11" t="s">
        <v>2340</v>
      </c>
      <c r="N65" s="11" t="s">
        <v>769</v>
      </c>
      <c r="O65" s="11" t="s">
        <v>770</v>
      </c>
      <c r="P65" s="11" t="s">
        <v>164</v>
      </c>
      <c r="Q65" s="11" t="s">
        <v>751</v>
      </c>
      <c r="R65" s="11" t="s">
        <v>771</v>
      </c>
      <c r="S65" s="11" t="s">
        <v>303</v>
      </c>
      <c r="T65" s="11"/>
      <c r="U65" s="28" t="s">
        <v>772</v>
      </c>
    </row>
    <row r="66" spans="1:21" ht="110.4" hidden="1">
      <c r="A66" s="11" t="s">
        <v>773</v>
      </c>
      <c r="B66" s="11" t="s">
        <v>59</v>
      </c>
      <c r="C66" s="11">
        <v>9</v>
      </c>
      <c r="D66" s="11" t="s">
        <v>89</v>
      </c>
      <c r="E66" s="11" t="s">
        <v>774</v>
      </c>
      <c r="F66" s="11" t="s">
        <v>775</v>
      </c>
      <c r="G66" s="11" t="s">
        <v>776</v>
      </c>
      <c r="H66" s="11" t="s">
        <v>109</v>
      </c>
      <c r="I66" s="16">
        <v>1</v>
      </c>
      <c r="J66" s="11" t="s">
        <v>777</v>
      </c>
      <c r="K66" s="11" t="s">
        <v>598</v>
      </c>
      <c r="L66" s="11" t="s">
        <v>778</v>
      </c>
      <c r="M66" s="11" t="s">
        <v>779</v>
      </c>
      <c r="N66" s="11" t="s">
        <v>780</v>
      </c>
      <c r="O66" s="11" t="s">
        <v>781</v>
      </c>
      <c r="P66" s="11" t="s">
        <v>175</v>
      </c>
      <c r="Q66" s="11" t="s">
        <v>782</v>
      </c>
      <c r="R66" s="11" t="s">
        <v>783</v>
      </c>
      <c r="S66" s="11" t="s">
        <v>303</v>
      </c>
      <c r="T66" s="11"/>
      <c r="U66" s="28" t="s">
        <v>784</v>
      </c>
    </row>
    <row r="67" spans="1:21" ht="124.2" hidden="1">
      <c r="A67" s="11" t="s">
        <v>785</v>
      </c>
      <c r="B67" s="11" t="s">
        <v>59</v>
      </c>
      <c r="C67" s="11">
        <v>10</v>
      </c>
      <c r="D67" s="11" t="s">
        <v>89</v>
      </c>
      <c r="E67" s="11" t="s">
        <v>786</v>
      </c>
      <c r="F67" s="11" t="s">
        <v>787</v>
      </c>
      <c r="G67" s="11" t="s">
        <v>788</v>
      </c>
      <c r="H67" s="11" t="s">
        <v>93</v>
      </c>
      <c r="I67" s="16">
        <v>1.5</v>
      </c>
      <c r="J67" s="11" t="s">
        <v>777</v>
      </c>
      <c r="K67" s="11" t="s">
        <v>357</v>
      </c>
      <c r="L67" s="11" t="s">
        <v>789</v>
      </c>
      <c r="M67" s="11" t="s">
        <v>790</v>
      </c>
      <c r="N67" s="11" t="s">
        <v>791</v>
      </c>
      <c r="O67" s="11" t="s">
        <v>792</v>
      </c>
      <c r="P67" s="11" t="s">
        <v>518</v>
      </c>
      <c r="Q67" s="11" t="s">
        <v>773</v>
      </c>
      <c r="R67" s="11" t="s">
        <v>793</v>
      </c>
      <c r="S67" s="11" t="s">
        <v>303</v>
      </c>
      <c r="T67" s="11"/>
      <c r="U67" s="28" t="s">
        <v>794</v>
      </c>
    </row>
    <row r="68" spans="1:21" ht="110.4" hidden="1">
      <c r="A68" s="11" t="s">
        <v>795</v>
      </c>
      <c r="B68" s="11" t="s">
        <v>59</v>
      </c>
      <c r="C68" s="11">
        <v>11</v>
      </c>
      <c r="D68" s="11" t="s">
        <v>89</v>
      </c>
      <c r="E68" s="11" t="s">
        <v>796</v>
      </c>
      <c r="F68" s="11" t="s">
        <v>797</v>
      </c>
      <c r="G68" s="11" t="s">
        <v>798</v>
      </c>
      <c r="H68" s="11" t="s">
        <v>109</v>
      </c>
      <c r="I68" s="16">
        <v>0.75</v>
      </c>
      <c r="J68" s="11" t="s">
        <v>777</v>
      </c>
      <c r="K68" s="11" t="s">
        <v>357</v>
      </c>
      <c r="L68" s="11" t="s">
        <v>799</v>
      </c>
      <c r="M68" s="11" t="s">
        <v>800</v>
      </c>
      <c r="N68" s="11" t="s">
        <v>801</v>
      </c>
      <c r="O68" s="11" t="s">
        <v>802</v>
      </c>
      <c r="P68" s="11" t="s">
        <v>803</v>
      </c>
      <c r="Q68" s="11" t="s">
        <v>785</v>
      </c>
      <c r="R68" s="11" t="s">
        <v>804</v>
      </c>
      <c r="S68" s="11" t="s">
        <v>303</v>
      </c>
      <c r="T68" s="11"/>
      <c r="U68" s="28" t="s">
        <v>805</v>
      </c>
    </row>
    <row r="69" spans="1:21" ht="193.8" hidden="1">
      <c r="A69" s="11" t="s">
        <v>806</v>
      </c>
      <c r="B69" s="11" t="s">
        <v>59</v>
      </c>
      <c r="C69" s="11">
        <v>12</v>
      </c>
      <c r="D69" s="11" t="s">
        <v>89</v>
      </c>
      <c r="E69" s="11" t="s">
        <v>807</v>
      </c>
      <c r="F69" s="11" t="s">
        <v>808</v>
      </c>
      <c r="G69" s="11" t="s">
        <v>809</v>
      </c>
      <c r="H69" s="11" t="s">
        <v>109</v>
      </c>
      <c r="I69" s="16">
        <v>1</v>
      </c>
      <c r="J69" s="11" t="s">
        <v>777</v>
      </c>
      <c r="K69" s="11" t="s">
        <v>217</v>
      </c>
      <c r="L69" s="11" t="s">
        <v>810</v>
      </c>
      <c r="M69" s="11" t="s">
        <v>2341</v>
      </c>
      <c r="N69" s="11" t="s">
        <v>811</v>
      </c>
      <c r="O69" s="11" t="s">
        <v>812</v>
      </c>
      <c r="P69" s="11" t="s">
        <v>222</v>
      </c>
      <c r="Q69" s="11" t="s">
        <v>795</v>
      </c>
      <c r="R69" s="11" t="s">
        <v>813</v>
      </c>
      <c r="S69" s="11" t="s">
        <v>303</v>
      </c>
      <c r="T69" s="11"/>
      <c r="U69" s="28" t="s">
        <v>814</v>
      </c>
    </row>
    <row r="70" spans="1:21" ht="96.6" hidden="1">
      <c r="A70" s="11" t="s">
        <v>815</v>
      </c>
      <c r="B70" s="11" t="s">
        <v>59</v>
      </c>
      <c r="C70" s="11">
        <v>13</v>
      </c>
      <c r="D70" s="11" t="s">
        <v>89</v>
      </c>
      <c r="E70" s="11" t="s">
        <v>226</v>
      </c>
      <c r="F70" s="11" t="s">
        <v>816</v>
      </c>
      <c r="G70" s="11" t="s">
        <v>817</v>
      </c>
      <c r="H70" s="11" t="s">
        <v>93</v>
      </c>
      <c r="I70" s="16">
        <v>0.75</v>
      </c>
      <c r="J70" s="11" t="s">
        <v>2342</v>
      </c>
      <c r="K70" s="11" t="s">
        <v>818</v>
      </c>
      <c r="L70" s="11" t="s">
        <v>819</v>
      </c>
      <c r="M70" s="11" t="s">
        <v>820</v>
      </c>
      <c r="N70" s="11" t="s">
        <v>821</v>
      </c>
      <c r="O70" s="11" t="s">
        <v>822</v>
      </c>
      <c r="P70" s="11" t="s">
        <v>115</v>
      </c>
      <c r="Q70" s="11" t="s">
        <v>823</v>
      </c>
      <c r="R70" s="11" t="s">
        <v>824</v>
      </c>
      <c r="S70" s="11" t="s">
        <v>303</v>
      </c>
      <c r="T70" s="11"/>
      <c r="U70" s="28" t="s">
        <v>825</v>
      </c>
    </row>
    <row r="71" spans="1:21" ht="69" hidden="1">
      <c r="A71" s="11" t="s">
        <v>826</v>
      </c>
      <c r="B71" s="11" t="s">
        <v>59</v>
      </c>
      <c r="C71" s="11">
        <v>14</v>
      </c>
      <c r="D71" s="11" t="s">
        <v>89</v>
      </c>
      <c r="E71" s="11" t="s">
        <v>238</v>
      </c>
      <c r="F71" s="11" t="s">
        <v>827</v>
      </c>
      <c r="G71" s="11" t="s">
        <v>828</v>
      </c>
      <c r="H71" s="11" t="s">
        <v>109</v>
      </c>
      <c r="I71" s="16">
        <v>1</v>
      </c>
      <c r="J71" s="11" t="s">
        <v>241</v>
      </c>
      <c r="K71" s="11" t="s">
        <v>101</v>
      </c>
      <c r="L71" s="11" t="s">
        <v>829</v>
      </c>
      <c r="M71" s="11" t="s">
        <v>2315</v>
      </c>
      <c r="N71" s="11" t="s">
        <v>243</v>
      </c>
      <c r="O71" s="11" t="s">
        <v>830</v>
      </c>
      <c r="P71" s="11" t="s">
        <v>831</v>
      </c>
      <c r="Q71" s="11" t="s">
        <v>815</v>
      </c>
      <c r="R71" s="11" t="s">
        <v>246</v>
      </c>
      <c r="S71" s="11" t="s">
        <v>303</v>
      </c>
      <c r="T71" s="11" t="s">
        <v>832</v>
      </c>
      <c r="U71" s="28" t="s">
        <v>833</v>
      </c>
    </row>
    <row r="72" spans="1:21" ht="110.4" hidden="1">
      <c r="A72" s="11" t="s">
        <v>834</v>
      </c>
      <c r="B72" s="11" t="s">
        <v>60</v>
      </c>
      <c r="C72" s="11">
        <v>1</v>
      </c>
      <c r="D72" s="11" t="s">
        <v>89</v>
      </c>
      <c r="E72" s="11" t="s">
        <v>835</v>
      </c>
      <c r="F72" s="11" t="s">
        <v>836</v>
      </c>
      <c r="G72" s="11" t="s">
        <v>837</v>
      </c>
      <c r="H72" s="11" t="s">
        <v>109</v>
      </c>
      <c r="I72" s="16">
        <v>0.75</v>
      </c>
      <c r="J72" s="11" t="s">
        <v>755</v>
      </c>
      <c r="K72" s="11" t="s">
        <v>838</v>
      </c>
      <c r="L72" s="11" t="s">
        <v>839</v>
      </c>
      <c r="M72" s="11" t="s">
        <v>840</v>
      </c>
      <c r="N72" s="11" t="s">
        <v>841</v>
      </c>
      <c r="O72" s="11" t="s">
        <v>842</v>
      </c>
      <c r="P72" s="11" t="s">
        <v>843</v>
      </c>
      <c r="Q72" s="11" t="s">
        <v>826</v>
      </c>
      <c r="R72" s="11" t="s">
        <v>844</v>
      </c>
      <c r="S72" s="11" t="s">
        <v>303</v>
      </c>
      <c r="T72" s="11"/>
      <c r="U72" s="28" t="s">
        <v>845</v>
      </c>
    </row>
    <row r="73" spans="1:21" ht="110.4" hidden="1">
      <c r="A73" s="11" t="s">
        <v>846</v>
      </c>
      <c r="B73" s="11" t="s">
        <v>60</v>
      </c>
      <c r="C73" s="11">
        <v>2</v>
      </c>
      <c r="D73" s="11" t="s">
        <v>89</v>
      </c>
      <c r="E73" s="11" t="s">
        <v>847</v>
      </c>
      <c r="F73" s="11" t="s">
        <v>848</v>
      </c>
      <c r="G73" s="11" t="s">
        <v>849</v>
      </c>
      <c r="H73" s="11" t="s">
        <v>123</v>
      </c>
      <c r="I73" s="16">
        <v>1.5</v>
      </c>
      <c r="J73" s="11" t="s">
        <v>850</v>
      </c>
      <c r="K73" s="11" t="s">
        <v>838</v>
      </c>
      <c r="L73" s="11" t="s">
        <v>851</v>
      </c>
      <c r="M73" s="11" t="s">
        <v>852</v>
      </c>
      <c r="N73" s="11" t="s">
        <v>853</v>
      </c>
      <c r="O73" s="11" t="s">
        <v>854</v>
      </c>
      <c r="P73" s="11" t="s">
        <v>855</v>
      </c>
      <c r="Q73" s="11" t="s">
        <v>834</v>
      </c>
      <c r="R73" s="11" t="s">
        <v>856</v>
      </c>
      <c r="S73" s="11" t="s">
        <v>303</v>
      </c>
      <c r="T73" s="11"/>
      <c r="U73" s="28" t="s">
        <v>857</v>
      </c>
    </row>
    <row r="74" spans="1:21" ht="110.4" hidden="1">
      <c r="A74" s="11" t="s">
        <v>858</v>
      </c>
      <c r="B74" s="11" t="s">
        <v>60</v>
      </c>
      <c r="C74" s="11">
        <v>3</v>
      </c>
      <c r="D74" s="11" t="s">
        <v>89</v>
      </c>
      <c r="E74" s="11" t="s">
        <v>859</v>
      </c>
      <c r="F74" s="11" t="s">
        <v>860</v>
      </c>
      <c r="G74" s="11" t="s">
        <v>861</v>
      </c>
      <c r="H74" s="11" t="s">
        <v>123</v>
      </c>
      <c r="I74" s="16">
        <v>1</v>
      </c>
      <c r="J74" s="11" t="s">
        <v>850</v>
      </c>
      <c r="K74" s="11" t="s">
        <v>862</v>
      </c>
      <c r="L74" s="11" t="s">
        <v>863</v>
      </c>
      <c r="M74" s="11" t="s">
        <v>864</v>
      </c>
      <c r="N74" s="11" t="s">
        <v>865</v>
      </c>
      <c r="O74" s="11" t="s">
        <v>866</v>
      </c>
      <c r="P74" s="11" t="s">
        <v>327</v>
      </c>
      <c r="Q74" s="11" t="s">
        <v>867</v>
      </c>
      <c r="R74" s="11" t="s">
        <v>868</v>
      </c>
      <c r="S74" s="11" t="s">
        <v>303</v>
      </c>
      <c r="T74" s="11"/>
      <c r="U74" s="28" t="s">
        <v>869</v>
      </c>
    </row>
    <row r="75" spans="1:21" ht="110.4" hidden="1">
      <c r="A75" s="11" t="s">
        <v>870</v>
      </c>
      <c r="B75" s="11" t="s">
        <v>60</v>
      </c>
      <c r="C75" s="11">
        <v>4</v>
      </c>
      <c r="D75" s="11" t="s">
        <v>89</v>
      </c>
      <c r="E75" s="11" t="s">
        <v>871</v>
      </c>
      <c r="F75" s="11" t="s">
        <v>872</v>
      </c>
      <c r="G75" s="11" t="s">
        <v>873</v>
      </c>
      <c r="H75" s="11" t="s">
        <v>123</v>
      </c>
      <c r="I75" s="16">
        <v>1</v>
      </c>
      <c r="J75" s="11" t="s">
        <v>850</v>
      </c>
      <c r="K75" s="11" t="s">
        <v>874</v>
      </c>
      <c r="L75" s="11" t="s">
        <v>875</v>
      </c>
      <c r="M75" s="11" t="s">
        <v>876</v>
      </c>
      <c r="N75" s="11" t="s">
        <v>877</v>
      </c>
      <c r="O75" s="11" t="s">
        <v>878</v>
      </c>
      <c r="P75" s="11" t="s">
        <v>879</v>
      </c>
      <c r="Q75" s="11" t="s">
        <v>858</v>
      </c>
      <c r="R75" s="11" t="s">
        <v>880</v>
      </c>
      <c r="S75" s="11" t="s">
        <v>303</v>
      </c>
      <c r="T75" s="11"/>
      <c r="U75" s="28" t="s">
        <v>881</v>
      </c>
    </row>
    <row r="76" spans="1:21" ht="110.4" hidden="1">
      <c r="A76" s="11" t="s">
        <v>882</v>
      </c>
      <c r="B76" s="11" t="s">
        <v>60</v>
      </c>
      <c r="C76" s="11">
        <v>5</v>
      </c>
      <c r="D76" s="11" t="s">
        <v>89</v>
      </c>
      <c r="E76" s="11" t="s">
        <v>883</v>
      </c>
      <c r="F76" s="11" t="s">
        <v>884</v>
      </c>
      <c r="G76" s="11" t="s">
        <v>885</v>
      </c>
      <c r="H76" s="11" t="s">
        <v>123</v>
      </c>
      <c r="I76" s="16">
        <v>1</v>
      </c>
      <c r="J76" s="11" t="s">
        <v>850</v>
      </c>
      <c r="K76" s="11" t="s">
        <v>503</v>
      </c>
      <c r="L76" s="11" t="s">
        <v>886</v>
      </c>
      <c r="M76" s="11" t="s">
        <v>852</v>
      </c>
      <c r="N76" s="11" t="s">
        <v>887</v>
      </c>
      <c r="O76" s="11" t="s">
        <v>888</v>
      </c>
      <c r="P76" s="11" t="s">
        <v>855</v>
      </c>
      <c r="Q76" s="11" t="s">
        <v>846</v>
      </c>
      <c r="R76" s="11" t="s">
        <v>889</v>
      </c>
      <c r="S76" s="11" t="s">
        <v>303</v>
      </c>
      <c r="T76" s="11"/>
      <c r="U76" s="28" t="s">
        <v>890</v>
      </c>
    </row>
    <row r="77" spans="1:21" ht="110.4" hidden="1">
      <c r="A77" s="11" t="s">
        <v>891</v>
      </c>
      <c r="B77" s="11" t="s">
        <v>60</v>
      </c>
      <c r="C77" s="11">
        <v>6</v>
      </c>
      <c r="D77" s="11" t="s">
        <v>89</v>
      </c>
      <c r="E77" s="11" t="s">
        <v>892</v>
      </c>
      <c r="F77" s="11" t="s">
        <v>893</v>
      </c>
      <c r="G77" s="11" t="s">
        <v>894</v>
      </c>
      <c r="H77" s="11" t="s">
        <v>123</v>
      </c>
      <c r="I77" s="16">
        <v>1.25</v>
      </c>
      <c r="J77" s="11" t="s">
        <v>895</v>
      </c>
      <c r="K77" s="11" t="s">
        <v>491</v>
      </c>
      <c r="L77" s="11" t="s">
        <v>896</v>
      </c>
      <c r="M77" s="11" t="s">
        <v>621</v>
      </c>
      <c r="N77" s="11" t="s">
        <v>897</v>
      </c>
      <c r="O77" s="11" t="s">
        <v>898</v>
      </c>
      <c r="P77" s="11" t="s">
        <v>496</v>
      </c>
      <c r="Q77" s="11" t="s">
        <v>899</v>
      </c>
      <c r="R77" s="11" t="s">
        <v>900</v>
      </c>
      <c r="S77" s="11" t="s">
        <v>303</v>
      </c>
      <c r="T77" s="11"/>
      <c r="U77" s="28" t="s">
        <v>901</v>
      </c>
    </row>
    <row r="78" spans="1:21" ht="110.4" hidden="1">
      <c r="A78" s="11" t="s">
        <v>902</v>
      </c>
      <c r="B78" s="11" t="s">
        <v>60</v>
      </c>
      <c r="C78" s="11">
        <v>7</v>
      </c>
      <c r="D78" s="11" t="s">
        <v>89</v>
      </c>
      <c r="E78" s="11" t="s">
        <v>903</v>
      </c>
      <c r="F78" s="11" t="s">
        <v>904</v>
      </c>
      <c r="G78" s="11" t="s">
        <v>905</v>
      </c>
      <c r="H78" s="11" t="s">
        <v>109</v>
      </c>
      <c r="I78" s="16">
        <v>1</v>
      </c>
      <c r="J78" s="11" t="s">
        <v>895</v>
      </c>
      <c r="K78" s="11" t="s">
        <v>906</v>
      </c>
      <c r="L78" s="11" t="s">
        <v>907</v>
      </c>
      <c r="M78" s="11" t="s">
        <v>908</v>
      </c>
      <c r="N78" s="11" t="s">
        <v>909</v>
      </c>
      <c r="O78" s="11" t="s">
        <v>910</v>
      </c>
      <c r="P78" s="11" t="s">
        <v>164</v>
      </c>
      <c r="Q78" s="11" t="s">
        <v>891</v>
      </c>
      <c r="R78" s="11" t="s">
        <v>911</v>
      </c>
      <c r="S78" s="11" t="s">
        <v>303</v>
      </c>
      <c r="T78" s="11"/>
      <c r="U78" s="28" t="s">
        <v>912</v>
      </c>
    </row>
    <row r="79" spans="1:21" ht="96.6" hidden="1">
      <c r="A79" s="11" t="s">
        <v>913</v>
      </c>
      <c r="B79" s="11" t="s">
        <v>60</v>
      </c>
      <c r="C79" s="11">
        <v>8</v>
      </c>
      <c r="D79" s="11" t="s">
        <v>89</v>
      </c>
      <c r="E79" s="11" t="s">
        <v>914</v>
      </c>
      <c r="F79" s="11" t="s">
        <v>915</v>
      </c>
      <c r="G79" s="11" t="s">
        <v>916</v>
      </c>
      <c r="H79" s="11" t="s">
        <v>917</v>
      </c>
      <c r="I79" s="16">
        <v>1</v>
      </c>
      <c r="J79" s="11" t="s">
        <v>895</v>
      </c>
      <c r="K79" s="11" t="s">
        <v>491</v>
      </c>
      <c r="L79" s="11" t="s">
        <v>918</v>
      </c>
      <c r="M79" s="11" t="s">
        <v>919</v>
      </c>
      <c r="N79" s="11" t="s">
        <v>920</v>
      </c>
      <c r="O79" s="11" t="s">
        <v>921</v>
      </c>
      <c r="P79" s="11" t="s">
        <v>922</v>
      </c>
      <c r="Q79" s="11" t="s">
        <v>923</v>
      </c>
      <c r="R79" s="11" t="s">
        <v>924</v>
      </c>
      <c r="S79" s="11" t="s">
        <v>303</v>
      </c>
      <c r="T79" s="11"/>
      <c r="U79" s="28" t="s">
        <v>925</v>
      </c>
    </row>
    <row r="80" spans="1:21" ht="110.4" hidden="1">
      <c r="A80" t="s">
        <v>926</v>
      </c>
      <c r="B80" t="s">
        <v>60</v>
      </c>
      <c r="C80">
        <v>9</v>
      </c>
      <c r="D80" t="s">
        <v>89</v>
      </c>
      <c r="E80" t="s">
        <v>927</v>
      </c>
      <c r="F80" t="s">
        <v>928</v>
      </c>
      <c r="G80" t="s">
        <v>929</v>
      </c>
      <c r="H80" t="s">
        <v>109</v>
      </c>
      <c r="I80">
        <v>1</v>
      </c>
      <c r="J80" t="s">
        <v>895</v>
      </c>
      <c r="K80" t="s">
        <v>930</v>
      </c>
      <c r="L80" t="s">
        <v>931</v>
      </c>
      <c r="M80" t="s">
        <v>932</v>
      </c>
      <c r="N80" t="s">
        <v>933</v>
      </c>
      <c r="O80" t="s">
        <v>934</v>
      </c>
      <c r="P80" t="s">
        <v>164</v>
      </c>
      <c r="Q80" t="s">
        <v>935</v>
      </c>
      <c r="R80" t="s">
        <v>936</v>
      </c>
      <c r="S80" t="s">
        <v>303</v>
      </c>
      <c r="U80" s="28" t="s">
        <v>937</v>
      </c>
    </row>
    <row r="81" spans="1:21" ht="110.4" hidden="1">
      <c r="A81" t="s">
        <v>938</v>
      </c>
      <c r="B81" t="s">
        <v>60</v>
      </c>
      <c r="C81">
        <v>10</v>
      </c>
      <c r="D81" t="s">
        <v>89</v>
      </c>
      <c r="E81" t="s">
        <v>939</v>
      </c>
      <c r="F81" t="s">
        <v>940</v>
      </c>
      <c r="G81" t="s">
        <v>941</v>
      </c>
      <c r="H81" t="s">
        <v>109</v>
      </c>
      <c r="I81">
        <v>1.25</v>
      </c>
      <c r="J81" t="s">
        <v>942</v>
      </c>
      <c r="K81" t="s">
        <v>469</v>
      </c>
      <c r="L81" t="s">
        <v>943</v>
      </c>
      <c r="M81" t="s">
        <v>944</v>
      </c>
      <c r="N81" t="s">
        <v>945</v>
      </c>
      <c r="O81" t="s">
        <v>946</v>
      </c>
      <c r="P81" t="s">
        <v>164</v>
      </c>
      <c r="Q81" t="s">
        <v>947</v>
      </c>
      <c r="R81" t="s">
        <v>948</v>
      </c>
      <c r="S81" t="s">
        <v>303</v>
      </c>
      <c r="U81" s="28" t="s">
        <v>949</v>
      </c>
    </row>
    <row r="82" spans="1:21" ht="110.4" hidden="1">
      <c r="A82" t="s">
        <v>950</v>
      </c>
      <c r="B82" t="s">
        <v>60</v>
      </c>
      <c r="C82">
        <v>11</v>
      </c>
      <c r="D82" t="s">
        <v>89</v>
      </c>
      <c r="E82" t="s">
        <v>951</v>
      </c>
      <c r="F82" t="s">
        <v>952</v>
      </c>
      <c r="G82" t="s">
        <v>953</v>
      </c>
      <c r="H82" t="s">
        <v>93</v>
      </c>
      <c r="I82">
        <v>0.75</v>
      </c>
      <c r="J82" t="s">
        <v>942</v>
      </c>
      <c r="K82" t="s">
        <v>357</v>
      </c>
      <c r="L82" t="s">
        <v>954</v>
      </c>
      <c r="M82" t="s">
        <v>2343</v>
      </c>
      <c r="N82" t="s">
        <v>955</v>
      </c>
      <c r="O82" t="s">
        <v>956</v>
      </c>
      <c r="P82" t="s">
        <v>518</v>
      </c>
      <c r="Q82" t="s">
        <v>938</v>
      </c>
      <c r="R82" t="s">
        <v>957</v>
      </c>
      <c r="S82" t="s">
        <v>303</v>
      </c>
      <c r="U82" s="28" t="s">
        <v>958</v>
      </c>
    </row>
    <row r="83" spans="1:21" ht="110.4" hidden="1">
      <c r="A83" t="s">
        <v>959</v>
      </c>
      <c r="B83" t="s">
        <v>60</v>
      </c>
      <c r="C83">
        <v>12</v>
      </c>
      <c r="D83" t="s">
        <v>89</v>
      </c>
      <c r="E83" t="s">
        <v>960</v>
      </c>
      <c r="F83" t="s">
        <v>961</v>
      </c>
      <c r="G83" t="s">
        <v>962</v>
      </c>
      <c r="H83" t="s">
        <v>93</v>
      </c>
      <c r="I83">
        <v>1.25</v>
      </c>
      <c r="J83" t="s">
        <v>777</v>
      </c>
      <c r="K83" t="s">
        <v>206</v>
      </c>
      <c r="L83" t="s">
        <v>963</v>
      </c>
      <c r="M83" t="s">
        <v>964</v>
      </c>
      <c r="N83" t="s">
        <v>965</v>
      </c>
      <c r="O83" t="s">
        <v>966</v>
      </c>
      <c r="P83" t="s">
        <v>967</v>
      </c>
      <c r="Q83" t="s">
        <v>950</v>
      </c>
      <c r="R83" t="s">
        <v>968</v>
      </c>
      <c r="S83" t="s">
        <v>303</v>
      </c>
      <c r="U83" s="28" t="s">
        <v>969</v>
      </c>
    </row>
    <row r="84" spans="1:21" ht="110.4" hidden="1">
      <c r="A84" t="s">
        <v>970</v>
      </c>
      <c r="B84" t="s">
        <v>60</v>
      </c>
      <c r="C84">
        <v>13</v>
      </c>
      <c r="D84" t="s">
        <v>89</v>
      </c>
      <c r="E84" t="s">
        <v>971</v>
      </c>
      <c r="F84" t="s">
        <v>972</v>
      </c>
      <c r="G84" t="s">
        <v>973</v>
      </c>
      <c r="H84" t="s">
        <v>93</v>
      </c>
      <c r="I84">
        <v>1</v>
      </c>
      <c r="J84" t="s">
        <v>942</v>
      </c>
      <c r="K84" t="s">
        <v>101</v>
      </c>
      <c r="L84" t="s">
        <v>974</v>
      </c>
      <c r="M84" t="s">
        <v>975</v>
      </c>
      <c r="N84" t="s">
        <v>976</v>
      </c>
      <c r="O84" t="s">
        <v>977</v>
      </c>
      <c r="P84" t="s">
        <v>115</v>
      </c>
      <c r="Q84" t="s">
        <v>978</v>
      </c>
      <c r="R84" t="s">
        <v>979</v>
      </c>
      <c r="S84" t="s">
        <v>303</v>
      </c>
      <c r="U84" s="28" t="s">
        <v>980</v>
      </c>
    </row>
    <row r="85" spans="1:21" ht="69" hidden="1">
      <c r="A85" t="s">
        <v>981</v>
      </c>
      <c r="B85" t="s">
        <v>60</v>
      </c>
      <c r="C85">
        <v>14</v>
      </c>
      <c r="D85" t="s">
        <v>89</v>
      </c>
      <c r="E85" t="s">
        <v>238</v>
      </c>
      <c r="F85" t="s">
        <v>982</v>
      </c>
      <c r="G85" t="s">
        <v>983</v>
      </c>
      <c r="H85" t="s">
        <v>109</v>
      </c>
      <c r="I85">
        <v>1.5</v>
      </c>
      <c r="J85" t="s">
        <v>241</v>
      </c>
      <c r="K85" t="s">
        <v>101</v>
      </c>
      <c r="L85" t="s">
        <v>984</v>
      </c>
      <c r="M85" t="s">
        <v>2316</v>
      </c>
      <c r="N85" t="s">
        <v>985</v>
      </c>
      <c r="O85" t="s">
        <v>986</v>
      </c>
      <c r="P85" t="s">
        <v>987</v>
      </c>
      <c r="Q85" t="s">
        <v>970</v>
      </c>
      <c r="R85" t="s">
        <v>246</v>
      </c>
      <c r="S85" t="s">
        <v>303</v>
      </c>
      <c r="T85" t="s">
        <v>988</v>
      </c>
      <c r="U85" s="28" t="s">
        <v>989</v>
      </c>
    </row>
  </sheetData>
  <mergeCells count="2">
    <mergeCell ref="A1:T1"/>
    <mergeCell ref="A2:T2"/>
  </mergeCells>
  <conditionalFormatting sqref="S6:S79">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79" xr:uid="{00000000-0002-0000-0200-000000000000}">
      <formula1>"Not Started,In Progress,Blocked,Ready for Review,Done,Deferred"</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topLeftCell="A20" workbookViewId="0">
      <selection activeCell="M10" sqref="M10:M2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990</v>
      </c>
      <c r="B1" s="59"/>
      <c r="C1" s="59"/>
      <c r="D1" s="59"/>
      <c r="E1" s="59"/>
      <c r="F1" s="59"/>
      <c r="G1" s="59"/>
      <c r="H1" s="59"/>
      <c r="I1" s="59"/>
      <c r="J1" s="59"/>
      <c r="K1" s="59"/>
      <c r="L1" s="59"/>
      <c r="M1" s="59"/>
      <c r="N1" s="59"/>
      <c r="O1" s="59"/>
    </row>
    <row r="2" spans="1:16" ht="31.95" customHeight="1">
      <c r="A2" s="60" t="s">
        <v>991</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0.56521739130434778</v>
      </c>
      <c r="B5" s="100"/>
      <c r="D5" s="103">
        <f>COUNTIF(O10:O40,"Blocked")</f>
        <v>0</v>
      </c>
      <c r="E5" s="104"/>
      <c r="G5" s="107" t="s">
        <v>993</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88</v>
      </c>
      <c r="B10" s="10">
        <v>1</v>
      </c>
      <c r="C10" s="10" t="s">
        <v>89</v>
      </c>
      <c r="D10" s="10" t="s">
        <v>90</v>
      </c>
      <c r="E10" s="10" t="s">
        <v>91</v>
      </c>
      <c r="F10" s="10" t="s">
        <v>92</v>
      </c>
      <c r="G10" s="10" t="s">
        <v>93</v>
      </c>
      <c r="H10" s="15">
        <v>1</v>
      </c>
      <c r="I10" s="10" t="s">
        <v>94</v>
      </c>
      <c r="J10" s="10" t="s">
        <v>95</v>
      </c>
      <c r="K10" s="10" t="s">
        <v>96</v>
      </c>
      <c r="L10" s="10" t="s">
        <v>97</v>
      </c>
      <c r="M10" s="10" t="s">
        <v>99</v>
      </c>
      <c r="N10" s="10" t="s">
        <v>102</v>
      </c>
      <c r="O10" s="10" t="s">
        <v>46</v>
      </c>
      <c r="P10" s="29" t="s">
        <v>104</v>
      </c>
    </row>
    <row r="11" spans="1:16" ht="96.6">
      <c r="A11" s="11" t="s">
        <v>105</v>
      </c>
      <c r="B11" s="11">
        <v>2</v>
      </c>
      <c r="C11" s="11" t="s">
        <v>89</v>
      </c>
      <c r="D11" s="11" t="s">
        <v>106</v>
      </c>
      <c r="E11" s="11" t="s">
        <v>107</v>
      </c>
      <c r="F11" s="11" t="s">
        <v>108</v>
      </c>
      <c r="G11" s="11" t="s">
        <v>109</v>
      </c>
      <c r="H11" s="16">
        <v>0.5</v>
      </c>
      <c r="I11" s="11" t="s">
        <v>110</v>
      </c>
      <c r="J11" s="11" t="s">
        <v>101</v>
      </c>
      <c r="K11" s="11" t="s">
        <v>111</v>
      </c>
      <c r="L11" s="11" t="s">
        <v>112</v>
      </c>
      <c r="M11" s="11" t="s">
        <v>114</v>
      </c>
      <c r="N11" s="11" t="s">
        <v>116</v>
      </c>
      <c r="O11" s="11" t="s">
        <v>46</v>
      </c>
      <c r="P11" s="29" t="s">
        <v>118</v>
      </c>
    </row>
    <row r="12" spans="1:16" ht="110.4">
      <c r="A12" s="11" t="s">
        <v>119</v>
      </c>
      <c r="B12" s="11">
        <v>3</v>
      </c>
      <c r="C12" s="11" t="s">
        <v>89</v>
      </c>
      <c r="D12" s="11" t="s">
        <v>120</v>
      </c>
      <c r="E12" s="11" t="s">
        <v>121</v>
      </c>
      <c r="F12" s="11" t="s">
        <v>122</v>
      </c>
      <c r="G12" s="11" t="s">
        <v>123</v>
      </c>
      <c r="H12" s="16">
        <v>1.5</v>
      </c>
      <c r="I12" s="11" t="s">
        <v>124</v>
      </c>
      <c r="J12" s="11" t="s">
        <v>125</v>
      </c>
      <c r="K12" s="11" t="s">
        <v>126</v>
      </c>
      <c r="L12" s="11" t="s">
        <v>127</v>
      </c>
      <c r="M12" s="11" t="s">
        <v>129</v>
      </c>
      <c r="N12" s="11" t="s">
        <v>130</v>
      </c>
      <c r="O12" s="11" t="s">
        <v>46</v>
      </c>
      <c r="P12" s="29" t="s">
        <v>132</v>
      </c>
    </row>
    <row r="13" spans="1:16" ht="110.4">
      <c r="A13" s="11" t="s">
        <v>133</v>
      </c>
      <c r="B13" s="11">
        <v>4</v>
      </c>
      <c r="C13" s="11" t="s">
        <v>89</v>
      </c>
      <c r="D13" s="11" t="s">
        <v>134</v>
      </c>
      <c r="E13" s="11" t="s">
        <v>135</v>
      </c>
      <c r="F13" s="11" t="s">
        <v>136</v>
      </c>
      <c r="G13" s="11" t="s">
        <v>123</v>
      </c>
      <c r="H13" s="16">
        <v>1</v>
      </c>
      <c r="I13" s="11" t="s">
        <v>124</v>
      </c>
      <c r="J13" s="11" t="s">
        <v>137</v>
      </c>
      <c r="K13" s="11" t="s">
        <v>138</v>
      </c>
      <c r="L13" s="11" t="s">
        <v>2294</v>
      </c>
      <c r="M13" s="11" t="s">
        <v>140</v>
      </c>
      <c r="N13" s="11" t="s">
        <v>141</v>
      </c>
      <c r="O13" s="11" t="s">
        <v>46</v>
      </c>
      <c r="P13" s="29" t="s">
        <v>142</v>
      </c>
    </row>
    <row r="14" spans="1:16" ht="193.8">
      <c r="A14" s="11" t="s">
        <v>143</v>
      </c>
      <c r="B14" s="11">
        <v>5</v>
      </c>
      <c r="C14" s="11" t="s">
        <v>89</v>
      </c>
      <c r="D14" s="11" t="s">
        <v>144</v>
      </c>
      <c r="E14" s="11" t="s">
        <v>145</v>
      </c>
      <c r="F14" s="11" t="s">
        <v>146</v>
      </c>
      <c r="G14" s="11" t="s">
        <v>123</v>
      </c>
      <c r="H14" s="16">
        <v>1.5</v>
      </c>
      <c r="I14" s="11" t="s">
        <v>147</v>
      </c>
      <c r="J14" s="11" t="s">
        <v>148</v>
      </c>
      <c r="K14" s="11" t="s">
        <v>149</v>
      </c>
      <c r="L14" s="11" t="s">
        <v>2317</v>
      </c>
      <c r="M14" s="11" t="s">
        <v>151</v>
      </c>
      <c r="N14" s="11" t="s">
        <v>153</v>
      </c>
      <c r="O14" s="11" t="s">
        <v>46</v>
      </c>
      <c r="P14" s="29" t="s">
        <v>154</v>
      </c>
    </row>
    <row r="15" spans="1:16" ht="110.4">
      <c r="A15" s="11" t="s">
        <v>155</v>
      </c>
      <c r="B15" s="11">
        <v>6</v>
      </c>
      <c r="C15" s="11" t="s">
        <v>89</v>
      </c>
      <c r="D15" s="11" t="s">
        <v>156</v>
      </c>
      <c r="E15" s="11" t="s">
        <v>157</v>
      </c>
      <c r="F15" s="11" t="s">
        <v>158</v>
      </c>
      <c r="G15" s="11" t="s">
        <v>123</v>
      </c>
      <c r="H15" s="16">
        <v>1.25</v>
      </c>
      <c r="I15" s="11" t="s">
        <v>159</v>
      </c>
      <c r="J15" s="11" t="s">
        <v>101</v>
      </c>
      <c r="K15" s="11" t="s">
        <v>160</v>
      </c>
      <c r="L15" s="11" t="s">
        <v>161</v>
      </c>
      <c r="M15" s="11" t="s">
        <v>163</v>
      </c>
      <c r="N15" s="11" t="s">
        <v>166</v>
      </c>
      <c r="O15" s="11" t="s">
        <v>46</v>
      </c>
      <c r="P15" s="29" t="s">
        <v>167</v>
      </c>
    </row>
    <row r="16" spans="1:16" ht="193.8">
      <c r="A16" s="11" t="s">
        <v>168</v>
      </c>
      <c r="B16" s="11">
        <v>7</v>
      </c>
      <c r="C16" s="11" t="s">
        <v>89</v>
      </c>
      <c r="D16" s="11" t="s">
        <v>169</v>
      </c>
      <c r="E16" s="11" t="s">
        <v>170</v>
      </c>
      <c r="F16" s="11" t="s">
        <v>171</v>
      </c>
      <c r="G16" s="11" t="s">
        <v>123</v>
      </c>
      <c r="H16" s="16">
        <v>1</v>
      </c>
      <c r="I16" s="11" t="s">
        <v>124</v>
      </c>
      <c r="J16" s="11" t="s">
        <v>101</v>
      </c>
      <c r="K16" s="11" t="s">
        <v>172</v>
      </c>
      <c r="L16" s="11" t="s">
        <v>2318</v>
      </c>
      <c r="M16" s="11" t="s">
        <v>174</v>
      </c>
      <c r="N16" s="11" t="s">
        <v>176</v>
      </c>
      <c r="O16" s="11" t="s">
        <v>46</v>
      </c>
      <c r="P16" s="29" t="s">
        <v>177</v>
      </c>
    </row>
    <row r="17" spans="1:16" ht="110.4">
      <c r="A17" s="11" t="s">
        <v>178</v>
      </c>
      <c r="B17" s="11">
        <v>8</v>
      </c>
      <c r="C17" s="11" t="s">
        <v>89</v>
      </c>
      <c r="D17" s="11" t="s">
        <v>179</v>
      </c>
      <c r="E17" s="11" t="s">
        <v>180</v>
      </c>
      <c r="F17" s="11" t="s">
        <v>181</v>
      </c>
      <c r="G17" s="11" t="s">
        <v>123</v>
      </c>
      <c r="H17" s="16">
        <v>1</v>
      </c>
      <c r="I17" s="11" t="s">
        <v>159</v>
      </c>
      <c r="J17" s="11" t="s">
        <v>182</v>
      </c>
      <c r="K17" s="11" t="s">
        <v>183</v>
      </c>
      <c r="L17" s="11" t="s">
        <v>184</v>
      </c>
      <c r="M17" s="11" t="s">
        <v>186</v>
      </c>
      <c r="N17" s="11" t="s">
        <v>187</v>
      </c>
      <c r="O17" s="11" t="s">
        <v>46</v>
      </c>
      <c r="P17" s="29" t="s">
        <v>188</v>
      </c>
    </row>
    <row r="18" spans="1:16" ht="205.2">
      <c r="A18" s="11" t="s">
        <v>189</v>
      </c>
      <c r="B18" s="11">
        <v>9</v>
      </c>
      <c r="C18" s="11" t="s">
        <v>89</v>
      </c>
      <c r="D18" s="11" t="s">
        <v>190</v>
      </c>
      <c r="E18" s="11" t="s">
        <v>191</v>
      </c>
      <c r="F18" s="11" t="s">
        <v>192</v>
      </c>
      <c r="G18" s="11" t="s">
        <v>123</v>
      </c>
      <c r="H18" s="16">
        <v>1.25</v>
      </c>
      <c r="I18" s="11" t="s">
        <v>193</v>
      </c>
      <c r="J18" s="11" t="s">
        <v>194</v>
      </c>
      <c r="K18" s="11" t="s">
        <v>195</v>
      </c>
      <c r="L18" s="11" t="s">
        <v>2319</v>
      </c>
      <c r="M18" s="11" t="s">
        <v>197</v>
      </c>
      <c r="N18" s="11" t="s">
        <v>199</v>
      </c>
      <c r="O18" s="11" t="s">
        <v>46</v>
      </c>
      <c r="P18" s="29" t="s">
        <v>201</v>
      </c>
    </row>
    <row r="19" spans="1:16" ht="193.8">
      <c r="A19" s="11" t="s">
        <v>202</v>
      </c>
      <c r="B19" s="11">
        <v>10</v>
      </c>
      <c r="C19" s="11" t="s">
        <v>89</v>
      </c>
      <c r="D19" s="11" t="s">
        <v>203</v>
      </c>
      <c r="E19" s="11" t="s">
        <v>204</v>
      </c>
      <c r="F19" s="11" t="s">
        <v>205</v>
      </c>
      <c r="G19" s="11" t="s">
        <v>123</v>
      </c>
      <c r="H19" s="16">
        <v>1.5</v>
      </c>
      <c r="I19" s="11" t="s">
        <v>193</v>
      </c>
      <c r="J19" s="11" t="s">
        <v>206</v>
      </c>
      <c r="K19" s="11" t="s">
        <v>207</v>
      </c>
      <c r="L19" s="11" t="s">
        <v>2320</v>
      </c>
      <c r="M19" s="11" t="s">
        <v>209</v>
      </c>
      <c r="N19" s="11" t="s">
        <v>211</v>
      </c>
      <c r="O19" s="11" t="s">
        <v>46</v>
      </c>
      <c r="P19" s="29" t="s">
        <v>212</v>
      </c>
    </row>
    <row r="20" spans="1:16" ht="110.4">
      <c r="A20" s="11" t="s">
        <v>213</v>
      </c>
      <c r="B20" s="11">
        <v>11</v>
      </c>
      <c r="C20" s="11" t="s">
        <v>89</v>
      </c>
      <c r="D20" s="11" t="s">
        <v>214</v>
      </c>
      <c r="E20" s="11" t="s">
        <v>215</v>
      </c>
      <c r="F20" s="11" t="s">
        <v>216</v>
      </c>
      <c r="G20" s="11" t="s">
        <v>123</v>
      </c>
      <c r="H20" s="16">
        <v>1</v>
      </c>
      <c r="I20" s="11" t="s">
        <v>193</v>
      </c>
      <c r="J20" s="11" t="s">
        <v>217</v>
      </c>
      <c r="K20" s="11" t="s">
        <v>218</v>
      </c>
      <c r="L20" s="11" t="s">
        <v>219</v>
      </c>
      <c r="M20" s="11" t="s">
        <v>221</v>
      </c>
      <c r="N20" s="11" t="s">
        <v>223</v>
      </c>
      <c r="O20" s="11" t="s">
        <v>46</v>
      </c>
      <c r="P20" s="29" t="s">
        <v>224</v>
      </c>
    </row>
    <row r="21" spans="1:16" ht="193.8">
      <c r="A21" s="11" t="s">
        <v>225</v>
      </c>
      <c r="B21" s="11">
        <v>12</v>
      </c>
      <c r="C21" s="11" t="s">
        <v>89</v>
      </c>
      <c r="D21" s="11" t="s">
        <v>226</v>
      </c>
      <c r="E21" s="11" t="s">
        <v>227</v>
      </c>
      <c r="F21" s="11" t="s">
        <v>228</v>
      </c>
      <c r="G21" s="11" t="s">
        <v>93</v>
      </c>
      <c r="H21" s="16">
        <v>1</v>
      </c>
      <c r="I21" s="11" t="s">
        <v>2321</v>
      </c>
      <c r="J21" s="11" t="s">
        <v>229</v>
      </c>
      <c r="K21" s="11" t="s">
        <v>230</v>
      </c>
      <c r="L21" s="11" t="s">
        <v>2322</v>
      </c>
      <c r="M21" s="11" t="s">
        <v>232</v>
      </c>
      <c r="N21" s="11" t="s">
        <v>234</v>
      </c>
      <c r="O21" s="11" t="s">
        <v>46</v>
      </c>
      <c r="P21" s="29" t="s">
        <v>236</v>
      </c>
    </row>
    <row r="22" spans="1:16" ht="82.8">
      <c r="A22" t="s">
        <v>237</v>
      </c>
      <c r="B22">
        <v>13</v>
      </c>
      <c r="C22" t="s">
        <v>89</v>
      </c>
      <c r="D22" t="s">
        <v>238</v>
      </c>
      <c r="E22" t="s">
        <v>239</v>
      </c>
      <c r="F22" t="s">
        <v>240</v>
      </c>
      <c r="G22" t="s">
        <v>109</v>
      </c>
      <c r="H22">
        <v>1</v>
      </c>
      <c r="I22" t="s">
        <v>241</v>
      </c>
      <c r="J22" t="s">
        <v>101</v>
      </c>
      <c r="K22" t="s">
        <v>242</v>
      </c>
      <c r="L22" t="s">
        <v>2311</v>
      </c>
      <c r="M22" t="s">
        <v>244</v>
      </c>
      <c r="N22" t="s">
        <v>246</v>
      </c>
      <c r="O22" s="11" t="s">
        <v>46</v>
      </c>
      <c r="P22" s="29" t="s">
        <v>248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94</v>
      </c>
      <c r="C26" s="22" t="s">
        <v>1010</v>
      </c>
      <c r="D26" s="22" t="s">
        <v>1011</v>
      </c>
      <c r="E26" s="22" t="s">
        <v>1012</v>
      </c>
      <c r="F26" s="22" t="s">
        <v>1013</v>
      </c>
      <c r="G26" s="22" t="s">
        <v>1014</v>
      </c>
    </row>
    <row r="27" spans="1:16" ht="52.05" customHeight="1">
      <c r="A27" s="34">
        <v>2</v>
      </c>
      <c r="B27" s="34" t="s">
        <v>110</v>
      </c>
      <c r="C27" s="34" t="s">
        <v>1015</v>
      </c>
      <c r="D27" s="34" t="s">
        <v>1016</v>
      </c>
      <c r="E27" s="34" t="s">
        <v>1017</v>
      </c>
      <c r="F27" s="34" t="s">
        <v>1018</v>
      </c>
      <c r="G27" s="34" t="s">
        <v>1014</v>
      </c>
    </row>
    <row r="28" spans="1:16" ht="52.05" customHeight="1">
      <c r="A28" s="22">
        <v>3</v>
      </c>
      <c r="B28" s="22" t="s">
        <v>124</v>
      </c>
      <c r="C28" s="22" t="s">
        <v>1019</v>
      </c>
      <c r="D28" s="22" t="s">
        <v>1020</v>
      </c>
      <c r="E28" s="22" t="s">
        <v>1021</v>
      </c>
      <c r="F28" s="22" t="s">
        <v>1022</v>
      </c>
      <c r="G28" s="22" t="s">
        <v>1023</v>
      </c>
    </row>
    <row r="29" spans="1:16" ht="52.05" customHeight="1">
      <c r="A29" s="34">
        <v>4</v>
      </c>
      <c r="B29" s="34" t="s">
        <v>147</v>
      </c>
      <c r="C29" s="34" t="s">
        <v>1024</v>
      </c>
      <c r="D29" s="34" t="s">
        <v>1025</v>
      </c>
      <c r="E29" s="34" t="s">
        <v>1026</v>
      </c>
      <c r="F29" s="34" t="s">
        <v>1027</v>
      </c>
      <c r="G29" s="34" t="s">
        <v>1023</v>
      </c>
    </row>
    <row r="30" spans="1:16" ht="52.05" customHeight="1">
      <c r="A30" s="22">
        <v>5</v>
      </c>
      <c r="B30" s="22" t="s">
        <v>159</v>
      </c>
      <c r="C30" s="22" t="s">
        <v>1028</v>
      </c>
      <c r="D30" s="22" t="s">
        <v>1029</v>
      </c>
      <c r="E30" s="22" t="s">
        <v>1030</v>
      </c>
      <c r="F30" s="22" t="s">
        <v>1031</v>
      </c>
      <c r="G30" s="22" t="s">
        <v>1023</v>
      </c>
    </row>
    <row r="31" spans="1:16" ht="52.05" customHeight="1">
      <c r="A31" s="34">
        <v>6</v>
      </c>
      <c r="B31" s="34" t="s">
        <v>193</v>
      </c>
      <c r="C31" s="34" t="s">
        <v>1032</v>
      </c>
      <c r="D31" s="34" t="s">
        <v>1033</v>
      </c>
      <c r="E31" s="34" t="s">
        <v>1034</v>
      </c>
      <c r="F31" s="34" t="s">
        <v>1035</v>
      </c>
      <c r="G31" s="34" t="s">
        <v>1023</v>
      </c>
    </row>
    <row r="32" spans="1:16" ht="52.05" customHeight="1">
      <c r="A32" s="35">
        <v>7</v>
      </c>
      <c r="B32" s="35" t="s">
        <v>2321</v>
      </c>
      <c r="C32" s="35" t="s">
        <v>1036</v>
      </c>
      <c r="D32" s="35" t="s">
        <v>1037</v>
      </c>
      <c r="E32" s="35" t="s">
        <v>2344</v>
      </c>
      <c r="F32" s="35" t="s">
        <v>232</v>
      </c>
      <c r="G32" s="35" t="s">
        <v>1014</v>
      </c>
    </row>
    <row r="33" spans="1:7" ht="52.05" customHeight="1">
      <c r="A33" s="35">
        <v>8</v>
      </c>
      <c r="B33" s="35" t="s">
        <v>241</v>
      </c>
      <c r="C33" s="35" t="s">
        <v>1038</v>
      </c>
      <c r="D33" s="35" t="s">
        <v>1039</v>
      </c>
      <c r="E33" s="35" t="s">
        <v>1040</v>
      </c>
      <c r="F33" s="35" t="s">
        <v>1041</v>
      </c>
      <c r="G33"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topLeftCell="A24" workbookViewId="0">
      <selection activeCell="P22" sqref="P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1043</v>
      </c>
      <c r="B1" s="59"/>
      <c r="C1" s="59"/>
      <c r="D1" s="59"/>
      <c r="E1" s="59"/>
      <c r="F1" s="59"/>
      <c r="G1" s="59"/>
      <c r="H1" s="59"/>
      <c r="I1" s="59"/>
      <c r="J1" s="59"/>
      <c r="K1" s="59"/>
      <c r="L1" s="59"/>
      <c r="M1" s="59"/>
      <c r="N1" s="59"/>
      <c r="O1" s="59"/>
    </row>
    <row r="2" spans="1:16" ht="31.95" customHeight="1">
      <c r="A2" s="60" t="s">
        <v>1044</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0.59090909090909094</v>
      </c>
      <c r="B5" s="100"/>
      <c r="D5" s="103">
        <f>COUNTIF(O10:O40,"Blocked")</f>
        <v>0</v>
      </c>
      <c r="E5" s="104"/>
      <c r="G5" s="107" t="s">
        <v>1045</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249</v>
      </c>
      <c r="B10" s="10">
        <v>1</v>
      </c>
      <c r="C10" s="10" t="s">
        <v>89</v>
      </c>
      <c r="D10" s="10" t="s">
        <v>250</v>
      </c>
      <c r="E10" s="10" t="s">
        <v>251</v>
      </c>
      <c r="F10" s="10" t="s">
        <v>252</v>
      </c>
      <c r="G10" s="10" t="s">
        <v>123</v>
      </c>
      <c r="H10" s="15">
        <v>1</v>
      </c>
      <c r="I10" s="10" t="s">
        <v>253</v>
      </c>
      <c r="J10" s="10" t="s">
        <v>254</v>
      </c>
      <c r="K10" s="10" t="s">
        <v>255</v>
      </c>
      <c r="L10" s="10" t="s">
        <v>256</v>
      </c>
      <c r="M10" s="10" t="s">
        <v>258</v>
      </c>
      <c r="N10" s="10" t="s">
        <v>259</v>
      </c>
      <c r="O10" s="10" t="s">
        <v>46</v>
      </c>
      <c r="P10" s="29" t="s">
        <v>260</v>
      </c>
    </row>
    <row r="11" spans="1:16" ht="124.2">
      <c r="A11" s="11" t="s">
        <v>261</v>
      </c>
      <c r="B11" s="11">
        <v>2</v>
      </c>
      <c r="C11" s="11" t="s">
        <v>89</v>
      </c>
      <c r="D11" s="11" t="s">
        <v>262</v>
      </c>
      <c r="E11" s="11" t="s">
        <v>263</v>
      </c>
      <c r="F11" s="11" t="s">
        <v>264</v>
      </c>
      <c r="G11" s="11" t="s">
        <v>123</v>
      </c>
      <c r="H11" s="16">
        <v>1.25</v>
      </c>
      <c r="I11" s="11" t="s">
        <v>253</v>
      </c>
      <c r="J11" s="11" t="s">
        <v>101</v>
      </c>
      <c r="K11" s="11" t="s">
        <v>265</v>
      </c>
      <c r="L11" s="11" t="s">
        <v>266</v>
      </c>
      <c r="M11" s="11" t="s">
        <v>268</v>
      </c>
      <c r="N11" s="11" t="s">
        <v>270</v>
      </c>
      <c r="O11" s="11" t="s">
        <v>46</v>
      </c>
      <c r="P11" s="29" t="s">
        <v>271</v>
      </c>
    </row>
    <row r="12" spans="1:16" ht="330.6">
      <c r="A12" s="11" t="s">
        <v>272</v>
      </c>
      <c r="B12" s="11">
        <v>3</v>
      </c>
      <c r="C12" s="11" t="s">
        <v>89</v>
      </c>
      <c r="D12" s="11" t="s">
        <v>273</v>
      </c>
      <c r="E12" s="11" t="s">
        <v>274</v>
      </c>
      <c r="F12" s="11" t="s">
        <v>275</v>
      </c>
      <c r="G12" s="11" t="s">
        <v>123</v>
      </c>
      <c r="H12" s="16">
        <v>1</v>
      </c>
      <c r="I12" s="11" t="s">
        <v>253</v>
      </c>
      <c r="J12" s="11" t="s">
        <v>101</v>
      </c>
      <c r="K12" s="11" t="s">
        <v>276</v>
      </c>
      <c r="L12" s="11" t="s">
        <v>2323</v>
      </c>
      <c r="M12" s="11" t="s">
        <v>278</v>
      </c>
      <c r="N12" s="11" t="s">
        <v>2324</v>
      </c>
      <c r="O12" s="11" t="s">
        <v>46</v>
      </c>
      <c r="P12" s="29" t="s">
        <v>280</v>
      </c>
    </row>
    <row r="13" spans="1:16" ht="330.6">
      <c r="A13" s="11" t="s">
        <v>281</v>
      </c>
      <c r="B13" s="11">
        <v>4</v>
      </c>
      <c r="C13" s="11" t="s">
        <v>89</v>
      </c>
      <c r="D13" s="11" t="s">
        <v>282</v>
      </c>
      <c r="E13" s="11" t="s">
        <v>283</v>
      </c>
      <c r="F13" s="11" t="s">
        <v>284</v>
      </c>
      <c r="G13" s="11" t="s">
        <v>123</v>
      </c>
      <c r="H13" s="16">
        <v>1.5</v>
      </c>
      <c r="I13" s="11" t="s">
        <v>253</v>
      </c>
      <c r="J13" s="11" t="s">
        <v>285</v>
      </c>
      <c r="K13" s="11" t="s">
        <v>286</v>
      </c>
      <c r="L13" s="11" t="s">
        <v>2323</v>
      </c>
      <c r="M13" s="11" t="s">
        <v>288</v>
      </c>
      <c r="N13" s="11" t="s">
        <v>290</v>
      </c>
      <c r="O13" s="11" t="s">
        <v>46</v>
      </c>
      <c r="P13" s="29" t="s">
        <v>291</v>
      </c>
    </row>
    <row r="14" spans="1:16" ht="124.2">
      <c r="A14" s="11" t="s">
        <v>292</v>
      </c>
      <c r="B14" s="11">
        <v>5</v>
      </c>
      <c r="C14" s="11" t="s">
        <v>89</v>
      </c>
      <c r="D14" s="11" t="s">
        <v>293</v>
      </c>
      <c r="E14" s="11" t="s">
        <v>294</v>
      </c>
      <c r="F14" s="11" t="s">
        <v>295</v>
      </c>
      <c r="G14" s="11" t="s">
        <v>123</v>
      </c>
      <c r="H14" s="16">
        <v>1.25</v>
      </c>
      <c r="I14" s="11" t="s">
        <v>296</v>
      </c>
      <c r="J14" s="11" t="s">
        <v>297</v>
      </c>
      <c r="K14" s="11" t="s">
        <v>298</v>
      </c>
      <c r="L14" s="11" t="s">
        <v>299</v>
      </c>
      <c r="M14" s="11" t="s">
        <v>301</v>
      </c>
      <c r="N14" s="11" t="s">
        <v>302</v>
      </c>
      <c r="O14" s="11" t="s">
        <v>46</v>
      </c>
      <c r="P14" s="29" t="s">
        <v>304</v>
      </c>
    </row>
    <row r="15" spans="1:16" ht="124.2">
      <c r="A15" s="11" t="s">
        <v>305</v>
      </c>
      <c r="B15" s="11">
        <v>6</v>
      </c>
      <c r="C15" s="11" t="s">
        <v>89</v>
      </c>
      <c r="D15" s="11" t="s">
        <v>306</v>
      </c>
      <c r="E15" s="11" t="s">
        <v>307</v>
      </c>
      <c r="F15" s="11" t="s">
        <v>308</v>
      </c>
      <c r="G15" s="11" t="s">
        <v>123</v>
      </c>
      <c r="H15" s="16">
        <v>1.5</v>
      </c>
      <c r="I15" s="11" t="s">
        <v>309</v>
      </c>
      <c r="J15" s="11" t="s">
        <v>310</v>
      </c>
      <c r="K15" s="11" t="s">
        <v>311</v>
      </c>
      <c r="L15" s="11" t="s">
        <v>312</v>
      </c>
      <c r="M15" s="11" t="s">
        <v>314</v>
      </c>
      <c r="N15" s="11" t="s">
        <v>316</v>
      </c>
      <c r="O15" s="11" t="s">
        <v>46</v>
      </c>
      <c r="P15" s="29" t="s">
        <v>317</v>
      </c>
    </row>
    <row r="16" spans="1:16" ht="110.4">
      <c r="A16" s="11" t="s">
        <v>318</v>
      </c>
      <c r="B16" s="11">
        <v>7</v>
      </c>
      <c r="C16" s="11" t="s">
        <v>89</v>
      </c>
      <c r="D16" s="11" t="s">
        <v>319</v>
      </c>
      <c r="E16" s="11" t="s">
        <v>320</v>
      </c>
      <c r="F16" s="11" t="s">
        <v>321</v>
      </c>
      <c r="G16" s="11" t="s">
        <v>123</v>
      </c>
      <c r="H16" s="16">
        <v>1</v>
      </c>
      <c r="I16" s="11" t="s">
        <v>309</v>
      </c>
      <c r="J16" s="11" t="s">
        <v>322</v>
      </c>
      <c r="K16" s="11" t="s">
        <v>323</v>
      </c>
      <c r="L16" s="11" t="s">
        <v>324</v>
      </c>
      <c r="M16" s="11" t="s">
        <v>326</v>
      </c>
      <c r="N16" s="11" t="s">
        <v>328</v>
      </c>
      <c r="O16" s="11" t="s">
        <v>46</v>
      </c>
      <c r="P16" s="29" t="s">
        <v>329</v>
      </c>
    </row>
    <row r="17" spans="1:16" ht="110.4">
      <c r="A17" s="11" t="s">
        <v>330</v>
      </c>
      <c r="B17" s="11">
        <v>8</v>
      </c>
      <c r="C17" s="11" t="s">
        <v>89</v>
      </c>
      <c r="D17" s="11" t="s">
        <v>331</v>
      </c>
      <c r="E17" s="11" t="s">
        <v>332</v>
      </c>
      <c r="F17" s="11" t="s">
        <v>333</v>
      </c>
      <c r="G17" s="11" t="s">
        <v>123</v>
      </c>
      <c r="H17" s="16">
        <v>1</v>
      </c>
      <c r="I17" s="11" t="s">
        <v>253</v>
      </c>
      <c r="J17" s="11" t="s">
        <v>334</v>
      </c>
      <c r="K17" s="11" t="s">
        <v>335</v>
      </c>
      <c r="L17" s="11" t="s">
        <v>336</v>
      </c>
      <c r="M17" s="11" t="s">
        <v>338</v>
      </c>
      <c r="N17" s="11" t="s">
        <v>339</v>
      </c>
      <c r="O17" s="11" t="s">
        <v>46</v>
      </c>
      <c r="P17" s="29" t="s">
        <v>340</v>
      </c>
    </row>
    <row r="18" spans="1:16" ht="205.2">
      <c r="A18" s="11" t="s">
        <v>341</v>
      </c>
      <c r="B18" s="11">
        <v>9</v>
      </c>
      <c r="C18" s="11" t="s">
        <v>89</v>
      </c>
      <c r="D18" s="11" t="s">
        <v>342</v>
      </c>
      <c r="E18" s="11" t="s">
        <v>343</v>
      </c>
      <c r="F18" s="11" t="s">
        <v>344</v>
      </c>
      <c r="G18" s="11" t="s">
        <v>109</v>
      </c>
      <c r="H18" s="16">
        <v>1</v>
      </c>
      <c r="I18" s="11" t="s">
        <v>345</v>
      </c>
      <c r="J18" s="11" t="s">
        <v>346</v>
      </c>
      <c r="K18" s="11" t="s">
        <v>347</v>
      </c>
      <c r="L18" s="11" t="s">
        <v>2325</v>
      </c>
      <c r="M18" s="11" t="s">
        <v>349</v>
      </c>
      <c r="N18" s="11" t="s">
        <v>352</v>
      </c>
      <c r="O18" s="11" t="s">
        <v>46</v>
      </c>
      <c r="P18" s="29" t="s">
        <v>353</v>
      </c>
    </row>
    <row r="19" spans="1:16" ht="205.2">
      <c r="A19" s="11" t="s">
        <v>354</v>
      </c>
      <c r="B19" s="11">
        <v>10</v>
      </c>
      <c r="C19" s="11" t="s">
        <v>89</v>
      </c>
      <c r="D19" s="11" t="s">
        <v>203</v>
      </c>
      <c r="E19" s="11" t="s">
        <v>355</v>
      </c>
      <c r="F19" s="11" t="s">
        <v>356</v>
      </c>
      <c r="G19" s="11" t="s">
        <v>109</v>
      </c>
      <c r="H19" s="16">
        <v>1</v>
      </c>
      <c r="I19" s="11" t="s">
        <v>345</v>
      </c>
      <c r="J19" s="11" t="s">
        <v>357</v>
      </c>
      <c r="K19" s="11" t="s">
        <v>358</v>
      </c>
      <c r="L19" s="11" t="s">
        <v>2326</v>
      </c>
      <c r="M19" s="11" t="s">
        <v>360</v>
      </c>
      <c r="N19" s="11" t="s">
        <v>362</v>
      </c>
      <c r="O19" s="11" t="s">
        <v>46</v>
      </c>
      <c r="P19" s="29" t="s">
        <v>363</v>
      </c>
    </row>
    <row r="20" spans="1:16" ht="124.2">
      <c r="A20" s="11" t="s">
        <v>364</v>
      </c>
      <c r="B20" s="11">
        <v>11</v>
      </c>
      <c r="C20" s="11" t="s">
        <v>365</v>
      </c>
      <c r="D20" s="11" t="s">
        <v>366</v>
      </c>
      <c r="E20" s="11" t="s">
        <v>367</v>
      </c>
      <c r="F20" s="11" t="s">
        <v>368</v>
      </c>
      <c r="G20" s="11" t="s">
        <v>93</v>
      </c>
      <c r="H20" s="16">
        <v>0.75</v>
      </c>
      <c r="I20" s="11" t="s">
        <v>369</v>
      </c>
      <c r="J20" s="11" t="s">
        <v>101</v>
      </c>
      <c r="K20" s="11" t="s">
        <v>370</v>
      </c>
      <c r="L20" s="11" t="s">
        <v>2327</v>
      </c>
      <c r="M20" s="11" t="s">
        <v>372</v>
      </c>
      <c r="N20" s="11" t="s">
        <v>374</v>
      </c>
      <c r="O20" s="11" t="s">
        <v>46</v>
      </c>
      <c r="P20" s="29" t="s">
        <v>375</v>
      </c>
    </row>
    <row r="21" spans="1:16" ht="193.8">
      <c r="A21" s="11" t="s">
        <v>376</v>
      </c>
      <c r="B21" s="11">
        <v>12</v>
      </c>
      <c r="C21" s="11" t="s">
        <v>89</v>
      </c>
      <c r="D21" s="11" t="s">
        <v>226</v>
      </c>
      <c r="E21" s="11" t="s">
        <v>377</v>
      </c>
      <c r="F21" s="11" t="s">
        <v>378</v>
      </c>
      <c r="G21" s="11" t="s">
        <v>93</v>
      </c>
      <c r="H21" s="16">
        <v>0.75</v>
      </c>
      <c r="I21" s="11" t="s">
        <v>2328</v>
      </c>
      <c r="J21" s="11" t="s">
        <v>379</v>
      </c>
      <c r="K21" s="11" t="s">
        <v>380</v>
      </c>
      <c r="L21" s="11" t="s">
        <v>2329</v>
      </c>
      <c r="M21" s="11" t="s">
        <v>382</v>
      </c>
      <c r="N21" s="11" t="s">
        <v>384</v>
      </c>
      <c r="O21" s="11" t="s">
        <v>46</v>
      </c>
      <c r="P21" s="29" t="s">
        <v>385</v>
      </c>
    </row>
    <row r="22" spans="1:16" ht="82.8">
      <c r="A22" t="s">
        <v>386</v>
      </c>
      <c r="B22">
        <v>13</v>
      </c>
      <c r="C22" t="s">
        <v>89</v>
      </c>
      <c r="D22" t="s">
        <v>238</v>
      </c>
      <c r="E22" t="s">
        <v>387</v>
      </c>
      <c r="F22" t="s">
        <v>388</v>
      </c>
      <c r="G22" t="s">
        <v>109</v>
      </c>
      <c r="H22">
        <v>1</v>
      </c>
      <c r="I22" t="s">
        <v>241</v>
      </c>
      <c r="J22" t="s">
        <v>101</v>
      </c>
      <c r="K22" t="s">
        <v>389</v>
      </c>
      <c r="L22" t="s">
        <v>2312</v>
      </c>
      <c r="M22" t="s">
        <v>390</v>
      </c>
      <c r="N22" t="s">
        <v>246</v>
      </c>
      <c r="O22" s="11" t="s">
        <v>46</v>
      </c>
      <c r="P22" s="29" t="s">
        <v>392</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253</v>
      </c>
      <c r="C26" s="22" t="s">
        <v>1046</v>
      </c>
      <c r="D26" s="22" t="s">
        <v>1047</v>
      </c>
      <c r="E26" s="22" t="s">
        <v>1048</v>
      </c>
      <c r="F26" s="22" t="s">
        <v>1049</v>
      </c>
      <c r="G26" s="22" t="s">
        <v>1023</v>
      </c>
    </row>
    <row r="27" spans="1:16" ht="52.05" customHeight="1">
      <c r="A27" s="34">
        <v>2</v>
      </c>
      <c r="B27" s="34" t="s">
        <v>296</v>
      </c>
      <c r="C27" s="34" t="s">
        <v>1050</v>
      </c>
      <c r="D27" s="34" t="s">
        <v>1051</v>
      </c>
      <c r="E27" s="34" t="s">
        <v>1052</v>
      </c>
      <c r="F27" s="34" t="s">
        <v>1053</v>
      </c>
      <c r="G27" s="34" t="s">
        <v>1023</v>
      </c>
    </row>
    <row r="28" spans="1:16" ht="52.05" customHeight="1">
      <c r="A28" s="22">
        <v>3</v>
      </c>
      <c r="B28" s="22" t="s">
        <v>309</v>
      </c>
      <c r="C28" s="22" t="s">
        <v>1054</v>
      </c>
      <c r="D28" s="22" t="s">
        <v>1055</v>
      </c>
      <c r="E28" s="22" t="s">
        <v>1056</v>
      </c>
      <c r="F28" s="22" t="s">
        <v>1057</v>
      </c>
      <c r="G28" s="22" t="s">
        <v>1023</v>
      </c>
    </row>
    <row r="29" spans="1:16" ht="52.05" customHeight="1">
      <c r="A29" s="34">
        <v>4</v>
      </c>
      <c r="B29" s="34" t="s">
        <v>345</v>
      </c>
      <c r="C29" s="34" t="s">
        <v>1058</v>
      </c>
      <c r="D29" s="34" t="s">
        <v>1059</v>
      </c>
      <c r="E29" s="34" t="s">
        <v>1060</v>
      </c>
      <c r="F29" s="34" t="s">
        <v>1061</v>
      </c>
      <c r="G29" s="34" t="s">
        <v>1023</v>
      </c>
    </row>
    <row r="30" spans="1:16" ht="52.05" customHeight="1">
      <c r="A30" s="22">
        <v>5</v>
      </c>
      <c r="B30" s="22" t="s">
        <v>369</v>
      </c>
      <c r="C30" s="22" t="s">
        <v>1062</v>
      </c>
      <c r="D30" s="22" t="s">
        <v>1063</v>
      </c>
      <c r="E30" s="22" t="s">
        <v>1064</v>
      </c>
      <c r="F30" s="22" t="s">
        <v>2345</v>
      </c>
      <c r="G30" s="22" t="s">
        <v>1065</v>
      </c>
    </row>
    <row r="31" spans="1:16" ht="52.05" customHeight="1">
      <c r="A31" s="35">
        <v>6</v>
      </c>
      <c r="B31" s="35" t="s">
        <v>2328</v>
      </c>
      <c r="C31" s="35" t="s">
        <v>1036</v>
      </c>
      <c r="D31" s="35" t="s">
        <v>1037</v>
      </c>
      <c r="E31" s="35" t="s">
        <v>2346</v>
      </c>
      <c r="F31" s="35" t="s">
        <v>382</v>
      </c>
      <c r="G31" s="35" t="s">
        <v>1014</v>
      </c>
    </row>
    <row r="32" spans="1:16" ht="52.05" customHeight="1">
      <c r="A32" s="35">
        <v>7</v>
      </c>
      <c r="B32" s="35" t="s">
        <v>241</v>
      </c>
      <c r="C32" s="35" t="s">
        <v>1066</v>
      </c>
      <c r="D32" s="35" t="s">
        <v>1039</v>
      </c>
      <c r="E32" s="35" t="s">
        <v>1040</v>
      </c>
      <c r="F32" s="35" t="s">
        <v>1067</v>
      </c>
      <c r="G32"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topLeftCell="L18" workbookViewId="0">
      <selection activeCell="P21" sqref="P21"/>
    </sheetView>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bestFit="1" customWidth="1"/>
    <col min="10" max="10" width="18" customWidth="1"/>
    <col min="11" max="11" width="36" customWidth="1"/>
    <col min="12" max="12" width="38" customWidth="1"/>
    <col min="13" max="13" width="31" bestFit="1" customWidth="1"/>
    <col min="14" max="14" width="40.796875" customWidth="1"/>
    <col min="15" max="15" width="16" customWidth="1"/>
    <col min="16" max="16" width="52" style="27" customWidth="1"/>
  </cols>
  <sheetData>
    <row r="1" spans="1:16" ht="31.95" customHeight="1">
      <c r="A1" s="59" t="s">
        <v>1068</v>
      </c>
      <c r="B1" s="59"/>
      <c r="C1" s="59"/>
      <c r="D1" s="59"/>
      <c r="E1" s="59"/>
      <c r="F1" s="59"/>
      <c r="G1" s="59"/>
      <c r="H1" s="59"/>
      <c r="I1" s="59"/>
      <c r="J1" s="59"/>
      <c r="K1" s="59"/>
      <c r="L1" s="59"/>
      <c r="M1" s="59"/>
      <c r="N1" s="59"/>
      <c r="O1" s="59"/>
    </row>
    <row r="2" spans="1:16" ht="31.95" customHeight="1">
      <c r="A2" s="60" t="s">
        <v>1069</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0.5714285714285714</v>
      </c>
      <c r="B5" s="100"/>
      <c r="D5" s="103">
        <f>COUNTIF(O10:O40,"Blocked")</f>
        <v>0</v>
      </c>
      <c r="E5" s="104"/>
      <c r="G5" s="107" t="s">
        <v>1070</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8" t="s">
        <v>87</v>
      </c>
    </row>
    <row r="10" spans="1:16" ht="110.4" hidden="1">
      <c r="A10" s="10" t="s">
        <v>393</v>
      </c>
      <c r="B10" s="10">
        <v>1</v>
      </c>
      <c r="C10" s="10" t="s">
        <v>89</v>
      </c>
      <c r="D10" s="10" t="s">
        <v>394</v>
      </c>
      <c r="E10" s="10" t="s">
        <v>395</v>
      </c>
      <c r="F10" s="10" t="s">
        <v>396</v>
      </c>
      <c r="G10" s="10" t="s">
        <v>123</v>
      </c>
      <c r="H10" s="15">
        <v>1</v>
      </c>
      <c r="I10" s="10" t="s">
        <v>397</v>
      </c>
      <c r="J10" s="10" t="s">
        <v>398</v>
      </c>
      <c r="K10" s="10" t="s">
        <v>399</v>
      </c>
      <c r="L10" s="10" t="s">
        <v>400</v>
      </c>
      <c r="M10" s="10" t="s">
        <v>402</v>
      </c>
      <c r="N10" s="10" t="s">
        <v>404</v>
      </c>
      <c r="O10" s="10" t="s">
        <v>46</v>
      </c>
      <c r="P10" s="28" t="s">
        <v>405</v>
      </c>
    </row>
    <row r="11" spans="1:16" ht="110.4" hidden="1">
      <c r="A11" s="11" t="s">
        <v>406</v>
      </c>
      <c r="B11" s="11">
        <v>2</v>
      </c>
      <c r="C11" s="11" t="s">
        <v>89</v>
      </c>
      <c r="D11" s="11" t="s">
        <v>407</v>
      </c>
      <c r="E11" s="11" t="s">
        <v>408</v>
      </c>
      <c r="F11" s="11" t="s">
        <v>409</v>
      </c>
      <c r="G11" s="11" t="s">
        <v>123</v>
      </c>
      <c r="H11" s="16">
        <v>1.25</v>
      </c>
      <c r="I11" s="11" t="s">
        <v>397</v>
      </c>
      <c r="J11" s="11" t="s">
        <v>410</v>
      </c>
      <c r="K11" s="11" t="s">
        <v>411</v>
      </c>
      <c r="L11" s="11" t="s">
        <v>412</v>
      </c>
      <c r="M11" s="11" t="s">
        <v>414</v>
      </c>
      <c r="N11" s="11" t="s">
        <v>416</v>
      </c>
      <c r="O11" s="11" t="s">
        <v>46</v>
      </c>
      <c r="P11" s="28" t="s">
        <v>417</v>
      </c>
    </row>
    <row r="12" spans="1:16" ht="110.4" hidden="1">
      <c r="A12" s="11" t="s">
        <v>418</v>
      </c>
      <c r="B12" s="11">
        <v>3</v>
      </c>
      <c r="C12" s="11" t="s">
        <v>89</v>
      </c>
      <c r="D12" s="11" t="s">
        <v>419</v>
      </c>
      <c r="E12" s="11" t="s">
        <v>420</v>
      </c>
      <c r="F12" s="11" t="s">
        <v>421</v>
      </c>
      <c r="G12" s="11" t="s">
        <v>123</v>
      </c>
      <c r="H12" s="16">
        <v>0.75</v>
      </c>
      <c r="I12" s="11" t="s">
        <v>397</v>
      </c>
      <c r="J12" s="11" t="s">
        <v>101</v>
      </c>
      <c r="K12" s="11" t="s">
        <v>422</v>
      </c>
      <c r="L12" s="11" t="s">
        <v>423</v>
      </c>
      <c r="M12" s="11" t="s">
        <v>425</v>
      </c>
      <c r="N12" s="11" t="s">
        <v>427</v>
      </c>
      <c r="O12" s="11" t="s">
        <v>46</v>
      </c>
      <c r="P12" s="28" t="s">
        <v>428</v>
      </c>
    </row>
    <row r="13" spans="1:16" ht="110.4" hidden="1">
      <c r="A13" s="11" t="s">
        <v>429</v>
      </c>
      <c r="B13" s="11">
        <v>4</v>
      </c>
      <c r="C13" s="11" t="s">
        <v>89</v>
      </c>
      <c r="D13" s="11" t="s">
        <v>430</v>
      </c>
      <c r="E13" s="11" t="s">
        <v>431</v>
      </c>
      <c r="F13" s="11" t="s">
        <v>432</v>
      </c>
      <c r="G13" s="11" t="s">
        <v>123</v>
      </c>
      <c r="H13" s="16">
        <v>1.5</v>
      </c>
      <c r="I13" s="11" t="s">
        <v>397</v>
      </c>
      <c r="J13" s="11" t="s">
        <v>433</v>
      </c>
      <c r="K13" s="11" t="s">
        <v>434</v>
      </c>
      <c r="L13" s="11" t="s">
        <v>435</v>
      </c>
      <c r="M13" s="11" t="s">
        <v>437</v>
      </c>
      <c r="N13" s="11" t="s">
        <v>439</v>
      </c>
      <c r="O13" s="11" t="s">
        <v>46</v>
      </c>
      <c r="P13" s="28" t="s">
        <v>440</v>
      </c>
    </row>
    <row r="14" spans="1:16" ht="110.4" hidden="1">
      <c r="A14" s="11" t="s">
        <v>441</v>
      </c>
      <c r="B14" s="11">
        <v>5</v>
      </c>
      <c r="C14" s="11" t="s">
        <v>89</v>
      </c>
      <c r="D14" s="11" t="s">
        <v>442</v>
      </c>
      <c r="E14" s="11" t="s">
        <v>443</v>
      </c>
      <c r="F14" s="11" t="s">
        <v>444</v>
      </c>
      <c r="G14" s="11" t="s">
        <v>123</v>
      </c>
      <c r="H14" s="16">
        <v>1</v>
      </c>
      <c r="I14" s="11" t="s">
        <v>445</v>
      </c>
      <c r="J14" s="11" t="s">
        <v>446</v>
      </c>
      <c r="K14" s="11" t="s">
        <v>447</v>
      </c>
      <c r="L14" s="11" t="s">
        <v>448</v>
      </c>
      <c r="M14" s="11" t="s">
        <v>450</v>
      </c>
      <c r="N14" s="11" t="s">
        <v>451</v>
      </c>
      <c r="O14" s="11" t="s">
        <v>46</v>
      </c>
      <c r="P14" s="28" t="s">
        <v>452</v>
      </c>
    </row>
    <row r="15" spans="1:16" ht="110.4" hidden="1">
      <c r="A15" s="11" t="s">
        <v>453</v>
      </c>
      <c r="B15" s="11">
        <v>6</v>
      </c>
      <c r="C15" s="11" t="s">
        <v>89</v>
      </c>
      <c r="D15" s="11" t="s">
        <v>454</v>
      </c>
      <c r="E15" s="11" t="s">
        <v>455</v>
      </c>
      <c r="F15" s="11" t="s">
        <v>456</v>
      </c>
      <c r="G15" s="11" t="s">
        <v>93</v>
      </c>
      <c r="H15" s="16">
        <v>1.25</v>
      </c>
      <c r="I15" s="11" t="s">
        <v>457</v>
      </c>
      <c r="J15" s="11" t="s">
        <v>458</v>
      </c>
      <c r="K15" s="11" t="s">
        <v>459</v>
      </c>
      <c r="L15" s="11" t="s">
        <v>460</v>
      </c>
      <c r="M15" s="11" t="s">
        <v>462</v>
      </c>
      <c r="N15" s="11" t="s">
        <v>463</v>
      </c>
      <c r="O15" s="11" t="s">
        <v>46</v>
      </c>
      <c r="P15" s="28" t="s">
        <v>464</v>
      </c>
    </row>
    <row r="16" spans="1:16" ht="110.4" hidden="1">
      <c r="A16" s="11" t="s">
        <v>465</v>
      </c>
      <c r="B16" s="11">
        <v>7</v>
      </c>
      <c r="C16" s="11" t="s">
        <v>89</v>
      </c>
      <c r="D16" s="11" t="s">
        <v>466</v>
      </c>
      <c r="E16" s="11" t="s">
        <v>467</v>
      </c>
      <c r="F16" s="11" t="s">
        <v>468</v>
      </c>
      <c r="G16" s="11" t="s">
        <v>123</v>
      </c>
      <c r="H16" s="16">
        <v>1.5</v>
      </c>
      <c r="I16" s="11" t="s">
        <v>457</v>
      </c>
      <c r="J16" s="11" t="s">
        <v>469</v>
      </c>
      <c r="K16" s="11" t="s">
        <v>470</v>
      </c>
      <c r="L16" s="11" t="s">
        <v>2295</v>
      </c>
      <c r="M16" s="11" t="s">
        <v>472</v>
      </c>
      <c r="N16" s="11" t="s">
        <v>474</v>
      </c>
      <c r="O16" s="11" t="s">
        <v>46</v>
      </c>
      <c r="P16" s="28" t="s">
        <v>475</v>
      </c>
    </row>
    <row r="17" spans="1:16" ht="110.4" hidden="1">
      <c r="A17" s="11" t="s">
        <v>476</v>
      </c>
      <c r="B17" s="11">
        <v>8</v>
      </c>
      <c r="C17" s="11" t="s">
        <v>89</v>
      </c>
      <c r="D17" s="11" t="s">
        <v>477</v>
      </c>
      <c r="E17" s="11" t="s">
        <v>478</v>
      </c>
      <c r="F17" s="11" t="s">
        <v>479</v>
      </c>
      <c r="G17" s="11" t="s">
        <v>123</v>
      </c>
      <c r="H17" s="16">
        <v>1</v>
      </c>
      <c r="I17" s="11" t="s">
        <v>445</v>
      </c>
      <c r="J17" s="11" t="s">
        <v>334</v>
      </c>
      <c r="K17" s="11" t="s">
        <v>480</v>
      </c>
      <c r="L17" s="11" t="s">
        <v>481</v>
      </c>
      <c r="M17" s="11" t="s">
        <v>483</v>
      </c>
      <c r="N17" s="11" t="s">
        <v>484</v>
      </c>
      <c r="O17" s="11" t="s">
        <v>46</v>
      </c>
      <c r="P17" s="28" t="s">
        <v>485</v>
      </c>
    </row>
    <row r="18" spans="1:16" ht="110.4">
      <c r="A18" s="11" t="s">
        <v>486</v>
      </c>
      <c r="B18" s="11">
        <v>9</v>
      </c>
      <c r="C18" s="11" t="s">
        <v>89</v>
      </c>
      <c r="D18" s="11" t="s">
        <v>487</v>
      </c>
      <c r="E18" s="11" t="s">
        <v>488</v>
      </c>
      <c r="F18" s="11" t="s">
        <v>489</v>
      </c>
      <c r="G18" s="11" t="s">
        <v>123</v>
      </c>
      <c r="H18" s="16">
        <v>0.75</v>
      </c>
      <c r="I18" s="11" t="s">
        <v>490</v>
      </c>
      <c r="J18" s="11" t="s">
        <v>491</v>
      </c>
      <c r="K18" s="11" t="s">
        <v>492</v>
      </c>
      <c r="L18" s="11" t="s">
        <v>493</v>
      </c>
      <c r="M18" s="11" t="s">
        <v>495</v>
      </c>
      <c r="N18" s="11" t="s">
        <v>497</v>
      </c>
      <c r="O18" s="11" t="s">
        <v>2601</v>
      </c>
      <c r="P18" s="28" t="s">
        <v>498</v>
      </c>
    </row>
    <row r="19" spans="1:16" ht="110.4" hidden="1">
      <c r="A19" s="11" t="s">
        <v>499</v>
      </c>
      <c r="B19" s="11">
        <v>10</v>
      </c>
      <c r="C19" s="11" t="s">
        <v>89</v>
      </c>
      <c r="D19" s="11" t="s">
        <v>500</v>
      </c>
      <c r="E19" s="11" t="s">
        <v>501</v>
      </c>
      <c r="F19" s="11" t="s">
        <v>502</v>
      </c>
      <c r="G19" s="11" t="s">
        <v>109</v>
      </c>
      <c r="H19" s="16">
        <v>0.75</v>
      </c>
      <c r="I19" s="11" t="s">
        <v>457</v>
      </c>
      <c r="J19" s="11" t="s">
        <v>503</v>
      </c>
      <c r="K19" s="11" t="s">
        <v>504</v>
      </c>
      <c r="L19" s="11" t="s">
        <v>505</v>
      </c>
      <c r="M19" s="11" t="s">
        <v>507</v>
      </c>
      <c r="N19" s="11" t="s">
        <v>508</v>
      </c>
      <c r="O19" s="11" t="s">
        <v>46</v>
      </c>
      <c r="P19" s="28" t="s">
        <v>509</v>
      </c>
    </row>
    <row r="20" spans="1:16" ht="193.8" hidden="1">
      <c r="A20" s="11" t="s">
        <v>510</v>
      </c>
      <c r="B20" s="11">
        <v>11</v>
      </c>
      <c r="C20" s="11" t="s">
        <v>89</v>
      </c>
      <c r="D20" s="11" t="s">
        <v>511</v>
      </c>
      <c r="E20" s="11" t="s">
        <v>512</v>
      </c>
      <c r="F20" s="11" t="s">
        <v>513</v>
      </c>
      <c r="G20" s="11" t="s">
        <v>109</v>
      </c>
      <c r="H20" s="16">
        <v>1</v>
      </c>
      <c r="I20" s="11" t="s">
        <v>514</v>
      </c>
      <c r="J20" s="11" t="s">
        <v>101</v>
      </c>
      <c r="K20" s="11" t="s">
        <v>515</v>
      </c>
      <c r="L20" s="11" t="s">
        <v>2330</v>
      </c>
      <c r="M20" s="11" t="s">
        <v>517</v>
      </c>
      <c r="N20" s="11" t="s">
        <v>519</v>
      </c>
      <c r="O20" s="11" t="s">
        <v>46</v>
      </c>
      <c r="P20" s="28" t="s">
        <v>520</v>
      </c>
    </row>
    <row r="21" spans="1:16" ht="193.8">
      <c r="A21" s="11" t="s">
        <v>521</v>
      </c>
      <c r="B21" s="11">
        <v>12</v>
      </c>
      <c r="C21" s="11" t="s">
        <v>89</v>
      </c>
      <c r="D21" s="11" t="s">
        <v>226</v>
      </c>
      <c r="E21" s="11" t="s">
        <v>522</v>
      </c>
      <c r="F21" s="11" t="s">
        <v>523</v>
      </c>
      <c r="G21" s="11" t="s">
        <v>93</v>
      </c>
      <c r="H21" s="16">
        <v>0.75</v>
      </c>
      <c r="I21" s="11" t="s">
        <v>2331</v>
      </c>
      <c r="J21" s="11" t="s">
        <v>524</v>
      </c>
      <c r="K21" s="11" t="s">
        <v>525</v>
      </c>
      <c r="L21" s="11" t="s">
        <v>2332</v>
      </c>
      <c r="M21" s="11" t="s">
        <v>527</v>
      </c>
      <c r="N21" s="11" t="s">
        <v>529</v>
      </c>
      <c r="O21" s="11" t="s">
        <v>46</v>
      </c>
      <c r="P21" s="28" t="s">
        <v>530</v>
      </c>
    </row>
    <row r="22" spans="1:16" ht="82.8">
      <c r="A22" t="s">
        <v>531</v>
      </c>
      <c r="B22">
        <v>13</v>
      </c>
      <c r="C22" t="s">
        <v>89</v>
      </c>
      <c r="D22" t="s">
        <v>238</v>
      </c>
      <c r="E22" t="s">
        <v>532</v>
      </c>
      <c r="F22" t="s">
        <v>533</v>
      </c>
      <c r="G22" t="s">
        <v>109</v>
      </c>
      <c r="H22">
        <v>1</v>
      </c>
      <c r="I22" t="s">
        <v>241</v>
      </c>
      <c r="J22" t="s">
        <v>101</v>
      </c>
      <c r="K22" t="s">
        <v>534</v>
      </c>
      <c r="L22" t="s">
        <v>2313</v>
      </c>
      <c r="M22" t="s">
        <v>535</v>
      </c>
      <c r="N22" t="s">
        <v>246</v>
      </c>
      <c r="O22" s="11" t="s">
        <v>46</v>
      </c>
      <c r="P22" s="28" t="s">
        <v>538</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56"/>
    </row>
    <row r="25" spans="1:16" ht="48" customHeight="1">
      <c r="A25" s="33" t="s">
        <v>1004</v>
      </c>
      <c r="B25" s="33" t="s">
        <v>76</v>
      </c>
      <c r="C25" s="33" t="s">
        <v>1005</v>
      </c>
      <c r="D25" s="33" t="s">
        <v>1006</v>
      </c>
      <c r="E25" s="33" t="s">
        <v>1007</v>
      </c>
      <c r="F25" s="33" t="s">
        <v>1008</v>
      </c>
      <c r="G25" s="33" t="s">
        <v>1009</v>
      </c>
    </row>
    <row r="26" spans="1:16" ht="52.05" customHeight="1">
      <c r="A26" s="22">
        <v>1</v>
      </c>
      <c r="B26" s="22" t="s">
        <v>397</v>
      </c>
      <c r="C26" s="22" t="s">
        <v>1071</v>
      </c>
      <c r="D26" s="22" t="s">
        <v>1072</v>
      </c>
      <c r="E26" s="22" t="s">
        <v>1073</v>
      </c>
      <c r="F26" s="22" t="s">
        <v>1074</v>
      </c>
      <c r="G26" s="22" t="s">
        <v>1023</v>
      </c>
    </row>
    <row r="27" spans="1:16" ht="52.05" customHeight="1">
      <c r="A27" s="34">
        <v>2</v>
      </c>
      <c r="B27" s="34" t="s">
        <v>457</v>
      </c>
      <c r="C27" s="34" t="s">
        <v>1075</v>
      </c>
      <c r="D27" s="34" t="s">
        <v>1076</v>
      </c>
      <c r="E27" s="34" t="s">
        <v>1077</v>
      </c>
      <c r="F27" s="34" t="s">
        <v>1078</v>
      </c>
      <c r="G27" s="34" t="s">
        <v>1023</v>
      </c>
    </row>
    <row r="28" spans="1:16" ht="52.05" customHeight="1">
      <c r="A28" s="22">
        <v>3</v>
      </c>
      <c r="B28" s="22" t="s">
        <v>445</v>
      </c>
      <c r="C28" s="22" t="s">
        <v>1079</v>
      </c>
      <c r="D28" s="22" t="s">
        <v>1080</v>
      </c>
      <c r="E28" s="22" t="s">
        <v>1081</v>
      </c>
      <c r="F28" s="22" t="s">
        <v>1082</v>
      </c>
      <c r="G28" s="22" t="s">
        <v>1023</v>
      </c>
    </row>
    <row r="29" spans="1:16" ht="52.05" customHeight="1">
      <c r="A29" s="34">
        <v>4</v>
      </c>
      <c r="B29" s="34" t="s">
        <v>514</v>
      </c>
      <c r="C29" s="34" t="s">
        <v>1083</v>
      </c>
      <c r="D29" s="34" t="s">
        <v>1084</v>
      </c>
      <c r="E29" s="34" t="s">
        <v>1085</v>
      </c>
      <c r="F29" s="34" t="s">
        <v>1086</v>
      </c>
      <c r="G29" s="34" t="s">
        <v>1023</v>
      </c>
    </row>
    <row r="30" spans="1:16" ht="52.05" customHeight="1">
      <c r="A30" s="35">
        <v>5</v>
      </c>
      <c r="B30" s="35" t="s">
        <v>2331</v>
      </c>
      <c r="C30" s="35" t="s">
        <v>1036</v>
      </c>
      <c r="D30" s="35" t="s">
        <v>1037</v>
      </c>
      <c r="E30" s="35" t="s">
        <v>2347</v>
      </c>
      <c r="F30" s="35" t="s">
        <v>527</v>
      </c>
      <c r="G30" s="35" t="s">
        <v>1014</v>
      </c>
    </row>
    <row r="31" spans="1:16" ht="52.05" customHeight="1">
      <c r="A31" s="35">
        <v>6</v>
      </c>
      <c r="B31" s="35" t="s">
        <v>241</v>
      </c>
      <c r="C31" s="35" t="s">
        <v>1087</v>
      </c>
      <c r="D31" s="35" t="s">
        <v>1039</v>
      </c>
      <c r="E31" s="35" t="s">
        <v>1040</v>
      </c>
      <c r="F31" s="35" t="s">
        <v>1088</v>
      </c>
      <c r="G31" s="35" t="s">
        <v>1042</v>
      </c>
    </row>
  </sheetData>
  <mergeCells count="9">
    <mergeCell ref="A23:O23"/>
    <mergeCell ref="A1:O1"/>
    <mergeCell ref="A2:O2"/>
    <mergeCell ref="A4:B4"/>
    <mergeCell ref="A5:B6"/>
    <mergeCell ref="D4:E4"/>
    <mergeCell ref="D5:E6"/>
    <mergeCell ref="G4:O4"/>
    <mergeCell ref="G5:O6"/>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topLeftCell="A15" workbookViewId="0">
      <selection activeCell="E18" sqref="E18"/>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1089</v>
      </c>
      <c r="B1" s="59"/>
      <c r="C1" s="59"/>
      <c r="D1" s="59"/>
      <c r="E1" s="59"/>
      <c r="F1" s="59"/>
      <c r="G1" s="59"/>
      <c r="H1" s="59"/>
      <c r="I1" s="59"/>
      <c r="J1" s="59"/>
      <c r="K1" s="59"/>
      <c r="L1" s="59"/>
      <c r="M1" s="59"/>
      <c r="N1" s="59"/>
      <c r="O1" s="59"/>
    </row>
    <row r="2" spans="1:16" ht="31.95" customHeight="1">
      <c r="A2" s="60" t="s">
        <v>1090</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1091</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539</v>
      </c>
      <c r="B10" s="10">
        <v>1</v>
      </c>
      <c r="C10" s="10" t="s">
        <v>89</v>
      </c>
      <c r="D10" s="10" t="s">
        <v>540</v>
      </c>
      <c r="E10" s="10" t="s">
        <v>541</v>
      </c>
      <c r="F10" s="10" t="s">
        <v>542</v>
      </c>
      <c r="G10" s="10" t="s">
        <v>123</v>
      </c>
      <c r="H10" s="15">
        <v>1.5</v>
      </c>
      <c r="I10" s="10" t="s">
        <v>543</v>
      </c>
      <c r="J10" s="10" t="s">
        <v>334</v>
      </c>
      <c r="K10" s="10" t="s">
        <v>544</v>
      </c>
      <c r="L10" s="10" t="s">
        <v>545</v>
      </c>
      <c r="M10" s="10" t="s">
        <v>547</v>
      </c>
      <c r="N10" s="10" t="s">
        <v>549</v>
      </c>
      <c r="O10" s="10" t="s">
        <v>303</v>
      </c>
      <c r="P10" s="29" t="s">
        <v>550</v>
      </c>
    </row>
    <row r="11" spans="1:16" ht="110.4">
      <c r="A11" s="11" t="s">
        <v>551</v>
      </c>
      <c r="B11" s="11">
        <v>2</v>
      </c>
      <c r="C11" s="11" t="s">
        <v>89</v>
      </c>
      <c r="D11" s="11" t="s">
        <v>331</v>
      </c>
      <c r="E11" s="11" t="s">
        <v>552</v>
      </c>
      <c r="F11" s="11" t="s">
        <v>553</v>
      </c>
      <c r="G11" s="11" t="s">
        <v>123</v>
      </c>
      <c r="H11" s="16">
        <v>1</v>
      </c>
      <c r="I11" s="11" t="s">
        <v>543</v>
      </c>
      <c r="J11" s="11" t="s">
        <v>334</v>
      </c>
      <c r="K11" s="11" t="s">
        <v>554</v>
      </c>
      <c r="L11" s="11" t="s">
        <v>555</v>
      </c>
      <c r="M11" s="11" t="s">
        <v>557</v>
      </c>
      <c r="N11" s="11" t="s">
        <v>558</v>
      </c>
      <c r="O11" s="11" t="s">
        <v>303</v>
      </c>
      <c r="P11" s="29" t="s">
        <v>559</v>
      </c>
    </row>
    <row r="12" spans="1:16" ht="110.4">
      <c r="A12" s="11" t="s">
        <v>560</v>
      </c>
      <c r="B12" s="11">
        <v>3</v>
      </c>
      <c r="C12" s="11" t="s">
        <v>89</v>
      </c>
      <c r="D12" s="11" t="s">
        <v>561</v>
      </c>
      <c r="E12" s="11" t="s">
        <v>562</v>
      </c>
      <c r="F12" s="11" t="s">
        <v>563</v>
      </c>
      <c r="G12" s="11" t="s">
        <v>123</v>
      </c>
      <c r="H12" s="16">
        <v>1.25</v>
      </c>
      <c r="I12" s="11" t="s">
        <v>564</v>
      </c>
      <c r="J12" s="11" t="s">
        <v>524</v>
      </c>
      <c r="K12" s="11" t="s">
        <v>565</v>
      </c>
      <c r="L12" s="11" t="s">
        <v>566</v>
      </c>
      <c r="M12" s="11" t="s">
        <v>568</v>
      </c>
      <c r="N12" s="11" t="s">
        <v>570</v>
      </c>
      <c r="O12" s="11" t="s">
        <v>303</v>
      </c>
      <c r="P12" s="29" t="s">
        <v>571</v>
      </c>
    </row>
    <row r="13" spans="1:16" ht="110.4">
      <c r="A13" s="11" t="s">
        <v>572</v>
      </c>
      <c r="B13" s="11">
        <v>4</v>
      </c>
      <c r="C13" s="11" t="s">
        <v>89</v>
      </c>
      <c r="D13" s="11" t="s">
        <v>573</v>
      </c>
      <c r="E13" s="11" t="s">
        <v>574</v>
      </c>
      <c r="F13" s="11" t="s">
        <v>575</v>
      </c>
      <c r="G13" s="11" t="s">
        <v>123</v>
      </c>
      <c r="H13" s="16">
        <v>0.75</v>
      </c>
      <c r="I13" s="11" t="s">
        <v>564</v>
      </c>
      <c r="J13" s="11" t="s">
        <v>101</v>
      </c>
      <c r="K13" s="11" t="s">
        <v>576</v>
      </c>
      <c r="L13" s="11" t="s">
        <v>577</v>
      </c>
      <c r="M13" s="11" t="s">
        <v>579</v>
      </c>
      <c r="N13" s="11" t="s">
        <v>580</v>
      </c>
      <c r="O13" s="11" t="s">
        <v>303</v>
      </c>
      <c r="P13" s="29" t="s">
        <v>581</v>
      </c>
    </row>
    <row r="14" spans="1:16" ht="110.4">
      <c r="A14" s="11" t="s">
        <v>582</v>
      </c>
      <c r="B14" s="11">
        <v>5</v>
      </c>
      <c r="C14" s="11" t="s">
        <v>89</v>
      </c>
      <c r="D14" s="11" t="s">
        <v>583</v>
      </c>
      <c r="E14" s="11" t="s">
        <v>584</v>
      </c>
      <c r="F14" s="11" t="s">
        <v>585</v>
      </c>
      <c r="G14" s="11" t="s">
        <v>123</v>
      </c>
      <c r="H14" s="16">
        <v>1.25</v>
      </c>
      <c r="I14" s="11" t="s">
        <v>564</v>
      </c>
      <c r="J14" s="11" t="s">
        <v>524</v>
      </c>
      <c r="K14" s="11" t="s">
        <v>586</v>
      </c>
      <c r="L14" s="11" t="s">
        <v>587</v>
      </c>
      <c r="M14" s="11" t="s">
        <v>589</v>
      </c>
      <c r="N14" s="11" t="s">
        <v>592</v>
      </c>
      <c r="O14" s="11" t="s">
        <v>303</v>
      </c>
      <c r="P14" s="29" t="s">
        <v>593</v>
      </c>
    </row>
    <row r="15" spans="1:16" ht="110.4">
      <c r="A15" s="11" t="s">
        <v>594</v>
      </c>
      <c r="B15" s="11">
        <v>6</v>
      </c>
      <c r="C15" s="11" t="s">
        <v>89</v>
      </c>
      <c r="D15" s="11" t="s">
        <v>595</v>
      </c>
      <c r="E15" s="11" t="s">
        <v>596</v>
      </c>
      <c r="F15" s="11" t="s">
        <v>597</v>
      </c>
      <c r="G15" s="11" t="s">
        <v>123</v>
      </c>
      <c r="H15" s="16">
        <v>1</v>
      </c>
      <c r="I15" s="11" t="s">
        <v>564</v>
      </c>
      <c r="J15" s="11" t="s">
        <v>598</v>
      </c>
      <c r="K15" s="11" t="s">
        <v>599</v>
      </c>
      <c r="L15" s="11" t="s">
        <v>600</v>
      </c>
      <c r="M15" s="11" t="s">
        <v>602</v>
      </c>
      <c r="N15" s="11" t="s">
        <v>603</v>
      </c>
      <c r="O15" s="11" t="s">
        <v>303</v>
      </c>
      <c r="P15" s="29" t="s">
        <v>604</v>
      </c>
    </row>
    <row r="16" spans="1:16" ht="110.4">
      <c r="A16" s="11" t="s">
        <v>605</v>
      </c>
      <c r="B16" s="11">
        <v>7</v>
      </c>
      <c r="C16" s="11" t="s">
        <v>89</v>
      </c>
      <c r="D16" s="11" t="s">
        <v>606</v>
      </c>
      <c r="E16" s="11" t="s">
        <v>607</v>
      </c>
      <c r="F16" s="11" t="s">
        <v>608</v>
      </c>
      <c r="G16" s="11" t="s">
        <v>123</v>
      </c>
      <c r="H16" s="16">
        <v>0.75</v>
      </c>
      <c r="I16" s="11" t="s">
        <v>564</v>
      </c>
      <c r="J16" s="11" t="s">
        <v>609</v>
      </c>
      <c r="K16" s="11" t="s">
        <v>610</v>
      </c>
      <c r="L16" s="11" t="s">
        <v>611</v>
      </c>
      <c r="M16" s="11" t="s">
        <v>613</v>
      </c>
      <c r="N16" s="11" t="s">
        <v>614</v>
      </c>
      <c r="O16" s="11" t="s">
        <v>303</v>
      </c>
      <c r="P16" s="29" t="s">
        <v>615</v>
      </c>
    </row>
    <row r="17" spans="1:16" ht="110.4">
      <c r="A17" s="11" t="s">
        <v>616</v>
      </c>
      <c r="B17" s="11">
        <v>8</v>
      </c>
      <c r="C17" s="11" t="s">
        <v>89</v>
      </c>
      <c r="D17" s="11" t="s">
        <v>617</v>
      </c>
      <c r="E17" s="11" t="s">
        <v>618</v>
      </c>
      <c r="F17" s="11" t="s">
        <v>619</v>
      </c>
      <c r="G17" s="11" t="s">
        <v>123</v>
      </c>
      <c r="H17" s="16">
        <v>1</v>
      </c>
      <c r="I17" s="11" t="s">
        <v>490</v>
      </c>
      <c r="J17" s="11" t="s">
        <v>491</v>
      </c>
      <c r="K17" s="11" t="s">
        <v>620</v>
      </c>
      <c r="L17" s="11" t="s">
        <v>621</v>
      </c>
      <c r="M17" s="11" t="s">
        <v>623</v>
      </c>
      <c r="N17" s="11" t="s">
        <v>625</v>
      </c>
      <c r="O17" s="11" t="s">
        <v>303</v>
      </c>
      <c r="P17" s="29" t="s">
        <v>626</v>
      </c>
    </row>
    <row r="18" spans="1:16" ht="110.4">
      <c r="A18" s="11" t="s">
        <v>627</v>
      </c>
      <c r="B18" s="11">
        <v>9</v>
      </c>
      <c r="C18" s="11" t="s">
        <v>89</v>
      </c>
      <c r="D18" s="11" t="s">
        <v>628</v>
      </c>
      <c r="E18" s="11" t="s">
        <v>629</v>
      </c>
      <c r="F18" s="11" t="s">
        <v>630</v>
      </c>
      <c r="G18" s="11" t="s">
        <v>123</v>
      </c>
      <c r="H18" s="16">
        <v>1</v>
      </c>
      <c r="I18" s="11" t="s">
        <v>564</v>
      </c>
      <c r="J18" s="11" t="s">
        <v>101</v>
      </c>
      <c r="K18" s="11" t="s">
        <v>631</v>
      </c>
      <c r="L18" s="11" t="s">
        <v>632</v>
      </c>
      <c r="M18" s="11" t="s">
        <v>634</v>
      </c>
      <c r="N18" s="11" t="s">
        <v>637</v>
      </c>
      <c r="O18" s="11" t="s">
        <v>303</v>
      </c>
      <c r="P18" s="29" t="s">
        <v>638</v>
      </c>
    </row>
    <row r="19" spans="1:16" ht="110.4">
      <c r="A19" s="11" t="s">
        <v>639</v>
      </c>
      <c r="B19" s="11">
        <v>10</v>
      </c>
      <c r="C19" s="11" t="s">
        <v>365</v>
      </c>
      <c r="D19" s="11" t="s">
        <v>640</v>
      </c>
      <c r="E19" s="11" t="s">
        <v>641</v>
      </c>
      <c r="F19" s="11" t="s">
        <v>642</v>
      </c>
      <c r="G19" s="11" t="s">
        <v>123</v>
      </c>
      <c r="H19" s="16">
        <v>0.75</v>
      </c>
      <c r="I19" s="11" t="s">
        <v>543</v>
      </c>
      <c r="J19" s="11" t="s">
        <v>598</v>
      </c>
      <c r="K19" s="11" t="s">
        <v>643</v>
      </c>
      <c r="L19" s="11" t="s">
        <v>644</v>
      </c>
      <c r="M19" s="11" t="s">
        <v>646</v>
      </c>
      <c r="N19" s="11" t="s">
        <v>649</v>
      </c>
      <c r="O19" s="11" t="s">
        <v>303</v>
      </c>
      <c r="P19" s="29" t="s">
        <v>650</v>
      </c>
    </row>
    <row r="20" spans="1:16" ht="193.8">
      <c r="A20" s="11" t="s">
        <v>651</v>
      </c>
      <c r="B20" s="11">
        <v>11</v>
      </c>
      <c r="C20" s="11" t="s">
        <v>89</v>
      </c>
      <c r="D20" s="11" t="s">
        <v>652</v>
      </c>
      <c r="E20" s="11" t="s">
        <v>653</v>
      </c>
      <c r="F20" s="11" t="s">
        <v>654</v>
      </c>
      <c r="G20" s="11" t="s">
        <v>109</v>
      </c>
      <c r="H20" s="16">
        <v>1</v>
      </c>
      <c r="I20" s="11" t="s">
        <v>655</v>
      </c>
      <c r="J20" s="11" t="s">
        <v>101</v>
      </c>
      <c r="K20" s="11" t="s">
        <v>656</v>
      </c>
      <c r="L20" s="11" t="s">
        <v>2333</v>
      </c>
      <c r="M20" s="11" t="s">
        <v>658</v>
      </c>
      <c r="N20" s="11" t="s">
        <v>660</v>
      </c>
      <c r="O20" s="11" t="s">
        <v>303</v>
      </c>
      <c r="P20" s="29" t="s">
        <v>661</v>
      </c>
    </row>
    <row r="21" spans="1:16" ht="193.8">
      <c r="A21" s="11" t="s">
        <v>662</v>
      </c>
      <c r="B21" s="11">
        <v>12</v>
      </c>
      <c r="C21" s="11" t="s">
        <v>89</v>
      </c>
      <c r="D21" s="11" t="s">
        <v>226</v>
      </c>
      <c r="E21" s="11" t="s">
        <v>663</v>
      </c>
      <c r="F21" s="11" t="s">
        <v>664</v>
      </c>
      <c r="G21" s="11" t="s">
        <v>93</v>
      </c>
      <c r="H21" s="16">
        <v>0.75</v>
      </c>
      <c r="I21" s="11" t="s">
        <v>2334</v>
      </c>
      <c r="J21" s="11" t="s">
        <v>665</v>
      </c>
      <c r="K21" s="11" t="s">
        <v>666</v>
      </c>
      <c r="L21" s="11" t="s">
        <v>2335</v>
      </c>
      <c r="M21" s="11" t="s">
        <v>668</v>
      </c>
      <c r="N21" s="11" t="s">
        <v>670</v>
      </c>
      <c r="O21" s="11" t="s">
        <v>303</v>
      </c>
      <c r="P21" s="29" t="s">
        <v>671</v>
      </c>
    </row>
    <row r="22" spans="1:16" ht="82.8">
      <c r="A22" t="s">
        <v>672</v>
      </c>
      <c r="B22">
        <v>13</v>
      </c>
      <c r="C22" t="s">
        <v>89</v>
      </c>
      <c r="D22" t="s">
        <v>238</v>
      </c>
      <c r="E22" t="s">
        <v>673</v>
      </c>
      <c r="F22" t="s">
        <v>674</v>
      </c>
      <c r="G22" t="s">
        <v>109</v>
      </c>
      <c r="H22">
        <v>1</v>
      </c>
      <c r="I22" t="s">
        <v>241</v>
      </c>
      <c r="J22" t="s">
        <v>101</v>
      </c>
      <c r="K22" t="s">
        <v>675</v>
      </c>
      <c r="L22" t="s">
        <v>2314</v>
      </c>
      <c r="M22" t="s">
        <v>676</v>
      </c>
      <c r="N22" t="s">
        <v>246</v>
      </c>
      <c r="O22" t="s">
        <v>303</v>
      </c>
      <c r="P22" s="29" t="s">
        <v>679</v>
      </c>
    </row>
    <row r="23" spans="1:16" ht="24" customHeight="1">
      <c r="A23" s="97"/>
      <c r="B23" s="97"/>
      <c r="C23" s="97"/>
      <c r="D23" s="97"/>
      <c r="E23" s="97"/>
      <c r="F23" s="97"/>
      <c r="G23" s="97"/>
      <c r="H23" s="98"/>
      <c r="I23" s="98"/>
      <c r="J23" s="98"/>
      <c r="K23" s="98"/>
      <c r="L23" s="98"/>
      <c r="M23" s="98"/>
      <c r="N23" s="98"/>
      <c r="O23" s="98"/>
    </row>
    <row r="24" spans="1:16" ht="34.049999999999997" customHeight="1">
      <c r="A24" s="30" t="s">
        <v>1003</v>
      </c>
      <c r="B24" s="30"/>
      <c r="C24" s="30"/>
      <c r="D24" s="30"/>
      <c r="E24" s="30"/>
      <c r="F24" s="30"/>
      <c r="G24" s="30"/>
      <c r="H24" s="31"/>
      <c r="I24" s="31"/>
      <c r="J24" s="31"/>
      <c r="K24" s="31"/>
      <c r="L24" s="31"/>
      <c r="M24" s="31"/>
      <c r="N24" s="31"/>
      <c r="O24" s="31"/>
      <c r="P24" s="31"/>
    </row>
    <row r="25" spans="1:16" ht="48" customHeight="1">
      <c r="A25" s="33" t="s">
        <v>1004</v>
      </c>
      <c r="B25" s="33" t="s">
        <v>76</v>
      </c>
      <c r="C25" s="33" t="s">
        <v>1005</v>
      </c>
      <c r="D25" s="33" t="s">
        <v>1006</v>
      </c>
      <c r="E25" s="33" t="s">
        <v>1007</v>
      </c>
      <c r="F25" s="33" t="s">
        <v>1008</v>
      </c>
      <c r="G25" s="33" t="s">
        <v>1009</v>
      </c>
    </row>
    <row r="26" spans="1:16" ht="52.05" customHeight="1">
      <c r="A26" s="22">
        <v>1</v>
      </c>
      <c r="B26" s="22" t="s">
        <v>543</v>
      </c>
      <c r="C26" s="22" t="s">
        <v>1092</v>
      </c>
      <c r="D26" s="22" t="s">
        <v>1093</v>
      </c>
      <c r="E26" s="22" t="s">
        <v>1094</v>
      </c>
      <c r="F26" s="22" t="s">
        <v>1095</v>
      </c>
      <c r="G26" s="22" t="s">
        <v>1023</v>
      </c>
    </row>
    <row r="27" spans="1:16" ht="52.05" customHeight="1">
      <c r="A27" s="34">
        <v>2</v>
      </c>
      <c r="B27" s="34" t="s">
        <v>564</v>
      </c>
      <c r="C27" s="34" t="s">
        <v>1096</v>
      </c>
      <c r="D27" s="34" t="s">
        <v>1097</v>
      </c>
      <c r="E27" s="34" t="s">
        <v>1098</v>
      </c>
      <c r="F27" s="34" t="s">
        <v>1099</v>
      </c>
      <c r="G27" s="34" t="s">
        <v>1023</v>
      </c>
    </row>
    <row r="28" spans="1:16" ht="52.05" customHeight="1">
      <c r="A28" s="22">
        <v>3</v>
      </c>
      <c r="B28" s="22" t="s">
        <v>490</v>
      </c>
      <c r="C28" s="22" t="s">
        <v>1100</v>
      </c>
      <c r="D28" s="22" t="s">
        <v>1101</v>
      </c>
      <c r="E28" s="22" t="s">
        <v>1102</v>
      </c>
      <c r="F28" s="22" t="s">
        <v>1103</v>
      </c>
      <c r="G28" s="22" t="s">
        <v>1023</v>
      </c>
    </row>
    <row r="29" spans="1:16" ht="52.05" customHeight="1">
      <c r="A29" s="34">
        <v>4</v>
      </c>
      <c r="B29" s="34" t="s">
        <v>655</v>
      </c>
      <c r="C29" s="34" t="s">
        <v>1104</v>
      </c>
      <c r="D29" s="34" t="s">
        <v>1105</v>
      </c>
      <c r="E29" s="34" t="s">
        <v>1106</v>
      </c>
      <c r="F29" s="34" t="s">
        <v>1107</v>
      </c>
      <c r="G29" s="34" t="s">
        <v>1023</v>
      </c>
    </row>
    <row r="30" spans="1:16" ht="52.05" customHeight="1">
      <c r="A30" s="35">
        <v>5</v>
      </c>
      <c r="B30" s="35" t="s">
        <v>2334</v>
      </c>
      <c r="C30" s="35" t="s">
        <v>1036</v>
      </c>
      <c r="D30" s="35" t="s">
        <v>1037</v>
      </c>
      <c r="E30" s="35" t="s">
        <v>2348</v>
      </c>
      <c r="F30" s="35" t="s">
        <v>668</v>
      </c>
      <c r="G30" s="35" t="s">
        <v>1014</v>
      </c>
    </row>
    <row r="31" spans="1:16" ht="52.05" customHeight="1">
      <c r="A31" s="35">
        <v>6</v>
      </c>
      <c r="B31" s="35" t="s">
        <v>241</v>
      </c>
      <c r="C31" s="35" t="s">
        <v>1108</v>
      </c>
      <c r="D31" s="35" t="s">
        <v>1039</v>
      </c>
      <c r="E31" s="35" t="s">
        <v>1040</v>
      </c>
      <c r="F31" s="35" t="s">
        <v>1109</v>
      </c>
      <c r="G31" s="35" t="s">
        <v>1042</v>
      </c>
    </row>
  </sheetData>
  <mergeCells count="9">
    <mergeCell ref="A23:O23"/>
    <mergeCell ref="A1:O1"/>
    <mergeCell ref="A2:O2"/>
    <mergeCell ref="A4:B4"/>
    <mergeCell ref="A5:B6"/>
    <mergeCell ref="D4:E4"/>
    <mergeCell ref="D5:E6"/>
    <mergeCell ref="G4:O4"/>
    <mergeCell ref="G5:O6"/>
  </mergeCells>
  <conditionalFormatting sqref="O10:O21">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1" xr:uid="{00000000-0002-0000-0600-000000000000}">
      <formula1>"Not Started,In Progress,Blocked,Ready for Review,Done,Deferred"</formula1>
    </dataValidation>
  </dataValidations>
  <pageMargins left="0.7" right="0.7" top="0.75" bottom="0.75" header="0.3" footer="0.3"/>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1110</v>
      </c>
      <c r="B1" s="59"/>
      <c r="C1" s="59"/>
      <c r="D1" s="59"/>
      <c r="E1" s="59"/>
      <c r="F1" s="59"/>
      <c r="G1" s="59"/>
      <c r="H1" s="59"/>
      <c r="I1" s="59"/>
      <c r="J1" s="59"/>
      <c r="K1" s="59"/>
      <c r="L1" s="59"/>
      <c r="M1" s="59"/>
      <c r="N1" s="59"/>
      <c r="O1" s="59"/>
    </row>
    <row r="2" spans="1:16" ht="31.95" customHeight="1">
      <c r="A2" s="60" t="s">
        <v>1111</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1112</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96.6">
      <c r="A10" s="10" t="s">
        <v>680</v>
      </c>
      <c r="B10" s="10">
        <v>1</v>
      </c>
      <c r="C10" s="10" t="s">
        <v>89</v>
      </c>
      <c r="D10" s="10" t="s">
        <v>681</v>
      </c>
      <c r="E10" s="10" t="s">
        <v>682</v>
      </c>
      <c r="F10" s="10" t="s">
        <v>683</v>
      </c>
      <c r="G10" s="10" t="s">
        <v>93</v>
      </c>
      <c r="H10" s="15">
        <v>1</v>
      </c>
      <c r="I10" s="10" t="s">
        <v>684</v>
      </c>
      <c r="J10" s="10" t="s">
        <v>685</v>
      </c>
      <c r="K10" s="10" t="s">
        <v>686</v>
      </c>
      <c r="L10" s="10" t="s">
        <v>687</v>
      </c>
      <c r="M10" s="10" t="s">
        <v>689</v>
      </c>
      <c r="N10" s="10" t="s">
        <v>690</v>
      </c>
      <c r="O10" s="10" t="s">
        <v>303</v>
      </c>
      <c r="P10" s="29" t="s">
        <v>691</v>
      </c>
    </row>
    <row r="11" spans="1:16" ht="193.8">
      <c r="A11" s="11" t="s">
        <v>692</v>
      </c>
      <c r="B11" s="11">
        <v>2</v>
      </c>
      <c r="C11" s="11" t="s">
        <v>89</v>
      </c>
      <c r="D11" s="11" t="s">
        <v>693</v>
      </c>
      <c r="E11" s="11" t="s">
        <v>694</v>
      </c>
      <c r="F11" s="11" t="s">
        <v>695</v>
      </c>
      <c r="G11" s="11" t="s">
        <v>123</v>
      </c>
      <c r="H11" s="16">
        <v>1.25</v>
      </c>
      <c r="I11" s="11" t="s">
        <v>696</v>
      </c>
      <c r="J11" s="11" t="s">
        <v>194</v>
      </c>
      <c r="K11" s="11" t="s">
        <v>697</v>
      </c>
      <c r="L11" s="11" t="s">
        <v>2336</v>
      </c>
      <c r="M11" s="11" t="s">
        <v>699</v>
      </c>
      <c r="N11" s="11" t="s">
        <v>700</v>
      </c>
      <c r="O11" s="11" t="s">
        <v>303</v>
      </c>
      <c r="P11" s="29" t="s">
        <v>701</v>
      </c>
    </row>
    <row r="12" spans="1:16" ht="193.8">
      <c r="A12" s="11" t="s">
        <v>702</v>
      </c>
      <c r="B12" s="11">
        <v>3</v>
      </c>
      <c r="C12" s="11" t="s">
        <v>89</v>
      </c>
      <c r="D12" s="11" t="s">
        <v>703</v>
      </c>
      <c r="E12" s="11" t="s">
        <v>704</v>
      </c>
      <c r="F12" s="11" t="s">
        <v>705</v>
      </c>
      <c r="G12" s="11" t="s">
        <v>123</v>
      </c>
      <c r="H12" s="16">
        <v>1.25</v>
      </c>
      <c r="I12" s="11" t="s">
        <v>696</v>
      </c>
      <c r="J12" s="11" t="s">
        <v>706</v>
      </c>
      <c r="K12" s="11" t="s">
        <v>707</v>
      </c>
      <c r="L12" s="11" t="s">
        <v>2337</v>
      </c>
      <c r="M12" s="11" t="s">
        <v>709</v>
      </c>
      <c r="N12" s="11" t="s">
        <v>712</v>
      </c>
      <c r="O12" s="11" t="s">
        <v>303</v>
      </c>
      <c r="P12" s="29" t="s">
        <v>713</v>
      </c>
    </row>
    <row r="13" spans="1:16" ht="193.8">
      <c r="A13" s="11" t="s">
        <v>714</v>
      </c>
      <c r="B13" s="11">
        <v>4</v>
      </c>
      <c r="C13" s="11" t="s">
        <v>89</v>
      </c>
      <c r="D13" s="11" t="s">
        <v>715</v>
      </c>
      <c r="E13" s="11" t="s">
        <v>716</v>
      </c>
      <c r="F13" s="11" t="s">
        <v>717</v>
      </c>
      <c r="G13" s="11" t="s">
        <v>123</v>
      </c>
      <c r="H13" s="16">
        <v>1.25</v>
      </c>
      <c r="I13" s="11" t="s">
        <v>696</v>
      </c>
      <c r="J13" s="11" t="s">
        <v>718</v>
      </c>
      <c r="K13" s="11" t="s">
        <v>719</v>
      </c>
      <c r="L13" s="11" t="s">
        <v>2338</v>
      </c>
      <c r="M13" s="11" t="s">
        <v>721</v>
      </c>
      <c r="N13" s="11" t="s">
        <v>723</v>
      </c>
      <c r="O13" s="11" t="s">
        <v>303</v>
      </c>
      <c r="P13" s="29" t="s">
        <v>724</v>
      </c>
    </row>
    <row r="14" spans="1:16" ht="110.4">
      <c r="A14" s="11" t="s">
        <v>725</v>
      </c>
      <c r="B14" s="11">
        <v>5</v>
      </c>
      <c r="C14" s="11" t="s">
        <v>89</v>
      </c>
      <c r="D14" s="11" t="s">
        <v>726</v>
      </c>
      <c r="E14" s="11" t="s">
        <v>727</v>
      </c>
      <c r="F14" s="11" t="s">
        <v>728</v>
      </c>
      <c r="G14" s="11" t="s">
        <v>123</v>
      </c>
      <c r="H14" s="16">
        <v>1.5</v>
      </c>
      <c r="I14" s="11" t="s">
        <v>696</v>
      </c>
      <c r="J14" s="11" t="s">
        <v>729</v>
      </c>
      <c r="K14" s="11" t="s">
        <v>730</v>
      </c>
      <c r="L14" s="11" t="s">
        <v>731</v>
      </c>
      <c r="M14" s="11" t="s">
        <v>733</v>
      </c>
      <c r="N14" s="11" t="s">
        <v>736</v>
      </c>
      <c r="O14" s="11" t="s">
        <v>303</v>
      </c>
      <c r="P14" s="29" t="s">
        <v>737</v>
      </c>
    </row>
    <row r="15" spans="1:16" ht="193.8">
      <c r="A15" s="11" t="s">
        <v>738</v>
      </c>
      <c r="B15" s="11">
        <v>6</v>
      </c>
      <c r="C15" s="11" t="s">
        <v>89</v>
      </c>
      <c r="D15" s="11" t="s">
        <v>739</v>
      </c>
      <c r="E15" s="11" t="s">
        <v>740</v>
      </c>
      <c r="F15" s="11" t="s">
        <v>741</v>
      </c>
      <c r="G15" s="11" t="s">
        <v>123</v>
      </c>
      <c r="H15" s="16">
        <v>1</v>
      </c>
      <c r="I15" s="11" t="s">
        <v>742</v>
      </c>
      <c r="J15" s="11" t="s">
        <v>743</v>
      </c>
      <c r="K15" s="11" t="s">
        <v>744</v>
      </c>
      <c r="L15" s="11" t="s">
        <v>2339</v>
      </c>
      <c r="M15" s="11" t="s">
        <v>746</v>
      </c>
      <c r="N15" s="11" t="s">
        <v>749</v>
      </c>
      <c r="O15" s="11" t="s">
        <v>303</v>
      </c>
      <c r="P15" s="29" t="s">
        <v>750</v>
      </c>
    </row>
    <row r="16" spans="1:16" ht="124.2">
      <c r="A16" s="11" t="s">
        <v>751</v>
      </c>
      <c r="B16" s="11">
        <v>7</v>
      </c>
      <c r="C16" s="11" t="s">
        <v>89</v>
      </c>
      <c r="D16" s="11" t="s">
        <v>752</v>
      </c>
      <c r="E16" s="11" t="s">
        <v>753</v>
      </c>
      <c r="F16" s="11" t="s">
        <v>754</v>
      </c>
      <c r="G16" s="11" t="s">
        <v>123</v>
      </c>
      <c r="H16" s="16">
        <v>1.5</v>
      </c>
      <c r="I16" s="11" t="s">
        <v>755</v>
      </c>
      <c r="J16" s="11" t="s">
        <v>756</v>
      </c>
      <c r="K16" s="11" t="s">
        <v>757</v>
      </c>
      <c r="L16" s="11" t="s">
        <v>758</v>
      </c>
      <c r="M16" s="11" t="s">
        <v>760</v>
      </c>
      <c r="N16" s="11" t="s">
        <v>762</v>
      </c>
      <c r="O16" s="11" t="s">
        <v>303</v>
      </c>
      <c r="P16" s="29" t="s">
        <v>763</v>
      </c>
    </row>
    <row r="17" spans="1:16" ht="193.8">
      <c r="A17" s="11" t="s">
        <v>764</v>
      </c>
      <c r="B17" s="11">
        <v>8</v>
      </c>
      <c r="C17" s="11" t="s">
        <v>89</v>
      </c>
      <c r="D17" s="11" t="s">
        <v>765</v>
      </c>
      <c r="E17" s="11" t="s">
        <v>766</v>
      </c>
      <c r="F17" s="11" t="s">
        <v>767</v>
      </c>
      <c r="G17" s="11" t="s">
        <v>123</v>
      </c>
      <c r="H17" s="16">
        <v>1</v>
      </c>
      <c r="I17" s="11" t="s">
        <v>755</v>
      </c>
      <c r="J17" s="11" t="s">
        <v>101</v>
      </c>
      <c r="K17" s="11" t="s">
        <v>768</v>
      </c>
      <c r="L17" s="11" t="s">
        <v>2340</v>
      </c>
      <c r="M17" s="11" t="s">
        <v>770</v>
      </c>
      <c r="N17" s="11" t="s">
        <v>771</v>
      </c>
      <c r="O17" s="11" t="s">
        <v>303</v>
      </c>
      <c r="P17" s="29" t="s">
        <v>772</v>
      </c>
    </row>
    <row r="18" spans="1:16" ht="110.4">
      <c r="A18" s="11" t="s">
        <v>773</v>
      </c>
      <c r="B18" s="11">
        <v>9</v>
      </c>
      <c r="C18" s="11" t="s">
        <v>89</v>
      </c>
      <c r="D18" s="11" t="s">
        <v>774</v>
      </c>
      <c r="E18" s="11" t="s">
        <v>775</v>
      </c>
      <c r="F18" s="11" t="s">
        <v>776</v>
      </c>
      <c r="G18" s="11" t="s">
        <v>109</v>
      </c>
      <c r="H18" s="16">
        <v>1</v>
      </c>
      <c r="I18" s="11" t="s">
        <v>777</v>
      </c>
      <c r="J18" s="11" t="s">
        <v>598</v>
      </c>
      <c r="K18" s="11" t="s">
        <v>778</v>
      </c>
      <c r="L18" s="11" t="s">
        <v>779</v>
      </c>
      <c r="M18" s="11" t="s">
        <v>781</v>
      </c>
      <c r="N18" s="11" t="s">
        <v>783</v>
      </c>
      <c r="O18" s="11" t="s">
        <v>303</v>
      </c>
      <c r="P18" s="29" t="s">
        <v>784</v>
      </c>
    </row>
    <row r="19" spans="1:16" ht="124.2">
      <c r="A19" s="11" t="s">
        <v>785</v>
      </c>
      <c r="B19" s="11">
        <v>10</v>
      </c>
      <c r="C19" s="11" t="s">
        <v>89</v>
      </c>
      <c r="D19" s="11" t="s">
        <v>786</v>
      </c>
      <c r="E19" s="11" t="s">
        <v>787</v>
      </c>
      <c r="F19" s="11" t="s">
        <v>788</v>
      </c>
      <c r="G19" s="11" t="s">
        <v>93</v>
      </c>
      <c r="H19" s="16">
        <v>1.5</v>
      </c>
      <c r="I19" s="11" t="s">
        <v>777</v>
      </c>
      <c r="J19" s="11" t="s">
        <v>357</v>
      </c>
      <c r="K19" s="11" t="s">
        <v>789</v>
      </c>
      <c r="L19" s="11" t="s">
        <v>790</v>
      </c>
      <c r="M19" s="11" t="s">
        <v>792</v>
      </c>
      <c r="N19" s="11" t="s">
        <v>793</v>
      </c>
      <c r="O19" s="11" t="s">
        <v>303</v>
      </c>
      <c r="P19" s="29" t="s">
        <v>794</v>
      </c>
    </row>
    <row r="20" spans="1:16" ht="110.4">
      <c r="A20" s="11" t="s">
        <v>795</v>
      </c>
      <c r="B20" s="11">
        <v>11</v>
      </c>
      <c r="C20" s="11" t="s">
        <v>89</v>
      </c>
      <c r="D20" s="11" t="s">
        <v>796</v>
      </c>
      <c r="E20" s="11" t="s">
        <v>797</v>
      </c>
      <c r="F20" s="11" t="s">
        <v>798</v>
      </c>
      <c r="G20" s="11" t="s">
        <v>109</v>
      </c>
      <c r="H20" s="16">
        <v>0.75</v>
      </c>
      <c r="I20" s="11" t="s">
        <v>777</v>
      </c>
      <c r="J20" s="11" t="s">
        <v>357</v>
      </c>
      <c r="K20" s="11" t="s">
        <v>799</v>
      </c>
      <c r="L20" s="11" t="s">
        <v>800</v>
      </c>
      <c r="M20" s="11" t="s">
        <v>802</v>
      </c>
      <c r="N20" s="11" t="s">
        <v>804</v>
      </c>
      <c r="O20" s="11" t="s">
        <v>303</v>
      </c>
      <c r="P20" s="29" t="s">
        <v>805</v>
      </c>
    </row>
    <row r="21" spans="1:16" ht="193.8">
      <c r="A21" s="11" t="s">
        <v>806</v>
      </c>
      <c r="B21" s="11">
        <v>12</v>
      </c>
      <c r="C21" s="11" t="s">
        <v>89</v>
      </c>
      <c r="D21" s="11" t="s">
        <v>807</v>
      </c>
      <c r="E21" s="11" t="s">
        <v>808</v>
      </c>
      <c r="F21" s="11" t="s">
        <v>809</v>
      </c>
      <c r="G21" s="11" t="s">
        <v>109</v>
      </c>
      <c r="H21" s="16">
        <v>1</v>
      </c>
      <c r="I21" s="11" t="s">
        <v>777</v>
      </c>
      <c r="J21" s="11" t="s">
        <v>217</v>
      </c>
      <c r="K21" s="11" t="s">
        <v>810</v>
      </c>
      <c r="L21" s="11" t="s">
        <v>2341</v>
      </c>
      <c r="M21" s="11" t="s">
        <v>812</v>
      </c>
      <c r="N21" s="11" t="s">
        <v>813</v>
      </c>
      <c r="O21" s="11" t="s">
        <v>303</v>
      </c>
      <c r="P21" s="29" t="s">
        <v>814</v>
      </c>
    </row>
    <row r="22" spans="1:16" ht="110.4">
      <c r="A22" s="11" t="s">
        <v>815</v>
      </c>
      <c r="B22" s="11">
        <v>13</v>
      </c>
      <c r="C22" s="11" t="s">
        <v>89</v>
      </c>
      <c r="D22" s="11" t="s">
        <v>226</v>
      </c>
      <c r="E22" s="11" t="s">
        <v>816</v>
      </c>
      <c r="F22" s="11" t="s">
        <v>817</v>
      </c>
      <c r="G22" s="11" t="s">
        <v>93</v>
      </c>
      <c r="H22" s="16">
        <v>0.75</v>
      </c>
      <c r="I22" s="11" t="s">
        <v>2342</v>
      </c>
      <c r="J22" s="11" t="s">
        <v>818</v>
      </c>
      <c r="K22" s="11" t="s">
        <v>819</v>
      </c>
      <c r="L22" s="11" t="s">
        <v>820</v>
      </c>
      <c r="M22" s="11" t="s">
        <v>822</v>
      </c>
      <c r="N22" s="11" t="s">
        <v>824</v>
      </c>
      <c r="O22" s="11" t="s">
        <v>303</v>
      </c>
      <c r="P22" s="29" t="s">
        <v>825</v>
      </c>
    </row>
    <row r="23" spans="1:16" ht="24" customHeight="1">
      <c r="A23" s="24" t="s">
        <v>826</v>
      </c>
      <c r="B23" s="24">
        <v>14</v>
      </c>
      <c r="C23" s="24" t="s">
        <v>89</v>
      </c>
      <c r="D23" s="24" t="s">
        <v>238</v>
      </c>
      <c r="E23" s="24" t="s">
        <v>827</v>
      </c>
      <c r="F23" s="24" t="s">
        <v>828</v>
      </c>
      <c r="G23" s="24" t="s">
        <v>109</v>
      </c>
      <c r="H23">
        <v>1</v>
      </c>
      <c r="I23" t="s">
        <v>241</v>
      </c>
      <c r="J23" t="s">
        <v>101</v>
      </c>
      <c r="K23" t="s">
        <v>829</v>
      </c>
      <c r="L23" t="s">
        <v>2315</v>
      </c>
      <c r="M23" t="s">
        <v>830</v>
      </c>
      <c r="N23" t="s">
        <v>246</v>
      </c>
      <c r="O23" t="s">
        <v>303</v>
      </c>
      <c r="P23" s="29" t="s">
        <v>833</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684</v>
      </c>
      <c r="C27" s="34" t="s">
        <v>1113</v>
      </c>
      <c r="D27" s="34" t="s">
        <v>1114</v>
      </c>
      <c r="E27" s="34" t="s">
        <v>1115</v>
      </c>
      <c r="F27" s="34" t="s">
        <v>1116</v>
      </c>
      <c r="G27" s="34" t="s">
        <v>1014</v>
      </c>
    </row>
    <row r="28" spans="1:16" ht="52.05" customHeight="1">
      <c r="A28" s="22">
        <v>2</v>
      </c>
      <c r="B28" s="22" t="s">
        <v>696</v>
      </c>
      <c r="C28" s="22" t="s">
        <v>1117</v>
      </c>
      <c r="D28" s="22" t="s">
        <v>1118</v>
      </c>
      <c r="E28" s="22" t="s">
        <v>1119</v>
      </c>
      <c r="F28" s="22" t="s">
        <v>1120</v>
      </c>
      <c r="G28" s="22" t="s">
        <v>1023</v>
      </c>
    </row>
    <row r="29" spans="1:16" ht="52.05" customHeight="1">
      <c r="A29" s="34">
        <v>3</v>
      </c>
      <c r="B29" s="34" t="s">
        <v>755</v>
      </c>
      <c r="C29" s="34" t="s">
        <v>1121</v>
      </c>
      <c r="D29" s="34" t="s">
        <v>1122</v>
      </c>
      <c r="E29" s="34" t="s">
        <v>1123</v>
      </c>
      <c r="F29" s="34" t="s">
        <v>1124</v>
      </c>
      <c r="G29" s="34" t="s">
        <v>1023</v>
      </c>
    </row>
    <row r="30" spans="1:16" ht="52.05" customHeight="1">
      <c r="A30" s="22">
        <v>4</v>
      </c>
      <c r="B30" s="22" t="s">
        <v>742</v>
      </c>
      <c r="C30" s="22" t="s">
        <v>1125</v>
      </c>
      <c r="D30" s="22" t="s">
        <v>1126</v>
      </c>
      <c r="E30" s="22" t="s">
        <v>1127</v>
      </c>
      <c r="F30" s="22" t="s">
        <v>1128</v>
      </c>
      <c r="G30" s="22" t="s">
        <v>1023</v>
      </c>
    </row>
    <row r="31" spans="1:16" ht="52.05" customHeight="1">
      <c r="A31" s="35">
        <v>5</v>
      </c>
      <c r="B31" s="35" t="s">
        <v>777</v>
      </c>
      <c r="C31" s="35" t="s">
        <v>1129</v>
      </c>
      <c r="D31" s="35" t="s">
        <v>1130</v>
      </c>
      <c r="E31" s="35" t="s">
        <v>1131</v>
      </c>
      <c r="F31" s="35" t="s">
        <v>1132</v>
      </c>
      <c r="G31" s="35" t="s">
        <v>1023</v>
      </c>
    </row>
    <row r="32" spans="1:16" ht="52.05" customHeight="1">
      <c r="A32" s="35">
        <v>6</v>
      </c>
      <c r="B32" s="35" t="s">
        <v>2342</v>
      </c>
      <c r="C32" s="35" t="s">
        <v>1036</v>
      </c>
      <c r="D32" s="35" t="s">
        <v>1037</v>
      </c>
      <c r="E32" s="35" t="s">
        <v>2349</v>
      </c>
      <c r="F32" s="35" t="s">
        <v>822</v>
      </c>
      <c r="G32" s="35" t="s">
        <v>1014</v>
      </c>
    </row>
    <row r="33" spans="1:7" ht="52.05" customHeight="1">
      <c r="A33" s="35">
        <v>7</v>
      </c>
      <c r="B33" s="35" t="s">
        <v>241</v>
      </c>
      <c r="C33" s="35" t="s">
        <v>1133</v>
      </c>
      <c r="D33" s="35" t="s">
        <v>1039</v>
      </c>
      <c r="E33" s="35" t="s">
        <v>1040</v>
      </c>
      <c r="F33" s="35" t="s">
        <v>1134</v>
      </c>
      <c r="G33"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2"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59" t="s">
        <v>1135</v>
      </c>
      <c r="B1" s="59"/>
      <c r="C1" s="59"/>
      <c r="D1" s="59"/>
      <c r="E1" s="59"/>
      <c r="F1" s="59"/>
      <c r="G1" s="59"/>
      <c r="H1" s="59"/>
      <c r="I1" s="59"/>
      <c r="J1" s="59"/>
      <c r="K1" s="59"/>
      <c r="L1" s="59"/>
      <c r="M1" s="59"/>
      <c r="N1" s="59"/>
      <c r="O1" s="59"/>
    </row>
    <row r="2" spans="1:16" ht="31.95" customHeight="1">
      <c r="A2" s="60" t="s">
        <v>1136</v>
      </c>
      <c r="B2" s="60"/>
      <c r="C2" s="60"/>
      <c r="D2" s="60"/>
      <c r="E2" s="60"/>
      <c r="F2" s="60"/>
      <c r="G2" s="60"/>
      <c r="H2" s="60"/>
      <c r="I2" s="60"/>
      <c r="J2" s="60"/>
      <c r="K2" s="60"/>
      <c r="L2" s="60"/>
      <c r="M2" s="60"/>
      <c r="N2" s="60"/>
      <c r="O2" s="60"/>
    </row>
    <row r="4" spans="1:16" ht="28.05" customHeight="1">
      <c r="A4" s="61" t="s">
        <v>55</v>
      </c>
      <c r="B4" s="63"/>
      <c r="D4" s="61" t="s">
        <v>48</v>
      </c>
      <c r="E4" s="63"/>
      <c r="G4" s="61" t="s">
        <v>992</v>
      </c>
      <c r="H4" s="62"/>
      <c r="I4" s="62"/>
      <c r="J4" s="62"/>
      <c r="K4" s="62"/>
      <c r="L4" s="62"/>
      <c r="M4" s="62"/>
      <c r="N4" s="62"/>
      <c r="O4" s="63"/>
    </row>
    <row r="5" spans="1:16">
      <c r="A5" s="99">
        <f>IF(COUNTA(O10:O40)=0,0,COUNTIF(O10:O40,"Done")/COUNTA(A10:A40))</f>
        <v>0</v>
      </c>
      <c r="B5" s="100"/>
      <c r="D5" s="103">
        <f>COUNTIF(O10:O40,"Blocked")</f>
        <v>0</v>
      </c>
      <c r="E5" s="104"/>
      <c r="G5" s="107" t="s">
        <v>1137</v>
      </c>
      <c r="H5" s="108"/>
      <c r="I5" s="108"/>
      <c r="J5" s="108"/>
      <c r="K5" s="108"/>
      <c r="L5" s="108"/>
      <c r="M5" s="108"/>
      <c r="N5" s="108"/>
      <c r="O5" s="109"/>
    </row>
    <row r="6" spans="1:16">
      <c r="A6" s="101"/>
      <c r="B6" s="102"/>
      <c r="D6" s="105"/>
      <c r="E6" s="106"/>
      <c r="G6" s="110"/>
      <c r="H6" s="111"/>
      <c r="I6" s="111"/>
      <c r="J6" s="111"/>
      <c r="K6" s="111"/>
      <c r="L6" s="111"/>
      <c r="M6" s="111"/>
      <c r="N6" s="111"/>
      <c r="O6" s="112"/>
    </row>
    <row r="9" spans="1:16" ht="28.05" customHeight="1">
      <c r="A9" s="1" t="s">
        <v>69</v>
      </c>
      <c r="B9" s="2" t="s">
        <v>70</v>
      </c>
      <c r="C9" s="2" t="s">
        <v>71</v>
      </c>
      <c r="D9" s="2" t="s">
        <v>72</v>
      </c>
      <c r="E9" s="2" t="s">
        <v>994</v>
      </c>
      <c r="F9" s="2" t="s">
        <v>995</v>
      </c>
      <c r="G9" s="2" t="s">
        <v>34</v>
      </c>
      <c r="H9" s="2" t="s">
        <v>996</v>
      </c>
      <c r="I9" s="2" t="s">
        <v>997</v>
      </c>
      <c r="J9" s="2" t="s">
        <v>998</v>
      </c>
      <c r="K9" s="2" t="s">
        <v>999</v>
      </c>
      <c r="L9" s="2" t="s">
        <v>1000</v>
      </c>
      <c r="M9" s="2" t="s">
        <v>1001</v>
      </c>
      <c r="N9" s="2" t="s">
        <v>1002</v>
      </c>
      <c r="O9" s="3" t="s">
        <v>85</v>
      </c>
      <c r="P9" s="29" t="s">
        <v>87</v>
      </c>
    </row>
    <row r="10" spans="1:16" ht="110.4">
      <c r="A10" s="10" t="s">
        <v>834</v>
      </c>
      <c r="B10" s="10">
        <v>1</v>
      </c>
      <c r="C10" s="10" t="s">
        <v>89</v>
      </c>
      <c r="D10" s="10" t="s">
        <v>835</v>
      </c>
      <c r="E10" s="10" t="s">
        <v>836</v>
      </c>
      <c r="F10" s="10" t="s">
        <v>837</v>
      </c>
      <c r="G10" s="10" t="s">
        <v>109</v>
      </c>
      <c r="H10" s="15">
        <v>0.75</v>
      </c>
      <c r="I10" s="10" t="s">
        <v>755</v>
      </c>
      <c r="J10" s="10" t="s">
        <v>838</v>
      </c>
      <c r="K10" s="10" t="s">
        <v>839</v>
      </c>
      <c r="L10" s="10" t="s">
        <v>840</v>
      </c>
      <c r="M10" s="10" t="s">
        <v>842</v>
      </c>
      <c r="N10" s="10" t="s">
        <v>844</v>
      </c>
      <c r="O10" s="10" t="s">
        <v>303</v>
      </c>
      <c r="P10" s="29" t="s">
        <v>845</v>
      </c>
    </row>
    <row r="11" spans="1:16" ht="124.2">
      <c r="A11" s="11" t="s">
        <v>846</v>
      </c>
      <c r="B11" s="11">
        <v>2</v>
      </c>
      <c r="C11" s="11" t="s">
        <v>89</v>
      </c>
      <c r="D11" s="11" t="s">
        <v>847</v>
      </c>
      <c r="E11" s="11" t="s">
        <v>848</v>
      </c>
      <c r="F11" s="11" t="s">
        <v>849</v>
      </c>
      <c r="G11" s="11" t="s">
        <v>123</v>
      </c>
      <c r="H11" s="16">
        <v>1.5</v>
      </c>
      <c r="I11" s="11" t="s">
        <v>850</v>
      </c>
      <c r="J11" s="11" t="s">
        <v>838</v>
      </c>
      <c r="K11" s="11" t="s">
        <v>851</v>
      </c>
      <c r="L11" s="11" t="s">
        <v>852</v>
      </c>
      <c r="M11" s="11" t="s">
        <v>854</v>
      </c>
      <c r="N11" s="11" t="s">
        <v>856</v>
      </c>
      <c r="O11" s="11" t="s">
        <v>303</v>
      </c>
      <c r="P11" s="29" t="s">
        <v>857</v>
      </c>
    </row>
    <row r="12" spans="1:16" ht="110.4">
      <c r="A12" s="11" t="s">
        <v>858</v>
      </c>
      <c r="B12" s="11">
        <v>3</v>
      </c>
      <c r="C12" s="11" t="s">
        <v>89</v>
      </c>
      <c r="D12" s="11" t="s">
        <v>859</v>
      </c>
      <c r="E12" s="11" t="s">
        <v>860</v>
      </c>
      <c r="F12" s="11" t="s">
        <v>861</v>
      </c>
      <c r="G12" s="11" t="s">
        <v>123</v>
      </c>
      <c r="H12" s="16">
        <v>1</v>
      </c>
      <c r="I12" s="11" t="s">
        <v>850</v>
      </c>
      <c r="J12" s="11" t="s">
        <v>862</v>
      </c>
      <c r="K12" s="11" t="s">
        <v>863</v>
      </c>
      <c r="L12" s="11" t="s">
        <v>864</v>
      </c>
      <c r="M12" s="11" t="s">
        <v>866</v>
      </c>
      <c r="N12" s="11" t="s">
        <v>868</v>
      </c>
      <c r="O12" s="11" t="s">
        <v>303</v>
      </c>
      <c r="P12" s="29" t="s">
        <v>869</v>
      </c>
    </row>
    <row r="13" spans="1:16" ht="110.4">
      <c r="A13" s="11" t="s">
        <v>870</v>
      </c>
      <c r="B13" s="11">
        <v>4</v>
      </c>
      <c r="C13" s="11" t="s">
        <v>89</v>
      </c>
      <c r="D13" s="11" t="s">
        <v>871</v>
      </c>
      <c r="E13" s="11" t="s">
        <v>872</v>
      </c>
      <c r="F13" s="11" t="s">
        <v>873</v>
      </c>
      <c r="G13" s="11" t="s">
        <v>123</v>
      </c>
      <c r="H13" s="16">
        <v>1</v>
      </c>
      <c r="I13" s="11" t="s">
        <v>850</v>
      </c>
      <c r="J13" s="11" t="s">
        <v>874</v>
      </c>
      <c r="K13" s="11" t="s">
        <v>875</v>
      </c>
      <c r="L13" s="11" t="s">
        <v>876</v>
      </c>
      <c r="M13" s="11" t="s">
        <v>878</v>
      </c>
      <c r="N13" s="11" t="s">
        <v>880</v>
      </c>
      <c r="O13" s="11" t="s">
        <v>303</v>
      </c>
      <c r="P13" s="29" t="s">
        <v>881</v>
      </c>
    </row>
    <row r="14" spans="1:16" ht="110.4">
      <c r="A14" s="11" t="s">
        <v>882</v>
      </c>
      <c r="B14" s="11">
        <v>5</v>
      </c>
      <c r="C14" s="11" t="s">
        <v>89</v>
      </c>
      <c r="D14" s="11" t="s">
        <v>883</v>
      </c>
      <c r="E14" s="11" t="s">
        <v>884</v>
      </c>
      <c r="F14" s="11" t="s">
        <v>885</v>
      </c>
      <c r="G14" s="11" t="s">
        <v>123</v>
      </c>
      <c r="H14" s="16">
        <v>1</v>
      </c>
      <c r="I14" s="11" t="s">
        <v>850</v>
      </c>
      <c r="J14" s="11" t="s">
        <v>503</v>
      </c>
      <c r="K14" s="11" t="s">
        <v>886</v>
      </c>
      <c r="L14" s="11" t="s">
        <v>852</v>
      </c>
      <c r="M14" s="11" t="s">
        <v>888</v>
      </c>
      <c r="N14" s="11" t="s">
        <v>889</v>
      </c>
      <c r="O14" s="11" t="s">
        <v>303</v>
      </c>
      <c r="P14" s="29" t="s">
        <v>890</v>
      </c>
    </row>
    <row r="15" spans="1:16" ht="124.2">
      <c r="A15" s="11" t="s">
        <v>891</v>
      </c>
      <c r="B15" s="11">
        <v>6</v>
      </c>
      <c r="C15" s="11" t="s">
        <v>89</v>
      </c>
      <c r="D15" s="11" t="s">
        <v>892</v>
      </c>
      <c r="E15" s="11" t="s">
        <v>893</v>
      </c>
      <c r="F15" s="11" t="s">
        <v>894</v>
      </c>
      <c r="G15" s="11" t="s">
        <v>123</v>
      </c>
      <c r="H15" s="16">
        <v>1.25</v>
      </c>
      <c r="I15" s="11" t="s">
        <v>895</v>
      </c>
      <c r="J15" s="11" t="s">
        <v>491</v>
      </c>
      <c r="K15" s="11" t="s">
        <v>896</v>
      </c>
      <c r="L15" s="11" t="s">
        <v>621</v>
      </c>
      <c r="M15" s="11" t="s">
        <v>898</v>
      </c>
      <c r="N15" s="11" t="s">
        <v>900</v>
      </c>
      <c r="O15" s="11" t="s">
        <v>303</v>
      </c>
      <c r="P15" s="29" t="s">
        <v>901</v>
      </c>
    </row>
    <row r="16" spans="1:16" ht="110.4">
      <c r="A16" s="11" t="s">
        <v>902</v>
      </c>
      <c r="B16" s="11">
        <v>7</v>
      </c>
      <c r="C16" s="11" t="s">
        <v>89</v>
      </c>
      <c r="D16" s="11" t="s">
        <v>903</v>
      </c>
      <c r="E16" s="11" t="s">
        <v>904</v>
      </c>
      <c r="F16" s="11" t="s">
        <v>905</v>
      </c>
      <c r="G16" s="11" t="s">
        <v>109</v>
      </c>
      <c r="H16" s="16">
        <v>1</v>
      </c>
      <c r="I16" s="11" t="s">
        <v>895</v>
      </c>
      <c r="J16" s="11" t="s">
        <v>906</v>
      </c>
      <c r="K16" s="11" t="s">
        <v>907</v>
      </c>
      <c r="L16" s="11" t="s">
        <v>908</v>
      </c>
      <c r="M16" s="11" t="s">
        <v>910</v>
      </c>
      <c r="N16" s="11" t="s">
        <v>911</v>
      </c>
      <c r="O16" s="11" t="s">
        <v>303</v>
      </c>
      <c r="P16" s="29" t="s">
        <v>912</v>
      </c>
    </row>
    <row r="17" spans="1:16" ht="110.4">
      <c r="A17" s="11" t="s">
        <v>913</v>
      </c>
      <c r="B17" s="11">
        <v>8</v>
      </c>
      <c r="C17" s="11" t="s">
        <v>89</v>
      </c>
      <c r="D17" s="11" t="s">
        <v>914</v>
      </c>
      <c r="E17" s="11" t="s">
        <v>915</v>
      </c>
      <c r="F17" s="11" t="s">
        <v>916</v>
      </c>
      <c r="G17" s="11" t="s">
        <v>917</v>
      </c>
      <c r="H17" s="16">
        <v>1</v>
      </c>
      <c r="I17" s="11" t="s">
        <v>895</v>
      </c>
      <c r="J17" s="11" t="s">
        <v>491</v>
      </c>
      <c r="K17" s="11" t="s">
        <v>918</v>
      </c>
      <c r="L17" s="11" t="s">
        <v>919</v>
      </c>
      <c r="M17" s="11" t="s">
        <v>921</v>
      </c>
      <c r="N17" s="11" t="s">
        <v>924</v>
      </c>
      <c r="O17" s="11" t="s">
        <v>303</v>
      </c>
      <c r="P17" s="29" t="s">
        <v>925</v>
      </c>
    </row>
    <row r="18" spans="1:16" ht="110.4">
      <c r="A18" s="11" t="s">
        <v>926</v>
      </c>
      <c r="B18" s="11">
        <v>9</v>
      </c>
      <c r="C18" s="11" t="s">
        <v>89</v>
      </c>
      <c r="D18" s="11" t="s">
        <v>927</v>
      </c>
      <c r="E18" s="11" t="s">
        <v>928</v>
      </c>
      <c r="F18" s="11" t="s">
        <v>929</v>
      </c>
      <c r="G18" s="11" t="s">
        <v>109</v>
      </c>
      <c r="H18" s="16">
        <v>1</v>
      </c>
      <c r="I18" s="11" t="s">
        <v>895</v>
      </c>
      <c r="J18" s="11" t="s">
        <v>930</v>
      </c>
      <c r="K18" s="11" t="s">
        <v>931</v>
      </c>
      <c r="L18" s="11" t="s">
        <v>932</v>
      </c>
      <c r="M18" s="11" t="s">
        <v>934</v>
      </c>
      <c r="N18" s="11" t="s">
        <v>936</v>
      </c>
      <c r="O18" s="11" t="s">
        <v>303</v>
      </c>
      <c r="P18" s="29" t="s">
        <v>937</v>
      </c>
    </row>
    <row r="19" spans="1:16" ht="124.2">
      <c r="A19" s="11" t="s">
        <v>938</v>
      </c>
      <c r="B19" s="11">
        <v>10</v>
      </c>
      <c r="C19" s="11" t="s">
        <v>89</v>
      </c>
      <c r="D19" s="11" t="s">
        <v>939</v>
      </c>
      <c r="E19" s="11" t="s">
        <v>940</v>
      </c>
      <c r="F19" s="11" t="s">
        <v>941</v>
      </c>
      <c r="G19" s="11" t="s">
        <v>109</v>
      </c>
      <c r="H19" s="16">
        <v>1.25</v>
      </c>
      <c r="I19" s="11" t="s">
        <v>942</v>
      </c>
      <c r="J19" s="11" t="s">
        <v>469</v>
      </c>
      <c r="K19" s="11" t="s">
        <v>943</v>
      </c>
      <c r="L19" s="11" t="s">
        <v>944</v>
      </c>
      <c r="M19" s="11" t="s">
        <v>946</v>
      </c>
      <c r="N19" s="11" t="s">
        <v>948</v>
      </c>
      <c r="O19" s="11" t="s">
        <v>303</v>
      </c>
      <c r="P19" s="29" t="s">
        <v>949</v>
      </c>
    </row>
    <row r="20" spans="1:16" ht="193.8">
      <c r="A20" s="11" t="s">
        <v>950</v>
      </c>
      <c r="B20" s="11">
        <v>11</v>
      </c>
      <c r="C20" s="11" t="s">
        <v>89</v>
      </c>
      <c r="D20" s="11" t="s">
        <v>951</v>
      </c>
      <c r="E20" s="11" t="s">
        <v>952</v>
      </c>
      <c r="F20" s="11" t="s">
        <v>953</v>
      </c>
      <c r="G20" s="11" t="s">
        <v>93</v>
      </c>
      <c r="H20" s="16">
        <v>0.75</v>
      </c>
      <c r="I20" s="11" t="s">
        <v>942</v>
      </c>
      <c r="J20" s="11" t="s">
        <v>357</v>
      </c>
      <c r="K20" s="11" t="s">
        <v>954</v>
      </c>
      <c r="L20" s="11" t="s">
        <v>2343</v>
      </c>
      <c r="M20" s="11" t="s">
        <v>956</v>
      </c>
      <c r="N20" s="11" t="s">
        <v>957</v>
      </c>
      <c r="O20" s="11" t="s">
        <v>303</v>
      </c>
      <c r="P20" s="29" t="s">
        <v>958</v>
      </c>
    </row>
    <row r="21" spans="1:16" ht="110.4">
      <c r="A21" s="11" t="s">
        <v>959</v>
      </c>
      <c r="B21" s="11">
        <v>12</v>
      </c>
      <c r="C21" s="11" t="s">
        <v>89</v>
      </c>
      <c r="D21" s="11" t="s">
        <v>960</v>
      </c>
      <c r="E21" s="11" t="s">
        <v>961</v>
      </c>
      <c r="F21" s="11" t="s">
        <v>962</v>
      </c>
      <c r="G21" s="11" t="s">
        <v>93</v>
      </c>
      <c r="H21" s="16">
        <v>1.25</v>
      </c>
      <c r="I21" s="11" t="s">
        <v>777</v>
      </c>
      <c r="J21" s="11" t="s">
        <v>206</v>
      </c>
      <c r="K21" s="11" t="s">
        <v>963</v>
      </c>
      <c r="L21" s="11" t="s">
        <v>964</v>
      </c>
      <c r="M21" s="11" t="s">
        <v>966</v>
      </c>
      <c r="N21" s="11" t="s">
        <v>968</v>
      </c>
      <c r="O21" s="11" t="s">
        <v>303</v>
      </c>
      <c r="P21" s="29" t="s">
        <v>969</v>
      </c>
    </row>
    <row r="22" spans="1:16" ht="124.2">
      <c r="A22" s="11" t="s">
        <v>970</v>
      </c>
      <c r="B22" s="11">
        <v>13</v>
      </c>
      <c r="C22" s="11" t="s">
        <v>89</v>
      </c>
      <c r="D22" s="11" t="s">
        <v>971</v>
      </c>
      <c r="E22" s="11" t="s">
        <v>972</v>
      </c>
      <c r="F22" s="11" t="s">
        <v>973</v>
      </c>
      <c r="G22" s="11" t="s">
        <v>93</v>
      </c>
      <c r="H22" s="16">
        <v>1</v>
      </c>
      <c r="I22" s="11" t="s">
        <v>942</v>
      </c>
      <c r="J22" s="11" t="s">
        <v>101</v>
      </c>
      <c r="K22" s="11" t="s">
        <v>974</v>
      </c>
      <c r="L22" s="11" t="s">
        <v>975</v>
      </c>
      <c r="M22" s="11" t="s">
        <v>977</v>
      </c>
      <c r="N22" s="11" t="s">
        <v>979</v>
      </c>
      <c r="O22" s="11" t="s">
        <v>303</v>
      </c>
      <c r="P22" s="29" t="s">
        <v>980</v>
      </c>
    </row>
    <row r="23" spans="1:16" ht="24" customHeight="1">
      <c r="A23" s="24" t="s">
        <v>981</v>
      </c>
      <c r="B23" s="24">
        <v>14</v>
      </c>
      <c r="C23" s="24" t="s">
        <v>89</v>
      </c>
      <c r="D23" s="24" t="s">
        <v>238</v>
      </c>
      <c r="E23" s="24" t="s">
        <v>982</v>
      </c>
      <c r="F23" s="24" t="s">
        <v>983</v>
      </c>
      <c r="G23" s="24" t="s">
        <v>109</v>
      </c>
      <c r="H23">
        <v>1.5</v>
      </c>
      <c r="I23" t="s">
        <v>241</v>
      </c>
      <c r="J23" t="s">
        <v>101</v>
      </c>
      <c r="K23" t="s">
        <v>984</v>
      </c>
      <c r="L23" t="s">
        <v>2316</v>
      </c>
      <c r="M23" t="s">
        <v>986</v>
      </c>
      <c r="N23" t="s">
        <v>246</v>
      </c>
      <c r="O23" t="s">
        <v>303</v>
      </c>
      <c r="P23" s="29" t="s">
        <v>989</v>
      </c>
    </row>
    <row r="24" spans="1:16" ht="34.049999999999997" customHeight="1">
      <c r="A24" s="113"/>
      <c r="B24" s="113"/>
      <c r="C24" s="113"/>
      <c r="D24" s="113"/>
      <c r="E24" s="113"/>
      <c r="F24" s="113"/>
      <c r="G24" s="113"/>
      <c r="H24" s="98"/>
      <c r="I24" s="98"/>
      <c r="J24" s="98"/>
      <c r="K24" s="98"/>
      <c r="L24" s="98"/>
      <c r="M24" s="98"/>
      <c r="N24" s="98"/>
      <c r="O24" s="98"/>
    </row>
    <row r="25" spans="1:16" ht="48" customHeight="1">
      <c r="A25" s="32" t="s">
        <v>1003</v>
      </c>
      <c r="B25" s="32"/>
      <c r="C25" s="32"/>
      <c r="D25" s="32"/>
      <c r="E25" s="32"/>
      <c r="F25" s="32"/>
      <c r="G25" s="32"/>
      <c r="H25" s="31"/>
      <c r="I25" s="31"/>
      <c r="J25" s="31"/>
      <c r="K25" s="31"/>
      <c r="L25" s="31"/>
      <c r="M25" s="31"/>
      <c r="N25" s="31"/>
      <c r="O25" s="31"/>
      <c r="P25" s="31"/>
    </row>
    <row r="26" spans="1:16" ht="48" customHeight="1">
      <c r="A26" s="33" t="s">
        <v>1004</v>
      </c>
      <c r="B26" s="33" t="s">
        <v>76</v>
      </c>
      <c r="C26" s="33" t="s">
        <v>1005</v>
      </c>
      <c r="D26" s="33" t="s">
        <v>1006</v>
      </c>
      <c r="E26" s="33" t="s">
        <v>1007</v>
      </c>
      <c r="F26" s="33" t="s">
        <v>1008</v>
      </c>
      <c r="G26" s="33" t="s">
        <v>1009</v>
      </c>
    </row>
    <row r="27" spans="1:16" ht="52.05" customHeight="1">
      <c r="A27" s="34">
        <v>1</v>
      </c>
      <c r="B27" s="34" t="s">
        <v>850</v>
      </c>
      <c r="C27" s="34" t="s">
        <v>1138</v>
      </c>
      <c r="D27" s="34" t="s">
        <v>1139</v>
      </c>
      <c r="E27" s="34" t="s">
        <v>1140</v>
      </c>
      <c r="F27" s="34" t="s">
        <v>1141</v>
      </c>
      <c r="G27" s="34" t="s">
        <v>1023</v>
      </c>
    </row>
    <row r="28" spans="1:16" ht="52.05" customHeight="1">
      <c r="A28" s="35">
        <v>2</v>
      </c>
      <c r="B28" s="35" t="s">
        <v>895</v>
      </c>
      <c r="C28" s="35" t="s">
        <v>1142</v>
      </c>
      <c r="D28" s="35" t="s">
        <v>1143</v>
      </c>
      <c r="E28" s="35" t="s">
        <v>1144</v>
      </c>
      <c r="F28" s="35" t="s">
        <v>1145</v>
      </c>
      <c r="G28" s="35" t="s">
        <v>1023</v>
      </c>
    </row>
    <row r="29" spans="1:16" ht="52.05" customHeight="1">
      <c r="A29" s="35">
        <v>3</v>
      </c>
      <c r="B29" s="35" t="s">
        <v>942</v>
      </c>
      <c r="C29" s="35" t="s">
        <v>1146</v>
      </c>
      <c r="D29" s="35" t="s">
        <v>1147</v>
      </c>
      <c r="E29" s="35" t="s">
        <v>1148</v>
      </c>
      <c r="F29" s="35" t="s">
        <v>1149</v>
      </c>
      <c r="G29" s="35" t="s">
        <v>1023</v>
      </c>
    </row>
    <row r="30" spans="1:16" ht="52.05" customHeight="1">
      <c r="A30" s="35">
        <v>4</v>
      </c>
      <c r="B30" s="35" t="s">
        <v>241</v>
      </c>
      <c r="C30" s="35" t="s">
        <v>1150</v>
      </c>
      <c r="D30" s="35" t="s">
        <v>1039</v>
      </c>
      <c r="E30" s="35" t="s">
        <v>1040</v>
      </c>
      <c r="F30" s="35" t="s">
        <v>1151</v>
      </c>
      <c r="G30" s="35" t="s">
        <v>1042</v>
      </c>
    </row>
  </sheetData>
  <mergeCells count="9">
    <mergeCell ref="A24:O24"/>
    <mergeCell ref="A1:O1"/>
    <mergeCell ref="A2:O2"/>
    <mergeCell ref="A4:B4"/>
    <mergeCell ref="A5:B6"/>
    <mergeCell ref="D4:E4"/>
    <mergeCell ref="D5:E6"/>
    <mergeCell ref="G4:O4"/>
    <mergeCell ref="G5:O6"/>
  </mergeCells>
  <conditionalFormatting sqref="O10:O22">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2"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
  <sheetViews>
    <sheetView showGridLines="0" topLeftCell="C4" workbookViewId="0">
      <selection sqref="A1:H1"/>
    </sheetView>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59" t="s">
        <v>1152</v>
      </c>
      <c r="B1" s="59"/>
      <c r="C1" s="59"/>
      <c r="D1" s="59"/>
      <c r="E1" s="59"/>
      <c r="F1" s="59"/>
      <c r="G1" s="59"/>
      <c r="H1" s="59"/>
    </row>
    <row r="2" spans="1:8" ht="31.95" customHeight="1">
      <c r="A2" s="60" t="s">
        <v>1153</v>
      </c>
      <c r="B2" s="60"/>
      <c r="C2" s="60"/>
      <c r="D2" s="60"/>
      <c r="E2" s="60"/>
      <c r="F2" s="60"/>
      <c r="G2" s="60"/>
      <c r="H2" s="60"/>
    </row>
    <row r="4" spans="1:8" ht="46.05" customHeight="1">
      <c r="A4" s="114" t="s">
        <v>1154</v>
      </c>
      <c r="B4" s="115"/>
      <c r="C4" s="115"/>
      <c r="D4" s="115"/>
      <c r="E4" s="115"/>
      <c r="F4" s="115"/>
      <c r="G4" s="115"/>
      <c r="H4" s="116"/>
    </row>
    <row r="6" spans="1:8" ht="28.05" customHeight="1">
      <c r="A6" s="1" t="s">
        <v>1155</v>
      </c>
      <c r="B6" s="2" t="s">
        <v>1156</v>
      </c>
      <c r="C6" s="2" t="s">
        <v>1157</v>
      </c>
      <c r="D6" s="2" t="s">
        <v>1158</v>
      </c>
      <c r="E6" s="2" t="s">
        <v>1159</v>
      </c>
      <c r="F6" s="2" t="s">
        <v>1160</v>
      </c>
      <c r="G6" s="2" t="s">
        <v>1161</v>
      </c>
      <c r="H6" s="3" t="s">
        <v>1162</v>
      </c>
    </row>
    <row r="7" spans="1:8">
      <c r="A7" s="10" t="s">
        <v>1163</v>
      </c>
      <c r="B7" s="10" t="s">
        <v>1164</v>
      </c>
      <c r="C7" s="10" t="s">
        <v>1165</v>
      </c>
      <c r="D7" s="10" t="s">
        <v>1166</v>
      </c>
      <c r="E7" s="10" t="s">
        <v>1167</v>
      </c>
      <c r="F7" s="10" t="s">
        <v>1168</v>
      </c>
      <c r="G7" s="10" t="s">
        <v>1169</v>
      </c>
      <c r="H7" s="10" t="s">
        <v>1170</v>
      </c>
    </row>
    <row r="8" spans="1:8" ht="22.8">
      <c r="A8" s="11" t="s">
        <v>1163</v>
      </c>
      <c r="B8" s="11" t="s">
        <v>1171</v>
      </c>
      <c r="C8" s="11" t="s">
        <v>1172</v>
      </c>
      <c r="D8" s="11" t="s">
        <v>1173</v>
      </c>
      <c r="E8" s="11" t="s">
        <v>37</v>
      </c>
      <c r="F8" s="11" t="s">
        <v>426</v>
      </c>
      <c r="G8" s="11" t="s">
        <v>1174</v>
      </c>
      <c r="H8" s="11" t="s">
        <v>1175</v>
      </c>
    </row>
    <row r="9" spans="1:8">
      <c r="A9" s="11" t="s">
        <v>1163</v>
      </c>
      <c r="B9" s="11" t="s">
        <v>1176</v>
      </c>
      <c r="C9" s="11" t="s">
        <v>1177</v>
      </c>
      <c r="D9" s="11" t="s">
        <v>1178</v>
      </c>
      <c r="E9" s="11" t="s">
        <v>37</v>
      </c>
      <c r="F9" s="11" t="s">
        <v>152</v>
      </c>
      <c r="G9" s="11" t="s">
        <v>1179</v>
      </c>
      <c r="H9" s="11" t="s">
        <v>1180</v>
      </c>
    </row>
    <row r="10" spans="1:8" ht="22.8">
      <c r="A10" s="11" t="s">
        <v>1163</v>
      </c>
      <c r="B10" s="11" t="s">
        <v>1181</v>
      </c>
      <c r="C10" s="11" t="s">
        <v>1182</v>
      </c>
      <c r="D10" s="11" t="s">
        <v>1183</v>
      </c>
      <c r="E10" s="11" t="s">
        <v>37</v>
      </c>
      <c r="F10" s="11" t="s">
        <v>279</v>
      </c>
      <c r="G10" s="11" t="s">
        <v>1184</v>
      </c>
      <c r="H10" s="11" t="s">
        <v>1185</v>
      </c>
    </row>
    <row r="11" spans="1:8">
      <c r="A11" s="11" t="s">
        <v>1163</v>
      </c>
      <c r="B11" s="11" t="s">
        <v>1186</v>
      </c>
      <c r="C11" s="11" t="s">
        <v>1187</v>
      </c>
      <c r="D11" s="11" t="s">
        <v>1188</v>
      </c>
      <c r="E11" s="11" t="s">
        <v>59</v>
      </c>
      <c r="F11" s="11" t="s">
        <v>279</v>
      </c>
      <c r="G11" s="11" t="s">
        <v>1189</v>
      </c>
      <c r="H11" s="11" t="s">
        <v>1190</v>
      </c>
    </row>
    <row r="12" spans="1:8">
      <c r="A12" s="11" t="s">
        <v>1191</v>
      </c>
      <c r="B12" s="11" t="s">
        <v>1192</v>
      </c>
      <c r="C12" s="11" t="s">
        <v>1193</v>
      </c>
      <c r="D12" s="11" t="s">
        <v>1194</v>
      </c>
      <c r="E12" s="11" t="s">
        <v>58</v>
      </c>
      <c r="F12" s="11" t="s">
        <v>548</v>
      </c>
      <c r="G12" s="11" t="s">
        <v>1195</v>
      </c>
      <c r="H12" s="11" t="s">
        <v>1196</v>
      </c>
    </row>
    <row r="13" spans="1:8">
      <c r="A13" s="11" t="s">
        <v>1191</v>
      </c>
      <c r="B13" s="11" t="s">
        <v>1197</v>
      </c>
      <c r="C13" s="11" t="s">
        <v>1198</v>
      </c>
      <c r="D13" s="11" t="s">
        <v>1199</v>
      </c>
      <c r="E13" s="11" t="s">
        <v>1200</v>
      </c>
      <c r="F13" s="11" t="s">
        <v>327</v>
      </c>
      <c r="G13" s="11" t="s">
        <v>1201</v>
      </c>
      <c r="H13" s="11" t="s">
        <v>1202</v>
      </c>
    </row>
    <row r="14" spans="1:8" ht="22.8">
      <c r="A14" s="11" t="s">
        <v>1191</v>
      </c>
      <c r="B14" s="11" t="s">
        <v>1203</v>
      </c>
      <c r="C14" s="11" t="s">
        <v>1204</v>
      </c>
      <c r="D14" s="11" t="s">
        <v>1205</v>
      </c>
      <c r="E14" s="11" t="s">
        <v>1206</v>
      </c>
      <c r="F14" s="11" t="s">
        <v>269</v>
      </c>
      <c r="G14" s="11" t="s">
        <v>1207</v>
      </c>
      <c r="H14" s="11" t="s">
        <v>1208</v>
      </c>
    </row>
    <row r="15" spans="1:8">
      <c r="A15" s="11" t="s">
        <v>1191</v>
      </c>
      <c r="B15" s="11" t="s">
        <v>1209</v>
      </c>
      <c r="C15" s="11" t="s">
        <v>1210</v>
      </c>
      <c r="D15" s="11" t="s">
        <v>1211</v>
      </c>
      <c r="E15" s="11" t="s">
        <v>57</v>
      </c>
      <c r="F15" s="11" t="s">
        <v>415</v>
      </c>
      <c r="G15" s="11" t="s">
        <v>1212</v>
      </c>
      <c r="H15" s="11" t="s">
        <v>1213</v>
      </c>
    </row>
    <row r="16" spans="1:8" ht="22.8">
      <c r="A16" s="11" t="s">
        <v>1191</v>
      </c>
      <c r="B16" s="11" t="s">
        <v>1214</v>
      </c>
      <c r="C16" s="11" t="s">
        <v>1215</v>
      </c>
      <c r="D16" s="11" t="s">
        <v>1216</v>
      </c>
      <c r="E16" s="11" t="s">
        <v>57</v>
      </c>
      <c r="F16" s="11" t="s">
        <v>426</v>
      </c>
      <c r="G16" s="11" t="s">
        <v>1217</v>
      </c>
      <c r="H16" s="11" t="s">
        <v>1218</v>
      </c>
    </row>
    <row r="17" spans="1:8">
      <c r="A17" s="11" t="s">
        <v>1219</v>
      </c>
      <c r="B17" s="11" t="s">
        <v>1220</v>
      </c>
      <c r="C17" s="11" t="s">
        <v>1221</v>
      </c>
      <c r="D17" s="11" t="s">
        <v>1222</v>
      </c>
      <c r="E17" s="11" t="s">
        <v>58</v>
      </c>
      <c r="F17" s="11" t="s">
        <v>569</v>
      </c>
      <c r="G17" s="11" t="s">
        <v>1223</v>
      </c>
      <c r="H17" s="11" t="s">
        <v>1224</v>
      </c>
    </row>
    <row r="18" spans="1:8">
      <c r="A18" s="11" t="s">
        <v>1219</v>
      </c>
      <c r="B18" s="11" t="s">
        <v>1225</v>
      </c>
      <c r="C18" s="11" t="s">
        <v>1226</v>
      </c>
      <c r="D18" s="11" t="s">
        <v>1227</v>
      </c>
      <c r="E18" s="11" t="s">
        <v>58</v>
      </c>
      <c r="F18" s="11" t="s">
        <v>590</v>
      </c>
      <c r="G18" s="11" t="s">
        <v>1228</v>
      </c>
      <c r="H18" s="11" t="s">
        <v>1229</v>
      </c>
    </row>
    <row r="19" spans="1:8">
      <c r="A19" s="11" t="s">
        <v>1230</v>
      </c>
      <c r="B19" s="11" t="s">
        <v>1231</v>
      </c>
      <c r="C19" s="11" t="s">
        <v>1232</v>
      </c>
      <c r="D19" s="11" t="s">
        <v>1233</v>
      </c>
      <c r="E19" s="11" t="s">
        <v>60</v>
      </c>
      <c r="F19" s="11" t="s">
        <v>855</v>
      </c>
      <c r="G19" s="11" t="s">
        <v>1234</v>
      </c>
      <c r="H19" s="11" t="s">
        <v>1235</v>
      </c>
    </row>
    <row r="20" spans="1:8">
      <c r="A20" s="11" t="s">
        <v>1236</v>
      </c>
      <c r="B20" s="11" t="s">
        <v>1237</v>
      </c>
      <c r="C20" s="11" t="s">
        <v>1238</v>
      </c>
      <c r="D20" s="11" t="s">
        <v>1239</v>
      </c>
      <c r="E20" s="11" t="s">
        <v>1240</v>
      </c>
      <c r="F20" s="11" t="s">
        <v>1168</v>
      </c>
      <c r="G20" s="11" t="s">
        <v>1241</v>
      </c>
      <c r="H20" s="11" t="s">
        <v>1242</v>
      </c>
    </row>
    <row r="21" spans="1:8" ht="22.8">
      <c r="A21" s="11" t="s">
        <v>1243</v>
      </c>
      <c r="B21" s="11" t="s">
        <v>1244</v>
      </c>
      <c r="C21" s="11" t="s">
        <v>1245</v>
      </c>
      <c r="D21" s="11" t="s">
        <v>1246</v>
      </c>
      <c r="E21" s="11" t="s">
        <v>1247</v>
      </c>
      <c r="F21" s="11" t="s">
        <v>1248</v>
      </c>
      <c r="G21" s="11" t="s">
        <v>1249</v>
      </c>
      <c r="H21" s="11" t="s">
        <v>1250</v>
      </c>
    </row>
    <row r="22" spans="1:8">
      <c r="A22" s="11" t="s">
        <v>1251</v>
      </c>
      <c r="B22" s="11" t="s">
        <v>1252</v>
      </c>
      <c r="C22" s="11" t="s">
        <v>1253</v>
      </c>
      <c r="D22" s="11" t="s">
        <v>1254</v>
      </c>
      <c r="E22" s="11" t="s">
        <v>1255</v>
      </c>
      <c r="F22" s="11" t="s">
        <v>496</v>
      </c>
      <c r="G22" s="11" t="s">
        <v>1256</v>
      </c>
      <c r="H22" s="11" t="s">
        <v>1257</v>
      </c>
    </row>
    <row r="23" spans="1:8" ht="22.8">
      <c r="A23" s="11" t="s">
        <v>1251</v>
      </c>
      <c r="B23" s="11" t="s">
        <v>1258</v>
      </c>
      <c r="C23" s="11" t="s">
        <v>1259</v>
      </c>
      <c r="D23" s="11" t="s">
        <v>1260</v>
      </c>
      <c r="E23" s="11" t="s">
        <v>60</v>
      </c>
      <c r="F23" s="11" t="s">
        <v>1261</v>
      </c>
      <c r="G23" s="11" t="s">
        <v>1262</v>
      </c>
      <c r="H23" s="11" t="s">
        <v>1263</v>
      </c>
    </row>
    <row r="24" spans="1:8">
      <c r="A24" s="11" t="s">
        <v>1264</v>
      </c>
      <c r="B24" s="11" t="s">
        <v>1265</v>
      </c>
      <c r="C24" s="11" t="s">
        <v>1266</v>
      </c>
      <c r="D24" s="11" t="s">
        <v>1267</v>
      </c>
      <c r="E24" s="11" t="s">
        <v>1268</v>
      </c>
      <c r="F24" s="11" t="s">
        <v>1269</v>
      </c>
      <c r="G24" s="11" t="s">
        <v>1270</v>
      </c>
      <c r="H24" s="11" t="s">
        <v>1271</v>
      </c>
    </row>
  </sheetData>
  <mergeCells count="3">
    <mergeCell ref="A1:H1"/>
    <mergeCell ref="A2:H2"/>
    <mergeCell ref="A4:H4"/>
  </mergeCells>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44"/>
  <sheetViews>
    <sheetView showGridLines="0" tabSelected="1" topLeftCell="L26" workbookViewId="0">
      <selection activeCell="N26" sqref="N26"/>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16384" width="8.796875" style="27"/>
  </cols>
  <sheetData>
    <row r="1" spans="1:14" ht="22.8">
      <c r="A1" s="57" t="s">
        <v>1272</v>
      </c>
      <c r="B1" s="57"/>
      <c r="C1" s="57"/>
      <c r="D1" s="57"/>
      <c r="E1" s="57"/>
      <c r="F1" s="57"/>
      <c r="G1" s="57"/>
      <c r="H1" s="57"/>
      <c r="I1" s="57"/>
      <c r="J1" s="57"/>
      <c r="K1" s="51"/>
      <c r="L1" s="51"/>
      <c r="M1" s="54"/>
      <c r="N1" s="54"/>
    </row>
    <row r="2" spans="1:14">
      <c r="A2" s="58" t="s">
        <v>1273</v>
      </c>
      <c r="B2" s="58"/>
      <c r="C2" s="58"/>
      <c r="D2" s="58"/>
      <c r="E2" s="58"/>
      <c r="F2" s="58"/>
      <c r="G2" s="58"/>
      <c r="H2" s="58"/>
      <c r="I2" s="58"/>
      <c r="J2" s="58"/>
      <c r="K2" s="52"/>
      <c r="L2" s="52"/>
      <c r="M2" s="55"/>
      <c r="N2" s="55"/>
    </row>
    <row r="3" spans="1:14">
      <c r="M3" s="22"/>
      <c r="N3" s="22"/>
    </row>
    <row r="5" spans="1:14">
      <c r="A5" s="53" t="s">
        <v>76</v>
      </c>
      <c r="B5" s="53" t="s">
        <v>53</v>
      </c>
      <c r="C5" s="53" t="s">
        <v>1005</v>
      </c>
      <c r="D5" s="53" t="s">
        <v>1006</v>
      </c>
      <c r="E5" s="53" t="s">
        <v>1007</v>
      </c>
      <c r="F5" s="53" t="s">
        <v>1008</v>
      </c>
      <c r="G5" s="53" t="s">
        <v>1274</v>
      </c>
      <c r="H5" s="53" t="s">
        <v>1275</v>
      </c>
      <c r="I5" s="53" t="s">
        <v>1276</v>
      </c>
      <c r="J5" s="53" t="s">
        <v>1277</v>
      </c>
      <c r="K5" s="53" t="s">
        <v>1278</v>
      </c>
      <c r="L5" s="53" t="s">
        <v>1279</v>
      </c>
      <c r="M5" s="53" t="s">
        <v>1280</v>
      </c>
      <c r="N5" s="53" t="s">
        <v>1281</v>
      </c>
    </row>
    <row r="6" spans="1:14" ht="125.4">
      <c r="A6" s="23" t="s">
        <v>2350</v>
      </c>
      <c r="B6" s="23" t="s">
        <v>1685</v>
      </c>
      <c r="C6" s="23" t="s">
        <v>2351</v>
      </c>
      <c r="D6" s="23" t="s">
        <v>2352</v>
      </c>
      <c r="E6" s="23" t="s">
        <v>2353</v>
      </c>
      <c r="F6" s="23" t="s">
        <v>2354</v>
      </c>
      <c r="G6" s="23" t="s">
        <v>2355</v>
      </c>
      <c r="H6" s="23" t="s">
        <v>2356</v>
      </c>
      <c r="I6" s="23" t="s">
        <v>2357</v>
      </c>
      <c r="J6" s="23" t="s">
        <v>2358</v>
      </c>
      <c r="K6" s="23" t="s">
        <v>1685</v>
      </c>
      <c r="L6" s="23" t="s">
        <v>2359</v>
      </c>
      <c r="M6" s="23" t="s">
        <v>2359</v>
      </c>
      <c r="N6" s="22" t="s">
        <v>2359</v>
      </c>
    </row>
    <row r="7" spans="1:14" ht="262.2">
      <c r="A7" s="22" t="s">
        <v>2360</v>
      </c>
      <c r="B7" s="22" t="s">
        <v>1685</v>
      </c>
      <c r="C7" s="22" t="s">
        <v>2361</v>
      </c>
      <c r="D7" s="22" t="s">
        <v>2362</v>
      </c>
      <c r="E7" s="22" t="s">
        <v>2363</v>
      </c>
      <c r="F7" s="22" t="s">
        <v>2364</v>
      </c>
      <c r="G7" s="22" t="s">
        <v>2365</v>
      </c>
      <c r="H7" s="22" t="s">
        <v>2356</v>
      </c>
      <c r="I7" s="22" t="s">
        <v>2357</v>
      </c>
      <c r="J7" s="22" t="s">
        <v>2358</v>
      </c>
      <c r="K7" s="22" t="s">
        <v>2366</v>
      </c>
      <c r="L7" s="22" t="s">
        <v>2359</v>
      </c>
      <c r="M7" s="22" t="s">
        <v>2359</v>
      </c>
      <c r="N7" s="55" t="s">
        <v>2359</v>
      </c>
    </row>
    <row r="8" spans="1:14" ht="228">
      <c r="A8" s="23" t="s">
        <v>2220</v>
      </c>
      <c r="B8" s="23" t="s">
        <v>1685</v>
      </c>
      <c r="C8" s="23" t="s">
        <v>2367</v>
      </c>
      <c r="D8" s="23" t="s">
        <v>2368</v>
      </c>
      <c r="E8" s="23" t="s">
        <v>2369</v>
      </c>
      <c r="F8" s="23" t="s">
        <v>2370</v>
      </c>
      <c r="G8" s="23" t="s">
        <v>2371</v>
      </c>
      <c r="H8" s="23" t="s">
        <v>2356</v>
      </c>
      <c r="I8" s="23" t="s">
        <v>2357</v>
      </c>
      <c r="J8" s="23" t="s">
        <v>2358</v>
      </c>
      <c r="K8" s="23" t="s">
        <v>1685</v>
      </c>
      <c r="L8" s="23" t="s">
        <v>2359</v>
      </c>
      <c r="M8" s="23" t="s">
        <v>2359</v>
      </c>
      <c r="N8" s="22" t="s">
        <v>2359</v>
      </c>
    </row>
    <row r="9" spans="1:14" ht="409.6">
      <c r="A9" s="22" t="s">
        <v>94</v>
      </c>
      <c r="B9" s="22" t="s">
        <v>56</v>
      </c>
      <c r="C9" s="22" t="s">
        <v>1010</v>
      </c>
      <c r="D9" s="22" t="s">
        <v>1011</v>
      </c>
      <c r="E9" s="22" t="s">
        <v>1012</v>
      </c>
      <c r="F9" s="22" t="s">
        <v>2372</v>
      </c>
      <c r="G9" s="22" t="s">
        <v>2373</v>
      </c>
      <c r="H9" s="22" t="s">
        <v>2374</v>
      </c>
      <c r="I9" s="22" t="s">
        <v>2375</v>
      </c>
      <c r="J9" s="22" t="s">
        <v>2376</v>
      </c>
      <c r="K9" s="22" t="s">
        <v>88</v>
      </c>
      <c r="L9" s="22" t="s">
        <v>2377</v>
      </c>
      <c r="M9" s="22" t="s">
        <v>2378</v>
      </c>
      <c r="N9" s="55" t="s">
        <v>2379</v>
      </c>
    </row>
    <row r="10" spans="1:14" ht="409.6">
      <c r="A10" s="23" t="s">
        <v>110</v>
      </c>
      <c r="B10" s="23" t="s">
        <v>56</v>
      </c>
      <c r="C10" s="23" t="s">
        <v>1015</v>
      </c>
      <c r="D10" s="23" t="s">
        <v>1016</v>
      </c>
      <c r="E10" s="23" t="s">
        <v>1017</v>
      </c>
      <c r="F10" s="23" t="s">
        <v>2372</v>
      </c>
      <c r="G10" s="23" t="s">
        <v>2380</v>
      </c>
      <c r="H10" s="23" t="s">
        <v>2374</v>
      </c>
      <c r="I10" s="23" t="s">
        <v>2381</v>
      </c>
      <c r="J10" s="23" t="s">
        <v>2376</v>
      </c>
      <c r="K10" s="23" t="s">
        <v>105</v>
      </c>
      <c r="L10" s="23" t="s">
        <v>2382</v>
      </c>
      <c r="M10" s="23" t="s">
        <v>2383</v>
      </c>
      <c r="N10" s="22" t="s">
        <v>2384</v>
      </c>
    </row>
    <row r="11" spans="1:14" ht="409.6">
      <c r="A11" s="22" t="s">
        <v>124</v>
      </c>
      <c r="B11" s="22" t="s">
        <v>56</v>
      </c>
      <c r="C11" s="22" t="s">
        <v>1019</v>
      </c>
      <c r="D11" s="22" t="s">
        <v>1020</v>
      </c>
      <c r="E11" s="22" t="s">
        <v>1021</v>
      </c>
      <c r="F11" s="22" t="s">
        <v>2385</v>
      </c>
      <c r="G11" s="22" t="s">
        <v>2386</v>
      </c>
      <c r="H11" s="22" t="s">
        <v>2387</v>
      </c>
      <c r="I11" s="22" t="s">
        <v>2388</v>
      </c>
      <c r="J11" s="22" t="s">
        <v>2376</v>
      </c>
      <c r="K11" s="22" t="s">
        <v>2389</v>
      </c>
      <c r="L11" s="22" t="s">
        <v>2390</v>
      </c>
      <c r="M11" s="22" t="s">
        <v>2296</v>
      </c>
      <c r="N11" s="55" t="s">
        <v>2391</v>
      </c>
    </row>
    <row r="12" spans="1:14" ht="409.6">
      <c r="A12" s="23" t="s">
        <v>147</v>
      </c>
      <c r="B12" s="23" t="s">
        <v>56</v>
      </c>
      <c r="C12" s="23" t="s">
        <v>1024</v>
      </c>
      <c r="D12" s="23" t="s">
        <v>1025</v>
      </c>
      <c r="E12" s="23" t="s">
        <v>1026</v>
      </c>
      <c r="F12" s="23" t="s">
        <v>2385</v>
      </c>
      <c r="G12" s="23" t="s">
        <v>2392</v>
      </c>
      <c r="H12" s="23" t="s">
        <v>2387</v>
      </c>
      <c r="I12" s="23" t="s">
        <v>2393</v>
      </c>
      <c r="J12" s="23" t="s">
        <v>2376</v>
      </c>
      <c r="K12" s="23" t="s">
        <v>143</v>
      </c>
      <c r="L12" s="23" t="s">
        <v>2394</v>
      </c>
      <c r="M12" s="23" t="s">
        <v>2297</v>
      </c>
      <c r="N12" s="22" t="s">
        <v>2395</v>
      </c>
    </row>
    <row r="13" spans="1:14" ht="409.6">
      <c r="A13" s="22" t="s">
        <v>159</v>
      </c>
      <c r="B13" s="22" t="s">
        <v>56</v>
      </c>
      <c r="C13" s="22" t="s">
        <v>1028</v>
      </c>
      <c r="D13" s="22" t="s">
        <v>1029</v>
      </c>
      <c r="E13" s="22" t="s">
        <v>1030</v>
      </c>
      <c r="F13" s="22" t="s">
        <v>2385</v>
      </c>
      <c r="G13" s="22" t="s">
        <v>2396</v>
      </c>
      <c r="H13" s="22" t="s">
        <v>2387</v>
      </c>
      <c r="I13" s="22" t="s">
        <v>2397</v>
      </c>
      <c r="J13" s="22" t="s">
        <v>2376</v>
      </c>
      <c r="K13" s="22" t="s">
        <v>2398</v>
      </c>
      <c r="L13" s="22" t="s">
        <v>2399</v>
      </c>
      <c r="M13" s="22" t="s">
        <v>2298</v>
      </c>
      <c r="N13" s="55" t="s">
        <v>2400</v>
      </c>
    </row>
    <row r="14" spans="1:14" ht="409.6">
      <c r="A14" s="23" t="s">
        <v>193</v>
      </c>
      <c r="B14" s="23" t="s">
        <v>56</v>
      </c>
      <c r="C14" s="23" t="s">
        <v>1032</v>
      </c>
      <c r="D14" s="23" t="s">
        <v>1033</v>
      </c>
      <c r="E14" s="23" t="s">
        <v>1034</v>
      </c>
      <c r="F14" s="23" t="s">
        <v>2385</v>
      </c>
      <c r="G14" s="23" t="s">
        <v>2401</v>
      </c>
      <c r="H14" s="23" t="s">
        <v>2387</v>
      </c>
      <c r="I14" s="23" t="s">
        <v>2402</v>
      </c>
      <c r="J14" s="23" t="s">
        <v>2376</v>
      </c>
      <c r="K14" s="23" t="s">
        <v>2403</v>
      </c>
      <c r="L14" s="23" t="s">
        <v>2404</v>
      </c>
      <c r="M14" s="23" t="s">
        <v>2299</v>
      </c>
      <c r="N14" s="22" t="s">
        <v>2405</v>
      </c>
    </row>
    <row r="15" spans="1:14" ht="409.6">
      <c r="A15" s="22" t="s">
        <v>253</v>
      </c>
      <c r="B15" s="22" t="s">
        <v>37</v>
      </c>
      <c r="C15" s="22" t="s">
        <v>2406</v>
      </c>
      <c r="D15" s="22" t="s">
        <v>2407</v>
      </c>
      <c r="E15" s="22" t="s">
        <v>2408</v>
      </c>
      <c r="F15" s="22" t="s">
        <v>2385</v>
      </c>
      <c r="G15" s="22" t="s">
        <v>2409</v>
      </c>
      <c r="H15" s="22" t="s">
        <v>2387</v>
      </c>
      <c r="I15" s="22" t="s">
        <v>2410</v>
      </c>
      <c r="J15" s="22" t="s">
        <v>2376</v>
      </c>
      <c r="K15" s="22" t="s">
        <v>2411</v>
      </c>
      <c r="L15" s="22" t="s">
        <v>2412</v>
      </c>
      <c r="M15" s="22" t="s">
        <v>2413</v>
      </c>
      <c r="N15" s="55" t="s">
        <v>2414</v>
      </c>
    </row>
    <row r="16" spans="1:14" ht="409.6">
      <c r="A16" s="23" t="s">
        <v>296</v>
      </c>
      <c r="B16" s="23" t="s">
        <v>37</v>
      </c>
      <c r="C16" s="23" t="s">
        <v>1050</v>
      </c>
      <c r="D16" s="23" t="s">
        <v>1051</v>
      </c>
      <c r="E16" s="23" t="s">
        <v>1052</v>
      </c>
      <c r="F16" s="23" t="s">
        <v>2385</v>
      </c>
      <c r="G16" s="23" t="s">
        <v>2415</v>
      </c>
      <c r="H16" s="23" t="s">
        <v>2387</v>
      </c>
      <c r="I16" s="23" t="s">
        <v>2416</v>
      </c>
      <c r="J16" s="23" t="s">
        <v>2376</v>
      </c>
      <c r="K16" s="23" t="s">
        <v>292</v>
      </c>
      <c r="L16" s="23" t="s">
        <v>2417</v>
      </c>
      <c r="M16" s="23" t="s">
        <v>2418</v>
      </c>
      <c r="N16" s="22" t="s">
        <v>2419</v>
      </c>
    </row>
    <row r="17" spans="1:14" ht="409.6">
      <c r="A17" s="22" t="s">
        <v>309</v>
      </c>
      <c r="B17" s="22" t="s">
        <v>37</v>
      </c>
      <c r="C17" s="22" t="s">
        <v>1054</v>
      </c>
      <c r="D17" s="22" t="s">
        <v>1055</v>
      </c>
      <c r="E17" s="22" t="s">
        <v>1056</v>
      </c>
      <c r="F17" s="22" t="s">
        <v>2385</v>
      </c>
      <c r="G17" s="22" t="s">
        <v>2420</v>
      </c>
      <c r="H17" s="22" t="s">
        <v>2387</v>
      </c>
      <c r="I17" s="22" t="s">
        <v>2421</v>
      </c>
      <c r="J17" s="22" t="s">
        <v>2376</v>
      </c>
      <c r="K17" s="22" t="s">
        <v>2422</v>
      </c>
      <c r="L17" s="22" t="s">
        <v>2423</v>
      </c>
      <c r="M17" s="22" t="s">
        <v>2424</v>
      </c>
      <c r="N17" s="55" t="s">
        <v>2425</v>
      </c>
    </row>
    <row r="18" spans="1:14" ht="409.6">
      <c r="A18" s="23" t="s">
        <v>345</v>
      </c>
      <c r="B18" s="23" t="s">
        <v>37</v>
      </c>
      <c r="C18" s="23" t="s">
        <v>2426</v>
      </c>
      <c r="D18" s="23" t="s">
        <v>2427</v>
      </c>
      <c r="E18" s="23" t="s">
        <v>2428</v>
      </c>
      <c r="F18" s="23" t="s">
        <v>2385</v>
      </c>
      <c r="G18" s="23" t="s">
        <v>2429</v>
      </c>
      <c r="H18" s="23" t="s">
        <v>2387</v>
      </c>
      <c r="I18" s="23" t="s">
        <v>2430</v>
      </c>
      <c r="J18" s="23" t="s">
        <v>2376</v>
      </c>
      <c r="K18" s="23" t="s">
        <v>2431</v>
      </c>
      <c r="L18" s="23" t="s">
        <v>2572</v>
      </c>
      <c r="M18" s="23" t="s">
        <v>2432</v>
      </c>
      <c r="N18" s="22" t="s">
        <v>2433</v>
      </c>
    </row>
    <row r="19" spans="1:14" ht="409.6">
      <c r="A19" s="22" t="s">
        <v>369</v>
      </c>
      <c r="B19" s="22" t="s">
        <v>37</v>
      </c>
      <c r="C19" s="22" t="s">
        <v>1062</v>
      </c>
      <c r="D19" s="22" t="s">
        <v>1063</v>
      </c>
      <c r="E19" s="22" t="s">
        <v>1064</v>
      </c>
      <c r="F19" s="22" t="s">
        <v>2434</v>
      </c>
      <c r="G19" s="22" t="s">
        <v>2435</v>
      </c>
      <c r="H19" s="22" t="s">
        <v>2436</v>
      </c>
      <c r="I19" s="22" t="s">
        <v>2437</v>
      </c>
      <c r="J19" s="22" t="s">
        <v>2438</v>
      </c>
      <c r="K19" s="22" t="s">
        <v>364</v>
      </c>
      <c r="L19" s="22" t="s">
        <v>2571</v>
      </c>
      <c r="M19" s="22" t="s">
        <v>2439</v>
      </c>
      <c r="N19" s="55" t="s">
        <v>2309</v>
      </c>
    </row>
    <row r="20" spans="1:14" ht="409.6">
      <c r="A20" s="23" t="s">
        <v>397</v>
      </c>
      <c r="B20" s="23" t="s">
        <v>57</v>
      </c>
      <c r="C20" s="23" t="s">
        <v>1071</v>
      </c>
      <c r="D20" s="23" t="s">
        <v>1072</v>
      </c>
      <c r="E20" s="23" t="s">
        <v>1073</v>
      </c>
      <c r="F20" s="23" t="s">
        <v>2385</v>
      </c>
      <c r="G20" s="23" t="s">
        <v>2575</v>
      </c>
      <c r="H20" s="23" t="s">
        <v>2387</v>
      </c>
      <c r="I20" s="23" t="s">
        <v>2440</v>
      </c>
      <c r="J20" s="23" t="s">
        <v>2376</v>
      </c>
      <c r="K20" s="23" t="s">
        <v>2441</v>
      </c>
      <c r="L20" s="23" t="s">
        <v>2574</v>
      </c>
      <c r="M20" s="23" t="s">
        <v>2300</v>
      </c>
      <c r="N20" s="22" t="s">
        <v>2442</v>
      </c>
    </row>
    <row r="21" spans="1:14" ht="409.6">
      <c r="A21" s="22" t="s">
        <v>457</v>
      </c>
      <c r="B21" s="22" t="s">
        <v>57</v>
      </c>
      <c r="C21" s="22" t="s">
        <v>1075</v>
      </c>
      <c r="D21" s="22" t="s">
        <v>1076</v>
      </c>
      <c r="E21" s="22" t="s">
        <v>1077</v>
      </c>
      <c r="F21" s="22" t="s">
        <v>2385</v>
      </c>
      <c r="G21" s="22" t="s">
        <v>2576</v>
      </c>
      <c r="H21" s="22" t="s">
        <v>2387</v>
      </c>
      <c r="I21" s="22" t="s">
        <v>2443</v>
      </c>
      <c r="J21" s="22" t="s">
        <v>2376</v>
      </c>
      <c r="K21" s="22" t="s">
        <v>2444</v>
      </c>
      <c r="L21" s="22" t="s">
        <v>2595</v>
      </c>
      <c r="M21" s="22" t="s">
        <v>2301</v>
      </c>
      <c r="N21" s="55" t="s">
        <v>2445</v>
      </c>
    </row>
    <row r="22" spans="1:14" ht="409.6">
      <c r="A22" s="23" t="s">
        <v>445</v>
      </c>
      <c r="B22" s="23" t="s">
        <v>57</v>
      </c>
      <c r="C22" s="23" t="s">
        <v>1079</v>
      </c>
      <c r="D22" s="23" t="s">
        <v>1080</v>
      </c>
      <c r="E22" s="23" t="s">
        <v>1081</v>
      </c>
      <c r="F22" s="23" t="s">
        <v>2385</v>
      </c>
      <c r="G22" s="23" t="s">
        <v>2596</v>
      </c>
      <c r="H22" s="23" t="s">
        <v>2387</v>
      </c>
      <c r="I22" s="23" t="s">
        <v>2446</v>
      </c>
      <c r="J22" s="23" t="s">
        <v>2376</v>
      </c>
      <c r="K22" s="23" t="s">
        <v>2447</v>
      </c>
      <c r="L22" s="23" t="s">
        <v>2597</v>
      </c>
      <c r="M22" s="23" t="s">
        <v>2448</v>
      </c>
      <c r="N22" s="22" t="s">
        <v>2449</v>
      </c>
    </row>
    <row r="23" spans="1:14" ht="409.6">
      <c r="A23" s="22" t="s">
        <v>514</v>
      </c>
      <c r="B23" s="22" t="s">
        <v>57</v>
      </c>
      <c r="C23" s="22" t="s">
        <v>1083</v>
      </c>
      <c r="D23" s="22" t="s">
        <v>1084</v>
      </c>
      <c r="E23" s="22" t="s">
        <v>1085</v>
      </c>
      <c r="F23" s="22" t="s">
        <v>2385</v>
      </c>
      <c r="G23" s="22" t="s">
        <v>2598</v>
      </c>
      <c r="H23" s="22" t="s">
        <v>2387</v>
      </c>
      <c r="I23" s="22" t="s">
        <v>2450</v>
      </c>
      <c r="J23" s="22" t="s">
        <v>2376</v>
      </c>
      <c r="K23" s="22" t="s">
        <v>510</v>
      </c>
      <c r="L23" s="22" t="s">
        <v>2599</v>
      </c>
      <c r="M23" s="22" t="s">
        <v>2600</v>
      </c>
      <c r="N23" s="55" t="s">
        <v>2451</v>
      </c>
    </row>
    <row r="24" spans="1:14" ht="409.6">
      <c r="A24" s="23" t="s">
        <v>543</v>
      </c>
      <c r="B24" s="23" t="s">
        <v>58</v>
      </c>
      <c r="C24" s="23" t="s">
        <v>1092</v>
      </c>
      <c r="D24" s="23" t="s">
        <v>1093</v>
      </c>
      <c r="E24" s="23" t="s">
        <v>1094</v>
      </c>
      <c r="F24" s="23" t="s">
        <v>2385</v>
      </c>
      <c r="G24" s="23" t="s">
        <v>2602</v>
      </c>
      <c r="H24" s="23" t="s">
        <v>2387</v>
      </c>
      <c r="I24" s="23" t="s">
        <v>2452</v>
      </c>
      <c r="J24" s="23" t="s">
        <v>2376</v>
      </c>
      <c r="K24" s="23" t="s">
        <v>2453</v>
      </c>
      <c r="L24" s="23" t="s">
        <v>2603</v>
      </c>
      <c r="M24" s="23" t="s">
        <v>2604</v>
      </c>
      <c r="N24" s="22" t="s">
        <v>2454</v>
      </c>
    </row>
    <row r="25" spans="1:14" ht="409.6">
      <c r="A25" s="22" t="s">
        <v>564</v>
      </c>
      <c r="B25" s="22" t="s">
        <v>58</v>
      </c>
      <c r="C25" s="22" t="s">
        <v>1096</v>
      </c>
      <c r="D25" s="22" t="s">
        <v>1097</v>
      </c>
      <c r="E25" s="22" t="s">
        <v>1098</v>
      </c>
      <c r="F25" s="22" t="s">
        <v>2385</v>
      </c>
      <c r="G25" s="22" t="s">
        <v>2605</v>
      </c>
      <c r="H25" s="22" t="s">
        <v>2387</v>
      </c>
      <c r="I25" s="22" t="s">
        <v>2455</v>
      </c>
      <c r="J25" s="22" t="s">
        <v>2376</v>
      </c>
      <c r="K25" s="22" t="s">
        <v>2456</v>
      </c>
      <c r="L25" s="22" t="s">
        <v>2606</v>
      </c>
      <c r="M25" s="22" t="s">
        <v>2607</v>
      </c>
      <c r="N25" s="55" t="s">
        <v>2457</v>
      </c>
    </row>
    <row r="26" spans="1:14" ht="409.6">
      <c r="A26" s="23" t="s">
        <v>490</v>
      </c>
      <c r="B26" s="23" t="s">
        <v>58</v>
      </c>
      <c r="C26" s="23" t="s">
        <v>1100</v>
      </c>
      <c r="D26" s="23" t="s">
        <v>1101</v>
      </c>
      <c r="E26" s="23" t="s">
        <v>1102</v>
      </c>
      <c r="F26" s="23" t="s">
        <v>2385</v>
      </c>
      <c r="G26" s="23" t="s">
        <v>2609</v>
      </c>
      <c r="H26" s="23" t="s">
        <v>2387</v>
      </c>
      <c r="I26" s="23" t="s">
        <v>2458</v>
      </c>
      <c r="J26" s="23" t="s">
        <v>2376</v>
      </c>
      <c r="K26" s="23" t="s">
        <v>2459</v>
      </c>
      <c r="L26" s="23" t="s">
        <v>2608</v>
      </c>
      <c r="M26" s="23" t="s">
        <v>2610</v>
      </c>
      <c r="N26" s="22" t="s">
        <v>2460</v>
      </c>
    </row>
    <row r="27" spans="1:14" ht="409.6">
      <c r="A27" s="22" t="s">
        <v>655</v>
      </c>
      <c r="B27" s="22" t="s">
        <v>58</v>
      </c>
      <c r="C27" s="22" t="s">
        <v>1104</v>
      </c>
      <c r="D27" s="22" t="s">
        <v>1105</v>
      </c>
      <c r="E27" s="22" t="s">
        <v>1106</v>
      </c>
      <c r="F27" s="22" t="s">
        <v>2385</v>
      </c>
      <c r="G27" s="22" t="s">
        <v>2461</v>
      </c>
      <c r="H27" s="22" t="s">
        <v>2387</v>
      </c>
      <c r="I27" s="22" t="s">
        <v>2462</v>
      </c>
      <c r="J27" s="22" t="s">
        <v>2376</v>
      </c>
      <c r="K27" s="22" t="s">
        <v>651</v>
      </c>
      <c r="L27" s="22" t="s">
        <v>2577</v>
      </c>
      <c r="M27" s="22" t="s">
        <v>2463</v>
      </c>
      <c r="N27" s="55" t="s">
        <v>2464</v>
      </c>
    </row>
    <row r="28" spans="1:14" ht="409.6">
      <c r="A28" s="23" t="s">
        <v>684</v>
      </c>
      <c r="B28" s="23" t="s">
        <v>59</v>
      </c>
      <c r="C28" s="23" t="s">
        <v>1113</v>
      </c>
      <c r="D28" s="23" t="s">
        <v>1114</v>
      </c>
      <c r="E28" s="23" t="s">
        <v>1115</v>
      </c>
      <c r="F28" s="23" t="s">
        <v>2372</v>
      </c>
      <c r="G28" s="23" t="s">
        <v>2465</v>
      </c>
      <c r="H28" s="23" t="s">
        <v>2374</v>
      </c>
      <c r="I28" s="23" t="s">
        <v>2466</v>
      </c>
      <c r="J28" s="23" t="s">
        <v>2376</v>
      </c>
      <c r="K28" s="23" t="s">
        <v>680</v>
      </c>
      <c r="L28" s="23" t="s">
        <v>2578</v>
      </c>
      <c r="M28" s="23" t="s">
        <v>2467</v>
      </c>
      <c r="N28" s="22" t="s">
        <v>2468</v>
      </c>
    </row>
    <row r="29" spans="1:14" ht="409.6">
      <c r="A29" s="22" t="s">
        <v>696</v>
      </c>
      <c r="B29" s="22" t="s">
        <v>59</v>
      </c>
      <c r="C29" s="22" t="s">
        <v>1117</v>
      </c>
      <c r="D29" s="22" t="s">
        <v>1118</v>
      </c>
      <c r="E29" s="22" t="s">
        <v>1119</v>
      </c>
      <c r="F29" s="22" t="s">
        <v>2385</v>
      </c>
      <c r="G29" s="22" t="s">
        <v>2469</v>
      </c>
      <c r="H29" s="22" t="s">
        <v>2387</v>
      </c>
      <c r="I29" s="22" t="s">
        <v>2470</v>
      </c>
      <c r="J29" s="22" t="s">
        <v>2376</v>
      </c>
      <c r="K29" s="22" t="s">
        <v>2471</v>
      </c>
      <c r="L29" s="22" t="s">
        <v>2579</v>
      </c>
      <c r="M29" s="22" t="s">
        <v>2302</v>
      </c>
      <c r="N29" s="55" t="s">
        <v>2472</v>
      </c>
    </row>
    <row r="30" spans="1:14" ht="409.6">
      <c r="A30" s="23" t="s">
        <v>755</v>
      </c>
      <c r="B30" s="23" t="s">
        <v>59</v>
      </c>
      <c r="C30" s="23" t="s">
        <v>1121</v>
      </c>
      <c r="D30" s="23" t="s">
        <v>1122</v>
      </c>
      <c r="E30" s="23" t="s">
        <v>1123</v>
      </c>
      <c r="F30" s="23" t="s">
        <v>2385</v>
      </c>
      <c r="G30" s="23" t="s">
        <v>2473</v>
      </c>
      <c r="H30" s="23" t="s">
        <v>2387</v>
      </c>
      <c r="I30" s="23" t="s">
        <v>2474</v>
      </c>
      <c r="J30" s="23" t="s">
        <v>2376</v>
      </c>
      <c r="K30" s="23" t="s">
        <v>2475</v>
      </c>
      <c r="L30" s="23" t="s">
        <v>2580</v>
      </c>
      <c r="M30" s="23" t="s">
        <v>2303</v>
      </c>
      <c r="N30" s="22" t="s">
        <v>2476</v>
      </c>
    </row>
    <row r="31" spans="1:14" ht="409.6">
      <c r="A31" s="22" t="s">
        <v>742</v>
      </c>
      <c r="B31" s="22" t="s">
        <v>59</v>
      </c>
      <c r="C31" s="22" t="s">
        <v>1125</v>
      </c>
      <c r="D31" s="22" t="s">
        <v>1126</v>
      </c>
      <c r="E31" s="22" t="s">
        <v>1127</v>
      </c>
      <c r="F31" s="22" t="s">
        <v>2385</v>
      </c>
      <c r="G31" s="22" t="s">
        <v>2477</v>
      </c>
      <c r="H31" s="22" t="s">
        <v>2387</v>
      </c>
      <c r="I31" s="22" t="s">
        <v>2478</v>
      </c>
      <c r="J31" s="22" t="s">
        <v>2376</v>
      </c>
      <c r="K31" s="22" t="s">
        <v>738</v>
      </c>
      <c r="L31" s="22" t="s">
        <v>2581</v>
      </c>
      <c r="M31" s="22" t="s">
        <v>2479</v>
      </c>
      <c r="N31" s="55" t="s">
        <v>2480</v>
      </c>
    </row>
    <row r="32" spans="1:14" ht="409.6">
      <c r="A32" s="23" t="s">
        <v>777</v>
      </c>
      <c r="B32" s="23" t="s">
        <v>59</v>
      </c>
      <c r="C32" s="23" t="s">
        <v>1129</v>
      </c>
      <c r="D32" s="23" t="s">
        <v>1130</v>
      </c>
      <c r="E32" s="23" t="s">
        <v>1131</v>
      </c>
      <c r="F32" s="23" t="s">
        <v>2385</v>
      </c>
      <c r="G32" s="23" t="s">
        <v>2481</v>
      </c>
      <c r="H32" s="23" t="s">
        <v>2387</v>
      </c>
      <c r="I32" s="23" t="s">
        <v>2482</v>
      </c>
      <c r="J32" s="23" t="s">
        <v>2376</v>
      </c>
      <c r="K32" s="23" t="s">
        <v>2483</v>
      </c>
      <c r="L32" s="23" t="s">
        <v>2582</v>
      </c>
      <c r="M32" s="23" t="s">
        <v>2304</v>
      </c>
      <c r="N32" s="22" t="s">
        <v>2484</v>
      </c>
    </row>
    <row r="33" spans="1:14" ht="409.6">
      <c r="A33" s="22" t="s">
        <v>850</v>
      </c>
      <c r="B33" s="22" t="s">
        <v>60</v>
      </c>
      <c r="C33" s="22" t="s">
        <v>1138</v>
      </c>
      <c r="D33" s="22" t="s">
        <v>1139</v>
      </c>
      <c r="E33" s="22" t="s">
        <v>1140</v>
      </c>
      <c r="F33" s="22" t="s">
        <v>2385</v>
      </c>
      <c r="G33" s="22" t="s">
        <v>2485</v>
      </c>
      <c r="H33" s="22" t="s">
        <v>2387</v>
      </c>
      <c r="I33" s="22" t="s">
        <v>2486</v>
      </c>
      <c r="J33" s="22" t="s">
        <v>2376</v>
      </c>
      <c r="K33" s="22" t="s">
        <v>2487</v>
      </c>
      <c r="L33" s="22" t="s">
        <v>2583</v>
      </c>
      <c r="M33" s="22" t="s">
        <v>2305</v>
      </c>
      <c r="N33" s="55" t="s">
        <v>2488</v>
      </c>
    </row>
    <row r="34" spans="1:14" ht="409.6">
      <c r="A34" s="23" t="s">
        <v>895</v>
      </c>
      <c r="B34" s="23" t="s">
        <v>60</v>
      </c>
      <c r="C34" s="23" t="s">
        <v>1142</v>
      </c>
      <c r="D34" s="23" t="s">
        <v>1143</v>
      </c>
      <c r="E34" s="23" t="s">
        <v>1144</v>
      </c>
      <c r="F34" s="23" t="s">
        <v>2385</v>
      </c>
      <c r="G34" s="23" t="s">
        <v>2489</v>
      </c>
      <c r="H34" s="23" t="s">
        <v>2387</v>
      </c>
      <c r="I34" s="23" t="s">
        <v>2490</v>
      </c>
      <c r="J34" s="23" t="s">
        <v>2376</v>
      </c>
      <c r="K34" s="23" t="s">
        <v>2491</v>
      </c>
      <c r="L34" s="23" t="s">
        <v>2584</v>
      </c>
      <c r="M34" s="23" t="s">
        <v>2492</v>
      </c>
      <c r="N34" s="22" t="s">
        <v>2493</v>
      </c>
    </row>
    <row r="35" spans="1:14" ht="409.6">
      <c r="A35" s="22" t="s">
        <v>942</v>
      </c>
      <c r="B35" s="22" t="s">
        <v>60</v>
      </c>
      <c r="C35" s="22" t="s">
        <v>1146</v>
      </c>
      <c r="D35" s="22" t="s">
        <v>1147</v>
      </c>
      <c r="E35" s="22" t="s">
        <v>1148</v>
      </c>
      <c r="F35" s="22" t="s">
        <v>2385</v>
      </c>
      <c r="G35" s="22" t="s">
        <v>2494</v>
      </c>
      <c r="H35" s="22" t="s">
        <v>2387</v>
      </c>
      <c r="I35" s="22" t="s">
        <v>2495</v>
      </c>
      <c r="J35" s="22" t="s">
        <v>2376</v>
      </c>
      <c r="K35" s="22" t="s">
        <v>2496</v>
      </c>
      <c r="L35" s="22" t="s">
        <v>2585</v>
      </c>
      <c r="M35" s="22" t="s">
        <v>2306</v>
      </c>
      <c r="N35" s="55" t="s">
        <v>2497</v>
      </c>
    </row>
    <row r="36" spans="1:14" ht="409.6">
      <c r="A36" s="23" t="s">
        <v>2321</v>
      </c>
      <c r="B36" s="23" t="s">
        <v>56</v>
      </c>
      <c r="C36" s="23" t="s">
        <v>2498</v>
      </c>
      <c r="D36" s="23" t="s">
        <v>2499</v>
      </c>
      <c r="E36" s="23" t="s">
        <v>2500</v>
      </c>
      <c r="F36" s="23" t="s">
        <v>2501</v>
      </c>
      <c r="G36" s="23" t="s">
        <v>2502</v>
      </c>
      <c r="H36" s="23" t="s">
        <v>2374</v>
      </c>
      <c r="I36" s="23" t="s">
        <v>2503</v>
      </c>
      <c r="J36" s="23" t="s">
        <v>2376</v>
      </c>
      <c r="K36" s="23" t="s">
        <v>225</v>
      </c>
      <c r="L36" s="23" t="s">
        <v>2586</v>
      </c>
      <c r="M36" s="23" t="s">
        <v>2504</v>
      </c>
      <c r="N36" s="22" t="s">
        <v>2505</v>
      </c>
    </row>
    <row r="37" spans="1:14" ht="409.6">
      <c r="A37" s="23" t="s">
        <v>2328</v>
      </c>
      <c r="B37" s="23" t="s">
        <v>37</v>
      </c>
      <c r="C37" s="23" t="s">
        <v>2506</v>
      </c>
      <c r="D37" s="23" t="s">
        <v>2507</v>
      </c>
      <c r="E37" s="23" t="s">
        <v>2508</v>
      </c>
      <c r="F37" s="23" t="s">
        <v>2501</v>
      </c>
      <c r="G37" s="23" t="s">
        <v>2509</v>
      </c>
      <c r="H37" s="23" t="s">
        <v>2374</v>
      </c>
      <c r="I37" s="23" t="s">
        <v>2510</v>
      </c>
      <c r="J37" s="23" t="s">
        <v>2376</v>
      </c>
      <c r="K37" s="23" t="s">
        <v>376</v>
      </c>
      <c r="L37" s="23" t="s">
        <v>2587</v>
      </c>
      <c r="M37" s="23" t="s">
        <v>2511</v>
      </c>
      <c r="N37" s="22" t="s">
        <v>2512</v>
      </c>
    </row>
    <row r="38" spans="1:14" ht="409.6">
      <c r="A38" s="23" t="s">
        <v>2331</v>
      </c>
      <c r="B38" s="23" t="s">
        <v>57</v>
      </c>
      <c r="C38" s="23" t="s">
        <v>2513</v>
      </c>
      <c r="D38" s="23" t="s">
        <v>2514</v>
      </c>
      <c r="E38" s="23" t="s">
        <v>2515</v>
      </c>
      <c r="F38" s="23" t="s">
        <v>2501</v>
      </c>
      <c r="G38" s="23" t="s">
        <v>2516</v>
      </c>
      <c r="H38" s="23" t="s">
        <v>2374</v>
      </c>
      <c r="I38" s="23" t="s">
        <v>2517</v>
      </c>
      <c r="J38" s="23" t="s">
        <v>2376</v>
      </c>
      <c r="K38" s="23" t="s">
        <v>521</v>
      </c>
      <c r="L38" s="23" t="s">
        <v>2588</v>
      </c>
      <c r="M38" s="23" t="s">
        <v>2518</v>
      </c>
      <c r="N38" s="22" t="s">
        <v>2519</v>
      </c>
    </row>
    <row r="39" spans="1:14" ht="409.6">
      <c r="A39" s="23" t="s">
        <v>2334</v>
      </c>
      <c r="B39" s="23" t="s">
        <v>58</v>
      </c>
      <c r="C39" s="23" t="s">
        <v>2520</v>
      </c>
      <c r="D39" s="23" t="s">
        <v>2521</v>
      </c>
      <c r="E39" s="23" t="s">
        <v>2522</v>
      </c>
      <c r="F39" s="23" t="s">
        <v>2501</v>
      </c>
      <c r="G39" s="23" t="s">
        <v>2523</v>
      </c>
      <c r="H39" s="23" t="s">
        <v>2374</v>
      </c>
      <c r="I39" s="23" t="s">
        <v>2524</v>
      </c>
      <c r="J39" s="23" t="s">
        <v>2376</v>
      </c>
      <c r="K39" s="23" t="s">
        <v>662</v>
      </c>
      <c r="L39" s="23" t="s">
        <v>2589</v>
      </c>
      <c r="M39" s="23" t="s">
        <v>2525</v>
      </c>
      <c r="N39" s="22" t="s">
        <v>2526</v>
      </c>
    </row>
    <row r="40" spans="1:14" ht="409.6">
      <c r="A40" s="23" t="s">
        <v>2342</v>
      </c>
      <c r="B40" s="23" t="s">
        <v>59</v>
      </c>
      <c r="C40" s="23" t="s">
        <v>2527</v>
      </c>
      <c r="D40" s="23" t="s">
        <v>2528</v>
      </c>
      <c r="E40" s="23" t="s">
        <v>2529</v>
      </c>
      <c r="F40" s="23" t="s">
        <v>2501</v>
      </c>
      <c r="G40" s="23" t="s">
        <v>2530</v>
      </c>
      <c r="H40" s="23" t="s">
        <v>2374</v>
      </c>
      <c r="I40" s="23" t="s">
        <v>2531</v>
      </c>
      <c r="J40" s="23" t="s">
        <v>2376</v>
      </c>
      <c r="K40" s="23" t="s">
        <v>815</v>
      </c>
      <c r="L40" s="23" t="s">
        <v>2590</v>
      </c>
      <c r="M40" s="23" t="s">
        <v>2532</v>
      </c>
      <c r="N40" s="22" t="s">
        <v>2533</v>
      </c>
    </row>
    <row r="41" spans="1:14" ht="409.6">
      <c r="A41" s="22" t="s">
        <v>2534</v>
      </c>
      <c r="B41" s="22" t="s">
        <v>1567</v>
      </c>
      <c r="C41" s="22" t="s">
        <v>2535</v>
      </c>
      <c r="D41" s="22" t="s">
        <v>2536</v>
      </c>
      <c r="E41" s="22" t="s">
        <v>2537</v>
      </c>
      <c r="F41" s="22" t="s">
        <v>2385</v>
      </c>
      <c r="G41" s="22" t="s">
        <v>2538</v>
      </c>
      <c r="H41" s="22" t="s">
        <v>2387</v>
      </c>
      <c r="I41" s="22" t="s">
        <v>2539</v>
      </c>
      <c r="J41" s="22" t="s">
        <v>2376</v>
      </c>
      <c r="K41" s="22" t="s">
        <v>1567</v>
      </c>
      <c r="L41" s="22" t="s">
        <v>2591</v>
      </c>
      <c r="M41" s="22" t="s">
        <v>2540</v>
      </c>
      <c r="N41" s="55" t="s">
        <v>2541</v>
      </c>
    </row>
    <row r="42" spans="1:14" ht="409.6">
      <c r="A42" s="23" t="s">
        <v>2542</v>
      </c>
      <c r="B42" s="23" t="s">
        <v>1567</v>
      </c>
      <c r="C42" s="23" t="s">
        <v>2543</v>
      </c>
      <c r="D42" s="23" t="s">
        <v>2544</v>
      </c>
      <c r="E42" s="23" t="s">
        <v>2545</v>
      </c>
      <c r="F42" s="23" t="s">
        <v>2385</v>
      </c>
      <c r="G42" s="23" t="s">
        <v>2546</v>
      </c>
      <c r="H42" s="23" t="s">
        <v>2387</v>
      </c>
      <c r="I42" s="23" t="s">
        <v>2547</v>
      </c>
      <c r="J42" s="23" t="s">
        <v>2376</v>
      </c>
      <c r="K42" s="23" t="s">
        <v>1567</v>
      </c>
      <c r="L42" s="23" t="s">
        <v>2592</v>
      </c>
      <c r="M42" s="23" t="s">
        <v>2548</v>
      </c>
      <c r="N42" s="22" t="s">
        <v>2549</v>
      </c>
    </row>
    <row r="43" spans="1:14" ht="409.6" customHeight="1">
      <c r="A43" s="27" t="s">
        <v>2550</v>
      </c>
      <c r="B43" s="27" t="s">
        <v>56</v>
      </c>
      <c r="C43" s="27" t="s">
        <v>2551</v>
      </c>
      <c r="D43" s="27" t="s">
        <v>2552</v>
      </c>
      <c r="E43" s="27" t="s">
        <v>2553</v>
      </c>
      <c r="F43" s="27" t="s">
        <v>2434</v>
      </c>
      <c r="G43" s="28" t="s">
        <v>2554</v>
      </c>
      <c r="H43" s="27" t="s">
        <v>2374</v>
      </c>
      <c r="I43" s="27" t="s">
        <v>2555</v>
      </c>
      <c r="J43" s="27" t="s">
        <v>2376</v>
      </c>
      <c r="K43" s="27" t="s">
        <v>2556</v>
      </c>
      <c r="L43" s="27" t="s">
        <v>2593</v>
      </c>
      <c r="M43" s="27" t="s">
        <v>2557</v>
      </c>
      <c r="N43" s="55" t="s">
        <v>2558</v>
      </c>
    </row>
    <row r="44" spans="1:14" ht="319.95" customHeight="1">
      <c r="A44" s="27" t="s">
        <v>241</v>
      </c>
      <c r="B44" s="27" t="s">
        <v>2559</v>
      </c>
      <c r="C44" s="27" t="s">
        <v>2560</v>
      </c>
      <c r="D44" s="27" t="s">
        <v>2561</v>
      </c>
      <c r="E44" s="27" t="s">
        <v>2562</v>
      </c>
      <c r="F44" s="27" t="s">
        <v>2563</v>
      </c>
      <c r="G44" s="28" t="s">
        <v>2564</v>
      </c>
      <c r="H44" s="27" t="s">
        <v>2307</v>
      </c>
      <c r="I44" s="27" t="s">
        <v>2565</v>
      </c>
      <c r="J44" s="27" t="s">
        <v>2438</v>
      </c>
      <c r="K44" s="27" t="s">
        <v>2566</v>
      </c>
      <c r="L44" s="27" t="s">
        <v>2594</v>
      </c>
      <c r="M44" s="27" t="s">
        <v>2308</v>
      </c>
      <c r="N44" s="22" t="s">
        <v>2310</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39"/>
  <sheetViews>
    <sheetView showGridLines="0" topLeftCell="A7" workbookViewId="0">
      <selection sqref="A1:L1"/>
    </sheetView>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59" t="s">
        <v>1282</v>
      </c>
      <c r="B1" s="59"/>
      <c r="C1" s="59"/>
      <c r="D1" s="59"/>
      <c r="E1" s="59"/>
      <c r="F1" s="59"/>
      <c r="G1" s="59"/>
      <c r="H1" s="59"/>
      <c r="I1" s="59"/>
      <c r="J1" s="59"/>
      <c r="K1" s="59"/>
      <c r="L1" s="59"/>
    </row>
    <row r="2" spans="1:12" ht="31.95" customHeight="1">
      <c r="A2" s="60" t="s">
        <v>1283</v>
      </c>
      <c r="B2" s="60"/>
      <c r="C2" s="60"/>
      <c r="D2" s="60"/>
      <c r="E2" s="60"/>
      <c r="F2" s="60"/>
      <c r="G2" s="60"/>
      <c r="H2" s="60"/>
      <c r="I2" s="60"/>
      <c r="J2" s="60"/>
      <c r="K2" s="60"/>
      <c r="L2" s="60"/>
    </row>
    <row r="5" spans="1:12" ht="28.05" customHeight="1">
      <c r="A5" s="1" t="s">
        <v>1284</v>
      </c>
      <c r="B5" s="2" t="s">
        <v>53</v>
      </c>
      <c r="C5" s="2" t="s">
        <v>1285</v>
      </c>
      <c r="D5" s="2" t="s">
        <v>90</v>
      </c>
      <c r="E5" s="2" t="s">
        <v>1286</v>
      </c>
      <c r="F5" s="2" t="s">
        <v>80</v>
      </c>
      <c r="G5" s="2" t="s">
        <v>81</v>
      </c>
      <c r="H5" s="2" t="s">
        <v>85</v>
      </c>
      <c r="I5" s="2" t="s">
        <v>1287</v>
      </c>
      <c r="J5" s="2" t="s">
        <v>1288</v>
      </c>
      <c r="K5" s="2" t="s">
        <v>1289</v>
      </c>
      <c r="L5" s="3" t="s">
        <v>1290</v>
      </c>
    </row>
    <row r="6" spans="1:12" ht="45.6">
      <c r="A6" s="10" t="s">
        <v>1291</v>
      </c>
      <c r="B6" s="10" t="s">
        <v>56</v>
      </c>
      <c r="C6" s="10" t="s">
        <v>1292</v>
      </c>
      <c r="D6" s="10" t="s">
        <v>1293</v>
      </c>
      <c r="E6" s="10" t="s">
        <v>1294</v>
      </c>
      <c r="F6" s="10" t="s">
        <v>1295</v>
      </c>
      <c r="G6" s="10" t="s">
        <v>151</v>
      </c>
      <c r="H6" s="10" t="s">
        <v>1296</v>
      </c>
      <c r="I6" s="17">
        <v>46252</v>
      </c>
      <c r="J6" s="10" t="s">
        <v>1297</v>
      </c>
      <c r="K6" s="10" t="s">
        <v>1298</v>
      </c>
      <c r="L6" s="10" t="s">
        <v>1299</v>
      </c>
    </row>
    <row r="7" spans="1:12" ht="45.6">
      <c r="A7" s="11" t="s">
        <v>1300</v>
      </c>
      <c r="B7" s="11" t="s">
        <v>56</v>
      </c>
      <c r="C7" s="11" t="s">
        <v>1005</v>
      </c>
      <c r="D7" s="11" t="s">
        <v>1301</v>
      </c>
      <c r="E7" s="11" t="s">
        <v>2294</v>
      </c>
      <c r="F7" s="11" t="s">
        <v>1302</v>
      </c>
      <c r="G7" s="11" t="s">
        <v>140</v>
      </c>
      <c r="H7" s="11" t="s">
        <v>1296</v>
      </c>
      <c r="I7" s="18">
        <v>46252</v>
      </c>
      <c r="J7" s="11" t="s">
        <v>1303</v>
      </c>
      <c r="K7" s="11" t="s">
        <v>1298</v>
      </c>
      <c r="L7" s="11" t="s">
        <v>1299</v>
      </c>
    </row>
    <row r="8" spans="1:12" ht="57">
      <c r="A8" s="11" t="s">
        <v>1304</v>
      </c>
      <c r="B8" s="11" t="s">
        <v>56</v>
      </c>
      <c r="C8" s="11" t="s">
        <v>1305</v>
      </c>
      <c r="D8" s="11" t="s">
        <v>1306</v>
      </c>
      <c r="E8" s="11" t="s">
        <v>184</v>
      </c>
      <c r="F8" s="11" t="s">
        <v>1307</v>
      </c>
      <c r="G8" s="11" t="s">
        <v>186</v>
      </c>
      <c r="H8" s="11" t="s">
        <v>1296</v>
      </c>
      <c r="I8" s="18">
        <v>46252</v>
      </c>
      <c r="J8" s="11" t="s">
        <v>1308</v>
      </c>
      <c r="K8" s="11" t="s">
        <v>1309</v>
      </c>
      <c r="L8" s="11" t="s">
        <v>1299</v>
      </c>
    </row>
    <row r="9" spans="1:12" ht="45.6">
      <c r="A9" s="11" t="s">
        <v>1310</v>
      </c>
      <c r="B9" s="11" t="s">
        <v>56</v>
      </c>
      <c r="C9" s="11" t="s">
        <v>1311</v>
      </c>
      <c r="D9" s="11" t="s">
        <v>1312</v>
      </c>
      <c r="E9" s="11" t="s">
        <v>219</v>
      </c>
      <c r="F9" s="11" t="s">
        <v>1313</v>
      </c>
      <c r="G9" s="11" t="s">
        <v>221</v>
      </c>
      <c r="H9" s="11" t="s">
        <v>1296</v>
      </c>
      <c r="I9" s="18">
        <v>46252</v>
      </c>
      <c r="J9" s="11" t="s">
        <v>1314</v>
      </c>
      <c r="K9" s="11" t="s">
        <v>1315</v>
      </c>
      <c r="L9" s="11" t="s">
        <v>1299</v>
      </c>
    </row>
    <row r="10" spans="1:12">
      <c r="A10" s="11" t="s">
        <v>1316</v>
      </c>
      <c r="B10" s="11" t="s">
        <v>37</v>
      </c>
      <c r="C10" s="11" t="s">
        <v>1292</v>
      </c>
      <c r="D10" s="11" t="s">
        <v>1317</v>
      </c>
      <c r="E10" s="11" t="s">
        <v>256</v>
      </c>
      <c r="F10" s="11" t="s">
        <v>1318</v>
      </c>
      <c r="G10" s="11" t="s">
        <v>1319</v>
      </c>
      <c r="H10" s="11" t="s">
        <v>1320</v>
      </c>
      <c r="I10" s="18"/>
      <c r="J10" s="11"/>
      <c r="K10" s="11"/>
      <c r="L10" s="11"/>
    </row>
    <row r="11" spans="1:12">
      <c r="A11" s="11" t="s">
        <v>1321</v>
      </c>
      <c r="B11" s="11" t="s">
        <v>37</v>
      </c>
      <c r="C11" s="11" t="s">
        <v>1322</v>
      </c>
      <c r="D11" s="11" t="s">
        <v>1323</v>
      </c>
      <c r="E11" s="11" t="s">
        <v>1324</v>
      </c>
      <c r="F11" s="11" t="s">
        <v>1325</v>
      </c>
      <c r="G11" s="11" t="s">
        <v>1326</v>
      </c>
      <c r="H11" s="11" t="s">
        <v>1320</v>
      </c>
      <c r="I11" s="18"/>
      <c r="J11" s="11"/>
      <c r="K11" s="11"/>
      <c r="L11" s="11"/>
    </row>
    <row r="12" spans="1:12">
      <c r="A12" s="11" t="s">
        <v>1327</v>
      </c>
      <c r="B12" s="11" t="s">
        <v>37</v>
      </c>
      <c r="C12" s="11" t="s">
        <v>1292</v>
      </c>
      <c r="D12" s="11" t="s">
        <v>1328</v>
      </c>
      <c r="E12" s="11" t="s">
        <v>299</v>
      </c>
      <c r="F12" s="11" t="s">
        <v>1329</v>
      </c>
      <c r="G12" s="11" t="s">
        <v>1330</v>
      </c>
      <c r="H12" s="11" t="s">
        <v>1320</v>
      </c>
      <c r="I12" s="18"/>
      <c r="J12" s="11"/>
      <c r="K12" s="11"/>
      <c r="L12" s="11"/>
    </row>
    <row r="13" spans="1:12" ht="22.8">
      <c r="A13" s="11" t="s">
        <v>1331</v>
      </c>
      <c r="B13" s="11" t="s">
        <v>37</v>
      </c>
      <c r="C13" s="11" t="s">
        <v>1305</v>
      </c>
      <c r="D13" s="11" t="s">
        <v>1332</v>
      </c>
      <c r="E13" s="11" t="s">
        <v>1333</v>
      </c>
      <c r="F13" s="11" t="s">
        <v>1334</v>
      </c>
      <c r="G13" s="11" t="s">
        <v>1335</v>
      </c>
      <c r="H13" s="11" t="s">
        <v>1320</v>
      </c>
      <c r="I13" s="18"/>
      <c r="J13" s="11"/>
      <c r="K13" s="11"/>
      <c r="L13" s="11"/>
    </row>
    <row r="14" spans="1:12">
      <c r="A14" s="11" t="s">
        <v>1336</v>
      </c>
      <c r="B14" s="11" t="s">
        <v>37</v>
      </c>
      <c r="C14" s="11" t="s">
        <v>1005</v>
      </c>
      <c r="D14" s="11" t="s">
        <v>1337</v>
      </c>
      <c r="E14" s="11" t="s">
        <v>1338</v>
      </c>
      <c r="F14" s="11" t="s">
        <v>1339</v>
      </c>
      <c r="G14" s="11" t="s">
        <v>1340</v>
      </c>
      <c r="H14" s="11" t="s">
        <v>1320</v>
      </c>
      <c r="I14" s="18"/>
      <c r="J14" s="11"/>
      <c r="K14" s="11"/>
      <c r="L14" s="11"/>
    </row>
    <row r="15" spans="1:12" ht="171">
      <c r="A15" s="11" t="s">
        <v>1341</v>
      </c>
      <c r="B15" s="11" t="s">
        <v>37</v>
      </c>
      <c r="C15" s="11" t="s">
        <v>1311</v>
      </c>
      <c r="D15" s="11" t="s">
        <v>1342</v>
      </c>
      <c r="E15" s="11" t="s">
        <v>2567</v>
      </c>
      <c r="F15" s="11" t="s">
        <v>1343</v>
      </c>
      <c r="G15" s="11" t="s">
        <v>1344</v>
      </c>
      <c r="H15" s="11" t="s">
        <v>1320</v>
      </c>
      <c r="I15" s="18"/>
      <c r="J15" s="11"/>
      <c r="K15" s="11"/>
      <c r="L15" s="11"/>
    </row>
    <row r="16" spans="1:12">
      <c r="A16" s="11" t="s">
        <v>1345</v>
      </c>
      <c r="B16" s="11" t="s">
        <v>57</v>
      </c>
      <c r="C16" s="11" t="s">
        <v>1292</v>
      </c>
      <c r="D16" s="11" t="s">
        <v>1346</v>
      </c>
      <c r="E16" s="11" t="s">
        <v>435</v>
      </c>
      <c r="F16" s="11" t="s">
        <v>1347</v>
      </c>
      <c r="G16" s="11" t="s">
        <v>1348</v>
      </c>
      <c r="H16" s="11" t="s">
        <v>1320</v>
      </c>
      <c r="I16" s="18"/>
      <c r="J16" s="11"/>
      <c r="K16" s="11"/>
      <c r="L16" s="11"/>
    </row>
    <row r="17" spans="1:12">
      <c r="A17" s="11" t="s">
        <v>1349</v>
      </c>
      <c r="B17" s="11" t="s">
        <v>57</v>
      </c>
      <c r="C17" s="11" t="s">
        <v>1305</v>
      </c>
      <c r="D17" s="11" t="s">
        <v>1350</v>
      </c>
      <c r="E17" s="11" t="s">
        <v>481</v>
      </c>
      <c r="F17" s="11" t="s">
        <v>1351</v>
      </c>
      <c r="G17" s="11" t="s">
        <v>1352</v>
      </c>
      <c r="H17" s="11" t="s">
        <v>1320</v>
      </c>
      <c r="I17" s="18"/>
      <c r="J17" s="11"/>
      <c r="K17" s="11"/>
      <c r="L17" s="11"/>
    </row>
    <row r="18" spans="1:12">
      <c r="A18" s="11" t="s">
        <v>1353</v>
      </c>
      <c r="B18" s="11" t="s">
        <v>57</v>
      </c>
      <c r="C18" s="11" t="s">
        <v>1354</v>
      </c>
      <c r="D18" s="11" t="s">
        <v>1355</v>
      </c>
      <c r="E18" s="11" t="s">
        <v>505</v>
      </c>
      <c r="F18" s="11" t="s">
        <v>1356</v>
      </c>
      <c r="G18" s="11" t="s">
        <v>472</v>
      </c>
      <c r="H18" s="11" t="s">
        <v>1320</v>
      </c>
      <c r="I18" s="18"/>
      <c r="J18" s="11"/>
      <c r="K18" s="11"/>
      <c r="L18" s="11"/>
    </row>
    <row r="19" spans="1:12" ht="171">
      <c r="A19" s="11" t="s">
        <v>1357</v>
      </c>
      <c r="B19" s="11" t="s">
        <v>57</v>
      </c>
      <c r="C19" s="11" t="s">
        <v>1358</v>
      </c>
      <c r="D19" s="11" t="s">
        <v>1359</v>
      </c>
      <c r="E19" s="11" t="s">
        <v>2330</v>
      </c>
      <c r="F19" s="11" t="s">
        <v>1360</v>
      </c>
      <c r="G19" s="11" t="s">
        <v>517</v>
      </c>
      <c r="H19" s="11" t="s">
        <v>1320</v>
      </c>
      <c r="I19" s="18"/>
      <c r="J19" s="11"/>
      <c r="K19" s="11"/>
      <c r="L19" s="11"/>
    </row>
    <row r="20" spans="1:12">
      <c r="A20" s="11" t="s">
        <v>1361</v>
      </c>
      <c r="B20" s="11" t="s">
        <v>58</v>
      </c>
      <c r="C20" s="11" t="s">
        <v>1292</v>
      </c>
      <c r="D20" s="11" t="s">
        <v>1362</v>
      </c>
      <c r="E20" s="11" t="s">
        <v>545</v>
      </c>
      <c r="F20" s="11" t="s">
        <v>1363</v>
      </c>
      <c r="G20" s="11" t="s">
        <v>1364</v>
      </c>
      <c r="H20" s="11" t="s">
        <v>1320</v>
      </c>
      <c r="I20" s="18"/>
      <c r="J20" s="11"/>
      <c r="K20" s="11"/>
      <c r="L20" s="11"/>
    </row>
    <row r="21" spans="1:12">
      <c r="A21" s="11" t="s">
        <v>1365</v>
      </c>
      <c r="B21" s="11" t="s">
        <v>58</v>
      </c>
      <c r="C21" s="11" t="s">
        <v>1305</v>
      </c>
      <c r="D21" s="11" t="s">
        <v>1366</v>
      </c>
      <c r="E21" s="11" t="s">
        <v>587</v>
      </c>
      <c r="F21" s="11" t="s">
        <v>1367</v>
      </c>
      <c r="G21" s="11" t="s">
        <v>1368</v>
      </c>
      <c r="H21" s="11" t="s">
        <v>1320</v>
      </c>
      <c r="I21" s="18"/>
      <c r="J21" s="11"/>
      <c r="K21" s="11"/>
      <c r="L21" s="11"/>
    </row>
    <row r="22" spans="1:12">
      <c r="A22" s="11" t="s">
        <v>1369</v>
      </c>
      <c r="B22" s="11" t="s">
        <v>58</v>
      </c>
      <c r="C22" s="11" t="s">
        <v>1005</v>
      </c>
      <c r="D22" s="11" t="s">
        <v>1370</v>
      </c>
      <c r="E22" s="11" t="s">
        <v>1371</v>
      </c>
      <c r="F22" s="11" t="s">
        <v>1372</v>
      </c>
      <c r="G22" s="11" t="s">
        <v>1373</v>
      </c>
      <c r="H22" s="11" t="s">
        <v>1320</v>
      </c>
      <c r="I22" s="18"/>
      <c r="J22" s="11"/>
      <c r="K22" s="11"/>
      <c r="L22" s="11"/>
    </row>
    <row r="23" spans="1:12" ht="22.8">
      <c r="A23" s="11" t="s">
        <v>1374</v>
      </c>
      <c r="B23" s="11" t="s">
        <v>58</v>
      </c>
      <c r="C23" s="11" t="s">
        <v>617</v>
      </c>
      <c r="D23" s="11" t="s">
        <v>1375</v>
      </c>
      <c r="E23" s="11" t="s">
        <v>1376</v>
      </c>
      <c r="F23" s="11" t="s">
        <v>1377</v>
      </c>
      <c r="G23" s="11" t="s">
        <v>1378</v>
      </c>
      <c r="H23" s="11" t="s">
        <v>1320</v>
      </c>
      <c r="I23" s="18"/>
      <c r="J23" s="11"/>
      <c r="K23" s="11"/>
      <c r="L23" s="11"/>
    </row>
    <row r="24" spans="1:12" ht="171">
      <c r="A24" s="11" t="s">
        <v>1379</v>
      </c>
      <c r="B24" s="11" t="s">
        <v>58</v>
      </c>
      <c r="C24" s="11" t="s">
        <v>1358</v>
      </c>
      <c r="D24" s="11" t="s">
        <v>1380</v>
      </c>
      <c r="E24" s="11" t="s">
        <v>2333</v>
      </c>
      <c r="F24" s="11" t="s">
        <v>1381</v>
      </c>
      <c r="G24" s="11" t="s">
        <v>658</v>
      </c>
      <c r="H24" s="11" t="s">
        <v>1320</v>
      </c>
      <c r="I24" s="18"/>
      <c r="J24" s="11"/>
      <c r="K24" s="11"/>
      <c r="L24" s="11"/>
    </row>
    <row r="25" spans="1:12" ht="171">
      <c r="A25" s="11" t="s">
        <v>1382</v>
      </c>
      <c r="B25" s="11" t="s">
        <v>59</v>
      </c>
      <c r="C25" s="11" t="s">
        <v>1383</v>
      </c>
      <c r="D25" s="11" t="s">
        <v>1384</v>
      </c>
      <c r="E25" s="11" t="s">
        <v>2568</v>
      </c>
      <c r="F25" s="11" t="s">
        <v>1385</v>
      </c>
      <c r="G25" s="11" t="s">
        <v>1386</v>
      </c>
      <c r="H25" s="11" t="s">
        <v>1320</v>
      </c>
      <c r="I25" s="18"/>
      <c r="J25" s="11"/>
      <c r="K25" s="11"/>
      <c r="L25" s="11"/>
    </row>
    <row r="26" spans="1:12" ht="182.4">
      <c r="A26" s="11" t="s">
        <v>1387</v>
      </c>
      <c r="B26" s="11" t="s">
        <v>59</v>
      </c>
      <c r="C26" s="11" t="s">
        <v>1388</v>
      </c>
      <c r="D26" s="11" t="s">
        <v>1389</v>
      </c>
      <c r="E26" s="11" t="s">
        <v>2569</v>
      </c>
      <c r="F26" s="11" t="s">
        <v>1390</v>
      </c>
      <c r="G26" s="11" t="s">
        <v>1391</v>
      </c>
      <c r="H26" s="11" t="s">
        <v>1320</v>
      </c>
      <c r="I26" s="18"/>
      <c r="J26" s="11"/>
      <c r="K26" s="11"/>
      <c r="L26" s="11"/>
    </row>
    <row r="27" spans="1:12">
      <c r="A27" s="11" t="s">
        <v>1392</v>
      </c>
      <c r="B27" s="11" t="s">
        <v>59</v>
      </c>
      <c r="C27" s="11" t="s">
        <v>1383</v>
      </c>
      <c r="D27" s="11" t="s">
        <v>1393</v>
      </c>
      <c r="E27" s="11" t="s">
        <v>779</v>
      </c>
      <c r="F27" s="11" t="s">
        <v>1394</v>
      </c>
      <c r="G27" s="11" t="s">
        <v>781</v>
      </c>
      <c r="H27" s="11" t="s">
        <v>1320</v>
      </c>
      <c r="I27" s="18"/>
      <c r="J27" s="11"/>
      <c r="K27" s="11"/>
      <c r="L27" s="11"/>
    </row>
    <row r="28" spans="1:12" ht="171">
      <c r="A28" s="11" t="s">
        <v>1395</v>
      </c>
      <c r="B28" s="11" t="s">
        <v>59</v>
      </c>
      <c r="C28" s="11" t="s">
        <v>765</v>
      </c>
      <c r="D28" s="11" t="s">
        <v>1396</v>
      </c>
      <c r="E28" s="11" t="s">
        <v>2570</v>
      </c>
      <c r="F28" s="11" t="s">
        <v>1397</v>
      </c>
      <c r="G28" s="11" t="s">
        <v>1398</v>
      </c>
      <c r="H28" s="11" t="s">
        <v>1320</v>
      </c>
      <c r="I28" s="18"/>
      <c r="J28" s="11"/>
      <c r="K28" s="11"/>
      <c r="L28" s="11"/>
    </row>
    <row r="29" spans="1:12">
      <c r="A29" s="11" t="s">
        <v>1399</v>
      </c>
      <c r="B29" s="11" t="s">
        <v>59</v>
      </c>
      <c r="C29" s="11" t="s">
        <v>1400</v>
      </c>
      <c r="D29" s="11" t="s">
        <v>1401</v>
      </c>
      <c r="E29" s="11" t="s">
        <v>1402</v>
      </c>
      <c r="F29" s="11" t="s">
        <v>1403</v>
      </c>
      <c r="G29" s="11" t="s">
        <v>1404</v>
      </c>
      <c r="H29" s="11" t="s">
        <v>1320</v>
      </c>
      <c r="I29" s="18"/>
      <c r="J29" s="11"/>
      <c r="K29" s="11"/>
      <c r="L29" s="11"/>
    </row>
    <row r="30" spans="1:12" ht="22.8">
      <c r="A30" s="11" t="s">
        <v>1405</v>
      </c>
      <c r="B30" s="11" t="s">
        <v>59</v>
      </c>
      <c r="C30" s="11" t="s">
        <v>1311</v>
      </c>
      <c r="D30" s="11" t="s">
        <v>1406</v>
      </c>
      <c r="E30" s="11" t="s">
        <v>964</v>
      </c>
      <c r="F30" s="11" t="s">
        <v>1407</v>
      </c>
      <c r="G30" s="11" t="s">
        <v>812</v>
      </c>
      <c r="H30" s="11" t="s">
        <v>1320</v>
      </c>
      <c r="I30" s="18"/>
      <c r="J30" s="11"/>
      <c r="K30" s="11"/>
      <c r="L30" s="11"/>
    </row>
    <row r="31" spans="1:12">
      <c r="A31" s="11" t="s">
        <v>1408</v>
      </c>
      <c r="B31" s="11" t="s">
        <v>60</v>
      </c>
      <c r="C31" s="11" t="s">
        <v>847</v>
      </c>
      <c r="D31" s="11" t="s">
        <v>1409</v>
      </c>
      <c r="E31" s="11" t="s">
        <v>852</v>
      </c>
      <c r="F31" s="11" t="s">
        <v>1410</v>
      </c>
      <c r="G31" s="11" t="s">
        <v>1411</v>
      </c>
      <c r="H31" s="11" t="s">
        <v>1320</v>
      </c>
      <c r="I31" s="18"/>
      <c r="J31" s="11"/>
      <c r="K31" s="11"/>
      <c r="L31" s="11"/>
    </row>
    <row r="32" spans="1:12">
      <c r="A32" s="11" t="s">
        <v>1412</v>
      </c>
      <c r="B32" s="11" t="s">
        <v>60</v>
      </c>
      <c r="C32" s="11" t="s">
        <v>1400</v>
      </c>
      <c r="D32" s="11" t="s">
        <v>1413</v>
      </c>
      <c r="E32" s="11" t="s">
        <v>1414</v>
      </c>
      <c r="F32" s="11" t="s">
        <v>1415</v>
      </c>
      <c r="G32" s="11" t="s">
        <v>1416</v>
      </c>
      <c r="H32" s="11" t="s">
        <v>1320</v>
      </c>
      <c r="I32" s="18"/>
      <c r="J32" s="11"/>
      <c r="K32" s="11"/>
      <c r="L32" s="11"/>
    </row>
    <row r="33" spans="1:12">
      <c r="A33" s="11" t="s">
        <v>1417</v>
      </c>
      <c r="B33" s="11" t="s">
        <v>60</v>
      </c>
      <c r="C33" s="11" t="s">
        <v>1418</v>
      </c>
      <c r="D33" s="11" t="s">
        <v>1419</v>
      </c>
      <c r="E33" s="11" t="s">
        <v>908</v>
      </c>
      <c r="F33" s="11" t="s">
        <v>1420</v>
      </c>
      <c r="G33" s="11" t="s">
        <v>1421</v>
      </c>
      <c r="H33" s="11" t="s">
        <v>1320</v>
      </c>
      <c r="I33" s="18"/>
      <c r="J33" s="11"/>
      <c r="K33" s="11"/>
      <c r="L33" s="11"/>
    </row>
    <row r="34" spans="1:12">
      <c r="A34" s="11" t="s">
        <v>1422</v>
      </c>
      <c r="B34" s="11" t="s">
        <v>60</v>
      </c>
      <c r="C34" s="11" t="s">
        <v>1423</v>
      </c>
      <c r="D34" s="11" t="s">
        <v>1424</v>
      </c>
      <c r="E34" s="11" t="s">
        <v>932</v>
      </c>
      <c r="F34" s="11" t="s">
        <v>1425</v>
      </c>
      <c r="G34" s="11" t="s">
        <v>1426</v>
      </c>
      <c r="H34" s="11" t="s">
        <v>1320</v>
      </c>
      <c r="I34" s="18"/>
      <c r="J34" s="11"/>
      <c r="K34" s="11"/>
      <c r="L34" s="11"/>
    </row>
    <row r="35" spans="1:12">
      <c r="A35" s="11" t="s">
        <v>1427</v>
      </c>
      <c r="B35" s="11" t="s">
        <v>60</v>
      </c>
      <c r="C35" s="11" t="s">
        <v>1354</v>
      </c>
      <c r="D35" s="11" t="s">
        <v>1428</v>
      </c>
      <c r="E35" s="11" t="s">
        <v>944</v>
      </c>
      <c r="F35" s="11" t="s">
        <v>1429</v>
      </c>
      <c r="G35" s="11" t="s">
        <v>946</v>
      </c>
      <c r="H35" s="11" t="s">
        <v>1320</v>
      </c>
      <c r="I35" s="18"/>
      <c r="J35" s="11"/>
      <c r="K35" s="11"/>
      <c r="L35" s="11"/>
    </row>
    <row r="36" spans="1:12" ht="171">
      <c r="A36" s="11" t="s">
        <v>1430</v>
      </c>
      <c r="B36" s="11" t="s">
        <v>60</v>
      </c>
      <c r="C36" s="11" t="s">
        <v>1358</v>
      </c>
      <c r="D36" s="11" t="s">
        <v>1431</v>
      </c>
      <c r="E36" s="11" t="s">
        <v>2343</v>
      </c>
      <c r="F36" s="11" t="s">
        <v>1432</v>
      </c>
      <c r="G36" s="11" t="s">
        <v>956</v>
      </c>
      <c r="H36" s="11" t="s">
        <v>1320</v>
      </c>
      <c r="I36" s="18"/>
      <c r="J36" s="11"/>
      <c r="K36" s="11"/>
      <c r="L36" s="11"/>
    </row>
    <row r="37" spans="1:12" ht="22.8">
      <c r="A37" s="11" t="s">
        <v>1433</v>
      </c>
      <c r="B37" s="11" t="s">
        <v>60</v>
      </c>
      <c r="C37" s="11" t="s">
        <v>1311</v>
      </c>
      <c r="D37" s="11" t="s">
        <v>1434</v>
      </c>
      <c r="E37" s="11" t="s">
        <v>964</v>
      </c>
      <c r="F37" s="11" t="s">
        <v>1435</v>
      </c>
      <c r="G37" s="11" t="s">
        <v>966</v>
      </c>
      <c r="H37" s="11" t="s">
        <v>1320</v>
      </c>
      <c r="I37" s="18"/>
      <c r="J37" s="11"/>
      <c r="K37" s="11"/>
      <c r="L37" s="11"/>
    </row>
    <row r="38" spans="1:12" ht="42" customHeight="1">
      <c r="A38" s="23" t="s">
        <v>1436</v>
      </c>
      <c r="B38" s="23" t="s">
        <v>56</v>
      </c>
      <c r="C38" s="23" t="s">
        <v>1437</v>
      </c>
      <c r="D38" s="23" t="s">
        <v>1438</v>
      </c>
      <c r="E38" s="23" t="s">
        <v>1439</v>
      </c>
      <c r="F38" s="23" t="s">
        <v>1440</v>
      </c>
      <c r="G38" s="23" t="s">
        <v>99</v>
      </c>
      <c r="H38" s="23" t="s">
        <v>1296</v>
      </c>
      <c r="I38" s="25">
        <v>46252</v>
      </c>
      <c r="J38" s="23" t="s">
        <v>1441</v>
      </c>
      <c r="K38" s="23" t="s">
        <v>1442</v>
      </c>
      <c r="L38" s="23" t="s">
        <v>1299</v>
      </c>
    </row>
    <row r="39" spans="1:12" ht="42" customHeight="1">
      <c r="A39" s="22" t="s">
        <v>1443</v>
      </c>
      <c r="B39" s="22" t="s">
        <v>56</v>
      </c>
      <c r="C39" s="22" t="s">
        <v>106</v>
      </c>
      <c r="D39" s="22" t="s">
        <v>1444</v>
      </c>
      <c r="E39" s="22" t="s">
        <v>112</v>
      </c>
      <c r="F39" s="22" t="s">
        <v>1445</v>
      </c>
      <c r="G39" s="22" t="s">
        <v>114</v>
      </c>
      <c r="H39" s="22" t="s">
        <v>1296</v>
      </c>
      <c r="I39" s="26">
        <v>46252</v>
      </c>
      <c r="J39" s="22" t="s">
        <v>1446</v>
      </c>
      <c r="K39" s="22" t="s">
        <v>1447</v>
      </c>
      <c r="L39" s="22" t="s">
        <v>1299</v>
      </c>
    </row>
  </sheetData>
  <mergeCells count="2">
    <mergeCell ref="A1:L1"/>
    <mergeCell ref="A2:L2"/>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2">
    <dataValidation type="list" sqref="H6:H37" xr:uid="{00000000-0002-0000-0B00-000000000000}">
      <formula1>"Not Run,Pass,Fail,Blocked"</formula1>
    </dataValidation>
    <dataValidation type="list" sqref="L6:L37" xr:uid="{00000000-0002-0000-0B00-000001000000}">
      <formula1>"Pending,Approved,Rejected"</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23"/>
  <sheetViews>
    <sheetView showGridLines="0" topLeftCell="A9"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59" t="s">
        <v>1448</v>
      </c>
      <c r="B1" s="59"/>
      <c r="C1" s="59"/>
      <c r="D1" s="59"/>
      <c r="E1" s="59"/>
      <c r="F1" s="59"/>
      <c r="G1" s="59"/>
      <c r="H1" s="59"/>
      <c r="I1" s="59"/>
      <c r="J1" s="59"/>
      <c r="K1" s="59"/>
    </row>
    <row r="2" spans="1:11" ht="31.95" customHeight="1">
      <c r="A2" s="60" t="s">
        <v>1449</v>
      </c>
      <c r="B2" s="60"/>
      <c r="C2" s="60"/>
      <c r="D2" s="60"/>
      <c r="E2" s="60"/>
      <c r="F2" s="60"/>
      <c r="G2" s="60"/>
      <c r="H2" s="60"/>
      <c r="I2" s="60"/>
      <c r="J2" s="60"/>
      <c r="K2" s="60"/>
    </row>
    <row r="5" spans="1:11" ht="28.05" customHeight="1">
      <c r="A5" s="1" t="s">
        <v>82</v>
      </c>
      <c r="B5" s="2" t="s">
        <v>1450</v>
      </c>
      <c r="C5" s="2" t="s">
        <v>85</v>
      </c>
      <c r="D5" s="2" t="s">
        <v>1451</v>
      </c>
      <c r="E5" s="2" t="s">
        <v>1452</v>
      </c>
      <c r="F5" s="2" t="s">
        <v>1453</v>
      </c>
      <c r="G5" s="2" t="s">
        <v>1454</v>
      </c>
      <c r="H5" s="2" t="s">
        <v>1455</v>
      </c>
      <c r="I5" s="2" t="s">
        <v>34</v>
      </c>
      <c r="J5" s="2" t="s">
        <v>1456</v>
      </c>
      <c r="K5" s="3" t="s">
        <v>1457</v>
      </c>
    </row>
    <row r="6" spans="1:11" ht="22.8">
      <c r="A6" s="10" t="s">
        <v>100</v>
      </c>
      <c r="B6" s="10" t="s">
        <v>1458</v>
      </c>
      <c r="C6" s="10" t="s">
        <v>1459</v>
      </c>
      <c r="D6" s="10" t="s">
        <v>56</v>
      </c>
      <c r="E6" s="10" t="s">
        <v>1460</v>
      </c>
      <c r="F6" s="10" t="s">
        <v>1461</v>
      </c>
      <c r="G6" s="10" t="s">
        <v>1462</v>
      </c>
      <c r="H6" s="10" t="s">
        <v>1463</v>
      </c>
      <c r="I6" s="10" t="s">
        <v>93</v>
      </c>
      <c r="J6" s="10" t="s">
        <v>1464</v>
      </c>
      <c r="K6" s="10"/>
    </row>
    <row r="7" spans="1:11" ht="22.8">
      <c r="A7" s="11" t="s">
        <v>152</v>
      </c>
      <c r="B7" s="11" t="s">
        <v>1465</v>
      </c>
      <c r="C7" s="11" t="s">
        <v>1459</v>
      </c>
      <c r="D7" s="11" t="s">
        <v>56</v>
      </c>
      <c r="E7" s="11" t="s">
        <v>1466</v>
      </c>
      <c r="F7" s="11" t="s">
        <v>1467</v>
      </c>
      <c r="G7" s="11" t="s">
        <v>1468</v>
      </c>
      <c r="H7" s="11" t="s">
        <v>1469</v>
      </c>
      <c r="I7" s="11" t="s">
        <v>93</v>
      </c>
      <c r="J7" s="11" t="s">
        <v>1470</v>
      </c>
      <c r="K7" s="11"/>
    </row>
    <row r="8" spans="1:11" ht="22.8">
      <c r="A8" s="11" t="s">
        <v>279</v>
      </c>
      <c r="B8" s="11" t="s">
        <v>1471</v>
      </c>
      <c r="C8" s="11" t="s">
        <v>1459</v>
      </c>
      <c r="D8" s="11" t="s">
        <v>37</v>
      </c>
      <c r="E8" s="11" t="s">
        <v>1472</v>
      </c>
      <c r="F8" s="11" t="s">
        <v>1473</v>
      </c>
      <c r="G8" s="11" t="s">
        <v>1474</v>
      </c>
      <c r="H8" s="11" t="s">
        <v>1475</v>
      </c>
      <c r="I8" s="11" t="s">
        <v>93</v>
      </c>
      <c r="J8" s="11" t="s">
        <v>1476</v>
      </c>
      <c r="K8" s="11"/>
    </row>
    <row r="9" spans="1:11" ht="22.8">
      <c r="A9" s="11" t="s">
        <v>415</v>
      </c>
      <c r="B9" s="11" t="s">
        <v>1477</v>
      </c>
      <c r="C9" s="11" t="s">
        <v>1459</v>
      </c>
      <c r="D9" s="11" t="s">
        <v>57</v>
      </c>
      <c r="E9" s="11" t="s">
        <v>1478</v>
      </c>
      <c r="F9" s="11" t="s">
        <v>1479</v>
      </c>
      <c r="G9" s="11" t="s">
        <v>1480</v>
      </c>
      <c r="H9" s="11" t="s">
        <v>1481</v>
      </c>
      <c r="I9" s="11" t="s">
        <v>93</v>
      </c>
      <c r="J9" s="11" t="s">
        <v>1482</v>
      </c>
      <c r="K9" s="11"/>
    </row>
    <row r="10" spans="1:11" ht="22.8">
      <c r="A10" s="11" t="s">
        <v>569</v>
      </c>
      <c r="B10" s="11" t="s">
        <v>1483</v>
      </c>
      <c r="C10" s="11" t="s">
        <v>1459</v>
      </c>
      <c r="D10" s="11" t="s">
        <v>58</v>
      </c>
      <c r="E10" s="11" t="s">
        <v>1484</v>
      </c>
      <c r="F10" s="11" t="s">
        <v>1485</v>
      </c>
      <c r="G10" s="11" t="s">
        <v>1486</v>
      </c>
      <c r="H10" s="11" t="s">
        <v>1487</v>
      </c>
      <c r="I10" s="11" t="s">
        <v>93</v>
      </c>
      <c r="J10" s="11" t="s">
        <v>1488</v>
      </c>
      <c r="K10" s="11"/>
    </row>
    <row r="11" spans="1:11" ht="22.8">
      <c r="A11" s="11" t="s">
        <v>327</v>
      </c>
      <c r="B11" s="11" t="s">
        <v>1489</v>
      </c>
      <c r="C11" s="11" t="s">
        <v>1459</v>
      </c>
      <c r="D11" s="11" t="s">
        <v>37</v>
      </c>
      <c r="E11" s="11" t="s">
        <v>1490</v>
      </c>
      <c r="F11" s="11" t="s">
        <v>1491</v>
      </c>
      <c r="G11" s="11" t="s">
        <v>1492</v>
      </c>
      <c r="H11" s="11" t="s">
        <v>1493</v>
      </c>
      <c r="I11" s="11" t="s">
        <v>93</v>
      </c>
      <c r="J11" s="11" t="s">
        <v>1494</v>
      </c>
      <c r="K11" s="11"/>
    </row>
    <row r="12" spans="1:11" ht="22.8">
      <c r="A12" s="11" t="s">
        <v>548</v>
      </c>
      <c r="B12" s="11" t="s">
        <v>1495</v>
      </c>
      <c r="C12" s="11" t="s">
        <v>1459</v>
      </c>
      <c r="D12" s="11" t="s">
        <v>58</v>
      </c>
      <c r="E12" s="11" t="s">
        <v>1496</v>
      </c>
      <c r="F12" s="11" t="s">
        <v>1497</v>
      </c>
      <c r="G12" s="11" t="s">
        <v>1498</v>
      </c>
      <c r="H12" s="11" t="s">
        <v>1499</v>
      </c>
      <c r="I12" s="11" t="s">
        <v>93</v>
      </c>
      <c r="J12" s="11" t="s">
        <v>1500</v>
      </c>
      <c r="K12" s="11"/>
    </row>
    <row r="13" spans="1:11" ht="22.8">
      <c r="A13" s="11" t="s">
        <v>496</v>
      </c>
      <c r="B13" s="11" t="s">
        <v>1501</v>
      </c>
      <c r="C13" s="11" t="s">
        <v>1459</v>
      </c>
      <c r="D13" s="11" t="s">
        <v>57</v>
      </c>
      <c r="E13" s="11" t="s">
        <v>1502</v>
      </c>
      <c r="F13" s="11" t="s">
        <v>1503</v>
      </c>
      <c r="G13" s="11" t="s">
        <v>1504</v>
      </c>
      <c r="H13" s="11" t="s">
        <v>1505</v>
      </c>
      <c r="I13" s="11" t="s">
        <v>93</v>
      </c>
      <c r="J13" s="11" t="s">
        <v>1506</v>
      </c>
      <c r="K13" s="11"/>
    </row>
    <row r="14" spans="1:11" ht="22.8">
      <c r="A14" s="11" t="s">
        <v>198</v>
      </c>
      <c r="B14" s="11" t="s">
        <v>1507</v>
      </c>
      <c r="C14" s="11" t="s">
        <v>1459</v>
      </c>
      <c r="D14" s="11" t="s">
        <v>56</v>
      </c>
      <c r="E14" s="11" t="s">
        <v>1508</v>
      </c>
      <c r="F14" s="11" t="s">
        <v>1509</v>
      </c>
      <c r="G14" s="11" t="s">
        <v>1510</v>
      </c>
      <c r="H14" s="11" t="s">
        <v>1511</v>
      </c>
      <c r="I14" s="11" t="s">
        <v>93</v>
      </c>
      <c r="J14" s="11" t="s">
        <v>1512</v>
      </c>
      <c r="K14" s="11"/>
    </row>
    <row r="15" spans="1:11" ht="22.8">
      <c r="A15" s="11" t="s">
        <v>1513</v>
      </c>
      <c r="B15" s="11" t="s">
        <v>1514</v>
      </c>
      <c r="C15" s="11" t="s">
        <v>1459</v>
      </c>
      <c r="D15" s="11" t="s">
        <v>56</v>
      </c>
      <c r="E15" s="11" t="s">
        <v>1515</v>
      </c>
      <c r="F15" s="11" t="s">
        <v>1516</v>
      </c>
      <c r="G15" s="11" t="s">
        <v>1517</v>
      </c>
      <c r="H15" s="11" t="s">
        <v>1518</v>
      </c>
      <c r="I15" s="11" t="s">
        <v>93</v>
      </c>
      <c r="J15" s="11" t="s">
        <v>1519</v>
      </c>
      <c r="K15" s="11"/>
    </row>
    <row r="16" spans="1:11" ht="22.8">
      <c r="A16" s="11" t="s">
        <v>1520</v>
      </c>
      <c r="B16" s="11" t="s">
        <v>1521</v>
      </c>
      <c r="C16" s="11" t="s">
        <v>1459</v>
      </c>
      <c r="D16" s="11" t="s">
        <v>56</v>
      </c>
      <c r="E16" s="11" t="s">
        <v>1522</v>
      </c>
      <c r="F16" s="11" t="s">
        <v>1523</v>
      </c>
      <c r="G16" s="11" t="s">
        <v>1524</v>
      </c>
      <c r="H16" s="11" t="s">
        <v>1525</v>
      </c>
      <c r="I16" s="11" t="s">
        <v>93</v>
      </c>
      <c r="J16" s="11" t="s">
        <v>1526</v>
      </c>
      <c r="K16" s="11"/>
    </row>
    <row r="17" spans="1:11" ht="22.8">
      <c r="A17" s="11" t="s">
        <v>518</v>
      </c>
      <c r="B17" s="11" t="s">
        <v>1527</v>
      </c>
      <c r="C17" s="11" t="s">
        <v>1459</v>
      </c>
      <c r="D17" s="11" t="s">
        <v>56</v>
      </c>
      <c r="E17" s="11" t="s">
        <v>1528</v>
      </c>
      <c r="F17" s="11" t="s">
        <v>1529</v>
      </c>
      <c r="G17" s="11" t="s">
        <v>1530</v>
      </c>
      <c r="H17" s="11" t="s">
        <v>1531</v>
      </c>
      <c r="I17" s="11" t="s">
        <v>93</v>
      </c>
      <c r="J17" s="11" t="s">
        <v>1532</v>
      </c>
      <c r="K17" s="11"/>
    </row>
    <row r="18" spans="1:11" ht="22.8">
      <c r="A18" s="11" t="s">
        <v>1533</v>
      </c>
      <c r="B18" s="11" t="s">
        <v>1534</v>
      </c>
      <c r="C18" s="11" t="s">
        <v>1459</v>
      </c>
      <c r="D18" s="11" t="s">
        <v>56</v>
      </c>
      <c r="E18" s="11" t="s">
        <v>1535</v>
      </c>
      <c r="F18" s="11" t="s">
        <v>1536</v>
      </c>
      <c r="G18" s="11" t="s">
        <v>1537</v>
      </c>
      <c r="H18" s="11" t="s">
        <v>1538</v>
      </c>
      <c r="I18" s="11" t="s">
        <v>93</v>
      </c>
      <c r="J18" s="11" t="s">
        <v>1539</v>
      </c>
      <c r="K18" s="11"/>
    </row>
    <row r="19" spans="1:11" ht="22.8">
      <c r="A19" s="11" t="s">
        <v>1540</v>
      </c>
      <c r="B19" s="11" t="s">
        <v>1541</v>
      </c>
      <c r="C19" s="11" t="s">
        <v>1459</v>
      </c>
      <c r="D19" s="11" t="s">
        <v>56</v>
      </c>
      <c r="E19" s="11" t="s">
        <v>1542</v>
      </c>
      <c r="F19" s="11" t="s">
        <v>1543</v>
      </c>
      <c r="G19" s="11" t="s">
        <v>1544</v>
      </c>
      <c r="H19" s="11" t="s">
        <v>1545</v>
      </c>
      <c r="I19" s="11" t="s">
        <v>93</v>
      </c>
      <c r="J19" s="11" t="s">
        <v>1546</v>
      </c>
      <c r="K19" s="11"/>
    </row>
    <row r="20" spans="1:11">
      <c r="A20" s="11" t="s">
        <v>855</v>
      </c>
      <c r="B20" s="11" t="s">
        <v>1547</v>
      </c>
      <c r="C20" s="11" t="s">
        <v>1459</v>
      </c>
      <c r="D20" s="11" t="s">
        <v>60</v>
      </c>
      <c r="E20" s="11" t="s">
        <v>1548</v>
      </c>
      <c r="F20" s="11" t="s">
        <v>1549</v>
      </c>
      <c r="G20" s="11" t="s">
        <v>1550</v>
      </c>
      <c r="H20" s="11" t="s">
        <v>1551</v>
      </c>
      <c r="I20" s="11" t="s">
        <v>93</v>
      </c>
      <c r="J20" s="11" t="s">
        <v>1552</v>
      </c>
      <c r="K20" s="11"/>
    </row>
    <row r="21" spans="1:11">
      <c r="A21" s="11" t="s">
        <v>115</v>
      </c>
      <c r="B21" s="11" t="s">
        <v>1553</v>
      </c>
      <c r="C21" s="11" t="s">
        <v>1459</v>
      </c>
      <c r="D21" s="11" t="s">
        <v>56</v>
      </c>
      <c r="E21" s="11" t="s">
        <v>1554</v>
      </c>
      <c r="F21" s="11" t="s">
        <v>1555</v>
      </c>
      <c r="G21" s="11" t="s">
        <v>1556</v>
      </c>
      <c r="H21" s="11" t="s">
        <v>1557</v>
      </c>
      <c r="I21" s="11" t="s">
        <v>93</v>
      </c>
      <c r="J21" s="11" t="s">
        <v>1558</v>
      </c>
      <c r="K21" s="11"/>
    </row>
    <row r="22" spans="1:11" ht="22.8">
      <c r="A22" s="11" t="s">
        <v>164</v>
      </c>
      <c r="B22" s="11" t="s">
        <v>1559</v>
      </c>
      <c r="C22" s="11" t="s">
        <v>1459</v>
      </c>
      <c r="D22" s="11" t="s">
        <v>56</v>
      </c>
      <c r="E22" s="11" t="s">
        <v>1560</v>
      </c>
      <c r="F22" s="11" t="s">
        <v>1561</v>
      </c>
      <c r="G22" s="11" t="s">
        <v>1562</v>
      </c>
      <c r="H22" s="11" t="s">
        <v>1563</v>
      </c>
      <c r="I22" s="11" t="s">
        <v>93</v>
      </c>
      <c r="J22" s="11" t="s">
        <v>1564</v>
      </c>
      <c r="K22" s="11"/>
    </row>
    <row r="23" spans="1:11" ht="22.8">
      <c r="A23" s="11" t="s">
        <v>1565</v>
      </c>
      <c r="B23" s="11" t="s">
        <v>1566</v>
      </c>
      <c r="C23" s="11" t="s">
        <v>1459</v>
      </c>
      <c r="D23" s="11" t="s">
        <v>1567</v>
      </c>
      <c r="E23" s="11" t="s">
        <v>1568</v>
      </c>
      <c r="F23" s="11" t="s">
        <v>1569</v>
      </c>
      <c r="G23" s="11" t="s">
        <v>1570</v>
      </c>
      <c r="H23" s="11" t="s">
        <v>1571</v>
      </c>
      <c r="I23" s="11" t="s">
        <v>93</v>
      </c>
      <c r="J23" s="11" t="s">
        <v>1572</v>
      </c>
      <c r="K23" s="11"/>
    </row>
  </sheetData>
  <mergeCells count="2">
    <mergeCell ref="A1:K1"/>
    <mergeCell ref="A2:K2"/>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23" xr:uid="{00000000-0002-0000-0C00-000000000000}">
      <formula1>"Baseline Approved,Proposed,Approved,Rejected,Superseded,Revisit"</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J30"/>
  <sheetViews>
    <sheetView showGridLines="0" workbookViewId="0">
      <selection activeCell="F10" sqref="F10"/>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59" t="s">
        <v>1573</v>
      </c>
      <c r="B1" s="59"/>
      <c r="C1" s="59"/>
      <c r="D1" s="59"/>
      <c r="E1" s="59"/>
      <c r="F1" s="59"/>
      <c r="G1" s="59"/>
      <c r="H1" s="59"/>
      <c r="I1" s="59"/>
      <c r="J1" s="59"/>
    </row>
    <row r="2" spans="1:10" ht="31.95" customHeight="1">
      <c r="A2" s="60" t="s">
        <v>1574</v>
      </c>
      <c r="B2" s="60"/>
      <c r="C2" s="60"/>
      <c r="D2" s="60"/>
      <c r="E2" s="60"/>
      <c r="F2" s="60"/>
      <c r="G2" s="60"/>
      <c r="H2" s="60"/>
      <c r="I2" s="60"/>
      <c r="J2" s="60"/>
    </row>
    <row r="5" spans="1:10" ht="28.05" customHeight="1">
      <c r="A5" s="1" t="s">
        <v>1575</v>
      </c>
      <c r="B5" s="2" t="s">
        <v>1576</v>
      </c>
      <c r="C5" s="2" t="s">
        <v>1577</v>
      </c>
      <c r="D5" s="2" t="s">
        <v>1578</v>
      </c>
      <c r="E5" s="2" t="s">
        <v>1579</v>
      </c>
      <c r="F5" s="2" t="s">
        <v>85</v>
      </c>
      <c r="G5" s="2" t="s">
        <v>34</v>
      </c>
      <c r="H5" s="2" t="s">
        <v>1580</v>
      </c>
      <c r="I5" s="2" t="s">
        <v>1581</v>
      </c>
      <c r="J5" s="3" t="s">
        <v>1582</v>
      </c>
    </row>
    <row r="6" spans="1:10" ht="68.400000000000006" hidden="1">
      <c r="A6" s="10" t="s">
        <v>1583</v>
      </c>
      <c r="B6" s="10" t="s">
        <v>1584</v>
      </c>
      <c r="C6" s="19" t="s">
        <v>1585</v>
      </c>
      <c r="D6" s="10" t="s">
        <v>56</v>
      </c>
      <c r="E6" s="10" t="s">
        <v>1586</v>
      </c>
      <c r="F6" s="10" t="s">
        <v>46</v>
      </c>
      <c r="G6" s="10" t="s">
        <v>35</v>
      </c>
      <c r="H6" s="10" t="s">
        <v>99</v>
      </c>
      <c r="I6" s="19" t="s">
        <v>1587</v>
      </c>
      <c r="J6" s="17">
        <v>46257</v>
      </c>
    </row>
    <row r="7" spans="1:10" ht="68.400000000000006" hidden="1">
      <c r="A7" s="11" t="s">
        <v>1588</v>
      </c>
      <c r="B7" s="11" t="s">
        <v>1589</v>
      </c>
      <c r="C7" s="20" t="s">
        <v>1590</v>
      </c>
      <c r="D7" s="11" t="s">
        <v>56</v>
      </c>
      <c r="E7" s="11" t="s">
        <v>1586</v>
      </c>
      <c r="F7" s="11" t="s">
        <v>46</v>
      </c>
      <c r="G7" s="11" t="s">
        <v>35</v>
      </c>
      <c r="H7" s="11" t="s">
        <v>99</v>
      </c>
      <c r="I7" s="20" t="s">
        <v>1591</v>
      </c>
      <c r="J7" s="18">
        <v>46252</v>
      </c>
    </row>
    <row r="8" spans="1:10" hidden="1">
      <c r="A8" s="11" t="s">
        <v>1592</v>
      </c>
      <c r="B8" s="11" t="s">
        <v>106</v>
      </c>
      <c r="C8" s="20" t="s">
        <v>1593</v>
      </c>
      <c r="D8" s="11" t="s">
        <v>37</v>
      </c>
      <c r="E8" s="11" t="s">
        <v>1586</v>
      </c>
      <c r="F8" s="11" t="s">
        <v>46</v>
      </c>
      <c r="G8" s="11" t="s">
        <v>93</v>
      </c>
      <c r="H8" s="11" t="s">
        <v>1594</v>
      </c>
      <c r="I8" s="20"/>
      <c r="J8" s="18"/>
    </row>
    <row r="9" spans="1:10" hidden="1">
      <c r="A9" s="11" t="s">
        <v>322</v>
      </c>
      <c r="B9" s="11" t="s">
        <v>319</v>
      </c>
      <c r="C9" s="20" t="s">
        <v>1595</v>
      </c>
      <c r="D9" s="11" t="s">
        <v>37</v>
      </c>
      <c r="E9" s="11" t="s">
        <v>1586</v>
      </c>
      <c r="F9" s="11" t="s">
        <v>46</v>
      </c>
      <c r="G9" s="11" t="s">
        <v>93</v>
      </c>
      <c r="H9" s="11" t="s">
        <v>1596</v>
      </c>
      <c r="I9" s="20"/>
      <c r="J9" s="18"/>
    </row>
    <row r="10" spans="1:10">
      <c r="A10" s="11" t="s">
        <v>469</v>
      </c>
      <c r="B10" s="11" t="s">
        <v>1354</v>
      </c>
      <c r="C10" s="20" t="s">
        <v>1597</v>
      </c>
      <c r="D10" s="11" t="s">
        <v>57</v>
      </c>
      <c r="E10" s="11" t="s">
        <v>1586</v>
      </c>
      <c r="F10" s="11" t="s">
        <v>46</v>
      </c>
      <c r="G10" s="11" t="s">
        <v>93</v>
      </c>
      <c r="H10" s="11" t="s">
        <v>1598</v>
      </c>
      <c r="I10" s="20"/>
      <c r="J10" s="18"/>
    </row>
    <row r="11" spans="1:10" hidden="1">
      <c r="A11" s="11" t="s">
        <v>1599</v>
      </c>
      <c r="B11" s="11" t="s">
        <v>1600</v>
      </c>
      <c r="C11" s="20" t="s">
        <v>1601</v>
      </c>
      <c r="D11" s="11" t="s">
        <v>59</v>
      </c>
      <c r="E11" s="11" t="s">
        <v>1586</v>
      </c>
      <c r="F11" s="11" t="s">
        <v>303</v>
      </c>
      <c r="G11" s="11" t="s">
        <v>93</v>
      </c>
      <c r="H11" s="11" t="s">
        <v>1602</v>
      </c>
      <c r="I11" s="20"/>
      <c r="J11" s="18"/>
    </row>
    <row r="12" spans="1:10" ht="68.400000000000006" hidden="1">
      <c r="A12" s="11" t="s">
        <v>1603</v>
      </c>
      <c r="B12" s="11" t="s">
        <v>1600</v>
      </c>
      <c r="C12" s="20" t="s">
        <v>1604</v>
      </c>
      <c r="D12" s="11" t="s">
        <v>56</v>
      </c>
      <c r="E12" s="11" t="s">
        <v>1586</v>
      </c>
      <c r="F12" s="11" t="s">
        <v>46</v>
      </c>
      <c r="G12" s="11" t="s">
        <v>35</v>
      </c>
      <c r="H12" s="11" t="s">
        <v>1605</v>
      </c>
      <c r="I12" s="20" t="s">
        <v>1606</v>
      </c>
      <c r="J12" s="18">
        <v>46252</v>
      </c>
    </row>
    <row r="13" spans="1:10" ht="22.8" hidden="1">
      <c r="A13" s="11" t="s">
        <v>1607</v>
      </c>
      <c r="B13" s="11" t="s">
        <v>1608</v>
      </c>
      <c r="C13" s="20" t="s">
        <v>1609</v>
      </c>
      <c r="D13" s="11" t="s">
        <v>59</v>
      </c>
      <c r="E13" s="11" t="s">
        <v>1586</v>
      </c>
      <c r="F13" s="11" t="s">
        <v>303</v>
      </c>
      <c r="G13" s="11" t="s">
        <v>93</v>
      </c>
      <c r="H13" s="11" t="s">
        <v>1610</v>
      </c>
      <c r="I13" s="20"/>
      <c r="J13" s="18"/>
    </row>
    <row r="14" spans="1:10" ht="91.2" hidden="1">
      <c r="A14" s="11" t="s">
        <v>125</v>
      </c>
      <c r="B14" s="11" t="s">
        <v>106</v>
      </c>
      <c r="C14" s="20" t="s">
        <v>1611</v>
      </c>
      <c r="D14" s="11" t="s">
        <v>56</v>
      </c>
      <c r="E14" s="11" t="s">
        <v>1586</v>
      </c>
      <c r="F14" s="11" t="s">
        <v>46</v>
      </c>
      <c r="G14" s="11" t="s">
        <v>35</v>
      </c>
      <c r="H14" s="11" t="s">
        <v>1612</v>
      </c>
      <c r="I14" s="20" t="s">
        <v>1613</v>
      </c>
      <c r="J14" s="18">
        <v>46252</v>
      </c>
    </row>
    <row r="15" spans="1:10" hidden="1">
      <c r="A15" s="11" t="s">
        <v>1614</v>
      </c>
      <c r="B15" s="11" t="s">
        <v>1305</v>
      </c>
      <c r="C15" s="20" t="s">
        <v>1615</v>
      </c>
      <c r="D15" s="11" t="s">
        <v>59</v>
      </c>
      <c r="E15" s="11" t="s">
        <v>1586</v>
      </c>
      <c r="F15" s="11" t="s">
        <v>303</v>
      </c>
      <c r="G15" s="11" t="s">
        <v>93</v>
      </c>
      <c r="H15" s="11" t="s">
        <v>1610</v>
      </c>
      <c r="I15" s="20"/>
      <c r="J15" s="18"/>
    </row>
    <row r="16" spans="1:10" hidden="1">
      <c r="A16" s="11" t="s">
        <v>756</v>
      </c>
      <c r="B16" s="11" t="s">
        <v>752</v>
      </c>
      <c r="C16" s="20" t="s">
        <v>1616</v>
      </c>
      <c r="D16" s="11" t="s">
        <v>59</v>
      </c>
      <c r="E16" s="11" t="s">
        <v>1586</v>
      </c>
      <c r="F16" s="11" t="s">
        <v>303</v>
      </c>
      <c r="G16" s="11" t="s">
        <v>93</v>
      </c>
      <c r="H16" s="11" t="s">
        <v>1617</v>
      </c>
      <c r="I16" s="20"/>
      <c r="J16" s="18"/>
    </row>
    <row r="17" spans="1:10">
      <c r="A17" s="11" t="s">
        <v>398</v>
      </c>
      <c r="B17" s="11" t="s">
        <v>1618</v>
      </c>
      <c r="C17" s="20" t="s">
        <v>1619</v>
      </c>
      <c r="D17" s="11" t="s">
        <v>57</v>
      </c>
      <c r="E17" s="11" t="s">
        <v>1586</v>
      </c>
      <c r="F17" s="11" t="s">
        <v>2573</v>
      </c>
      <c r="G17" s="11" t="s">
        <v>93</v>
      </c>
      <c r="H17" s="11" t="s">
        <v>1620</v>
      </c>
      <c r="I17" s="20"/>
      <c r="J17" s="18"/>
    </row>
    <row r="18" spans="1:10" hidden="1">
      <c r="A18" s="11" t="s">
        <v>297</v>
      </c>
      <c r="B18" s="11" t="s">
        <v>1618</v>
      </c>
      <c r="C18" s="20" t="s">
        <v>1621</v>
      </c>
      <c r="D18" s="11" t="s">
        <v>37</v>
      </c>
      <c r="E18" s="11" t="s">
        <v>1586</v>
      </c>
      <c r="F18" s="11" t="s">
        <v>46</v>
      </c>
      <c r="G18" s="11" t="s">
        <v>93</v>
      </c>
      <c r="H18" s="11" t="s">
        <v>1052</v>
      </c>
      <c r="I18" s="20"/>
      <c r="J18" s="18"/>
    </row>
    <row r="19" spans="1:10" hidden="1">
      <c r="A19" s="11" t="s">
        <v>334</v>
      </c>
      <c r="B19" s="11" t="s">
        <v>1400</v>
      </c>
      <c r="C19" s="20" t="s">
        <v>1622</v>
      </c>
      <c r="D19" s="11" t="s">
        <v>37</v>
      </c>
      <c r="E19" s="11" t="s">
        <v>1586</v>
      </c>
      <c r="F19" s="11" t="s">
        <v>46</v>
      </c>
      <c r="G19" s="11" t="s">
        <v>93</v>
      </c>
      <c r="H19" s="11" t="s">
        <v>1623</v>
      </c>
      <c r="I19" s="20"/>
      <c r="J19" s="18"/>
    </row>
    <row r="20" spans="1:10" ht="79.8" hidden="1">
      <c r="A20" s="11" t="s">
        <v>182</v>
      </c>
      <c r="B20" s="11" t="s">
        <v>179</v>
      </c>
      <c r="C20" s="20" t="s">
        <v>1624</v>
      </c>
      <c r="D20" s="11" t="s">
        <v>56</v>
      </c>
      <c r="E20" s="11" t="s">
        <v>1625</v>
      </c>
      <c r="F20" s="11" t="s">
        <v>46</v>
      </c>
      <c r="G20" s="11" t="s">
        <v>35</v>
      </c>
      <c r="H20" s="11" t="s">
        <v>1626</v>
      </c>
      <c r="I20" s="20" t="s">
        <v>1627</v>
      </c>
      <c r="J20" s="18">
        <v>46252</v>
      </c>
    </row>
    <row r="21" spans="1:10" ht="22.8">
      <c r="A21" s="11" t="s">
        <v>524</v>
      </c>
      <c r="B21" s="11" t="s">
        <v>1628</v>
      </c>
      <c r="C21" s="20" t="s">
        <v>1629</v>
      </c>
      <c r="D21" s="11" t="s">
        <v>58</v>
      </c>
      <c r="E21" s="11" t="s">
        <v>1586</v>
      </c>
      <c r="F21" s="11" t="s">
        <v>2573</v>
      </c>
      <c r="G21" s="11" t="s">
        <v>93</v>
      </c>
      <c r="H21" s="11" t="s">
        <v>1630</v>
      </c>
      <c r="I21" s="20"/>
      <c r="J21" s="18"/>
    </row>
    <row r="22" spans="1:10" hidden="1">
      <c r="A22" s="11" t="s">
        <v>491</v>
      </c>
      <c r="B22" s="11" t="s">
        <v>1631</v>
      </c>
      <c r="C22" s="20" t="s">
        <v>1632</v>
      </c>
      <c r="D22" s="11" t="s">
        <v>60</v>
      </c>
      <c r="E22" s="11" t="s">
        <v>1586</v>
      </c>
      <c r="F22" s="11" t="s">
        <v>303</v>
      </c>
      <c r="G22" s="11" t="s">
        <v>93</v>
      </c>
      <c r="H22" s="11" t="s">
        <v>1633</v>
      </c>
      <c r="I22" s="20"/>
      <c r="J22" s="18"/>
    </row>
    <row r="23" spans="1:10" hidden="1">
      <c r="A23" s="11" t="s">
        <v>503</v>
      </c>
      <c r="B23" s="11" t="s">
        <v>1418</v>
      </c>
      <c r="C23" s="20" t="s">
        <v>1634</v>
      </c>
      <c r="D23" s="11" t="s">
        <v>60</v>
      </c>
      <c r="E23" s="11" t="s">
        <v>1586</v>
      </c>
      <c r="F23" s="11" t="s">
        <v>303</v>
      </c>
      <c r="G23" s="11" t="s">
        <v>93</v>
      </c>
      <c r="H23" s="11" t="s">
        <v>910</v>
      </c>
      <c r="I23" s="20"/>
      <c r="J23" s="18"/>
    </row>
    <row r="24" spans="1:10" ht="22.8">
      <c r="A24" s="11" t="s">
        <v>598</v>
      </c>
      <c r="B24" s="11" t="s">
        <v>1635</v>
      </c>
      <c r="C24" s="20" t="s">
        <v>1636</v>
      </c>
      <c r="D24" s="11" t="s">
        <v>58</v>
      </c>
      <c r="E24" s="11" t="s">
        <v>1586</v>
      </c>
      <c r="F24" s="11" t="s">
        <v>2573</v>
      </c>
      <c r="G24" s="11" t="s">
        <v>93</v>
      </c>
      <c r="H24" s="11" t="s">
        <v>1637</v>
      </c>
      <c r="I24" s="20"/>
      <c r="J24" s="18"/>
    </row>
    <row r="25" spans="1:10" ht="22.8" hidden="1">
      <c r="A25" s="11" t="s">
        <v>838</v>
      </c>
      <c r="B25" s="11" t="s">
        <v>847</v>
      </c>
      <c r="C25" s="20" t="s">
        <v>1638</v>
      </c>
      <c r="D25" s="11" t="s">
        <v>60</v>
      </c>
      <c r="E25" s="11" t="s">
        <v>1586</v>
      </c>
      <c r="F25" s="11" t="s">
        <v>303</v>
      </c>
      <c r="G25" s="11" t="s">
        <v>93</v>
      </c>
      <c r="H25" s="11" t="s">
        <v>1639</v>
      </c>
      <c r="I25" s="20"/>
      <c r="J25" s="18"/>
    </row>
    <row r="26" spans="1:10">
      <c r="A26" s="11" t="s">
        <v>609</v>
      </c>
      <c r="B26" s="11" t="s">
        <v>106</v>
      </c>
      <c r="C26" s="20" t="s">
        <v>1640</v>
      </c>
      <c r="D26" s="11" t="s">
        <v>58</v>
      </c>
      <c r="E26" s="11" t="s">
        <v>1625</v>
      </c>
      <c r="F26" s="11" t="s">
        <v>2573</v>
      </c>
      <c r="G26" s="11" t="s">
        <v>93</v>
      </c>
      <c r="H26" s="11" t="s">
        <v>1641</v>
      </c>
      <c r="I26" s="20"/>
      <c r="J26" s="18"/>
    </row>
    <row r="27" spans="1:10" ht="22.8" hidden="1">
      <c r="A27" s="11" t="s">
        <v>930</v>
      </c>
      <c r="B27" s="11" t="s">
        <v>1423</v>
      </c>
      <c r="C27" s="20" t="s">
        <v>1642</v>
      </c>
      <c r="D27" s="11" t="s">
        <v>60</v>
      </c>
      <c r="E27" s="11" t="s">
        <v>1625</v>
      </c>
      <c r="F27" s="11" t="s">
        <v>303</v>
      </c>
      <c r="G27" s="11" t="s">
        <v>93</v>
      </c>
      <c r="H27" s="11" t="s">
        <v>1643</v>
      </c>
      <c r="I27" s="20"/>
      <c r="J27" s="18"/>
    </row>
    <row r="28" spans="1:10" ht="68.400000000000006" hidden="1">
      <c r="A28" s="11" t="s">
        <v>357</v>
      </c>
      <c r="B28" s="11" t="s">
        <v>1644</v>
      </c>
      <c r="C28" s="20" t="s">
        <v>1645</v>
      </c>
      <c r="D28" s="11" t="s">
        <v>56</v>
      </c>
      <c r="E28" s="11" t="s">
        <v>1586</v>
      </c>
      <c r="F28" s="11" t="s">
        <v>46</v>
      </c>
      <c r="G28" s="11" t="s">
        <v>35</v>
      </c>
      <c r="H28" s="11" t="s">
        <v>1646</v>
      </c>
      <c r="I28" s="20" t="s">
        <v>1647</v>
      </c>
      <c r="J28" s="18">
        <v>46252</v>
      </c>
    </row>
    <row r="29" spans="1:10" ht="22.8" hidden="1">
      <c r="A29" s="11" t="s">
        <v>1648</v>
      </c>
      <c r="B29" s="11" t="s">
        <v>319</v>
      </c>
      <c r="C29" s="20" t="s">
        <v>1649</v>
      </c>
      <c r="D29" s="11" t="s">
        <v>59</v>
      </c>
      <c r="E29" s="11" t="s">
        <v>1586</v>
      </c>
      <c r="F29" s="11" t="s">
        <v>303</v>
      </c>
      <c r="G29" s="11" t="s">
        <v>93</v>
      </c>
      <c r="H29" s="11" t="s">
        <v>1650</v>
      </c>
      <c r="I29" s="20"/>
      <c r="J29" s="18"/>
    </row>
    <row r="30" spans="1:10" ht="22.8">
      <c r="A30" s="11" t="s">
        <v>433</v>
      </c>
      <c r="B30" s="11" t="s">
        <v>1651</v>
      </c>
      <c r="C30" s="20" t="s">
        <v>1652</v>
      </c>
      <c r="D30" s="11" t="s">
        <v>57</v>
      </c>
      <c r="E30" s="11" t="s">
        <v>1625</v>
      </c>
      <c r="F30" s="11" t="s">
        <v>2573</v>
      </c>
      <c r="G30" s="11" t="s">
        <v>93</v>
      </c>
      <c r="H30" s="11" t="s">
        <v>1653</v>
      </c>
      <c r="I30" s="20"/>
      <c r="J30"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30" xr:uid="{00000000-0002-0000-0D00-000000000000}">
      <formula1>"Not Started,In Progress,Blocked,Done,Deferred"</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 r="A1" s="59" t="s">
        <v>1654</v>
      </c>
      <c r="B1" s="59"/>
      <c r="C1" s="59"/>
      <c r="D1" s="59"/>
      <c r="E1" s="59"/>
      <c r="F1" s="59"/>
      <c r="G1" s="59"/>
      <c r="H1" s="59"/>
      <c r="I1" s="59"/>
    </row>
    <row r="2" spans="1:9">
      <c r="A2" s="60" t="s">
        <v>1655</v>
      </c>
      <c r="B2" s="60"/>
      <c r="C2" s="60"/>
      <c r="D2" s="60"/>
      <c r="E2" s="60"/>
      <c r="F2" s="60"/>
      <c r="G2" s="60"/>
      <c r="H2" s="60"/>
      <c r="I2" s="60"/>
    </row>
    <row r="4" spans="1:9">
      <c r="A4" s="61" t="s">
        <v>1656</v>
      </c>
      <c r="B4" s="62"/>
      <c r="C4" s="62"/>
      <c r="D4" s="62"/>
      <c r="E4" s="62"/>
      <c r="F4" s="62"/>
      <c r="G4" s="62"/>
      <c r="H4" s="62"/>
      <c r="I4" s="63"/>
    </row>
    <row r="5" spans="1:9" ht="26.4">
      <c r="A5" s="1" t="s">
        <v>1657</v>
      </c>
      <c r="B5" s="2" t="s">
        <v>1658</v>
      </c>
      <c r="C5" s="2" t="s">
        <v>1659</v>
      </c>
      <c r="D5" s="3" t="s">
        <v>1660</v>
      </c>
      <c r="F5" s="1" t="s">
        <v>1661</v>
      </c>
      <c r="G5" s="2" t="s">
        <v>1662</v>
      </c>
      <c r="H5" s="2" t="s">
        <v>1663</v>
      </c>
      <c r="I5" s="3" t="s">
        <v>1664</v>
      </c>
    </row>
    <row r="6" spans="1:9" ht="91.2">
      <c r="A6" s="10" t="s">
        <v>652</v>
      </c>
      <c r="B6" s="10" t="s">
        <v>1665</v>
      </c>
      <c r="C6" s="10" t="s">
        <v>1666</v>
      </c>
      <c r="D6" s="10" t="s">
        <v>1667</v>
      </c>
      <c r="F6" s="10" t="s">
        <v>1668</v>
      </c>
      <c r="G6" s="10" t="s">
        <v>1669</v>
      </c>
      <c r="H6" s="10" t="s">
        <v>1670</v>
      </c>
      <c r="I6" s="10" t="s">
        <v>1671</v>
      </c>
    </row>
    <row r="7" spans="1:9" ht="125.4">
      <c r="A7" s="11" t="s">
        <v>1672</v>
      </c>
      <c r="B7" s="11" t="s">
        <v>1673</v>
      </c>
      <c r="C7" s="11" t="s">
        <v>1674</v>
      </c>
      <c r="D7" s="11" t="s">
        <v>1675</v>
      </c>
      <c r="F7" s="11" t="s">
        <v>1676</v>
      </c>
      <c r="G7" s="11" t="s">
        <v>1677</v>
      </c>
      <c r="H7" s="11" t="s">
        <v>1678</v>
      </c>
      <c r="I7" s="11" t="s">
        <v>1679</v>
      </c>
    </row>
    <row r="8" spans="1:9" ht="79.8">
      <c r="A8" s="11" t="s">
        <v>1680</v>
      </c>
      <c r="B8" s="11" t="s">
        <v>1681</v>
      </c>
      <c r="C8" s="11" t="s">
        <v>1682</v>
      </c>
      <c r="D8" s="11" t="s">
        <v>1683</v>
      </c>
      <c r="F8" s="11" t="s">
        <v>1684</v>
      </c>
      <c r="G8" s="11" t="s">
        <v>1685</v>
      </c>
      <c r="H8" s="11" t="s">
        <v>1686</v>
      </c>
      <c r="I8" s="11" t="s">
        <v>1687</v>
      </c>
    </row>
    <row r="11" spans="1:9">
      <c r="A11" s="1" t="s">
        <v>1004</v>
      </c>
      <c r="B11" s="2" t="s">
        <v>994</v>
      </c>
      <c r="C11" s="2" t="s">
        <v>1688</v>
      </c>
      <c r="D11" s="2" t="s">
        <v>1689</v>
      </c>
      <c r="E11" s="3" t="s">
        <v>1690</v>
      </c>
    </row>
    <row r="12" spans="1:9" ht="22.8">
      <c r="A12" s="10">
        <v>1</v>
      </c>
      <c r="B12" s="10" t="s">
        <v>1691</v>
      </c>
      <c r="C12" s="10" t="s">
        <v>1685</v>
      </c>
      <c r="D12" s="10" t="s">
        <v>1692</v>
      </c>
      <c r="E12" s="10" t="s">
        <v>1693</v>
      </c>
    </row>
    <row r="13" spans="1:9">
      <c r="A13" s="11">
        <v>2</v>
      </c>
      <c r="B13" s="11" t="s">
        <v>1694</v>
      </c>
      <c r="C13" s="11" t="s">
        <v>1695</v>
      </c>
      <c r="D13" s="11" t="s">
        <v>1696</v>
      </c>
      <c r="E13" s="11" t="s">
        <v>1697</v>
      </c>
    </row>
    <row r="14" spans="1:9">
      <c r="A14" s="11">
        <v>3</v>
      </c>
      <c r="B14" s="11" t="s">
        <v>1698</v>
      </c>
      <c r="C14" s="11" t="s">
        <v>652</v>
      </c>
      <c r="D14" s="11" t="s">
        <v>1699</v>
      </c>
      <c r="E14" s="11" t="s">
        <v>1700</v>
      </c>
    </row>
    <row r="15" spans="1:9" ht="22.8">
      <c r="A15" s="11">
        <v>4</v>
      </c>
      <c r="B15" s="11" t="s">
        <v>1701</v>
      </c>
      <c r="C15" s="11" t="s">
        <v>1672</v>
      </c>
      <c r="D15" s="11" t="s">
        <v>1702</v>
      </c>
      <c r="E15" s="11" t="s">
        <v>1703</v>
      </c>
    </row>
    <row r="16" spans="1:9" ht="22.8">
      <c r="A16" s="11">
        <v>5</v>
      </c>
      <c r="B16" s="11" t="s">
        <v>1704</v>
      </c>
      <c r="C16" s="11" t="s">
        <v>1311</v>
      </c>
      <c r="D16" s="11" t="s">
        <v>1705</v>
      </c>
      <c r="E16" s="11" t="s">
        <v>1706</v>
      </c>
    </row>
    <row r="17" spans="1:9" ht="22.8">
      <c r="A17" s="11">
        <v>6</v>
      </c>
      <c r="B17" s="11" t="s">
        <v>1707</v>
      </c>
      <c r="C17" s="11" t="s">
        <v>1311</v>
      </c>
      <c r="D17" s="11" t="s">
        <v>1708</v>
      </c>
      <c r="E17" s="11" t="s">
        <v>1709</v>
      </c>
    </row>
    <row r="18" spans="1:9" ht="22.8">
      <c r="A18" s="11">
        <v>7</v>
      </c>
      <c r="B18" s="11" t="s">
        <v>1710</v>
      </c>
      <c r="C18" s="11" t="s">
        <v>1311</v>
      </c>
      <c r="D18" s="11" t="s">
        <v>1711</v>
      </c>
      <c r="E18" s="11" t="s">
        <v>1712</v>
      </c>
    </row>
    <row r="19" spans="1:9" ht="22.8">
      <c r="A19" s="11">
        <v>8</v>
      </c>
      <c r="B19" s="11" t="s">
        <v>1713</v>
      </c>
      <c r="C19" s="11" t="s">
        <v>1311</v>
      </c>
      <c r="D19" s="11" t="s">
        <v>1714</v>
      </c>
      <c r="E19" s="11" t="s">
        <v>1715</v>
      </c>
    </row>
    <row r="20" spans="1:9">
      <c r="A20" s="11">
        <v>9</v>
      </c>
      <c r="B20" s="11" t="s">
        <v>1716</v>
      </c>
      <c r="C20" s="11" t="s">
        <v>1311</v>
      </c>
      <c r="D20" s="11" t="s">
        <v>1717</v>
      </c>
      <c r="E20" s="11" t="s">
        <v>1718</v>
      </c>
    </row>
    <row r="21" spans="1:9" ht="22.8">
      <c r="A21" s="11">
        <v>10</v>
      </c>
      <c r="B21" s="11" t="s">
        <v>1719</v>
      </c>
      <c r="C21" s="11" t="s">
        <v>1311</v>
      </c>
      <c r="D21" s="11" t="s">
        <v>1720</v>
      </c>
      <c r="E21" s="11" t="s">
        <v>1721</v>
      </c>
    </row>
    <row r="22" spans="1:9" ht="22.8">
      <c r="A22" s="11">
        <v>11</v>
      </c>
      <c r="B22" s="11" t="s">
        <v>1722</v>
      </c>
      <c r="C22" s="11" t="s">
        <v>1311</v>
      </c>
      <c r="D22" s="11" t="s">
        <v>1723</v>
      </c>
      <c r="E22" s="11" t="s">
        <v>1724</v>
      </c>
    </row>
    <row r="23" spans="1:9">
      <c r="A23" s="11">
        <v>12</v>
      </c>
      <c r="B23" s="11" t="s">
        <v>1725</v>
      </c>
      <c r="C23" s="11" t="s">
        <v>1311</v>
      </c>
      <c r="D23" s="11" t="s">
        <v>1726</v>
      </c>
      <c r="E23" s="11" t="s">
        <v>1727</v>
      </c>
    </row>
    <row r="24" spans="1:9" ht="22.8">
      <c r="A24" s="11">
        <v>13</v>
      </c>
      <c r="B24" s="11" t="s">
        <v>1728</v>
      </c>
      <c r="C24" s="11" t="s">
        <v>1311</v>
      </c>
      <c r="D24" s="11" t="s">
        <v>1729</v>
      </c>
      <c r="E24" s="11" t="s">
        <v>1730</v>
      </c>
    </row>
    <row r="25" spans="1:9">
      <c r="A25" s="11">
        <v>14</v>
      </c>
      <c r="B25" s="11" t="s">
        <v>1731</v>
      </c>
      <c r="C25" s="11" t="s">
        <v>1311</v>
      </c>
      <c r="D25" s="11" t="s">
        <v>1732</v>
      </c>
      <c r="E25" s="11" t="s">
        <v>1733</v>
      </c>
    </row>
    <row r="26" spans="1:9">
      <c r="A26" s="11">
        <v>15</v>
      </c>
      <c r="B26" s="11" t="s">
        <v>1734</v>
      </c>
      <c r="C26" s="11" t="s">
        <v>1311</v>
      </c>
      <c r="D26" s="11" t="s">
        <v>1735</v>
      </c>
      <c r="E26" s="11" t="s">
        <v>1736</v>
      </c>
    </row>
    <row r="27" spans="1:9" ht="22.8">
      <c r="A27" s="11">
        <v>16</v>
      </c>
      <c r="B27" s="11" t="s">
        <v>1737</v>
      </c>
      <c r="C27" s="11" t="s">
        <v>1685</v>
      </c>
      <c r="D27" s="11" t="s">
        <v>1738</v>
      </c>
      <c r="E27" s="11" t="s">
        <v>1739</v>
      </c>
    </row>
    <row r="29" spans="1:9">
      <c r="A29" s="117" t="s">
        <v>1740</v>
      </c>
      <c r="B29" s="118"/>
      <c r="C29" s="118"/>
      <c r="D29" s="118"/>
      <c r="E29" s="118"/>
      <c r="F29" s="118"/>
      <c r="G29" s="118"/>
      <c r="H29" s="118"/>
      <c r="I29" s="119"/>
    </row>
  </sheetData>
  <mergeCells count="4">
    <mergeCell ref="A1:I1"/>
    <mergeCell ref="A2:I2"/>
    <mergeCell ref="A4:I4"/>
    <mergeCell ref="A29:I29"/>
  </mergeCells>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G69"/>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59" t="s">
        <v>1741</v>
      </c>
      <c r="B1" s="59"/>
      <c r="C1" s="59"/>
      <c r="D1" s="59"/>
      <c r="E1" s="59"/>
      <c r="F1" s="59"/>
      <c r="G1" s="59"/>
    </row>
    <row r="2" spans="1:7" ht="31.95" customHeight="1">
      <c r="A2" s="60" t="s">
        <v>1742</v>
      </c>
      <c r="B2" s="60"/>
      <c r="C2" s="60"/>
      <c r="D2" s="60"/>
      <c r="E2" s="60"/>
      <c r="F2" s="60"/>
      <c r="G2" s="60"/>
    </row>
    <row r="5" spans="1:7" ht="28.05" customHeight="1">
      <c r="A5" s="1" t="s">
        <v>1576</v>
      </c>
      <c r="B5" s="2" t="s">
        <v>1743</v>
      </c>
      <c r="C5" s="2" t="s">
        <v>71</v>
      </c>
      <c r="D5" s="2" t="s">
        <v>1744</v>
      </c>
      <c r="E5" s="2" t="s">
        <v>1745</v>
      </c>
      <c r="F5" s="2" t="s">
        <v>1746</v>
      </c>
      <c r="G5" s="3" t="s">
        <v>1747</v>
      </c>
    </row>
    <row r="6" spans="1:7">
      <c r="A6" s="10" t="s">
        <v>1748</v>
      </c>
      <c r="B6" s="10" t="s">
        <v>1749</v>
      </c>
      <c r="C6" s="10" t="s">
        <v>1750</v>
      </c>
      <c r="D6" s="10" t="s">
        <v>1567</v>
      </c>
      <c r="E6" s="10" t="s">
        <v>1751</v>
      </c>
      <c r="F6" s="10" t="s">
        <v>1752</v>
      </c>
      <c r="G6" s="10" t="s">
        <v>1753</v>
      </c>
    </row>
    <row r="7" spans="1:7">
      <c r="A7" s="11" t="s">
        <v>1748</v>
      </c>
      <c r="B7" s="11" t="s">
        <v>1754</v>
      </c>
      <c r="C7" s="11" t="s">
        <v>1750</v>
      </c>
      <c r="D7" s="11" t="s">
        <v>1755</v>
      </c>
      <c r="E7" s="11" t="s">
        <v>1756</v>
      </c>
      <c r="F7" s="11" t="s">
        <v>1757</v>
      </c>
      <c r="G7" s="11" t="s">
        <v>1758</v>
      </c>
    </row>
    <row r="8" spans="1:7">
      <c r="A8" s="11" t="s">
        <v>1748</v>
      </c>
      <c r="B8" s="11" t="s">
        <v>1759</v>
      </c>
      <c r="C8" s="11" t="s">
        <v>1750</v>
      </c>
      <c r="D8" s="11" t="s">
        <v>1755</v>
      </c>
      <c r="E8" s="11" t="s">
        <v>1760</v>
      </c>
      <c r="F8" s="11" t="s">
        <v>1761</v>
      </c>
      <c r="G8" s="11" t="s">
        <v>1762</v>
      </c>
    </row>
    <row r="9" spans="1:7">
      <c r="A9" s="11" t="s">
        <v>1748</v>
      </c>
      <c r="B9" s="11" t="s">
        <v>1763</v>
      </c>
      <c r="C9" s="11" t="s">
        <v>1750</v>
      </c>
      <c r="D9" s="11" t="s">
        <v>1755</v>
      </c>
      <c r="E9" s="11" t="s">
        <v>1764</v>
      </c>
      <c r="F9" s="11" t="s">
        <v>1765</v>
      </c>
      <c r="G9" s="11" t="s">
        <v>1766</v>
      </c>
    </row>
    <row r="10" spans="1:7">
      <c r="A10" s="11" t="s">
        <v>1748</v>
      </c>
      <c r="B10" s="11" t="s">
        <v>1767</v>
      </c>
      <c r="C10" s="11" t="s">
        <v>1750</v>
      </c>
      <c r="D10" s="11" t="s">
        <v>1755</v>
      </c>
      <c r="E10" s="11" t="s">
        <v>1768</v>
      </c>
      <c r="F10" s="11" t="s">
        <v>1769</v>
      </c>
      <c r="G10" s="11" t="s">
        <v>1770</v>
      </c>
    </row>
    <row r="11" spans="1:7">
      <c r="A11" s="11" t="s">
        <v>1771</v>
      </c>
      <c r="B11" s="11" t="s">
        <v>1772</v>
      </c>
      <c r="C11" s="11" t="s">
        <v>89</v>
      </c>
      <c r="D11" s="11" t="s">
        <v>1773</v>
      </c>
      <c r="E11" s="11" t="s">
        <v>1774</v>
      </c>
      <c r="F11" s="11" t="s">
        <v>1775</v>
      </c>
      <c r="G11" s="11" t="s">
        <v>1776</v>
      </c>
    </row>
    <row r="12" spans="1:7">
      <c r="A12" s="11" t="s">
        <v>1771</v>
      </c>
      <c r="B12" s="11" t="s">
        <v>1777</v>
      </c>
      <c r="C12" s="11" t="s">
        <v>89</v>
      </c>
      <c r="D12" s="11" t="s">
        <v>58</v>
      </c>
      <c r="E12" s="11" t="s">
        <v>1778</v>
      </c>
      <c r="F12" s="11" t="s">
        <v>1779</v>
      </c>
      <c r="G12" s="11" t="s">
        <v>1780</v>
      </c>
    </row>
    <row r="13" spans="1:7">
      <c r="A13" s="11" t="s">
        <v>1781</v>
      </c>
      <c r="B13" s="11" t="s">
        <v>1782</v>
      </c>
      <c r="C13" s="11" t="s">
        <v>1750</v>
      </c>
      <c r="D13" s="11" t="s">
        <v>1567</v>
      </c>
      <c r="E13" s="11" t="s">
        <v>1783</v>
      </c>
      <c r="F13" s="11" t="s">
        <v>1784</v>
      </c>
      <c r="G13" s="11" t="s">
        <v>1785</v>
      </c>
    </row>
    <row r="14" spans="1:7">
      <c r="A14" s="11" t="s">
        <v>1781</v>
      </c>
      <c r="B14" s="11" t="s">
        <v>1786</v>
      </c>
      <c r="C14" s="11" t="s">
        <v>1750</v>
      </c>
      <c r="D14" s="11" t="s">
        <v>1567</v>
      </c>
      <c r="E14" s="11" t="s">
        <v>1787</v>
      </c>
      <c r="F14" s="11" t="s">
        <v>1788</v>
      </c>
      <c r="G14" s="11" t="s">
        <v>1789</v>
      </c>
    </row>
    <row r="15" spans="1:7">
      <c r="A15" s="11" t="s">
        <v>1781</v>
      </c>
      <c r="B15" s="11" t="s">
        <v>1790</v>
      </c>
      <c r="C15" s="11" t="s">
        <v>1750</v>
      </c>
      <c r="D15" s="11" t="s">
        <v>1791</v>
      </c>
      <c r="E15" s="11" t="s">
        <v>1792</v>
      </c>
      <c r="F15" s="11" t="s">
        <v>1793</v>
      </c>
      <c r="G15" s="11" t="s">
        <v>1794</v>
      </c>
    </row>
    <row r="16" spans="1:7">
      <c r="A16" s="11" t="s">
        <v>1781</v>
      </c>
      <c r="B16" s="11" t="s">
        <v>1795</v>
      </c>
      <c r="C16" s="11" t="s">
        <v>1750</v>
      </c>
      <c r="D16" s="11" t="s">
        <v>1796</v>
      </c>
      <c r="E16" s="11" t="s">
        <v>1797</v>
      </c>
      <c r="F16" s="11" t="s">
        <v>1798</v>
      </c>
      <c r="G16" s="11" t="s">
        <v>1799</v>
      </c>
    </row>
    <row r="17" spans="1:7">
      <c r="A17" s="11" t="s">
        <v>1800</v>
      </c>
      <c r="B17" s="11" t="s">
        <v>1801</v>
      </c>
      <c r="C17" s="11" t="s">
        <v>1750</v>
      </c>
      <c r="D17" s="11" t="s">
        <v>1802</v>
      </c>
      <c r="E17" s="11" t="s">
        <v>1803</v>
      </c>
      <c r="F17" s="11" t="s">
        <v>1804</v>
      </c>
      <c r="G17" s="11" t="s">
        <v>1805</v>
      </c>
    </row>
    <row r="18" spans="1:7" ht="22.8">
      <c r="A18" s="11" t="s">
        <v>442</v>
      </c>
      <c r="B18" s="11" t="s">
        <v>1806</v>
      </c>
      <c r="C18" s="11" t="s">
        <v>89</v>
      </c>
      <c r="D18" s="11" t="s">
        <v>57</v>
      </c>
      <c r="E18" s="11" t="s">
        <v>1807</v>
      </c>
      <c r="F18" s="11" t="s">
        <v>1808</v>
      </c>
      <c r="G18" s="11" t="s">
        <v>1809</v>
      </c>
    </row>
    <row r="19" spans="1:7">
      <c r="A19" s="11" t="s">
        <v>442</v>
      </c>
      <c r="B19" s="11" t="s">
        <v>1810</v>
      </c>
      <c r="C19" s="11" t="s">
        <v>365</v>
      </c>
      <c r="D19" s="11" t="s">
        <v>1567</v>
      </c>
      <c r="E19" s="11" t="s">
        <v>1811</v>
      </c>
      <c r="F19" s="11" t="s">
        <v>1812</v>
      </c>
      <c r="G19" s="11" t="s">
        <v>1813</v>
      </c>
    </row>
    <row r="20" spans="1:7">
      <c r="A20" s="11" t="s">
        <v>1354</v>
      </c>
      <c r="B20" s="11" t="s">
        <v>1814</v>
      </c>
      <c r="C20" s="11" t="s">
        <v>89</v>
      </c>
      <c r="D20" s="11" t="s">
        <v>57</v>
      </c>
      <c r="E20" s="11" t="s">
        <v>1815</v>
      </c>
      <c r="F20" s="11" t="s">
        <v>1816</v>
      </c>
      <c r="G20" s="11" t="s">
        <v>1817</v>
      </c>
    </row>
    <row r="21" spans="1:7">
      <c r="A21" s="11" t="s">
        <v>1354</v>
      </c>
      <c r="B21" s="11" t="s">
        <v>1818</v>
      </c>
      <c r="C21" s="11" t="s">
        <v>89</v>
      </c>
      <c r="D21" s="11" t="s">
        <v>57</v>
      </c>
      <c r="E21" s="11" t="s">
        <v>1819</v>
      </c>
      <c r="F21" s="11" t="s">
        <v>1820</v>
      </c>
      <c r="G21" s="11" t="s">
        <v>1821</v>
      </c>
    </row>
    <row r="22" spans="1:7">
      <c r="A22" s="11" t="s">
        <v>1354</v>
      </c>
      <c r="B22" s="11" t="s">
        <v>1822</v>
      </c>
      <c r="C22" s="11" t="s">
        <v>365</v>
      </c>
      <c r="D22" s="11" t="s">
        <v>1567</v>
      </c>
      <c r="E22" s="11" t="s">
        <v>1823</v>
      </c>
      <c r="F22" s="11" t="s">
        <v>1824</v>
      </c>
      <c r="G22" s="11" t="s">
        <v>1825</v>
      </c>
    </row>
    <row r="23" spans="1:7">
      <c r="A23" s="11" t="s">
        <v>1826</v>
      </c>
      <c r="B23" s="11" t="s">
        <v>1827</v>
      </c>
      <c r="C23" s="11" t="s">
        <v>89</v>
      </c>
      <c r="D23" s="11" t="s">
        <v>58</v>
      </c>
      <c r="E23" s="11" t="s">
        <v>1828</v>
      </c>
      <c r="F23" s="11" t="s">
        <v>1829</v>
      </c>
      <c r="G23" s="11" t="s">
        <v>1830</v>
      </c>
    </row>
    <row r="24" spans="1:7">
      <c r="A24" s="11" t="s">
        <v>1826</v>
      </c>
      <c r="B24" s="11" t="s">
        <v>1831</v>
      </c>
      <c r="C24" s="11" t="s">
        <v>1750</v>
      </c>
      <c r="D24" s="11" t="s">
        <v>1832</v>
      </c>
      <c r="E24" s="11" t="s">
        <v>1833</v>
      </c>
      <c r="F24" s="11" t="s">
        <v>1834</v>
      </c>
      <c r="G24" s="11" t="s">
        <v>1835</v>
      </c>
    </row>
    <row r="25" spans="1:7">
      <c r="A25" s="11" t="s">
        <v>1826</v>
      </c>
      <c r="B25" s="11" t="s">
        <v>1836</v>
      </c>
      <c r="C25" s="11" t="s">
        <v>1750</v>
      </c>
      <c r="D25" s="11" t="s">
        <v>1832</v>
      </c>
      <c r="E25" s="11" t="s">
        <v>1837</v>
      </c>
      <c r="F25" s="11" t="s">
        <v>1838</v>
      </c>
      <c r="G25" s="11" t="s">
        <v>1839</v>
      </c>
    </row>
    <row r="26" spans="1:7">
      <c r="A26" s="11" t="s">
        <v>1826</v>
      </c>
      <c r="B26" s="11" t="s">
        <v>1840</v>
      </c>
      <c r="C26" s="11" t="s">
        <v>1750</v>
      </c>
      <c r="D26" s="11" t="s">
        <v>1755</v>
      </c>
      <c r="E26" s="11" t="s">
        <v>1841</v>
      </c>
      <c r="F26" s="11" t="s">
        <v>1842</v>
      </c>
      <c r="G26" s="11" t="s">
        <v>1843</v>
      </c>
    </row>
    <row r="27" spans="1:7">
      <c r="A27" s="11" t="s">
        <v>1844</v>
      </c>
      <c r="B27" s="11" t="s">
        <v>1845</v>
      </c>
      <c r="C27" s="11" t="s">
        <v>89</v>
      </c>
      <c r="D27" s="11" t="s">
        <v>1255</v>
      </c>
      <c r="E27" s="11" t="s">
        <v>1846</v>
      </c>
      <c r="F27" s="11" t="s">
        <v>1816</v>
      </c>
      <c r="G27" s="11" t="s">
        <v>1847</v>
      </c>
    </row>
    <row r="28" spans="1:7">
      <c r="A28" s="11" t="s">
        <v>1844</v>
      </c>
      <c r="B28" s="11" t="s">
        <v>1848</v>
      </c>
      <c r="C28" s="11" t="s">
        <v>1750</v>
      </c>
      <c r="D28" s="11" t="s">
        <v>1849</v>
      </c>
      <c r="E28" s="11" t="s">
        <v>1850</v>
      </c>
      <c r="F28" s="11" t="s">
        <v>1851</v>
      </c>
      <c r="G28" s="11" t="s">
        <v>1852</v>
      </c>
    </row>
    <row r="29" spans="1:7">
      <c r="A29" s="11" t="s">
        <v>1853</v>
      </c>
      <c r="B29" s="11" t="s">
        <v>1854</v>
      </c>
      <c r="C29" s="11" t="s">
        <v>365</v>
      </c>
      <c r="D29" s="11" t="s">
        <v>1855</v>
      </c>
      <c r="E29" s="11" t="s">
        <v>1856</v>
      </c>
      <c r="F29" s="11" t="s">
        <v>1857</v>
      </c>
      <c r="G29" s="11" t="s">
        <v>1858</v>
      </c>
    </row>
    <row r="30" spans="1:7">
      <c r="A30" s="11" t="s">
        <v>1853</v>
      </c>
      <c r="B30" s="11" t="s">
        <v>1859</v>
      </c>
      <c r="C30" s="11" t="s">
        <v>1750</v>
      </c>
      <c r="D30" s="11" t="s">
        <v>1855</v>
      </c>
      <c r="E30" s="11" t="s">
        <v>1860</v>
      </c>
      <c r="F30" s="11" t="s">
        <v>1861</v>
      </c>
      <c r="G30" s="11" t="s">
        <v>1862</v>
      </c>
    </row>
    <row r="31" spans="1:7">
      <c r="A31" s="11" t="s">
        <v>1863</v>
      </c>
      <c r="B31" s="11" t="s">
        <v>1864</v>
      </c>
      <c r="C31" s="11" t="s">
        <v>1750</v>
      </c>
      <c r="D31" s="11" t="s">
        <v>1865</v>
      </c>
      <c r="E31" s="11" t="s">
        <v>1866</v>
      </c>
      <c r="F31" s="11" t="s">
        <v>1867</v>
      </c>
      <c r="G31" s="11" t="s">
        <v>1868</v>
      </c>
    </row>
    <row r="32" spans="1:7">
      <c r="A32" s="11" t="s">
        <v>293</v>
      </c>
      <c r="B32" s="11" t="s">
        <v>1869</v>
      </c>
      <c r="C32" s="11" t="s">
        <v>89</v>
      </c>
      <c r="D32" s="11" t="s">
        <v>37</v>
      </c>
      <c r="E32" s="11" t="s">
        <v>1870</v>
      </c>
      <c r="F32" s="11" t="s">
        <v>1871</v>
      </c>
      <c r="G32" s="11" t="s">
        <v>1872</v>
      </c>
    </row>
    <row r="33" spans="1:7">
      <c r="A33" s="11" t="s">
        <v>293</v>
      </c>
      <c r="B33" s="11" t="s">
        <v>1873</v>
      </c>
      <c r="C33" s="11" t="s">
        <v>1750</v>
      </c>
      <c r="D33" s="11" t="s">
        <v>1791</v>
      </c>
      <c r="E33" s="11" t="s">
        <v>1874</v>
      </c>
      <c r="F33" s="11" t="s">
        <v>1875</v>
      </c>
      <c r="G33" s="11" t="s">
        <v>1876</v>
      </c>
    </row>
    <row r="34" spans="1:7">
      <c r="A34" s="11" t="s">
        <v>1877</v>
      </c>
      <c r="B34" s="11" t="s">
        <v>1181</v>
      </c>
      <c r="C34" s="11" t="s">
        <v>89</v>
      </c>
      <c r="D34" s="11" t="s">
        <v>37</v>
      </c>
      <c r="E34" s="11" t="s">
        <v>1878</v>
      </c>
      <c r="F34" s="11" t="s">
        <v>1879</v>
      </c>
      <c r="G34" s="11" t="s">
        <v>1880</v>
      </c>
    </row>
    <row r="35" spans="1:7" ht="22.8">
      <c r="A35" s="11" t="s">
        <v>1877</v>
      </c>
      <c r="B35" s="11" t="s">
        <v>1186</v>
      </c>
      <c r="C35" s="11" t="s">
        <v>1881</v>
      </c>
      <c r="D35" s="11" t="s">
        <v>59</v>
      </c>
      <c r="E35" s="11" t="s">
        <v>1882</v>
      </c>
      <c r="F35" s="11" t="s">
        <v>1883</v>
      </c>
      <c r="G35" s="11" t="s">
        <v>1884</v>
      </c>
    </row>
    <row r="36" spans="1:7">
      <c r="A36" s="11" t="s">
        <v>1877</v>
      </c>
      <c r="B36" s="11" t="s">
        <v>1885</v>
      </c>
      <c r="C36" s="11" t="s">
        <v>1750</v>
      </c>
      <c r="D36" s="11" t="s">
        <v>1886</v>
      </c>
      <c r="E36" s="11" t="s">
        <v>1887</v>
      </c>
      <c r="F36" s="11" t="s">
        <v>1888</v>
      </c>
      <c r="G36" s="11" t="s">
        <v>1889</v>
      </c>
    </row>
    <row r="37" spans="1:7">
      <c r="A37" s="11" t="s">
        <v>1877</v>
      </c>
      <c r="B37" s="11" t="s">
        <v>1890</v>
      </c>
      <c r="C37" s="11" t="s">
        <v>1750</v>
      </c>
      <c r="D37" s="11" t="s">
        <v>1891</v>
      </c>
      <c r="E37" s="11" t="s">
        <v>1892</v>
      </c>
      <c r="F37" s="11" t="s">
        <v>1888</v>
      </c>
      <c r="G37" s="11" t="s">
        <v>1893</v>
      </c>
    </row>
    <row r="38" spans="1:7">
      <c r="A38" s="11" t="s">
        <v>1877</v>
      </c>
      <c r="B38" s="11" t="s">
        <v>1894</v>
      </c>
      <c r="C38" s="11" t="s">
        <v>1750</v>
      </c>
      <c r="D38" s="11" t="s">
        <v>1895</v>
      </c>
      <c r="E38" s="11" t="s">
        <v>1896</v>
      </c>
      <c r="F38" s="11" t="s">
        <v>1897</v>
      </c>
      <c r="G38" s="11" t="s">
        <v>1898</v>
      </c>
    </row>
    <row r="39" spans="1:7">
      <c r="A39" s="11" t="s">
        <v>1877</v>
      </c>
      <c r="B39" s="11" t="s">
        <v>1899</v>
      </c>
      <c r="C39" s="11" t="s">
        <v>1750</v>
      </c>
      <c r="D39" s="11" t="s">
        <v>1900</v>
      </c>
      <c r="E39" s="11" t="s">
        <v>1901</v>
      </c>
      <c r="F39" s="11" t="s">
        <v>1897</v>
      </c>
      <c r="G39" s="11" t="s">
        <v>1902</v>
      </c>
    </row>
    <row r="40" spans="1:7">
      <c r="A40" s="11" t="s">
        <v>1877</v>
      </c>
      <c r="B40" s="11" t="s">
        <v>1903</v>
      </c>
      <c r="C40" s="11" t="s">
        <v>1750</v>
      </c>
      <c r="D40" s="11" t="s">
        <v>1904</v>
      </c>
      <c r="E40" s="11" t="s">
        <v>1905</v>
      </c>
      <c r="F40" s="11" t="s">
        <v>1897</v>
      </c>
      <c r="G40" s="11" t="s">
        <v>1906</v>
      </c>
    </row>
    <row r="41" spans="1:7">
      <c r="A41" s="11" t="s">
        <v>1907</v>
      </c>
      <c r="B41" s="11" t="s">
        <v>1908</v>
      </c>
      <c r="C41" s="11" t="s">
        <v>365</v>
      </c>
      <c r="D41" s="11" t="s">
        <v>1909</v>
      </c>
      <c r="E41" s="11" t="s">
        <v>1910</v>
      </c>
      <c r="F41" s="11" t="s">
        <v>1911</v>
      </c>
      <c r="G41" s="11" t="s">
        <v>1912</v>
      </c>
    </row>
    <row r="42" spans="1:7">
      <c r="A42" s="11" t="s">
        <v>1907</v>
      </c>
      <c r="B42" s="11" t="s">
        <v>1913</v>
      </c>
      <c r="C42" s="11" t="s">
        <v>1750</v>
      </c>
      <c r="D42" s="11" t="s">
        <v>1914</v>
      </c>
      <c r="E42" s="11" t="s">
        <v>1915</v>
      </c>
      <c r="F42" s="11" t="s">
        <v>1916</v>
      </c>
      <c r="G42" s="11" t="s">
        <v>1917</v>
      </c>
    </row>
    <row r="43" spans="1:7">
      <c r="A43" s="11" t="s">
        <v>1907</v>
      </c>
      <c r="B43" s="11" t="s">
        <v>1918</v>
      </c>
      <c r="C43" s="11" t="s">
        <v>1750</v>
      </c>
      <c r="D43" s="11" t="s">
        <v>1919</v>
      </c>
      <c r="E43" s="11" t="s">
        <v>1920</v>
      </c>
      <c r="F43" s="11" t="s">
        <v>1921</v>
      </c>
      <c r="G43" s="11" t="s">
        <v>1922</v>
      </c>
    </row>
    <row r="44" spans="1:7">
      <c r="A44" s="11" t="s">
        <v>1923</v>
      </c>
      <c r="B44" s="11" t="s">
        <v>1924</v>
      </c>
      <c r="C44" s="11" t="s">
        <v>365</v>
      </c>
      <c r="D44" s="11" t="s">
        <v>1909</v>
      </c>
      <c r="E44" s="11" t="s">
        <v>1925</v>
      </c>
      <c r="F44" s="11" t="s">
        <v>1926</v>
      </c>
      <c r="G44" s="11" t="s">
        <v>1927</v>
      </c>
    </row>
    <row r="45" spans="1:7">
      <c r="A45" s="11" t="s">
        <v>1923</v>
      </c>
      <c r="B45" s="11" t="s">
        <v>1928</v>
      </c>
      <c r="C45" s="11" t="s">
        <v>1750</v>
      </c>
      <c r="D45" s="11" t="s">
        <v>1919</v>
      </c>
      <c r="E45" s="11" t="s">
        <v>1929</v>
      </c>
      <c r="F45" s="11" t="s">
        <v>1930</v>
      </c>
      <c r="G45" s="11" t="s">
        <v>1931</v>
      </c>
    </row>
    <row r="46" spans="1:7">
      <c r="A46" s="11" t="s">
        <v>1923</v>
      </c>
      <c r="B46" s="11" t="s">
        <v>1932</v>
      </c>
      <c r="C46" s="11" t="s">
        <v>1750</v>
      </c>
      <c r="D46" s="11" t="s">
        <v>1919</v>
      </c>
      <c r="E46" s="11" t="s">
        <v>1933</v>
      </c>
      <c r="F46" s="11" t="s">
        <v>1934</v>
      </c>
      <c r="G46" s="11" t="s">
        <v>1935</v>
      </c>
    </row>
    <row r="47" spans="1:7">
      <c r="A47" s="11" t="s">
        <v>1936</v>
      </c>
      <c r="B47" s="11" t="s">
        <v>1937</v>
      </c>
      <c r="C47" s="11" t="s">
        <v>365</v>
      </c>
      <c r="D47" s="11" t="s">
        <v>1909</v>
      </c>
      <c r="E47" s="11" t="s">
        <v>1938</v>
      </c>
      <c r="F47" s="11" t="s">
        <v>1939</v>
      </c>
      <c r="G47" s="11" t="s">
        <v>1940</v>
      </c>
    </row>
    <row r="48" spans="1:7">
      <c r="A48" s="11" t="s">
        <v>1936</v>
      </c>
      <c r="B48" s="11" t="s">
        <v>1941</v>
      </c>
      <c r="C48" s="11" t="s">
        <v>1750</v>
      </c>
      <c r="D48" s="11" t="s">
        <v>1942</v>
      </c>
      <c r="E48" s="11" t="s">
        <v>1943</v>
      </c>
      <c r="F48" s="11" t="s">
        <v>1944</v>
      </c>
      <c r="G48" s="11" t="s">
        <v>1945</v>
      </c>
    </row>
    <row r="49" spans="1:7">
      <c r="A49" s="11" t="s">
        <v>106</v>
      </c>
      <c r="B49" s="11" t="s">
        <v>1946</v>
      </c>
      <c r="C49" s="11" t="s">
        <v>89</v>
      </c>
      <c r="D49" s="11" t="s">
        <v>37</v>
      </c>
      <c r="E49" s="11" t="s">
        <v>1947</v>
      </c>
      <c r="F49" s="11" t="s">
        <v>1948</v>
      </c>
      <c r="G49" s="11" t="s">
        <v>1949</v>
      </c>
    </row>
    <row r="50" spans="1:7">
      <c r="A50" s="11" t="s">
        <v>106</v>
      </c>
      <c r="B50" s="11" t="s">
        <v>1950</v>
      </c>
      <c r="C50" s="11" t="s">
        <v>365</v>
      </c>
      <c r="D50" s="11" t="s">
        <v>1909</v>
      </c>
      <c r="E50" s="11" t="s">
        <v>1951</v>
      </c>
      <c r="F50" s="11" t="s">
        <v>1952</v>
      </c>
      <c r="G50" s="11" t="s">
        <v>1953</v>
      </c>
    </row>
    <row r="51" spans="1:7">
      <c r="A51" s="11" t="s">
        <v>1954</v>
      </c>
      <c r="B51" s="11" t="s">
        <v>1231</v>
      </c>
      <c r="C51" s="11" t="s">
        <v>1955</v>
      </c>
      <c r="D51" s="11" t="s">
        <v>60</v>
      </c>
      <c r="E51" s="11" t="s">
        <v>1956</v>
      </c>
      <c r="F51" s="11" t="s">
        <v>1957</v>
      </c>
      <c r="G51" s="11" t="s">
        <v>1958</v>
      </c>
    </row>
    <row r="52" spans="1:7">
      <c r="A52" s="11" t="s">
        <v>1954</v>
      </c>
      <c r="B52" s="11" t="s">
        <v>1959</v>
      </c>
      <c r="C52" s="11" t="s">
        <v>1960</v>
      </c>
      <c r="D52" s="11" t="s">
        <v>1961</v>
      </c>
      <c r="E52" s="11" t="s">
        <v>1962</v>
      </c>
      <c r="F52" s="11" t="s">
        <v>1963</v>
      </c>
      <c r="G52" s="11" t="s">
        <v>1964</v>
      </c>
    </row>
    <row r="53" spans="1:7">
      <c r="A53" s="11" t="s">
        <v>1965</v>
      </c>
      <c r="B53" s="11" t="s">
        <v>1966</v>
      </c>
      <c r="C53" s="11" t="s">
        <v>89</v>
      </c>
      <c r="D53" s="11" t="s">
        <v>57</v>
      </c>
      <c r="E53" s="11" t="s">
        <v>1967</v>
      </c>
      <c r="F53" s="11" t="s">
        <v>1968</v>
      </c>
      <c r="G53" s="11" t="s">
        <v>1969</v>
      </c>
    </row>
    <row r="54" spans="1:7">
      <c r="A54" s="11" t="s">
        <v>1970</v>
      </c>
      <c r="B54" s="11" t="s">
        <v>1971</v>
      </c>
      <c r="C54" s="11" t="s">
        <v>89</v>
      </c>
      <c r="D54" s="11" t="s">
        <v>1240</v>
      </c>
      <c r="E54" s="11" t="s">
        <v>1972</v>
      </c>
      <c r="F54" s="11" t="s">
        <v>1973</v>
      </c>
      <c r="G54" s="11" t="s">
        <v>1974</v>
      </c>
    </row>
    <row r="55" spans="1:7">
      <c r="A55" s="11" t="s">
        <v>1975</v>
      </c>
      <c r="B55" s="11" t="s">
        <v>1976</v>
      </c>
      <c r="C55" s="11" t="s">
        <v>89</v>
      </c>
      <c r="D55" s="11" t="s">
        <v>1977</v>
      </c>
      <c r="E55" s="11" t="s">
        <v>1978</v>
      </c>
      <c r="F55" s="11" t="s">
        <v>1979</v>
      </c>
      <c r="G55" s="11" t="s">
        <v>1980</v>
      </c>
    </row>
    <row r="56" spans="1:7" ht="22.8">
      <c r="A56" s="11" t="s">
        <v>1608</v>
      </c>
      <c r="B56" s="11" t="s">
        <v>1981</v>
      </c>
      <c r="C56" s="11" t="s">
        <v>1982</v>
      </c>
      <c r="D56" s="11" t="s">
        <v>59</v>
      </c>
      <c r="E56" s="11" t="s">
        <v>1983</v>
      </c>
      <c r="F56" s="11" t="s">
        <v>1984</v>
      </c>
      <c r="G56" s="11" t="s">
        <v>1985</v>
      </c>
    </row>
    <row r="57" spans="1:7">
      <c r="A57" s="11" t="s">
        <v>1383</v>
      </c>
      <c r="B57" s="11" t="s">
        <v>1986</v>
      </c>
      <c r="C57" s="11" t="s">
        <v>89</v>
      </c>
      <c r="D57" s="11" t="s">
        <v>1987</v>
      </c>
      <c r="E57" s="11" t="s">
        <v>1988</v>
      </c>
      <c r="F57" s="11" t="s">
        <v>1989</v>
      </c>
      <c r="G57" s="11" t="s">
        <v>1990</v>
      </c>
    </row>
    <row r="58" spans="1:7">
      <c r="A58" s="11" t="s">
        <v>1991</v>
      </c>
      <c r="B58" s="11" t="s">
        <v>1992</v>
      </c>
      <c r="C58" s="11" t="s">
        <v>1750</v>
      </c>
      <c r="D58" s="11" t="s">
        <v>1567</v>
      </c>
      <c r="E58" s="11" t="s">
        <v>1993</v>
      </c>
      <c r="F58" s="11" t="s">
        <v>1994</v>
      </c>
      <c r="G58" s="11" t="s">
        <v>1995</v>
      </c>
    </row>
    <row r="59" spans="1:7">
      <c r="A59" s="11" t="s">
        <v>752</v>
      </c>
      <c r="B59" s="11" t="s">
        <v>1996</v>
      </c>
      <c r="C59" s="11" t="s">
        <v>89</v>
      </c>
      <c r="D59" s="11" t="s">
        <v>59</v>
      </c>
      <c r="E59" s="11" t="s">
        <v>1997</v>
      </c>
      <c r="F59" s="11" t="s">
        <v>1998</v>
      </c>
      <c r="G59" s="11" t="s">
        <v>1999</v>
      </c>
    </row>
    <row r="60" spans="1:7" ht="22.8">
      <c r="A60" s="11" t="s">
        <v>2000</v>
      </c>
      <c r="B60" s="11" t="s">
        <v>2001</v>
      </c>
      <c r="C60" s="11" t="s">
        <v>89</v>
      </c>
      <c r="D60" s="11" t="s">
        <v>1268</v>
      </c>
      <c r="E60" s="11" t="s">
        <v>2002</v>
      </c>
      <c r="F60" s="11" t="s">
        <v>2003</v>
      </c>
      <c r="G60" s="11" t="s">
        <v>2004</v>
      </c>
    </row>
    <row r="61" spans="1:7">
      <c r="A61" s="11" t="s">
        <v>765</v>
      </c>
      <c r="B61" s="11" t="s">
        <v>2005</v>
      </c>
      <c r="C61" s="11" t="s">
        <v>89</v>
      </c>
      <c r="D61" s="11" t="s">
        <v>59</v>
      </c>
      <c r="E61" s="11" t="s">
        <v>2006</v>
      </c>
      <c r="F61" s="11" t="s">
        <v>2007</v>
      </c>
      <c r="G61" s="11" t="s">
        <v>2008</v>
      </c>
    </row>
    <row r="62" spans="1:7">
      <c r="A62" s="11" t="s">
        <v>2009</v>
      </c>
      <c r="B62" s="11" t="s">
        <v>2010</v>
      </c>
      <c r="C62" s="11" t="s">
        <v>89</v>
      </c>
      <c r="D62" s="11" t="s">
        <v>56</v>
      </c>
      <c r="E62" s="11" t="s">
        <v>2011</v>
      </c>
      <c r="F62" s="11" t="s">
        <v>2012</v>
      </c>
      <c r="G62" s="11" t="s">
        <v>2013</v>
      </c>
    </row>
    <row r="63" spans="1:7">
      <c r="A63" s="11" t="s">
        <v>617</v>
      </c>
      <c r="B63" s="11" t="s">
        <v>2014</v>
      </c>
      <c r="C63" s="11" t="s">
        <v>1183</v>
      </c>
      <c r="D63" s="11" t="s">
        <v>60</v>
      </c>
      <c r="E63" s="11" t="s">
        <v>2015</v>
      </c>
      <c r="F63" s="11" t="s">
        <v>2016</v>
      </c>
      <c r="G63" s="11" t="s">
        <v>2017</v>
      </c>
    </row>
    <row r="64" spans="1:7">
      <c r="A64" s="11" t="s">
        <v>617</v>
      </c>
      <c r="B64" s="11" t="s">
        <v>2018</v>
      </c>
      <c r="C64" s="11" t="s">
        <v>1982</v>
      </c>
      <c r="D64" s="11" t="s">
        <v>60</v>
      </c>
      <c r="E64" s="11" t="s">
        <v>2019</v>
      </c>
      <c r="F64" s="11" t="s">
        <v>2020</v>
      </c>
      <c r="G64" s="11" t="s">
        <v>2021</v>
      </c>
    </row>
    <row r="65" spans="1:7">
      <c r="A65" s="11" t="s">
        <v>617</v>
      </c>
      <c r="B65" s="11" t="s">
        <v>2022</v>
      </c>
      <c r="C65" s="11" t="s">
        <v>1750</v>
      </c>
      <c r="D65" s="11" t="s">
        <v>1849</v>
      </c>
      <c r="E65" s="11" t="s">
        <v>2023</v>
      </c>
      <c r="F65" s="11" t="s">
        <v>2024</v>
      </c>
      <c r="G65" s="11" t="s">
        <v>2025</v>
      </c>
    </row>
    <row r="66" spans="1:7">
      <c r="A66" s="11" t="s">
        <v>1418</v>
      </c>
      <c r="B66" s="11" t="s">
        <v>2026</v>
      </c>
      <c r="C66" s="11" t="s">
        <v>2027</v>
      </c>
      <c r="D66" s="11" t="s">
        <v>60</v>
      </c>
      <c r="E66" s="11" t="s">
        <v>2028</v>
      </c>
      <c r="F66" s="11" t="s">
        <v>2029</v>
      </c>
      <c r="G66" s="11" t="s">
        <v>2030</v>
      </c>
    </row>
    <row r="67" spans="1:7">
      <c r="A67" s="11" t="s">
        <v>2031</v>
      </c>
      <c r="B67" s="11" t="s">
        <v>2032</v>
      </c>
      <c r="C67" s="11" t="s">
        <v>365</v>
      </c>
      <c r="D67" s="11" t="s">
        <v>2033</v>
      </c>
      <c r="E67" s="11" t="s">
        <v>2034</v>
      </c>
      <c r="F67" s="11" t="s">
        <v>2035</v>
      </c>
      <c r="G67" s="11" t="s">
        <v>2036</v>
      </c>
    </row>
    <row r="68" spans="1:7">
      <c r="A68" s="11" t="s">
        <v>2037</v>
      </c>
      <c r="B68" s="11" t="s">
        <v>2038</v>
      </c>
      <c r="C68" s="11" t="s">
        <v>2039</v>
      </c>
      <c r="D68" s="11" t="s">
        <v>2040</v>
      </c>
      <c r="E68" s="11" t="s">
        <v>2041</v>
      </c>
      <c r="F68" s="11" t="s">
        <v>2042</v>
      </c>
      <c r="G68" s="11" t="s">
        <v>2043</v>
      </c>
    </row>
    <row r="69" spans="1:7">
      <c r="A69" s="11" t="s">
        <v>765</v>
      </c>
      <c r="B69" s="11" t="s">
        <v>2044</v>
      </c>
      <c r="C69" s="11" t="s">
        <v>1750</v>
      </c>
      <c r="D69" s="11" t="s">
        <v>2045</v>
      </c>
      <c r="E69" s="11" t="s">
        <v>2046</v>
      </c>
      <c r="F69" s="11" t="s">
        <v>2047</v>
      </c>
      <c r="G69" s="11" t="s">
        <v>2048</v>
      </c>
    </row>
  </sheetData>
  <mergeCells count="2">
    <mergeCell ref="A1:G1"/>
    <mergeCell ref="A2:G2"/>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3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59" t="s">
        <v>2049</v>
      </c>
      <c r="B1" s="59"/>
      <c r="C1" s="59"/>
      <c r="D1" s="59"/>
      <c r="E1" s="59"/>
      <c r="F1" s="59"/>
      <c r="G1" s="59"/>
      <c r="H1" s="59"/>
    </row>
    <row r="2" spans="1:8" ht="31.95" customHeight="1">
      <c r="A2" s="60" t="s">
        <v>2050</v>
      </c>
      <c r="B2" s="60"/>
      <c r="C2" s="60"/>
      <c r="D2" s="60"/>
      <c r="E2" s="60"/>
      <c r="F2" s="60"/>
      <c r="G2" s="60"/>
      <c r="H2" s="60"/>
    </row>
    <row r="5" spans="1:8" ht="28.05" customHeight="1">
      <c r="A5" s="1" t="s">
        <v>2051</v>
      </c>
      <c r="B5" s="2" t="s">
        <v>90</v>
      </c>
      <c r="C5" s="2" t="s">
        <v>2052</v>
      </c>
      <c r="D5" s="2" t="s">
        <v>2053</v>
      </c>
      <c r="E5" s="2" t="s">
        <v>2054</v>
      </c>
      <c r="F5" s="2" t="s">
        <v>2055</v>
      </c>
      <c r="G5" s="2" t="s">
        <v>2056</v>
      </c>
      <c r="H5" s="3" t="s">
        <v>2057</v>
      </c>
    </row>
    <row r="6" spans="1:8">
      <c r="A6" s="10" t="s">
        <v>2058</v>
      </c>
      <c r="B6" s="10" t="s">
        <v>2059</v>
      </c>
      <c r="C6" s="10" t="s">
        <v>1625</v>
      </c>
      <c r="D6" s="10" t="s">
        <v>2060</v>
      </c>
      <c r="E6" s="10" t="s">
        <v>56</v>
      </c>
      <c r="F6" s="10" t="s">
        <v>2061</v>
      </c>
      <c r="G6" s="10" t="s">
        <v>2062</v>
      </c>
      <c r="H6" s="19"/>
    </row>
    <row r="7" spans="1:8">
      <c r="A7" s="11" t="s">
        <v>2063</v>
      </c>
      <c r="B7" s="11" t="s">
        <v>2059</v>
      </c>
      <c r="C7" s="11" t="s">
        <v>1625</v>
      </c>
      <c r="D7" s="11" t="s">
        <v>2064</v>
      </c>
      <c r="E7" s="11" t="s">
        <v>56</v>
      </c>
      <c r="F7" s="11" t="s">
        <v>2065</v>
      </c>
      <c r="G7" s="11" t="s">
        <v>2062</v>
      </c>
      <c r="H7" s="20"/>
    </row>
    <row r="8" spans="1:8">
      <c r="A8" s="11" t="s">
        <v>2066</v>
      </c>
      <c r="B8" s="11" t="s">
        <v>2067</v>
      </c>
      <c r="C8" s="11" t="s">
        <v>1625</v>
      </c>
      <c r="D8" s="11" t="s">
        <v>2068</v>
      </c>
      <c r="E8" s="11" t="s">
        <v>56</v>
      </c>
      <c r="F8" s="11" t="s">
        <v>2069</v>
      </c>
      <c r="G8" s="11" t="s">
        <v>2070</v>
      </c>
      <c r="H8" s="20"/>
    </row>
    <row r="9" spans="1:8">
      <c r="A9" s="11" t="s">
        <v>2071</v>
      </c>
      <c r="B9" s="11" t="s">
        <v>2072</v>
      </c>
      <c r="C9" s="11" t="s">
        <v>1625</v>
      </c>
      <c r="D9" s="11" t="s">
        <v>2073</v>
      </c>
      <c r="E9" s="11" t="s">
        <v>56</v>
      </c>
      <c r="F9" s="11" t="s">
        <v>2074</v>
      </c>
      <c r="G9" s="11" t="s">
        <v>2075</v>
      </c>
      <c r="H9" s="20"/>
    </row>
    <row r="10" spans="1:8">
      <c r="A10" s="11" t="s">
        <v>2076</v>
      </c>
      <c r="B10" s="11" t="s">
        <v>2059</v>
      </c>
      <c r="C10" s="11" t="s">
        <v>1625</v>
      </c>
      <c r="D10" s="11" t="s">
        <v>2077</v>
      </c>
      <c r="E10" s="11" t="s">
        <v>57</v>
      </c>
      <c r="F10" s="11" t="s">
        <v>2078</v>
      </c>
      <c r="G10" s="11" t="s">
        <v>2079</v>
      </c>
      <c r="H10" s="20"/>
    </row>
    <row r="11" spans="1:8">
      <c r="A11" s="11" t="s">
        <v>2080</v>
      </c>
      <c r="B11" s="11" t="s">
        <v>2059</v>
      </c>
      <c r="C11" s="11" t="s">
        <v>1625</v>
      </c>
      <c r="D11" s="11" t="s">
        <v>2081</v>
      </c>
      <c r="E11" s="11" t="s">
        <v>57</v>
      </c>
      <c r="F11" s="11" t="s">
        <v>2082</v>
      </c>
      <c r="G11" s="11" t="s">
        <v>2083</v>
      </c>
      <c r="H11" s="20"/>
    </row>
    <row r="12" spans="1:8">
      <c r="A12" s="11" t="s">
        <v>2084</v>
      </c>
      <c r="B12" s="11" t="s">
        <v>2059</v>
      </c>
      <c r="C12" s="11" t="s">
        <v>1625</v>
      </c>
      <c r="D12" s="11" t="s">
        <v>2085</v>
      </c>
      <c r="E12" s="11" t="s">
        <v>37</v>
      </c>
      <c r="F12" s="11" t="s">
        <v>2086</v>
      </c>
      <c r="G12" s="11" t="s">
        <v>306</v>
      </c>
      <c r="H12" s="20"/>
    </row>
    <row r="13" spans="1:8">
      <c r="A13" s="11" t="s">
        <v>1052</v>
      </c>
      <c r="B13" s="11" t="s">
        <v>2059</v>
      </c>
      <c r="C13" s="11" t="s">
        <v>1625</v>
      </c>
      <c r="D13" s="11" t="s">
        <v>2087</v>
      </c>
      <c r="E13" s="11" t="s">
        <v>37</v>
      </c>
      <c r="F13" s="11" t="s">
        <v>2088</v>
      </c>
      <c r="G13" s="11" t="s">
        <v>2089</v>
      </c>
      <c r="H13" s="20"/>
    </row>
    <row r="14" spans="1:8">
      <c r="A14" s="11" t="s">
        <v>2090</v>
      </c>
      <c r="B14" s="11" t="s">
        <v>2059</v>
      </c>
      <c r="C14" s="11" t="s">
        <v>1625</v>
      </c>
      <c r="D14" s="11" t="s">
        <v>2091</v>
      </c>
      <c r="E14" s="11" t="s">
        <v>37</v>
      </c>
      <c r="F14" s="11" t="s">
        <v>2092</v>
      </c>
      <c r="G14" s="11" t="s">
        <v>2093</v>
      </c>
      <c r="H14" s="20"/>
    </row>
    <row r="15" spans="1:8">
      <c r="A15" s="11" t="s">
        <v>2094</v>
      </c>
      <c r="B15" s="11" t="s">
        <v>2095</v>
      </c>
      <c r="C15" s="11" t="s">
        <v>1625</v>
      </c>
      <c r="D15" s="11" t="s">
        <v>2096</v>
      </c>
      <c r="E15" s="11" t="s">
        <v>37</v>
      </c>
      <c r="F15" s="11" t="s">
        <v>2097</v>
      </c>
      <c r="G15" s="11" t="s">
        <v>2098</v>
      </c>
      <c r="H15" s="20"/>
    </row>
    <row r="16" spans="1:8">
      <c r="A16" s="11" t="s">
        <v>2099</v>
      </c>
      <c r="B16" s="11" t="s">
        <v>2100</v>
      </c>
      <c r="C16" s="11" t="s">
        <v>1586</v>
      </c>
      <c r="D16" s="11"/>
      <c r="E16" s="11" t="s">
        <v>1567</v>
      </c>
      <c r="F16" s="11" t="s">
        <v>2101</v>
      </c>
      <c r="G16" s="11" t="s">
        <v>2098</v>
      </c>
      <c r="H16" s="20"/>
    </row>
    <row r="17" spans="1:8">
      <c r="A17" s="11" t="s">
        <v>2102</v>
      </c>
      <c r="B17" s="11" t="s">
        <v>2059</v>
      </c>
      <c r="C17" s="11" t="s">
        <v>1625</v>
      </c>
      <c r="D17" s="11"/>
      <c r="E17" s="11" t="s">
        <v>59</v>
      </c>
      <c r="F17" s="11" t="s">
        <v>2103</v>
      </c>
      <c r="G17" s="11" t="s">
        <v>2104</v>
      </c>
      <c r="H17" s="20"/>
    </row>
    <row r="18" spans="1:8">
      <c r="A18" s="11" t="s">
        <v>2105</v>
      </c>
      <c r="B18" s="11" t="s">
        <v>2059</v>
      </c>
      <c r="C18" s="11" t="s">
        <v>1625</v>
      </c>
      <c r="D18" s="11" t="s">
        <v>2106</v>
      </c>
      <c r="E18" s="11" t="s">
        <v>57</v>
      </c>
      <c r="F18" s="11" t="s">
        <v>2107</v>
      </c>
      <c r="G18" s="11" t="s">
        <v>2104</v>
      </c>
      <c r="H18" s="20"/>
    </row>
    <row r="19" spans="1:8">
      <c r="A19" s="11" t="s">
        <v>2108</v>
      </c>
      <c r="B19" s="11" t="s">
        <v>2059</v>
      </c>
      <c r="C19" s="11" t="s">
        <v>1625</v>
      </c>
      <c r="D19" s="11" t="s">
        <v>2109</v>
      </c>
      <c r="E19" s="11" t="s">
        <v>59</v>
      </c>
      <c r="F19" s="11" t="s">
        <v>2110</v>
      </c>
      <c r="G19" s="11" t="s">
        <v>306</v>
      </c>
      <c r="H19" s="20"/>
    </row>
    <row r="20" spans="1:8">
      <c r="A20" s="11" t="s">
        <v>2111</v>
      </c>
      <c r="B20" s="11" t="s">
        <v>2059</v>
      </c>
      <c r="C20" s="11" t="s">
        <v>1625</v>
      </c>
      <c r="D20" s="11" t="s">
        <v>2112</v>
      </c>
      <c r="E20" s="11" t="s">
        <v>59</v>
      </c>
      <c r="F20" s="11" t="s">
        <v>2113</v>
      </c>
      <c r="G20" s="11" t="s">
        <v>2059</v>
      </c>
      <c r="H20" s="20"/>
    </row>
    <row r="21" spans="1:8">
      <c r="A21" s="11" t="s">
        <v>2114</v>
      </c>
      <c r="B21" s="11" t="s">
        <v>2059</v>
      </c>
      <c r="C21" s="11" t="s">
        <v>1625</v>
      </c>
      <c r="D21" s="11" t="s">
        <v>2115</v>
      </c>
      <c r="E21" s="11" t="s">
        <v>57</v>
      </c>
      <c r="F21" s="11" t="s">
        <v>2116</v>
      </c>
      <c r="G21" s="11" t="s">
        <v>2093</v>
      </c>
      <c r="H21" s="20"/>
    </row>
    <row r="22" spans="1:8">
      <c r="A22" s="11" t="s">
        <v>2117</v>
      </c>
      <c r="B22" s="11" t="s">
        <v>2059</v>
      </c>
      <c r="C22" s="11" t="s">
        <v>1625</v>
      </c>
      <c r="D22" s="11" t="s">
        <v>2118</v>
      </c>
      <c r="E22" s="11" t="s">
        <v>57</v>
      </c>
      <c r="F22" s="11" t="s">
        <v>2119</v>
      </c>
      <c r="G22" s="11" t="s">
        <v>2079</v>
      </c>
      <c r="H22" s="20"/>
    </row>
    <row r="23" spans="1:8">
      <c r="A23" s="11" t="s">
        <v>2120</v>
      </c>
      <c r="B23" s="11" t="s">
        <v>2059</v>
      </c>
      <c r="C23" s="11" t="s">
        <v>1625</v>
      </c>
      <c r="D23" s="11" t="s">
        <v>2121</v>
      </c>
      <c r="E23" s="11" t="s">
        <v>57</v>
      </c>
      <c r="F23" s="11" t="s">
        <v>2122</v>
      </c>
      <c r="G23" s="11" t="s">
        <v>2079</v>
      </c>
      <c r="H23" s="20"/>
    </row>
    <row r="24" spans="1:8">
      <c r="A24" s="11" t="s">
        <v>2123</v>
      </c>
      <c r="B24" s="11" t="s">
        <v>2059</v>
      </c>
      <c r="C24" s="11" t="s">
        <v>1625</v>
      </c>
      <c r="D24" s="11" t="s">
        <v>2124</v>
      </c>
      <c r="E24" s="11" t="s">
        <v>58</v>
      </c>
      <c r="F24" s="11" t="s">
        <v>2125</v>
      </c>
      <c r="G24" s="11" t="s">
        <v>1777</v>
      </c>
      <c r="H24" s="20"/>
    </row>
    <row r="25" spans="1:8">
      <c r="A25" s="11" t="s">
        <v>2126</v>
      </c>
      <c r="B25" s="11" t="s">
        <v>2059</v>
      </c>
      <c r="C25" s="11" t="s">
        <v>1625</v>
      </c>
      <c r="D25" s="11" t="s">
        <v>2127</v>
      </c>
      <c r="E25" s="11" t="s">
        <v>58</v>
      </c>
      <c r="F25" s="11" t="s">
        <v>2128</v>
      </c>
      <c r="G25" s="11" t="s">
        <v>2129</v>
      </c>
      <c r="H25" s="20"/>
    </row>
    <row r="26" spans="1:8">
      <c r="A26" s="11" t="s">
        <v>2130</v>
      </c>
      <c r="B26" s="11" t="s">
        <v>2059</v>
      </c>
      <c r="C26" s="11" t="s">
        <v>1625</v>
      </c>
      <c r="D26" s="11" t="s">
        <v>2131</v>
      </c>
      <c r="E26" s="11" t="s">
        <v>58</v>
      </c>
      <c r="F26" s="11" t="s">
        <v>2132</v>
      </c>
      <c r="G26" s="11" t="s">
        <v>1777</v>
      </c>
      <c r="H26" s="20"/>
    </row>
    <row r="27" spans="1:8">
      <c r="A27" s="11" t="s">
        <v>2133</v>
      </c>
      <c r="B27" s="11" t="s">
        <v>2059</v>
      </c>
      <c r="C27" s="11" t="s">
        <v>1625</v>
      </c>
      <c r="D27" s="11" t="s">
        <v>2134</v>
      </c>
      <c r="E27" s="11" t="s">
        <v>58</v>
      </c>
      <c r="F27" s="11" t="s">
        <v>2135</v>
      </c>
      <c r="G27" s="11" t="s">
        <v>1777</v>
      </c>
      <c r="H27" s="20"/>
    </row>
    <row r="28" spans="1:8">
      <c r="A28" s="11" t="s">
        <v>2136</v>
      </c>
      <c r="B28" s="11" t="s">
        <v>2059</v>
      </c>
      <c r="C28" s="11" t="s">
        <v>1625</v>
      </c>
      <c r="D28" s="11" t="s">
        <v>2137</v>
      </c>
      <c r="E28" s="11" t="s">
        <v>57</v>
      </c>
      <c r="F28" s="11" t="s">
        <v>2138</v>
      </c>
      <c r="G28" s="11" t="s">
        <v>487</v>
      </c>
      <c r="H28" s="20"/>
    </row>
    <row r="29" spans="1:8">
      <c r="A29" s="11" t="s">
        <v>2139</v>
      </c>
      <c r="B29" s="11" t="s">
        <v>2059</v>
      </c>
      <c r="C29" s="11" t="s">
        <v>1625</v>
      </c>
      <c r="D29" s="11" t="s">
        <v>2140</v>
      </c>
      <c r="E29" s="11" t="s">
        <v>58</v>
      </c>
      <c r="F29" s="11" t="s">
        <v>2141</v>
      </c>
      <c r="G29" s="11" t="s">
        <v>487</v>
      </c>
      <c r="H29" s="20"/>
    </row>
    <row r="30" spans="1:8">
      <c r="A30" s="11" t="s">
        <v>2142</v>
      </c>
      <c r="B30" s="11" t="s">
        <v>2059</v>
      </c>
      <c r="C30" s="11" t="s">
        <v>1625</v>
      </c>
      <c r="D30" s="11" t="s">
        <v>2143</v>
      </c>
      <c r="E30" s="11" t="s">
        <v>1567</v>
      </c>
      <c r="F30" s="11" t="s">
        <v>2144</v>
      </c>
      <c r="G30" s="11" t="s">
        <v>2145</v>
      </c>
      <c r="H30" s="20"/>
    </row>
    <row r="31" spans="1:8">
      <c r="A31" s="11" t="s">
        <v>2146</v>
      </c>
      <c r="B31" s="11" t="s">
        <v>2100</v>
      </c>
      <c r="C31" s="11" t="s">
        <v>1586</v>
      </c>
      <c r="D31" s="11"/>
      <c r="E31" s="11" t="s">
        <v>1567</v>
      </c>
      <c r="F31" s="11" t="s">
        <v>2147</v>
      </c>
      <c r="G31" s="11" t="s">
        <v>2145</v>
      </c>
      <c r="H31" s="20"/>
    </row>
    <row r="32" spans="1:8">
      <c r="A32" s="11" t="s">
        <v>2148</v>
      </c>
      <c r="B32" s="11" t="s">
        <v>2100</v>
      </c>
      <c r="C32" s="11" t="s">
        <v>1586</v>
      </c>
      <c r="D32" s="11"/>
      <c r="E32" s="11" t="s">
        <v>1791</v>
      </c>
      <c r="F32" s="11" t="s">
        <v>2149</v>
      </c>
      <c r="G32" s="11" t="s">
        <v>2150</v>
      </c>
      <c r="H32" s="20"/>
    </row>
    <row r="33" spans="1:8">
      <c r="A33" s="11" t="s">
        <v>2151</v>
      </c>
      <c r="B33" s="11" t="s">
        <v>2059</v>
      </c>
      <c r="C33" s="11" t="s">
        <v>1625</v>
      </c>
      <c r="D33" s="11" t="s">
        <v>2152</v>
      </c>
      <c r="E33" s="11" t="s">
        <v>1791</v>
      </c>
      <c r="F33" s="11" t="s">
        <v>2153</v>
      </c>
      <c r="G33" s="11" t="s">
        <v>2150</v>
      </c>
      <c r="H33" s="20"/>
    </row>
    <row r="34" spans="1:8">
      <c r="A34" s="11" t="s">
        <v>2154</v>
      </c>
      <c r="B34" s="11" t="s">
        <v>2155</v>
      </c>
      <c r="C34" s="11" t="s">
        <v>1625</v>
      </c>
      <c r="D34" s="11" t="s">
        <v>2156</v>
      </c>
      <c r="E34" s="11" t="s">
        <v>59</v>
      </c>
      <c r="F34" s="11" t="s">
        <v>2157</v>
      </c>
      <c r="G34" s="11" t="s">
        <v>2158</v>
      </c>
      <c r="H34" s="20"/>
    </row>
    <row r="35" spans="1:8">
      <c r="A35" s="11" t="s">
        <v>2159</v>
      </c>
      <c r="B35" s="11" t="s">
        <v>2155</v>
      </c>
      <c r="C35" s="11" t="s">
        <v>1625</v>
      </c>
      <c r="D35" s="11" t="s">
        <v>2160</v>
      </c>
      <c r="E35" s="11" t="s">
        <v>59</v>
      </c>
      <c r="F35" s="11" t="s">
        <v>2161</v>
      </c>
      <c r="G35" s="11" t="s">
        <v>2162</v>
      </c>
      <c r="H35" s="20"/>
    </row>
    <row r="36" spans="1:8">
      <c r="A36" s="11" t="s">
        <v>2163</v>
      </c>
      <c r="B36" s="11" t="s">
        <v>2164</v>
      </c>
      <c r="C36" s="11" t="s">
        <v>1625</v>
      </c>
      <c r="D36" s="11" t="s">
        <v>2165</v>
      </c>
      <c r="E36" s="11" t="s">
        <v>56</v>
      </c>
      <c r="F36" s="11" t="s">
        <v>2166</v>
      </c>
      <c r="G36" s="11" t="s">
        <v>2167</v>
      </c>
      <c r="H36" s="20"/>
    </row>
    <row r="37" spans="1:8">
      <c r="A37" s="11" t="s">
        <v>2168</v>
      </c>
      <c r="B37" s="11" t="s">
        <v>2164</v>
      </c>
      <c r="C37" s="11" t="s">
        <v>1625</v>
      </c>
      <c r="D37" s="11" t="s">
        <v>2169</v>
      </c>
      <c r="E37" s="11" t="s">
        <v>56</v>
      </c>
      <c r="F37" s="11" t="s">
        <v>2170</v>
      </c>
      <c r="G37" s="11" t="s">
        <v>2167</v>
      </c>
      <c r="H37" s="20"/>
    </row>
    <row r="38" spans="1:8">
      <c r="A38" s="11" t="s">
        <v>2171</v>
      </c>
      <c r="B38" s="11" t="s">
        <v>2164</v>
      </c>
      <c r="C38" s="11" t="s">
        <v>1625</v>
      </c>
      <c r="D38" s="11" t="s">
        <v>2172</v>
      </c>
      <c r="E38" s="11" t="s">
        <v>56</v>
      </c>
      <c r="F38" s="11" t="s">
        <v>2173</v>
      </c>
      <c r="G38" s="11" t="s">
        <v>2167</v>
      </c>
      <c r="H38" s="20"/>
    </row>
  </sheetData>
  <mergeCells count="2">
    <mergeCell ref="A1:H1"/>
    <mergeCell ref="A2:H2"/>
  </mergeCells>
  <conditionalFormatting sqref="C6:C38">
    <cfRule type="containsText" dxfId="0" priority="1" operator="containsText" text="Yes"/>
  </conditionalFormatting>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11"/>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6" ht="31.95" customHeight="1">
      <c r="A1" s="59" t="s">
        <v>2174</v>
      </c>
      <c r="B1" s="59"/>
      <c r="C1" s="59"/>
      <c r="D1" s="59"/>
      <c r="E1" s="59"/>
      <c r="F1" s="59"/>
    </row>
    <row r="2" spans="1:6" ht="31.95" customHeight="1">
      <c r="A2" s="60" t="s">
        <v>2175</v>
      </c>
      <c r="B2" s="60"/>
      <c r="C2" s="60"/>
      <c r="D2" s="60"/>
      <c r="E2" s="60"/>
      <c r="F2" s="60"/>
    </row>
    <row r="5" spans="1:6" ht="28.05" customHeight="1">
      <c r="A5" s="1" t="s">
        <v>2176</v>
      </c>
      <c r="B5" s="2" t="s">
        <v>2177</v>
      </c>
      <c r="C5" s="2" t="s">
        <v>2178</v>
      </c>
      <c r="D5" s="2" t="s">
        <v>2179</v>
      </c>
      <c r="E5" s="2" t="s">
        <v>2180</v>
      </c>
      <c r="F5" s="3" t="s">
        <v>2181</v>
      </c>
    </row>
    <row r="6" spans="1:6" ht="22.8">
      <c r="A6" s="10" t="s">
        <v>2182</v>
      </c>
      <c r="B6" s="10" t="s">
        <v>2183</v>
      </c>
      <c r="C6" s="10" t="s">
        <v>2184</v>
      </c>
      <c r="D6" s="10" t="s">
        <v>2185</v>
      </c>
      <c r="E6" s="10" t="s">
        <v>2186</v>
      </c>
      <c r="F6" s="10" t="s">
        <v>2187</v>
      </c>
    </row>
    <row r="7" spans="1:6" ht="22.8">
      <c r="A7" s="11" t="s">
        <v>2188</v>
      </c>
      <c r="B7" s="11" t="s">
        <v>2189</v>
      </c>
      <c r="C7" s="11" t="s">
        <v>2190</v>
      </c>
      <c r="D7" s="11" t="s">
        <v>2191</v>
      </c>
      <c r="E7" s="11" t="s">
        <v>2192</v>
      </c>
      <c r="F7" s="11" t="s">
        <v>2187</v>
      </c>
    </row>
    <row r="8" spans="1:6" ht="45.6">
      <c r="A8" s="11" t="s">
        <v>2193</v>
      </c>
      <c r="B8" s="11" t="s">
        <v>2194</v>
      </c>
      <c r="C8" s="11" t="s">
        <v>2195</v>
      </c>
      <c r="D8" s="11" t="s">
        <v>2196</v>
      </c>
      <c r="E8" s="11" t="s">
        <v>2197</v>
      </c>
      <c r="F8" s="11" t="s">
        <v>2198</v>
      </c>
    </row>
    <row r="11" spans="1:6" ht="46.05" customHeight="1">
      <c r="A11" s="117" t="s">
        <v>2199</v>
      </c>
      <c r="B11" s="118"/>
      <c r="C11" s="118"/>
      <c r="D11" s="118"/>
      <c r="E11" s="118"/>
      <c r="F11" s="119"/>
    </row>
  </sheetData>
  <mergeCells count="3">
    <mergeCell ref="A1:F1"/>
    <mergeCell ref="A2:F2"/>
    <mergeCell ref="A11:F11"/>
  </mergeCells>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H26"/>
  <sheetViews>
    <sheetView showGridLines="0" workbookViewId="0"/>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120" t="s">
        <v>2200</v>
      </c>
      <c r="B1" s="120"/>
      <c r="C1" s="120"/>
      <c r="D1" s="120"/>
      <c r="E1" s="120"/>
      <c r="F1" s="120"/>
      <c r="G1" s="120"/>
      <c r="H1" s="120"/>
    </row>
    <row r="2" spans="1:8" ht="36" customHeight="1">
      <c r="A2" s="121" t="s">
        <v>2201</v>
      </c>
      <c r="B2" s="121"/>
      <c r="C2" s="121"/>
      <c r="D2" s="121"/>
      <c r="E2" s="121"/>
      <c r="F2" s="121"/>
      <c r="G2" s="121"/>
      <c r="H2" s="121"/>
    </row>
    <row r="3" spans="1:8" ht="15" customHeight="1">
      <c r="A3" s="29"/>
      <c r="B3" s="29"/>
      <c r="C3" s="29"/>
      <c r="D3" s="29"/>
      <c r="E3" s="29"/>
      <c r="F3" s="29"/>
      <c r="G3" s="29"/>
      <c r="H3" s="29"/>
    </row>
    <row r="4" spans="1:8" ht="15" customHeight="1">
      <c r="A4" s="122" t="s">
        <v>2</v>
      </c>
      <c r="B4" s="122"/>
      <c r="C4" s="122"/>
      <c r="D4" s="122"/>
      <c r="E4" s="122"/>
      <c r="F4" s="122"/>
      <c r="G4" s="122"/>
      <c r="H4" s="122"/>
    </row>
    <row r="5" spans="1:8" ht="118.8" customHeight="1">
      <c r="A5" s="36" t="s">
        <v>2202</v>
      </c>
      <c r="B5" s="37" t="s">
        <v>2203</v>
      </c>
      <c r="C5" s="37" t="s">
        <v>2204</v>
      </c>
      <c r="D5" s="37" t="s">
        <v>2205</v>
      </c>
      <c r="E5" s="37" t="s">
        <v>2206</v>
      </c>
      <c r="F5" s="37" t="s">
        <v>2207</v>
      </c>
      <c r="G5" s="37" t="s">
        <v>2208</v>
      </c>
      <c r="H5" s="38" t="s">
        <v>2209</v>
      </c>
    </row>
    <row r="6" spans="1:8" ht="105.6" customHeight="1">
      <c r="A6" s="39" t="s">
        <v>2210</v>
      </c>
      <c r="B6" s="40" t="s">
        <v>2211</v>
      </c>
      <c r="C6" s="40" t="s">
        <v>2212</v>
      </c>
      <c r="D6" s="40" t="s">
        <v>2213</v>
      </c>
      <c r="E6" s="40" t="s">
        <v>2214</v>
      </c>
      <c r="F6" s="40" t="s">
        <v>2215</v>
      </c>
      <c r="G6" s="40" t="s">
        <v>2216</v>
      </c>
      <c r="H6" s="41" t="s">
        <v>2217</v>
      </c>
    </row>
    <row r="7" spans="1:8" ht="132" customHeight="1">
      <c r="A7" s="39" t="s">
        <v>2131</v>
      </c>
      <c r="B7" s="40" t="s">
        <v>2218</v>
      </c>
      <c r="C7" s="40" t="s">
        <v>22</v>
      </c>
      <c r="D7" s="40" t="s">
        <v>2219</v>
      </c>
      <c r="E7" s="40" t="s">
        <v>2220</v>
      </c>
      <c r="F7" s="40" t="s">
        <v>2221</v>
      </c>
      <c r="G7" s="40" t="s">
        <v>2222</v>
      </c>
      <c r="H7" s="41" t="s">
        <v>2223</v>
      </c>
    </row>
    <row r="8" spans="1:8" ht="118.8" customHeight="1">
      <c r="A8" s="39" t="s">
        <v>2224</v>
      </c>
      <c r="B8" s="40" t="s">
        <v>2225</v>
      </c>
      <c r="C8" s="40" t="s">
        <v>2226</v>
      </c>
      <c r="D8" s="40" t="s">
        <v>2227</v>
      </c>
      <c r="E8" s="40" t="s">
        <v>2228</v>
      </c>
      <c r="F8" s="40" t="s">
        <v>2229</v>
      </c>
      <c r="G8" s="40" t="s">
        <v>2230</v>
      </c>
      <c r="H8" s="41" t="s">
        <v>2231</v>
      </c>
    </row>
    <row r="9" spans="1:8" ht="118.8" customHeight="1">
      <c r="A9" s="39" t="s">
        <v>2115</v>
      </c>
      <c r="B9" s="40" t="s">
        <v>2232</v>
      </c>
      <c r="C9" s="40" t="s">
        <v>2233</v>
      </c>
      <c r="D9" s="40" t="s">
        <v>2234</v>
      </c>
      <c r="E9" s="40" t="s">
        <v>2235</v>
      </c>
      <c r="F9" s="40" t="s">
        <v>2236</v>
      </c>
      <c r="G9" s="40" t="s">
        <v>2237</v>
      </c>
      <c r="H9" s="41" t="s">
        <v>2238</v>
      </c>
    </row>
    <row r="10" spans="1:8" ht="132" customHeight="1">
      <c r="A10" s="42" t="s">
        <v>2124</v>
      </c>
      <c r="B10" s="43" t="s">
        <v>2239</v>
      </c>
      <c r="C10" s="43" t="s">
        <v>2240</v>
      </c>
      <c r="D10" s="43" t="s">
        <v>2241</v>
      </c>
      <c r="E10" s="43" t="s">
        <v>241</v>
      </c>
      <c r="F10" s="43" t="s">
        <v>2242</v>
      </c>
      <c r="G10" s="43" t="s">
        <v>2243</v>
      </c>
      <c r="H10" s="44" t="s">
        <v>2244</v>
      </c>
    </row>
    <row r="11" spans="1:8" ht="15" customHeight="1">
      <c r="A11" s="29"/>
      <c r="B11" s="29"/>
      <c r="C11" s="29"/>
      <c r="D11" s="29"/>
      <c r="E11" s="29"/>
      <c r="F11" s="29"/>
      <c r="G11" s="29"/>
      <c r="H11" s="29"/>
    </row>
    <row r="12" spans="1:8" ht="39.6" customHeight="1">
      <c r="A12" s="29" t="s">
        <v>53</v>
      </c>
      <c r="B12" s="29" t="s">
        <v>2245</v>
      </c>
      <c r="C12" s="29" t="s">
        <v>2246</v>
      </c>
      <c r="D12" s="29" t="s">
        <v>2247</v>
      </c>
      <c r="E12" s="29" t="s">
        <v>2248</v>
      </c>
      <c r="F12" s="29" t="s">
        <v>2249</v>
      </c>
      <c r="G12" s="29" t="s">
        <v>2250</v>
      </c>
      <c r="H12" s="29" t="s">
        <v>2251</v>
      </c>
    </row>
    <row r="13" spans="1:8" ht="145.19999999999999" customHeight="1">
      <c r="A13" s="29" t="s">
        <v>56</v>
      </c>
      <c r="B13" s="29" t="s">
        <v>2252</v>
      </c>
      <c r="C13" s="29" t="s">
        <v>2253</v>
      </c>
      <c r="D13" s="29" t="s">
        <v>2254</v>
      </c>
      <c r="E13" s="29" t="s">
        <v>2255</v>
      </c>
      <c r="F13" s="29" t="s">
        <v>2256</v>
      </c>
      <c r="G13" s="29" t="s">
        <v>237</v>
      </c>
      <c r="H13" s="29" t="str">
        <f>IF(COUNTIFS('02 Master Plan'!$B$6:$B$120,A13,'02 Master Plan'!$D$6:$D$120,"MUST",'02 Master Plan'!$S$6:$S$120,"&lt;&gt;Done")=0,"Ready to teach","In progress")</f>
        <v>Ready to teach</v>
      </c>
    </row>
    <row r="14" spans="1:8" ht="145.19999999999999" customHeight="1">
      <c r="A14" s="29" t="s">
        <v>37</v>
      </c>
      <c r="B14" s="29" t="s">
        <v>2257</v>
      </c>
      <c r="C14" s="29" t="s">
        <v>2258</v>
      </c>
      <c r="D14" s="29" t="s">
        <v>2259</v>
      </c>
      <c r="E14" s="29" t="s">
        <v>2260</v>
      </c>
      <c r="F14" s="29" t="s">
        <v>2261</v>
      </c>
      <c r="G14" s="29" t="s">
        <v>386</v>
      </c>
      <c r="H14" s="29" t="str">
        <f>IF(COUNTIFS('02 Master Plan'!$B$6:$B$120,A14,'02 Master Plan'!$D$6:$D$120,"MUST",'02 Master Plan'!$S$6:$S$120,"&lt;&gt;Done")=0,"Ready to teach","In progress")</f>
        <v>Ready to teach</v>
      </c>
    </row>
    <row r="15" spans="1:8" ht="118.8" customHeight="1">
      <c r="A15" s="29" t="s">
        <v>57</v>
      </c>
      <c r="B15" s="29" t="s">
        <v>2262</v>
      </c>
      <c r="C15" s="29" t="s">
        <v>2263</v>
      </c>
      <c r="D15" s="29" t="s">
        <v>2264</v>
      </c>
      <c r="E15" s="29" t="s">
        <v>2265</v>
      </c>
      <c r="F15" s="29" t="s">
        <v>2266</v>
      </c>
      <c r="G15" s="29" t="s">
        <v>531</v>
      </c>
      <c r="H15" s="29" t="str">
        <f>IF(COUNTIFS('02 Master Plan'!$B$6:$B$120,A15,'02 Master Plan'!$D$6:$D$120,"MUST",'02 Master Plan'!$S$6:$S$120,"&lt;&gt;Done")=0,"Ready to teach","In progress")</f>
        <v>In progress</v>
      </c>
    </row>
    <row r="16" spans="1:8" ht="118.8" customHeight="1">
      <c r="A16" s="29" t="s">
        <v>58</v>
      </c>
      <c r="B16" s="29" t="s">
        <v>2267</v>
      </c>
      <c r="C16" s="29" t="s">
        <v>2268</v>
      </c>
      <c r="D16" s="29" t="s">
        <v>2269</v>
      </c>
      <c r="E16" s="29" t="s">
        <v>2270</v>
      </c>
      <c r="F16" s="29" t="s">
        <v>2271</v>
      </c>
      <c r="G16" s="29" t="s">
        <v>672</v>
      </c>
      <c r="H16" s="29" t="str">
        <f>IF(COUNTIFS('02 Master Plan'!$B$6:$B$120,A16,'02 Master Plan'!$D$6:$D$120,"MUST",'02 Master Plan'!$S$6:$S$120,"&lt;&gt;Done")=0,"Ready to teach","In progress")</f>
        <v>In progress</v>
      </c>
    </row>
    <row r="17" spans="1:8" ht="118.8" customHeight="1">
      <c r="A17" s="29" t="s">
        <v>59</v>
      </c>
      <c r="B17" s="29" t="s">
        <v>2272</v>
      </c>
      <c r="C17" s="29" t="s">
        <v>2273</v>
      </c>
      <c r="D17" s="29" t="s">
        <v>2274</v>
      </c>
      <c r="E17" s="29" t="s">
        <v>2275</v>
      </c>
      <c r="F17" s="29" t="s">
        <v>2276</v>
      </c>
      <c r="G17" s="29" t="s">
        <v>826</v>
      </c>
      <c r="H17" s="29" t="str">
        <f>IF(COUNTIFS('02 Master Plan'!$B$6:$B$120,A17,'02 Master Plan'!$D$6:$D$120,"MUST",'02 Master Plan'!$S$6:$S$120,"&lt;&gt;Done")=0,"Ready to teach","In progress")</f>
        <v>In progress</v>
      </c>
    </row>
    <row r="18" spans="1:8" ht="132" customHeight="1">
      <c r="A18" s="29" t="s">
        <v>60</v>
      </c>
      <c r="B18" s="29" t="s">
        <v>2277</v>
      </c>
      <c r="C18" s="29" t="s">
        <v>2278</v>
      </c>
      <c r="D18" s="29" t="s">
        <v>2279</v>
      </c>
      <c r="E18" s="29" t="s">
        <v>2280</v>
      </c>
      <c r="F18" s="29" t="s">
        <v>2281</v>
      </c>
      <c r="G18" s="29" t="s">
        <v>981</v>
      </c>
      <c r="H18" s="29" t="str">
        <f>IF(COUNTIFS('02 Master Plan'!$B$6:$B$120,A18,'02 Master Plan'!$D$6:$D$120,"MUST",'02 Master Plan'!$S$6:$S$120,"&lt;&gt;Done")=0,"Ready to teach","In progress")</f>
        <v>In progress</v>
      </c>
    </row>
    <row r="19" spans="1:8" ht="15" customHeight="1">
      <c r="A19" s="29"/>
      <c r="B19" s="29"/>
      <c r="C19" s="29"/>
      <c r="D19" s="29"/>
      <c r="E19" s="29"/>
      <c r="F19" s="29"/>
      <c r="G19" s="29"/>
      <c r="H19" s="29"/>
    </row>
    <row r="20" spans="1:8" ht="15" customHeight="1">
      <c r="A20" s="122" t="s">
        <v>2282</v>
      </c>
      <c r="B20" s="122"/>
      <c r="C20" s="122"/>
      <c r="D20" s="122"/>
      <c r="E20" s="122"/>
      <c r="F20" s="122"/>
      <c r="G20" s="122"/>
      <c r="H20" s="122"/>
    </row>
    <row r="21" spans="1:8" ht="118.8" customHeight="1">
      <c r="A21" s="45" t="s">
        <v>2283</v>
      </c>
      <c r="B21" s="46" t="s">
        <v>2284</v>
      </c>
      <c r="C21" s="29"/>
      <c r="D21" s="29"/>
      <c r="E21" s="29"/>
      <c r="F21" s="29"/>
      <c r="G21" s="29"/>
      <c r="H21" s="29"/>
    </row>
    <row r="22" spans="1:8" ht="132" customHeight="1">
      <c r="A22" s="47" t="s">
        <v>2285</v>
      </c>
      <c r="B22" s="48" t="s">
        <v>2286</v>
      </c>
      <c r="C22" s="29"/>
      <c r="D22" s="29"/>
      <c r="E22" s="29"/>
      <c r="F22" s="29"/>
      <c r="G22" s="29"/>
      <c r="H22" s="29"/>
    </row>
    <row r="23" spans="1:8" ht="132" customHeight="1">
      <c r="A23" s="47" t="s">
        <v>2287</v>
      </c>
      <c r="B23" s="48" t="s">
        <v>2288</v>
      </c>
      <c r="C23" s="29"/>
      <c r="D23" s="29"/>
      <c r="E23" s="29"/>
      <c r="F23" s="29"/>
      <c r="G23" s="29"/>
      <c r="H23" s="29"/>
    </row>
    <row r="24" spans="1:8" ht="132" customHeight="1">
      <c r="A24" s="47" t="s">
        <v>1631</v>
      </c>
      <c r="B24" s="48" t="s">
        <v>2289</v>
      </c>
      <c r="C24" s="29"/>
      <c r="D24" s="29"/>
      <c r="E24" s="29"/>
      <c r="F24" s="29"/>
      <c r="G24" s="29"/>
      <c r="H24" s="29"/>
    </row>
    <row r="25" spans="1:8" ht="132" customHeight="1">
      <c r="A25" s="47" t="s">
        <v>2290</v>
      </c>
      <c r="B25" s="48" t="s">
        <v>2291</v>
      </c>
      <c r="C25" s="29"/>
      <c r="D25" s="29"/>
      <c r="E25" s="29"/>
      <c r="F25" s="29"/>
      <c r="G25" s="29"/>
      <c r="H25" s="29"/>
    </row>
    <row r="26" spans="1:8" ht="132" customHeight="1">
      <c r="A26" s="49" t="s">
        <v>2292</v>
      </c>
      <c r="B26" s="50" t="s">
        <v>2293</v>
      </c>
      <c r="C26" s="29"/>
      <c r="D26" s="29"/>
      <c r="E26" s="29"/>
      <c r="F26" s="29"/>
      <c r="G26" s="29"/>
      <c r="H26" s="29"/>
    </row>
  </sheetData>
  <mergeCells count="4">
    <mergeCell ref="A1:H1"/>
    <mergeCell ref="A2:H2"/>
    <mergeCell ref="A4:H4"/>
    <mergeCell ref="A20:H20"/>
  </mergeCell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 P Rai</cp:lastModifiedBy>
  <dcterms:created xsi:type="dcterms:W3CDTF">2026-08-26T03:28:15Z</dcterms:created>
  <dcterms:modified xsi:type="dcterms:W3CDTF">2026-08-30T14:27:49Z</dcterms:modified>
</cp:coreProperties>
</file>