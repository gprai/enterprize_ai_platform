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E:\AI\enterprise_ai_platform\docs\governance\"/>
    </mc:Choice>
  </mc:AlternateContent>
  <xr:revisionPtr revIDLastSave="0" documentId="13_ncr:1_{3A8E78C7-F9A5-4273-B08A-E2E7D098A8DE}" xr6:coauthVersionLast="47" xr6:coauthVersionMax="47" xr10:uidLastSave="{00000000-0000-0000-0000-000000000000}"/>
  <bookViews>
    <workbookView xWindow="-108" yWindow="-108" windowWidth="23256" windowHeight="13896" tabRatio="788" firstSheet="8" activeTab="13" xr2:uid="{00000000-000D-0000-FFFF-FFFF00000000}"/>
  </bookViews>
  <sheets>
    <sheet name="00 Start Here" sheetId="1" r:id="rId1"/>
    <sheet name="01 Dashboard" sheetId="2" r:id="rId2"/>
    <sheet name="02 Master Plan" sheetId="3" r:id="rId3"/>
    <sheet name="03 W1 Control Foundation" sheetId="4" r:id="rId4"/>
    <sheet name="04 W2 Local Retrieval" sheetId="5" r:id="rId5"/>
    <sheet name="05 W3 Cited RAG" sheetId="6" r:id="rId6"/>
    <sheet name="06 W4 API and Agent" sheetId="7" r:id="rId7"/>
    <sheet name="07 W5 AWS Lifecycle" sheetId="8" r:id="rId8"/>
    <sheet name="08 W6 EKS and SRE" sheetId="9" r:id="rId9"/>
    <sheet name="09 Architecture Map" sheetId="10" r:id="rId10"/>
    <sheet name="10 Codex Prompts" sheetId="11" r:id="rId11"/>
    <sheet name="11 Test Evidence" sheetId="12" r:id="rId12"/>
    <sheet name="12 Decision Log" sheetId="13" r:id="rId13"/>
    <sheet name="13 Owner TODOs" sheetId="14" r:id="rId14"/>
    <sheet name="14 Lifecycle" sheetId="15" r:id="rId15"/>
    <sheet name="15 Tech Adoption" sheetId="16" r:id="rId16"/>
    <sheet name="16 Environment Variables" sheetId="17" r:id="rId17"/>
    <sheet name="17 Source Trace" sheetId="18" r:id="rId18"/>
    <sheet name="18 Learning Journey" sheetId="19" r:id="rId1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8" i="19" l="1"/>
  <c r="H17" i="19"/>
  <c r="H16" i="19"/>
  <c r="H15" i="19"/>
  <c r="H14" i="19"/>
  <c r="H13" i="19"/>
  <c r="D5" i="9"/>
  <c r="A5" i="9"/>
  <c r="D5" i="8"/>
  <c r="A5" i="8"/>
  <c r="D5" i="7"/>
  <c r="A5" i="7"/>
  <c r="D5" i="6"/>
  <c r="A5" i="6"/>
  <c r="D5" i="5"/>
  <c r="A5" i="5"/>
  <c r="D5" i="4"/>
  <c r="A5" i="4"/>
  <c r="G18" i="2"/>
  <c r="E18" i="2"/>
  <c r="C18" i="2"/>
  <c r="B18" i="2"/>
  <c r="G17" i="2"/>
  <c r="E17" i="2"/>
  <c r="C17" i="2"/>
  <c r="B17" i="2"/>
  <c r="G16" i="2"/>
  <c r="E16" i="2"/>
  <c r="C16" i="2"/>
  <c r="B16" i="2"/>
  <c r="G15" i="2"/>
  <c r="E15" i="2"/>
  <c r="C15" i="2"/>
  <c r="B15" i="2"/>
  <c r="G14" i="2"/>
  <c r="E14" i="2"/>
  <c r="C14" i="2"/>
  <c r="B14" i="2"/>
  <c r="G13" i="2"/>
  <c r="E13" i="2"/>
  <c r="C13" i="2"/>
  <c r="B13" i="2"/>
  <c r="J8" i="2"/>
  <c r="G8" i="2"/>
  <c r="D8" i="2"/>
  <c r="A8" i="2"/>
  <c r="J5" i="2"/>
  <c r="D5" i="2"/>
  <c r="A5" i="2"/>
  <c r="D18" i="2" l="1"/>
  <c r="H18" i="2" s="1"/>
  <c r="D13" i="2"/>
  <c r="H13" i="2" s="1"/>
  <c r="D15" i="2"/>
  <c r="H15" i="2" s="1"/>
  <c r="D17" i="2"/>
  <c r="H17" i="2" s="1"/>
  <c r="D16" i="2"/>
  <c r="H16" i="2" s="1"/>
  <c r="D14" i="2"/>
  <c r="H14" i="2" s="1"/>
  <c r="G5" i="2"/>
</calcChain>
</file>

<file path=xl/sharedStrings.xml><?xml version="1.0" encoding="utf-8"?>
<sst xmlns="http://schemas.openxmlformats.org/spreadsheetml/2006/main" count="5856" uniqueCount="2964">
  <si>
    <t>Enterprise AI Architecture — Owner-Led Learning and Execution Tracker v1.3.4</t>
  </si>
  <si>
    <t>Objective: learn and own the complete enterprise AI decision flow under FOUR APPROVAL GATES PLUS OWNER TESTING AND WEEKLY LEARNING; Codex writes only inside explicit gates and the owner executes every command.</t>
  </si>
  <si>
    <t>FOUR APPROVAL GATES PLUS OWNER TESTING AND WEEKLY LEARNING</t>
  </si>
  <si>
    <t>Operating rules</t>
  </si>
  <si>
    <t>Review dashboard and owner inputs</t>
  </si>
  <si>
    <t>Choose restart or resume later; preserve historical status until you decide.</t>
  </si>
  <si>
    <t>MUST — required for the six-week MVP and weekly gate.</t>
  </si>
  <si>
    <t>Paste CTX-001 and CTRL-001</t>
  </si>
  <si>
    <t>Set the architecture context and the code-only/owner-execution boundary.</t>
  </si>
  <si>
    <t>SHOULD — hardening or AWS deployment value; defer only with owner-recorded risk.</t>
  </si>
  <si>
    <t>Gate 1 — paste one Main Prompt</t>
  </si>
  <si>
    <t>Codex performs complete read-only impact analysis and returns one consolidated plan; no edits or execution.</t>
  </si>
  <si>
    <t>OPTIONAL — learn/adopt only when a measured requirement justifies cost/complexity.</t>
  </si>
  <si>
    <t>Review impact matrix and decide</t>
  </si>
  <si>
    <t>Confirm business purpose, architecture, all producers/consumers, exact paths, tests, access, cost, rollback, teardown and all owner decisions together.</t>
  </si>
  <si>
    <t>Codex writes code; the owner runs every test, deployment, rollback, teardown and access-sensitive command.</t>
  </si>
  <si>
    <t>Gate 2 — paste Column L approval</t>
  </si>
  <si>
    <t>Use exact Code Edit Approval, or bounded Content Edit Approval for document/governance tasks. Baseline drift blocks editing.</t>
  </si>
  <si>
    <t>A failure produces diagnosis and one owner command at a time; source fixes require a new Code Edit Approval.</t>
  </si>
  <si>
    <t>Receive bounded changes and owner guide</t>
  </si>
  <si>
    <t>Codex reports the read-only diff, complete owner execution order and post-implementation learning summary; Codex runs nothing.</t>
  </si>
  <si>
    <t>Documentation is a separate approved stage and must state business value in clear wording.</t>
  </si>
  <si>
    <t>Owner executes TEST-001</t>
  </si>
  <si>
    <t>Run one command at a time with cache-safe scopes and stop conditions; failures receive complete impact analysis before one consolidated remediation approval.</t>
  </si>
  <si>
    <t>Final approval follows owner testing and document review; Codex never self-approves.</t>
  </si>
  <si>
    <t>Gate 3 — paste Column M approval</t>
  </si>
  <si>
    <t>Codex writes only exact approved documentation and returns the complete Column M Approved Document Manifest.</t>
  </si>
  <si>
    <t>Weekly learning is mandatory before progressing: business story, technical deep-dive, layman analogy and interview teach-back.</t>
  </si>
  <si>
    <t>Gate 4 — paste Column N approval</t>
  </si>
  <si>
    <t>Codex preflights and closes every manifest document, records owner-supplied reviewer/decision/date and returns full reconciliation.</t>
  </si>
  <si>
    <t>Editable project inputs — owner maintained</t>
  </si>
  <si>
    <t>Owner updates tracker; complete weekly learning</t>
  </si>
  <si>
    <t>Only after complete Column N closure, update Excel yourself and complete the mandatory end-of-week teach-back before progression.</t>
  </si>
  <si>
    <t>Project start date</t>
  </si>
  <si>
    <t>Owner</t>
  </si>
  <si>
    <t>Gyan Prakash Rai</t>
  </si>
  <si>
    <t>Current week</t>
  </si>
  <si>
    <t>Week 2</t>
  </si>
  <si>
    <t>Monthly sandbox budget</t>
  </si>
  <si>
    <t>TODO</t>
  </si>
  <si>
    <t>Restart / resume decision</t>
  </si>
  <si>
    <t>Resume</t>
  </si>
  <si>
    <t>Source precedence remains unchanged. This version changes execution ownership and learning controls only: Codex writes approved code; the owner tests, deploys, remediates and approves.</t>
  </si>
  <si>
    <t>Execution Dashboard</t>
  </si>
  <si>
    <t>All KPIs are formula-driven from tracker sheets. Historical status is preserved; the owner executes tests/deployments and updates source records after final approval.</t>
  </si>
  <si>
    <t>Total steps</t>
  </si>
  <si>
    <t>Done</t>
  </si>
  <si>
    <t>Overall progress</t>
  </si>
  <si>
    <t>Blocked</t>
  </si>
  <si>
    <t>Open owner TODOs</t>
  </si>
  <si>
    <t>Tests passed</t>
  </si>
  <si>
    <t>Decisions approved</t>
  </si>
  <si>
    <t>Lifecycle tests passed</t>
  </si>
  <si>
    <t>Week</t>
  </si>
  <si>
    <t>Total</t>
  </si>
  <si>
    <t>Progress</t>
  </si>
  <si>
    <t>Week 1</t>
  </si>
  <si>
    <t>Week 3</t>
  </si>
  <si>
    <t>Week 4</t>
  </si>
  <si>
    <t>Week 5</t>
  </si>
  <si>
    <t>Week 6</t>
  </si>
  <si>
    <t>Weekly gate interpretation</t>
  </si>
  <si>
    <t>READY: every MUST task is Done, tests have evidence and the owner signs off.</t>
  </si>
  <si>
    <t>BLOCKED: stop new prompts; resolve the dependency or explicitly defer with risk/owner/date.</t>
  </si>
  <si>
    <t>IN PROGRESS: Codex writes approved code only; the owner follows TEST-001 guidance and returns each command result.</t>
  </si>
  <si>
    <t>Done requires owner-executed validation, approved business-first documentation, rollback/teardown evidence and final owner approval.</t>
  </si>
  <si>
    <t>Cloud mutations remain manual even when every automated gate passes.</t>
  </si>
  <si>
    <t>Master Six-Week Owner-Led Learning Plan — v1.3.4</t>
  </si>
  <si>
    <t>Historical statuses, evidence, notes and dates are preserved. Prompt execution follows FOUR APPROVAL GATES PLUS OWNER TESTING AND WEEKLY LEARNING; complete-impact review precedes any bounded edit, and only the owner updates tracker progress.</t>
  </si>
  <si>
    <t>Step ID</t>
  </si>
  <si>
    <t>Seq</t>
  </si>
  <si>
    <t>Priority</t>
  </si>
  <si>
    <t>Workstream</t>
  </si>
  <si>
    <t>Task / Outcome</t>
  </si>
  <si>
    <t>Why It Matters</t>
  </si>
  <si>
    <t>Effort (h)</t>
  </si>
  <si>
    <t>Prompt ID</t>
  </si>
  <si>
    <t>User TODO IDs</t>
  </si>
  <si>
    <t>Acceptance Criteria</t>
  </si>
  <si>
    <t>Owner Verification Command</t>
  </si>
  <si>
    <t>Expected Result</t>
  </si>
  <si>
    <t>Evidence Path</t>
  </si>
  <si>
    <t>Decision ID</t>
  </si>
  <si>
    <t>Dependency</t>
  </si>
  <si>
    <t>Rollback / Teardown</t>
  </si>
  <si>
    <t>Status</t>
  </si>
  <si>
    <t>Notes</t>
  </si>
  <si>
    <t>Task Context</t>
  </si>
  <si>
    <t>W1-01</t>
  </si>
  <si>
    <t>MUST</t>
  </si>
  <si>
    <t>Scope</t>
  </si>
  <si>
    <t>Confirm the first use case, user group, exclusions and measurable MVP outcome.</t>
  </si>
  <si>
    <t>A narrow use case prevents a platform-without-a-problem and sets evaluation truth.</t>
  </si>
  <si>
    <t>User</t>
  </si>
  <si>
    <t>W1-MVP-001</t>
  </si>
  <si>
    <t>USE-001, DATA-001, EVAL-001</t>
  </si>
  <si>
    <t>One approved one-page scope and 5 representative questions.</t>
  </si>
  <si>
    <t>Owner review of docs/features/MVP-001.md</t>
  </si>
  <si>
    <t>Scope, exclusions and success measures approved.</t>
  </si>
  <si>
    <t>docs/features/MVP-001.md</t>
  </si>
  <si>
    <t>ADR-001</t>
  </si>
  <si>
    <t>None</t>
  </si>
  <si>
    <t>Revert scope file before implementation begins.</t>
  </si>
  <si>
    <t>Use W1-MVP-001. Approve five starter questions now; the full 25+ golden dataset is completed under W3-002 in Week 3. | Implementation commit 210381c3ddbc9aab83ccaeb11a59db8d8dad549b; owner approval date 2026-08-18; owner reaffirmed 2026-08-18T16:01:18Z.</t>
  </si>
  <si>
    <t>Week 1 business/decision documentation task in Scope. The owner provides or approves the facts; after Document Writing Approval, Codex may draft only the approved business-first documentation. No code or command execution is permitted. Business value: A narrow use case prevents a platform-without-a-problem and sets evaluation truth. Interview focus: explain the decision, its alternatives and downstream impact.</t>
  </si>
  <si>
    <t>W1-02</t>
  </si>
  <si>
    <t>Governance</t>
  </si>
  <si>
    <t>Record source precedence: v1.1 controls override older schedule while preserving technical prompts.</t>
  </si>
  <si>
    <t>Prevents Codex and coach from following conflicting weekly sequences.</t>
  </si>
  <si>
    <t>User (execute) + Codex (guide/code)</t>
  </si>
  <si>
    <t>W1-GOV-001</t>
  </si>
  <si>
    <t>Decision recorded and referenced by all feature prompts.</t>
  </si>
  <si>
    <t>Review docs/adr/ADR-000-source-precedence.md</t>
  </si>
  <si>
    <t>v1.1 is named implementation authority.</t>
  </si>
  <si>
    <t>docs/adr/ADR-000-source-precedence.md</t>
  </si>
  <si>
    <t>ADR-016</t>
  </si>
  <si>
    <t>Restore prior ADR only through reviewed superseding decision.</t>
  </si>
  <si>
    <t>Use W1-GOV-001. Create ADR-000 only; docs/codex files are not prerequisites for this task. | Implementation commit 210381c3ddbc9aab83ccaeb11a59db8d8dad549b; owner approval date 2026-08-18; owner reaffirmed 2026-08-18T16:01:18Z.</t>
  </si>
  <si>
    <t>Week 1 business/decision documentation task in Governance. The owner provides or approves the facts; after Document Writing Approval, Codex may draft only the approved business-first documentation. No code or command execution is permitted. Business value: Prevents Codex and coach from following conflicting weekly sequences. Interview focus: explain the decision, its alternatives and downstream impact.</t>
  </si>
  <si>
    <t>W1-03</t>
  </si>
  <si>
    <t>Repository</t>
  </si>
  <si>
    <t>Create the monorepo and documentation/evidence structure.</t>
  </si>
  <si>
    <t>Gives every change an auditable home and supports clean ownership.</t>
  </si>
  <si>
    <t>Codex (code) + User (execute)</t>
  </si>
  <si>
    <t>W1-001</t>
  </si>
  <si>
    <t>TAG-001</t>
  </si>
  <si>
    <t>Required folders, README and Makefile exist.</t>
  </si>
  <si>
    <t>find . -maxdepth 3 -type d | sort</t>
  </si>
  <si>
    <t>Layout matches blueprint; no unrelated files changed.</t>
  </si>
  <si>
    <t>docs/test-evidence/W1-03-layout.txt</t>
  </si>
  <si>
    <t>Delete only newly created empty skeleton paths after diff review.</t>
  </si>
  <si>
    <t>Implementation commit 210381c3ddbc9aab83ccaeb11a59db8d8dad549b; owner approval date 2026-08-18; owner reaffirmed 2026-08-18T16:01:18Z.</t>
  </si>
  <si>
    <t>Week 1 Repository task in the end-to-end architecture. After Code Edit Approval, Codex writes only the approved code/configuration/test code for “Create the monorepo and documentation/evidence structure.”; you run the verification/deployment commands and return the results. Business value: Gives every change an auditable home and supports clean ownership. Interview focus: explain where this component sits, how it fails safely and how it is rolled back.</t>
  </si>
  <si>
    <t>W1-04</t>
  </si>
  <si>
    <t>Traceability</t>
  </si>
  <si>
    <t>Create feature-matrix.yaml and the first feature record.</t>
  </si>
  <si>
    <t>Links purpose, files, tests, cost, approval, rollback and teardown.</t>
  </si>
  <si>
    <t>USE-001, TAG-001</t>
  </si>
  <si>
    <t>Schema validates and feature MVP-001 is planned.</t>
  </si>
  <si>
    <t>Validation exits 0; missing required fields fail.</t>
  </si>
  <si>
    <t>docs/test-evidence/W1-04-feature-matrix.json</t>
  </si>
  <si>
    <t>Restore previous matrix version from Git.</t>
  </si>
  <si>
    <t>Week 1 Traceability task in the end-to-end architecture. After Code Edit Approval, Codex writes only the approved code/configuration/test code for “Create feature-matrix.yaml and the first feature record.”; you run the verification/deployment commands and return the results. Business value: Links purpose, files, tests, cost, approval, rollback and teardown. Interview focus: explain where this component sits, how it fails safely and how it is rolled back.</t>
  </si>
  <si>
    <t>W1-05</t>
  </si>
  <si>
    <t>Python foundation</t>
  </si>
  <si>
    <t>Create reproducible dependencies and typed configuration.</t>
  </si>
  <si>
    <t>Fail-fast configuration and portable dependencies reduce hidden runtime risk.</t>
  </si>
  <si>
    <t>W1-002</t>
  </si>
  <si>
    <t>AWS-002, BED-001, EMB-001</t>
  </si>
  <si>
    <t>pip install succeeds; config tests pass offline.</t>
  </si>
  <si>
    <t>No paid/network dependency in unit tests; TODOs remain non-secret.</t>
  </si>
  <si>
    <t>docs/test-evidence/W1-05-config.txt</t>
  </si>
  <si>
    <t>ADR-002</t>
  </si>
  <si>
    <t>Revert dependency/config commit and recreate virtual environment.</t>
  </si>
  <si>
    <t>Week 1 Python foundation task in the end-to-end architecture. After Code Edit Approval, Codex writes only the approved code/configuration/test code for “Create reproducible dependencies and typed configuration.”; you run the verification/deployment commands and return the results. Business value: Fail-fast configuration and portable dependencies reduce hidden runtime risk. Interview focus: explain where this component sits, how it fails safely and how it is rolled back.</t>
  </si>
  <si>
    <t>W1-06</t>
  </si>
  <si>
    <t>Testing</t>
  </si>
  <si>
    <t>Create pytest layers, deterministic fakes and evidence capture.</t>
  </si>
  <si>
    <t>Testing is a feature gate, not an afterthought.</t>
  </si>
  <si>
    <t>W1-003</t>
  </si>
  <si>
    <t>Markers and sample feature test run locally.</t>
  </si>
  <si>
    <t>pytest tests/unit tests/feature -q</t>
  </si>
  <si>
    <t>Tests pass; evidence metadata excludes secrets/content.</t>
  </si>
  <si>
    <t>docs/test-evidence/W1-06-tests.json</t>
  </si>
  <si>
    <t>ADR-017</t>
  </si>
  <si>
    <t>W1-04,W1-05</t>
  </si>
  <si>
    <t>Revert test framework commit; no platform resources exist.</t>
  </si>
  <si>
    <t>Week 1 Testing task in the end-to-end architecture. After Code Edit Approval, Codex writes only the approved code/configuration/test code for “Create pytest layers, deterministic fakes and evidence capture.”; you run the verification/deployment commands and return the results. Business value: Testing is a feature gate, not an afterthought. Interview focus: explain where this component sits, how it fails safely and how it is rolled back.</t>
  </si>
  <si>
    <t>W1-07</t>
  </si>
  <si>
    <t>Developer controls</t>
  </si>
  <si>
    <t>Add Make targets for preflight, test, scan, plan, rollback, destroy-plan and verify-clean.</t>
  </si>
  <si>
    <t>A single, reviewable command vocabulary keeps user and Codex synchronized.</t>
  </si>
  <si>
    <t>Make help documents safe commands; mutating commands are gated.</t>
  </si>
  <si>
    <t>Preflight passes; apply/destroy are never default dependencies.</t>
  </si>
  <si>
    <t>docs/test-evidence/W1-07-make.txt</t>
  </si>
  <si>
    <t>ADR-010, ADR-011</t>
  </si>
  <si>
    <t>Revert Makefile changes.</t>
  </si>
  <si>
    <t>Week 1 Developer controls task in the end-to-end architecture. After Code Edit Approval, Codex writes only the approved code/configuration/test code for “Add Make targets for preflight, test, scan, plan, rollback, destroy-plan and verify-clean.”; you run the verification/deployment commands and return the results. Business value: A single, reviewable command vocabulary keeps user and Codex synchronized. Interview focus: explain where this component sits, how it fails safely and how it is rolled back.</t>
  </si>
  <si>
    <t>W1-08</t>
  </si>
  <si>
    <t>DevSecOps</t>
  </si>
  <si>
    <t>Add pre-commit formatting, linting and secret scanning baseline.</t>
  </si>
  <si>
    <t>Shift-left checks stop secrets and poor-quality changes before PR.</t>
  </si>
  <si>
    <t>SEC-003</t>
  </si>
  <si>
    <t>Insecure secret fixture is blocked without committing a real secret.</t>
  </si>
  <si>
    <t>pre-commit run --all-files</t>
  </si>
  <si>
    <t>All checks pass on source; synthetic fixture produces expected failure.</t>
  </si>
  <si>
    <t>docs/test-evidence/W1-08-precommit.txt</t>
  </si>
  <si>
    <t>Revert hooks only after owner review; rotate any accidentally exposed credential.</t>
  </si>
  <si>
    <t>Week 1 DevSecOps task in the end-to-end architecture. After Code Edit Approval, Codex writes only the approved code/configuration/test code for “Add pre-commit formatting, linting and secret scanning baseline.”; you run the verification/deployment commands and return the results. Business value: Shift-left checks stop secrets and poor-quality changes before PR. Interview focus: explain where this component sits, how it fails safely and how it is rolled back.</t>
  </si>
  <si>
    <t>W1-09</t>
  </si>
  <si>
    <t>Terraform lifecycle</t>
  </si>
  <si>
    <t>Separate infra/bootstrap from infra/environments/sandbox and document state removal last.</t>
  </si>
  <si>
    <t>A platform cannot fully disappear if its state backend is embedded in the same lifecycle.</t>
  </si>
  <si>
    <t>W1-004</t>
  </si>
  <si>
    <t>AWS-001, AWS-002, TAG-001</t>
  </si>
  <si>
    <t>Two roots validate as skeletons and dependency order is documented.</t>
  </si>
  <si>
    <t>No resource apply; backend/platform boundaries are explicit.</t>
  </si>
  <si>
    <t>docs/test-evidence/W1-09-roots.txt</t>
  </si>
  <si>
    <t>ADR-009</t>
  </si>
  <si>
    <t>Revert Terraform skeleton; no state exists yet.</t>
  </si>
  <si>
    <t>Implementation commit 210381c3ddbc9aab83ccaeb11a59db8d8dad549b; owner approval date 2026-08-18; owner reaffirmed 2026-08-18T16:01:18Z. | W1-004 historical disclosure preserved: commit d3e5ad182fac38dbf166c6ce15b8ade8868379da contained 34 intended paths plus 1 owner workbook path; consolidated commit 210381c3ddbc9aab83ccaeb11a59db8d8dad549b excludes the workbook.</t>
  </si>
  <si>
    <t>Week 1 Terraform lifecycle task in the end-to-end architecture. After Code Edit Approval, Codex writes only the approved code/configuration/test code for “Separate infra/bootstrap from infra/environments/sandbox and document state removal last.”; you run the verification/deployment commands and return the results. Business value: A platform cannot fully disappear if its state backend is embedded in the same lifecycle. Interview focus: explain where this component sits, how it fails safely and how it is rolled back.</t>
  </si>
  <si>
    <t>W1-10</t>
  </si>
  <si>
    <t>Reversibility</t>
  </si>
  <si>
    <t>Create platformctl command contracts with dry-run and approvals.</t>
  </si>
  <si>
    <t>Deploy, rollback and teardown need distinct safe semantics.</t>
  </si>
  <si>
    <t>DEST-001, KMS-001</t>
  </si>
  <si>
    <t>CLI help and unit tests prove confirmation/approval gates.</t>
  </si>
  <si>
    <t>No command mutates by default; missing approval fails closed.</t>
  </si>
  <si>
    <t>docs/test-evidence/W1-10-platformctl.txt</t>
  </si>
  <si>
    <t>ADR-010, ADR-011, ADR-012</t>
  </si>
  <si>
    <t>Revert CLI commit; no cloud mutation is allowed.</t>
  </si>
  <si>
    <t>Week 1 Reversibility task in the end-to-end architecture. After Code Edit Approval, Codex writes only the approved code/configuration/test code for “Create platformctl command contracts with dry-run and approvals.”; you run the verification/deployment commands and return the results. Business value: Deploy, rollback and teardown need distinct safe semantics. Interview focus: explain where this component sits, how it fails safely and how it is rolled back.</t>
  </si>
  <si>
    <t>W1-11</t>
  </si>
  <si>
    <t>Cleanup verification</t>
  </si>
  <si>
    <t>Implement mocked tag and service-specific residual checks.</t>
  </si>
  <si>
    <t>Tag-only discovery misses some resources; native checks close the gap.</t>
  </si>
  <si>
    <t>TAG-001, KMS-001</t>
  </si>
  <si>
    <t>Mock orphan makes verify-clean fail; PendingDeletion key is documented exception.</t>
  </si>
  <si>
    <t>pytest tests/teardown -q</t>
  </si>
  <si>
    <t>Expected pass/fail matrix is recorded.</t>
  </si>
  <si>
    <t>docs/test-evidence/W1-11-cleanup.json</t>
  </si>
  <si>
    <t>ADR-013, ADR-014</t>
  </si>
  <si>
    <t>Revert verifier implementation; keep the control requirement.</t>
  </si>
  <si>
    <t>Week 1 Cleanup verification task in the end-to-end architecture. After Code Edit Approval, Codex writes only the approved code/configuration/test code for “Implement mocked tag and service-specific residual checks.”; you run the verification/deployment commands and return the results. Business value: Tag-only discovery misses some resources; native checks close the gap. Interview focus: explain where this component sits, how it fails safely and how it is rolled back.</t>
  </si>
  <si>
    <t>W1-12</t>
  </si>
  <si>
    <t>Checkpoint</t>
  </si>
  <si>
    <t>Review diffs, architecture decisions, test evidence and Week 2 readiness.</t>
  </si>
  <si>
    <t>Owner approval is the stop point between features/weeks.</t>
  </si>
  <si>
    <t>All Week 1 TODOs</t>
  </si>
  <si>
    <t>Every MUST step is Done; no blocker or unapproved scope remains.</t>
  </si>
  <si>
    <t>Owner sign-off recorded with outstanding items explicitly deferred.</t>
  </si>
  <si>
    <t>docs/deployment-records/W1-signoff.md</t>
  </si>
  <si>
    <t>W1-01:W1-11</t>
  </si>
  <si>
    <t>No Week 2 prompt is used until gaps are resolved.</t>
  </si>
  <si>
    <t>W1-12 readiness PASS; final Week 1 sign-off APPROVED by Gyan Prakash Rai at 2026-08-19T00:10:55+08:00 (Asia/Singapore); sign-off evidence docs/deployment-records/W1-signoff.md; implementation commit 10f03a483f2ff639081c5b57dacaf282a31aaad4.</t>
  </si>
  <si>
    <t>Week 1 business/decision documentation task in Checkpoint. The owner provides or approves the facts; after Document Writing Approval, Codex may draft only the approved business-first documentation. No code or command execution is permitted. Business value: Owner approval is the stop point between features/weeks. Interview focus: explain the decision, its alternatives and downstream impact.</t>
  </si>
  <si>
    <t>W1-13</t>
  </si>
  <si>
    <t>Weekly learning</t>
  </si>
  <si>
    <t>Complete the Week 1 business, architecture and interview teach-back.</t>
  </si>
  <si>
    <t>Turns governance, repository, test and lifecycle controls into an explainable architecture story.</t>
  </si>
  <si>
    <t>WEEKLY-LEARN-001</t>
  </si>
  <si>
    <t>Owner explains the Week 1 business outcome, control flow, decisions, failure boundaries and three interview answers without reading code.</t>
  </si>
  <si>
    <t>Business summary, technical deep-dive, layman analogy, decision recap and interview Q&amp;A completed.</t>
  </si>
  <si>
    <t>docs/learning/W1-learning-review.md</t>
  </si>
  <si>
    <t>Existing Week 1 ADRs</t>
  </si>
  <si>
    <t>No runtime rollback; revise the learning note through document approval if inaccurate.</t>
  </si>
  <si>
    <t>Added in v1.3.0; historical Week 1 completion records remain unchanged.</t>
  </si>
  <si>
    <t>Week 1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</si>
  <si>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W2-01</t>
  </si>
  <si>
    <t>Data contracts</t>
  </si>
  <si>
    <t>Implement provider-neutral document, chunk, query, answer and citation models.</t>
  </si>
  <si>
    <t>Stable domain types make vector and LLM backends replaceable.</t>
  </si>
  <si>
    <t>W2-001</t>
  </si>
  <si>
    <t>DATA-002, SEC-001</t>
  </si>
  <si>
    <t>Models validate required identity/classification metadata.</t>
  </si>
  <si>
    <t>pytest tests/unit/test_models.py -q</t>
  </si>
  <si>
    <t>Invalid tenant/classification input fails.</t>
  </si>
  <si>
    <t>docs/test-evidence/W2-01-models.txt</t>
  </si>
  <si>
    <t>Revert model commit; no stored vectors affected.</t>
  </si>
  <si>
    <t>Week 2 Data contracts task in the end-to-end architecture. After Code Edit Approval, Codex writes only the approved code/configuration/test code for “Implement provider-neutral document, chunk, query, answer and citation models.”; you run the verification/deployment commands and return the results. Business value: Stable domain types make vector and LLM backends replaceable. Interview focus: explain where this component sits, how it fails safely and how it is rolled back.</t>
  </si>
  <si>
    <t>W2-02</t>
  </si>
  <si>
    <t>Vector interface</t>
  </si>
  <si>
    <t>Define VectorStore protocol and in-memory fake with contract tests.</t>
  </si>
  <si>
    <t>Business logic must not depend on Qdrant/OpenSearch SDK objects.</t>
  </si>
  <si>
    <t>Fake passes all contract tests.</t>
  </si>
  <si>
    <t>pytest tests/contract/test_vector_store.py -q</t>
  </si>
  <si>
    <t>Protocol behavior and normalized errors are stable.</t>
  </si>
  <si>
    <t>docs/test-evidence/W2-02-vector-contract.txt</t>
  </si>
  <si>
    <t>ADR-002, ADR-003</t>
  </si>
  <si>
    <t>Revert interface only before downstream adapters merge.</t>
  </si>
  <si>
    <t>Week 2 Vector interface task in the end-to-end architecture. After Code Edit Approval, Codex writes only the approved code/configuration/test code for “Define VectorStore protocol and in-memory fake with contract tests.”; you run the verification/deployment commands and return the results. Business value: Business logic must not depend on Qdrant/OpenSearch SDK objects. Interview focus: explain where this component sits, how it fails safely and how it is rolled back.</t>
  </si>
  <si>
    <t>W2-03</t>
  </si>
  <si>
    <t>Local platform</t>
  </si>
  <si>
    <t>Start pinned Qdrant through Docker Compose with healthcheck.</t>
  </si>
  <si>
    <t>A real client/server vector store gives useful local integration evidence.</t>
  </si>
  <si>
    <t>Qdrant becomes healthy without an embedded credential.</t>
  </si>
  <si>
    <t>Service is healthy; image version is pinned.</t>
  </si>
  <si>
    <t>docs/test-evidence/W2-03-qdrant.txt</t>
  </si>
  <si>
    <t>ADR-003</t>
  </si>
  <si>
    <t>Week 2 Local platform task in the end-to-end architecture. After Code Edit Approval, Codex writes only the approved code/configuration/test code for “Start pinned Qdrant through Docker Compose with healthcheck.”; you run the verification/deployment commands and return the results. Business value: A real client/server vector store gives useful local integration evidence. Interview focus: explain where this component sits, how it fails safely and how it is rolled back.</t>
  </si>
  <si>
    <t>W2-04</t>
  </si>
  <si>
    <t>Vector adapters</t>
  </si>
  <si>
    <t>Implement Qdrant adapter and OpenSearch adapter boundary.</t>
  </si>
  <si>
    <t>Local and AWS retrieval must satisfy the same contract.</t>
  </si>
  <si>
    <t>AWS-002, NET-001</t>
  </si>
  <si>
    <t>Fake/Qdrant tests pass; AWS tests remain marked/skipped.</t>
  </si>
  <si>
    <t>No vendor object leaks; timeouts and filters are applied.</t>
  </si>
  <si>
    <t>docs/test-evidence/W2-04-adapters.txt</t>
  </si>
  <si>
    <t>W2-02,W2-03</t>
  </si>
  <si>
    <t>Delete test collection and restore previous adapter version.</t>
  </si>
  <si>
    <t>Week 2 Vector adapters task in the end-to-end architecture. After Code Edit Approval, Codex writes only the approved code/configuration/test code for “Implement Qdrant adapter and OpenSearch adapter boundary.”; you run the verification/deployment commands and return the results. Business value: Local and AWS retrieval must satisfy the same contract. Interview focus: explain where this component sits, how it fails safely and how it is rolled back.</t>
  </si>
  <si>
    <t>W2-05</t>
  </si>
  <si>
    <t>Embeddings</t>
  </si>
  <si>
    <t>Implement sentence-transformer and deterministic fake embedders.</t>
  </si>
  <si>
    <t>Local CPU embeddings avoid a paid dependency while preserving provider exit.</t>
  </si>
  <si>
    <t>W2-002</t>
  </si>
  <si>
    <t>EMB-001</t>
  </si>
  <si>
    <t>Batch, normalization and dimension mismatch tests pass.</t>
  </si>
  <si>
    <t>pytest tests/unit/test_embedder.py -q</t>
  </si>
  <si>
    <t>Unit tests make no model download; integration model is explicit.</t>
  </si>
  <si>
    <t>docs/test-evidence/W2-05-embedder.txt</t>
  </si>
  <si>
    <t>Restore previous model configuration and recreate collection if dimension changed.</t>
  </si>
  <si>
    <t>Not Started</t>
  </si>
  <si>
    <t>Week 2 Embeddings task in the end-to-end architecture. After Code Edit Approval, Codex writes only the approved code/configuration/test code for “Implement sentence-transformer and deterministic fake embedders.”; you run the verification/deployment commands and return the results. Business value: Local CPU embeddings avoid a paid dependency while preserving provider exit. Interview focus: explain where this component sits, how it fails safely and how it is rolled back.</t>
  </si>
  <si>
    <t>W2-06</t>
  </si>
  <si>
    <t>Ingestion</t>
  </si>
  <si>
    <t>Implement validation, hashing, normalization and deterministic token chunking.</t>
  </si>
  <si>
    <t>Reproducible chunk IDs/versioning make re-index and deletion safe.</t>
  </si>
  <si>
    <t>W2-003</t>
  </si>
  <si>
    <t>DATA-001, DATA-002</t>
  </si>
  <si>
    <t>Same input produces same IDs; changed version is distinguishable.</t>
  </si>
  <si>
    <t>pytest tests/unit/test_chunking.py tests/unit/test_ingestion.py -q</t>
  </si>
  <si>
    <t>Size/type failures quarantine; no raw content in logs.</t>
  </si>
  <si>
    <t>docs/test-evidence/W2-06-ingestion.txt</t>
  </si>
  <si>
    <t>W2-01,W2-05</t>
  </si>
  <si>
    <t>Delete affected document version and re-ingest last approved manifest.</t>
  </si>
  <si>
    <t>Week 2 Ingestion task in the end-to-end architecture. After Code Edit Approval, Codex writes only the approved code/configuration/test code for “Implement validation, hashing, normalization and deterministic token chunking.”; you run the verification/deployment commands and return the results. Business value: Reproducible chunk IDs/versioning make re-index and deletion safe. Interview focus: explain where this component sits, how it fails safely and how it is rolled back.</t>
  </si>
  <si>
    <t>W2-07</t>
  </si>
  <si>
    <t>Privacy</t>
  </si>
  <si>
    <t>Add replaceable Presidio PII detection/redaction hook.</t>
  </si>
  <si>
    <t>PII handling belongs before indexing and telemetry.</t>
  </si>
  <si>
    <t>DATA-003</t>
  </si>
  <si>
    <t>Configured PII is redacted/quarantined and never appears in evidence logs.</t>
  </si>
  <si>
    <t>pytest tests/security/test_pii.py -q</t>
  </si>
  <si>
    <t>Synthetic PII fixture is handled as policy states.</t>
  </si>
  <si>
    <t>docs/test-evidence/W2-07-pii.txt</t>
  </si>
  <si>
    <t>ADR-006</t>
  </si>
  <si>
    <t>Delete derived chunks; restore approved unredacted source only in controlled location.</t>
  </si>
  <si>
    <t>Week 2 Privacy task in the end-to-end architecture. After Code Edit Approval, Codex writes only the approved code/configuration/test code for “Add replaceable Presidio PII detection/redaction hook.”; you run the verification/deployment commands and return the results. Business value: PII handling belongs before indexing and telemetry. Interview focus: explain where this component sits, how it fails safely and how it is rolled back.</t>
  </si>
  <si>
    <t>W2-08</t>
  </si>
  <si>
    <t>Authorization</t>
  </si>
  <si>
    <t>Enforce tenant/classification filters before vector search.</t>
  </si>
  <si>
    <t>The model cannot be trusted to enforce access control.</t>
  </si>
  <si>
    <t>SEC-001</t>
  </si>
  <si>
    <t>Cross-tenant query returns zero unauthorized chunks.</t>
  </si>
  <si>
    <t>pytest tests/security/test_tenant_isolation.py -q</t>
  </si>
  <si>
    <t>100% isolation test passes.</t>
  </si>
  <si>
    <t>docs/test-evidence/W2-08-isolation.txt</t>
  </si>
  <si>
    <t>Disable retrieval endpoint and restore last-known-good filter implementation.</t>
  </si>
  <si>
    <t>Week 2 Authorization task in the end-to-end architecture. After Code Edit Approval, Codex writes only the approved code/configuration/test code for “Enforce tenant/classification filters before vector search.”; you run the verification/deployment commands and return the results. Business value: The model cannot be trusted to enforce access control. Interview focus: explain where this component sits, how it fails safely and how it is rolled back.</t>
  </si>
  <si>
    <t>W2-09</t>
  </si>
  <si>
    <t>Feature proof</t>
  </si>
  <si>
    <t>Ingest approved sample corpus and verify top-5 retrieval.</t>
  </si>
  <si>
    <t>This is the first measurable RAG foundation outcome.</t>
  </si>
  <si>
    <t>W2-004</t>
  </si>
  <si>
    <t>DATA-001, EVAL-001</t>
  </si>
  <si>
    <t>Expected source appears in top 5 for representative questions.</t>
  </si>
  <si>
    <t>Manifest, retrieval scores and source IDs are captured.</t>
  </si>
  <si>
    <t>docs/test-evidence/W2-09-retrieval.json</t>
  </si>
  <si>
    <t>ADR-003, ADR-017</t>
  </si>
  <si>
    <t>W2-03:W2-08</t>
  </si>
  <si>
    <t>Delete test collection/volume and restore previous config.</t>
  </si>
  <si>
    <t>Week 2 Feature proof task in the end-to-end architecture. After Code Edit Approval, Codex writes only the approved code/configuration/test code for “Ingest approved sample corpus and verify top-5 retrieval.”; you run the verification/deployment commands and return the results. Business value: This is the first measurable RAG foundation outcome. Interview focus: explain where this component sits, how it fails safely and how it is rolled back.</t>
  </si>
  <si>
    <t>W2-10</t>
  </si>
  <si>
    <t>Run local deploy, rollback and complete removal drill.</t>
  </si>
  <si>
    <t>A working feature is incomplete until it can be removed cleanly.</t>
  </si>
  <si>
    <t>DEST-001</t>
  </si>
  <si>
    <t>Previous configuration works after rollback; teardown leaves no local residue.</t>
  </si>
  <si>
    <t>No project container, volume or network remains.</t>
  </si>
  <si>
    <t>docs/rollback-records/W2-local.md</t>
  </si>
  <si>
    <t>ADR-012, ADR-013</t>
  </si>
  <si>
    <t>Recreate from pinned Compose/config and re-run feature test.</t>
  </si>
  <si>
    <t>Week 2 Reversibility task in the end-to-end architecture. After Code Edit Approval, Codex writes only the approved code/configuration/test code for “Run local deploy, rollback and complete removal drill.”; you run the verification/deployment commands and return the results. Business value: A working feature is incomplete until it can be removed cleanly. Interview focus: explain where this component sits, how it fails safely and how it is rolled back.</t>
  </si>
  <si>
    <t>W2-11</t>
  </si>
  <si>
    <t>SHOULD</t>
  </si>
  <si>
    <t>Learning checkpoint</t>
  </si>
  <si>
    <t>Explain embeddings, cosine similarity, chunk size/overlap and metadata filtering.</t>
  </si>
  <si>
    <t>The workbook is also an interview/reference learning plan.</t>
  </si>
  <si>
    <t>W2-LEARN-001</t>
  </si>
  <si>
    <t>Five-minute explanation uses current implementation evidence.</t>
  </si>
  <si>
    <t>Explanation connects decisions to quality, security and cost.</t>
  </si>
  <si>
    <t>docs/architecture/local-retrieval.md</t>
  </si>
  <si>
    <t>ADR-002, ADR-003, ADR-006</t>
  </si>
  <si>
    <t>Revise ADR/notes; do not change code without a feature cycle.</t>
  </si>
  <si>
    <t>Week 2 owner decision/checkpoint in Learning checkpoint. You choose, approve or execute “Explain embeddings, cosine similarity, chunk size/overlap and metadata filtering.” because the decision affects downstream architecture and risk. Codex explains alternatives and may draft approved wording only under the proper approval stage. Business value: The workbook is also an interview/reference learning plan. Interview focus: explain the decision, trade-off and downstream consequence.</t>
  </si>
  <si>
    <t>W2-12</t>
  </si>
  <si>
    <t>Approve local retrieval gate and Week 3 inputs.</t>
  </si>
  <si>
    <t>Prevents LLM work from hiding retrieval defects.</t>
  </si>
  <si>
    <t>BED-001, EVAL-001</t>
  </si>
  <si>
    <t>All MUST tests and cleanup evidence pass.</t>
  </si>
  <si>
    <t>Owner sign-off; Bedrock/evaluation TODOs resolved or explicitly mocked.</t>
  </si>
  <si>
    <t>docs/deployment-records/W2-signoff.md</t>
  </si>
  <si>
    <t>W2-01:W2-11</t>
  </si>
  <si>
    <t>Remain on local retrieval until the gate passes.</t>
  </si>
  <si>
    <t>Week 2 business/decision documentation task in Checkpoint. The owner provides or approves the facts; after Document Writing Approval, Codex may draft only the approved business-first documentation. No code or command execution is permitted. Business value: Prevents LLM work from hiding retrieval defects. Interview focus: explain the decision, its alternatives and downstream impact.</t>
  </si>
  <si>
    <t>W2-13</t>
  </si>
  <si>
    <t>Complete the Week 2 local retrieval business, architecture and interview teach-back.</t>
  </si>
  <si>
    <t>Converts vector retrieval, ingestion, privacy and authorization work into an end-to-end business explanation.</t>
  </si>
  <si>
    <t>Owner explains document-to-vector-to-authorized-retrieval flow, Qdrant role, failure handling and three interview answers.</t>
  </si>
  <si>
    <t>docs/learning/W2-learning-review.md</t>
  </si>
  <si>
    <t>Mandatory learning gate before Week 3.</t>
  </si>
  <si>
    <t>Week 2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</si>
  <si>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W3-01</t>
  </si>
  <si>
    <t>LLM contract</t>
  </si>
  <si>
    <t>Create provider-neutral chat/tool/usage types and fake provider.</t>
  </si>
  <si>
    <t>RAG logic should not depend on Bedrock response formats.</t>
  </si>
  <si>
    <t>W3-001</t>
  </si>
  <si>
    <t>BED-001</t>
  </si>
  <si>
    <t>Fake tests cover success, timeout and malformed response.</t>
  </si>
  <si>
    <t>pytest tests/unit/test_llm_provider.py -q</t>
  </si>
  <si>
    <t>Normalized errors and usage fields are stable.</t>
  </si>
  <si>
    <t>docs/test-evidence/W3-01-llm-contract.txt</t>
  </si>
  <si>
    <t>ADR-002, ADR-004</t>
  </si>
  <si>
    <t>Switch configuration back to fake provider.</t>
  </si>
  <si>
    <t>Week 3 LLM contract task in the end-to-end architecture. After Code Edit Approval, Codex writes only the approved code/configuration/test code for “Create provider-neutral chat/tool/usage types and fake provider.”; you run the verification/deployment commands and return the results. Business value: RAG logic should not depend on Bedrock response formats. Interview focus: explain where this component sits, how it fails safely and how it is rolled back.</t>
  </si>
  <si>
    <t>W3-02</t>
  </si>
  <si>
    <t>AWS AI adapter</t>
  </si>
  <si>
    <t>Implement Bedrock adapter behind marked integration tests.</t>
  </si>
  <si>
    <t>Bedrock is the primary AWS model boundary without GPU operations.</t>
  </si>
  <si>
    <t>AWS-002, BED-001</t>
  </si>
  <si>
    <t>Adapter has deadlines/retry caps and no hard-coded model ID.</t>
  </si>
  <si>
    <t>pytest tests/unit/test_bedrock_adapter.py -q</t>
  </si>
  <si>
    <t>Offline tests pass; live test is skipped unless explicitly enabled.</t>
  </si>
  <si>
    <t>docs/test-evidence/W3-02-bedrock.txt</t>
  </si>
  <si>
    <t>ADR-004</t>
  </si>
  <si>
    <t>Set LLM_PROVIDER=fake; revoke test session if created.</t>
  </si>
  <si>
    <t>Week 3 AWS AI adapter task in the end-to-end architecture. After Code Edit Approval, Codex writes only the approved code/configuration/test code for “Implement Bedrock adapter behind marked integration tests.”; you run the verification/deployment commands and return the results. Business value: Bedrock is the primary AWS model boundary without GPU operations. Interview focus: explain where this component sits, how it fails safely and how it is rolled back.</t>
  </si>
  <si>
    <t>W3-03</t>
  </si>
  <si>
    <t>Prompt boundary</t>
  </si>
  <si>
    <t>Create versioned evidence-bound prompt template.</t>
  </si>
  <si>
    <t>Retrieved documents are data, never instructions.</t>
  </si>
  <si>
    <t>Prompt clearly delimits evidence and demands citations/abstention.</t>
  </si>
  <si>
    <t>pytest tests/unit/test_prompt_template.py -q</t>
  </si>
  <si>
    <t>Injection fixture cannot override system policy.</t>
  </si>
  <si>
    <t>docs/test-evidence/W3-03-prompt.txt</t>
  </si>
  <si>
    <t>ADR-006, ADR-017</t>
  </si>
  <si>
    <t>Restore previous approved prompt version.</t>
  </si>
  <si>
    <t>Week 3 Prompt boundary task in the end-to-end architecture. After Code Edit Approval, Codex writes only the approved code/configuration/test code for “Create versioned evidence-bound prompt template.”; you run the verification/deployment commands and return the results. Business value: Retrieved documents are data, never instructions. Interview focus: explain where this component sits, how it fails safely and how it is rolled back.</t>
  </si>
  <si>
    <t>W3-04</t>
  </si>
  <si>
    <t>RAG pipeline</t>
  </si>
  <si>
    <t>Authorize, retrieve, grade, generate and validate citations.</t>
  </si>
  <si>
    <t>This is the core safe-answer path.</t>
  </si>
  <si>
    <t>RAG-001</t>
  </si>
  <si>
    <t>Structured Answer contains only supplied source IDs.</t>
  </si>
  <si>
    <t>pytest tests/unit/test_rag_pipeline.py -q</t>
  </si>
  <si>
    <t>Good evidence answers; low evidence abstains.</t>
  </si>
  <si>
    <t>docs/test-evidence/W3-04-rag.txt</t>
  </si>
  <si>
    <t>W3-01:W3-03,W2-09</t>
  </si>
  <si>
    <t>Switch to last-known-good prompt/model/retriever configuration.</t>
  </si>
  <si>
    <t>Week 3 RAG pipeline task in the end-to-end architecture. After Code Edit Approval, Codex writes only the approved code/configuration/test code for “Authorize, retrieve, grade, generate and validate citations.”; you run the verification/deployment commands and return the results. Business value: This is the core safe-answer path. Interview focus: explain where this component sits, how it fails safely and how it is rolled back.</t>
  </si>
  <si>
    <t>W3-05</t>
  </si>
  <si>
    <t>Guardrails</t>
  </si>
  <si>
    <t>Add deterministic input/output/citation safety checks.</t>
  </si>
  <si>
    <t>Deterministic policy must surround probabilistic generation.</t>
  </si>
  <si>
    <t>W3-003</t>
  </si>
  <si>
    <t>SEC-001, DATA-002</t>
  </si>
  <si>
    <t>Malformed, unauthorized and uncited outputs fail safely.</t>
  </si>
  <si>
    <t>pytest tests/security tests/unit/test_guardrails.py -q</t>
  </si>
  <si>
    <t>Security suite passes with redacted logs.</t>
  </si>
  <si>
    <t>docs/test-evidence/W3-05-guardrails.txt</t>
  </si>
  <si>
    <t>Disable affected model route and return safe refusal.</t>
  </si>
  <si>
    <t>Week 3 Guardrails task in the end-to-end architecture. After Code Edit Approval, Codex writes only the approved code/configuration/test code for “Add deterministic input/output/citation safety checks.”; you run the verification/deployment commands and return the results. Business value: Deterministic policy must surround probabilistic generation. Interview focus: explain where this component sits, how it fails safely and how it is rolled back.</t>
  </si>
  <si>
    <t>W3-06</t>
  </si>
  <si>
    <t>Evaluation data</t>
  </si>
  <si>
    <t>Create 25+ golden cases with sources, facts, tenant and safety tags.</t>
  </si>
  <si>
    <t>Quality thresholds require versioned, representative truth data.</t>
  </si>
  <si>
    <t>W3-002</t>
  </si>
  <si>
    <t>EVAL-001, DATA-001</t>
  </si>
  <si>
    <t>Dataset passes schema and privacy review.</t>
  </si>
  <si>
    <t>python tools/validate_eval_dataset.py configs/eval/golden.jsonl</t>
  </si>
  <si>
    <t>25+ valid cases; no prohibited data.</t>
  </si>
  <si>
    <t>docs/test-evidence/W3-06-golden.txt</t>
  </si>
  <si>
    <t>Revert dataset version; never silently edit expected answers.</t>
  </si>
  <si>
    <t>Week 3 owner decision/checkpoint in Evaluation data. You choose, approve or execute “Create 25+ golden cases with sources, facts, tenant and safety tags.” because the decision affects downstream architecture and risk. Codex explains alternatives and may draft approved wording only under the proper approval stage. Business value: Quality thresholds require versioned, representative truth data. Interview focus: explain the decision, trade-off and downstream consequence.</t>
  </si>
  <si>
    <t>W3-07</t>
  </si>
  <si>
    <t>Evaluation harness</t>
  </si>
  <si>
    <t>Measure retrieval, citations, abstention, latency and cost.</t>
  </si>
  <si>
    <t>Promotion must rely on repeatable evidence, not a demo.</t>
  </si>
  <si>
    <t>EVAL-001</t>
  </si>
  <si>
    <t>Baseline report and nonzero regression exit behavior exist.</t>
  </si>
  <si>
    <t>Recall@5, citation precision, groundedness, latency and estimated cost recorded.</t>
  </si>
  <si>
    <t>reports/eval.json</t>
  </si>
  <si>
    <t>W3-04,W3-06</t>
  </si>
  <si>
    <t>Restore last approved baseline; block release on unresolved regression.</t>
  </si>
  <si>
    <t>Week 3 Evaluation harness task in the end-to-end architecture. After Code Edit Approval, Codex writes only the approved code/configuration/test code for “Measure retrieval, citations, abstention, latency and cost.”; you run the verification/deployment commands and return the results. Business value: Promotion must rely on repeatable evidence, not a demo. Interview focus: explain where this component sits, how it fails safely and how it is rolled back.</t>
  </si>
  <si>
    <t>W3-08</t>
  </si>
  <si>
    <t>Security testing</t>
  </si>
  <si>
    <t>Test injection, cross-tenant retrieval, unsafe output and logging redaction.</t>
  </si>
  <si>
    <t>RAG expands the attack surface through untrusted content.</t>
  </si>
  <si>
    <t>All adversarial fixtures fail safely.</t>
  </si>
  <si>
    <t>pytest tests/security -q</t>
  </si>
  <si>
    <t>No unauthorized chunk/action; no raw content in logs.</t>
  </si>
  <si>
    <t>docs/test-evidence/W3-08-security.txt</t>
  </si>
  <si>
    <t>Disable affected path; purge/re-index poisoned test document.</t>
  </si>
  <si>
    <t>Week 3 Security testing task in the end-to-end architecture. After Code Edit Approval, Codex writes only the approved code/configuration/test code for “Test injection, cross-tenant retrieval, unsafe output and logging redaction.”; you run the verification/deployment commands and return the results. Business value: RAG expands the attack surface through untrusted content. Interview focus: explain where this component sits, how it fails safely and how it is rolled back.</t>
  </si>
  <si>
    <t>W3-09</t>
  </si>
  <si>
    <t>Telemetry</t>
  </si>
  <si>
    <t>Record retrieval/model/token/guardrail metrics without content.</t>
  </si>
  <si>
    <t>Stage-level data explains latency, errors and cost.</t>
  </si>
  <si>
    <t>W4-003</t>
  </si>
  <si>
    <t>OBS-001</t>
  </si>
  <si>
    <t>Metrics include versions/outcomes and exclude prompt/document text.</t>
  </si>
  <si>
    <t>pytest tests/unit/test_telemetry.py -q</t>
  </si>
  <si>
    <t>Redaction tests pass; metrics names are documented.</t>
  </si>
  <si>
    <t>docs/test-evidence/W3-09-telemetry.txt</t>
  </si>
  <si>
    <t>ADR-008</t>
  </si>
  <si>
    <t>Disable exporter or revert instrumentation, not core answer path.</t>
  </si>
  <si>
    <t>Week 3 Telemetry task in the end-to-end architecture. After Code Edit Approval, Codex writes only the approved code/configuration/test code for “Record retrieval/model/token/guardrail metrics without content.”; you run the verification/deployment commands and return the results. Business value: Stage-level data explains latency, errors and cost. Interview focus: explain where this component sits, how it fails safely and how it is rolled back.</t>
  </si>
  <si>
    <t>W3-10</t>
  </si>
  <si>
    <t>Regression gate</t>
  </si>
  <si>
    <t>Set initial thresholds: Recall@5 &gt;=0.85 and citation-valid/safe-abstain &gt;=95%.</t>
  </si>
  <si>
    <t>Thresholds convert evaluation into a release decision.</t>
  </si>
  <si>
    <t>SLO-001</t>
  </si>
  <si>
    <t>CI-style command fails on a material regression.</t>
  </si>
  <si>
    <t>make evaluate</t>
  </si>
  <si>
    <t>Baseline passes; synthetic regression fails.</t>
  </si>
  <si>
    <t>docs/test-evidence/W3-10-gate.txt</t>
  </si>
  <si>
    <t>Revert candidate prompt/model/index and preserve failing evidence.</t>
  </si>
  <si>
    <t>Week 3 Regression gate task in the end-to-end architecture. After Code Edit Approval, Codex writes only the approved code/configuration/test code for “Set initial thresholds: Recall@5 &gt;=0.85 and citation-valid/safe-abstain &gt;=95%.”; you run the verification/deployment commands and return the results. Business value: Thresholds convert evaluation into a release decision. Interview focus: explain where this component sits, how it fails safely and how it is rolled back.</t>
  </si>
  <si>
    <t>W3-11</t>
  </si>
  <si>
    <t>Rollback drill</t>
  </si>
  <si>
    <t>Restore prior prompt/model/retriever/index configuration and re-evaluate.</t>
  </si>
  <si>
    <t>RAG changes can regress without application code changes.</t>
  </si>
  <si>
    <t>W3-ROLLBACK-001</t>
  </si>
  <si>
    <t>Last-known-good configuration returns baseline results.</t>
  </si>
  <si>
    <t>Rollback record identifies versions and post-rollback metrics.</t>
  </si>
  <si>
    <t>docs/rollback-records/W3-rag.md</t>
  </si>
  <si>
    <t>ADR-012</t>
  </si>
  <si>
    <t>Forward-fix only after a new feature cycle.</t>
  </si>
  <si>
    <t>Week 3 Rollback drill task in the end-to-end architecture. After Code Edit Approval, Codex writes only the approved code/configuration/test code for “Restore prior prompt/model/retriever/index configuration and re-evaluate.”; you run the verification/deployment commands and return the results. Business value: RAG changes can regress without application code changes. Interview focus: explain where this component sits, how it fails safely and how it is rolled back.</t>
  </si>
  <si>
    <t>W3-12</t>
  </si>
  <si>
    <t>Approve cited RAG and quality gate before adding agent behavior.</t>
  </si>
  <si>
    <t>Agent tools should not be added to an ungrounded answer system.</t>
  </si>
  <si>
    <t>APP-001</t>
  </si>
  <si>
    <t>Grounded answer or abstention works; security/regression/rollback tests pass.</t>
  </si>
  <si>
    <t>Owner sign-off and unresolved metrics documented.</t>
  </si>
  <si>
    <t>docs/deployment-records/W3-signoff.md</t>
  </si>
  <si>
    <t>W3-01:W3-11</t>
  </si>
  <si>
    <t>Keep agent endpoints disabled until approved.</t>
  </si>
  <si>
    <t>Week 3 business/decision documentation task in Checkpoint. The owner provides or approves the facts; after Document Writing Approval, Codex may draft only the approved business-first documentation. No code or command execution is permitted. Business value: Agent tools should not be added to an ungrounded answer system. Interview focus: explain the decision, its alternatives and downstream impact.</t>
  </si>
  <si>
    <t>W3-13</t>
  </si>
  <si>
    <t>Complete the Week 3 cited-RAG business, architecture and interview teach-back.</t>
  </si>
  <si>
    <t>Builds confidence explaining grounded answers, abstention, evaluation and model-provider boundaries.</t>
  </si>
  <si>
    <t>Owner explains cited RAG, guardrails, evaluation thresholds, rollback and three interview answers.</t>
  </si>
  <si>
    <t>docs/learning/W3-learning-review.md</t>
  </si>
  <si>
    <t>ADR-004 and Week 3 ADRs</t>
  </si>
  <si>
    <t>Mandatory learning gate before Week 4.</t>
  </si>
  <si>
    <t>Week 3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</si>
  <si>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W4-01</t>
  </si>
  <si>
    <t>API</t>
  </si>
  <si>
    <t>Implement health, query and agent endpoints using dependency interfaces.</t>
  </si>
  <si>
    <t>A thin typed boundary isolates clients from implementation details.</t>
  </si>
  <si>
    <t>W4-001</t>
  </si>
  <si>
    <t>Endpoints return normalized schemas and request IDs.</t>
  </si>
  <si>
    <t>pytest tests/unit/test_api.py -q</t>
  </si>
  <si>
    <t>Health and fake query tests pass; no internal prompt/error leak.</t>
  </si>
  <si>
    <t>docs/test-evidence/W4-01-api.txt</t>
  </si>
  <si>
    <t>ADR-007</t>
  </si>
  <si>
    <t>Roll back image/config and disable new route.</t>
  </si>
  <si>
    <t>Week 4 API task in the end-to-end architecture. After Code Edit Approval, Codex writes only the approved code/configuration/test code for “Implement health, query and agent endpoints using dependency interfaces.”; you run the verification/deployment commands and return the results. Business value: A thin typed boundary isolates clients from implementation details. Interview focus: explain where this component sits, how it fails safely and how it is rolled back.</t>
  </si>
  <si>
    <t>W4-02</t>
  </si>
  <si>
    <t>Implement auth context interface and deny before retrieval/action.</t>
  </si>
  <si>
    <t>Identity and authorization are deterministic platform controls.</t>
  </si>
  <si>
    <t>Unauthorized query never invokes retriever or tool.</t>
  </si>
  <si>
    <t>pytest tests/security/test_api_authorization.py -q</t>
  </si>
  <si>
    <t>Mock call assertions prove deny-before-retrieve.</t>
  </si>
  <si>
    <t>docs/test-evidence/W4-02-auth.txt</t>
  </si>
  <si>
    <t>Disable endpoint or restore previous auth dependency.</t>
  </si>
  <si>
    <t>Week 4 Authorization task in the end-to-end architecture. After Code Edit Approval, Codex writes only the approved code/configuration/test code for “Implement auth context interface and deny before retrieval/action.”; you run the verification/deployment commands and return the results. Business value: Identity and authorization are deterministic platform controls. Interview focus: explain where this component sits, how it fails safely and how it is rolled back.</t>
  </si>
  <si>
    <t>W4-03</t>
  </si>
  <si>
    <t>Agent state</t>
  </si>
  <si>
    <t>Define typed LangGraph state, explicit nodes and terminal outcomes.</t>
  </si>
  <si>
    <t>Agents are bounded workflows, not autonomous black boxes.</t>
  </si>
  <si>
    <t>W4-002</t>
  </si>
  <si>
    <t>Every path reaches answer, denied, rejected, timed-out or safe-terminal.</t>
  </si>
  <si>
    <t>pytest tests/unit/test_agent_graph.py -q</t>
  </si>
  <si>
    <t>Graph routing tests pass; Mermaid matches implementation.</t>
  </si>
  <si>
    <t>docs/test-evidence/W4-03-graph.txt</t>
  </si>
  <si>
    <t>ADR-005</t>
  </si>
  <si>
    <t>Feature flag disables graph; query endpoint remains read-only.</t>
  </si>
  <si>
    <t>Week 4 Agent state task in the end-to-end architecture. After Code Edit Approval, Codex writes only the approved code/configuration/test code for “Define typed LangGraph state, explicit nodes and terminal outcomes.”; you run the verification/deployment commands and return the results. Business value: Agents are bounded workflows, not autonomous black boxes. Interview focus: explain where this component sits, how it fails safely and how it is rolled back.</t>
  </si>
  <si>
    <t>W4-04</t>
  </si>
  <si>
    <t>Tools</t>
  </si>
  <si>
    <t>Add one read-only status tool with narrow schema.</t>
  </si>
  <si>
    <t>Read-only tool proves integration at low consequence.</t>
  </si>
  <si>
    <t>Allowlist and JSON schema reject malformed calls.</t>
  </si>
  <si>
    <t>pytest tests/unit/test_agent_tools.py -q</t>
  </si>
  <si>
    <t>Only allowlisted tool executes; output is normalized/redacted.</t>
  </si>
  <si>
    <t>docs/test-evidence/W4-04-read-tool.txt</t>
  </si>
  <si>
    <t>Remove tool registration and restore prior graph.</t>
  </si>
  <si>
    <t>Week 4 Tools task in the end-to-end architecture. After Code Edit Approval, Codex writes only the approved code/configuration/test code for “Add one read-only status tool with narrow schema.”; you run the verification/deployment commands and return the results. Business value: Read-only tool proves integration at low consequence. Interview focus: explain where this component sits, how it fails safely and how it is rolled back.</t>
  </si>
  <si>
    <t>W4-05</t>
  </si>
  <si>
    <t>Human approval</t>
  </si>
  <si>
    <t>Add mocked write tool that requires durable approval.</t>
  </si>
  <si>
    <t>Consequential actions cannot rely on model intent.</t>
  </si>
  <si>
    <t>No approval/rejection/expired approval prevents execution.</t>
  </si>
  <si>
    <t>pytest tests/security/test_agent_approval.py -q</t>
  </si>
  <si>
    <t>100% write executions have valid approval and idempotency key.</t>
  </si>
  <si>
    <t>docs/test-evidence/W4-05-approval.txt</t>
  </si>
  <si>
    <t>ADR-005, ADR-006</t>
  </si>
  <si>
    <t>W4-03,W4-04</t>
  </si>
  <si>
    <t>Disable write-tool feature flag and invalidate pending approvals.</t>
  </si>
  <si>
    <t>Week 4 Human approval task in the end-to-end architecture. After Code Edit Approval, Codex writes only the approved code/configuration/test code for “Add mocked write tool that requires durable approval.”; you run the verification/deployment commands and return the results. Business value: Consequential actions cannot rely on model intent. Interview focus: explain where this component sits, how it fails safely and how it is rolled back.</t>
  </si>
  <si>
    <t>W4-06</t>
  </si>
  <si>
    <t>Budgets</t>
  </si>
  <si>
    <t>Enforce step, tool-call, token/time deadline and retry limits.</t>
  </si>
  <si>
    <t>Bounds prevent loops, retry storms and unplanned model spend.</t>
  </si>
  <si>
    <t>COST-001</t>
  </si>
  <si>
    <t>Budget-exceeded paths stop safely and record reason.</t>
  </si>
  <si>
    <t>pytest tests/unit/test_agent_budgets.py -q</t>
  </si>
  <si>
    <t>No repeated tool execution; timeouts are bounded.</t>
  </si>
  <si>
    <t>docs/test-evidence/W4-06-budgets.txt</t>
  </si>
  <si>
    <t>Reduce limits or disable agent route.</t>
  </si>
  <si>
    <t>Week 4 Budgets task in the end-to-end architecture. After Code Edit Approval, Codex writes only the approved code/configuration/test code for “Enforce step, tool-call, token/time deadline and retry limits.”; you run the verification/deployment commands and return the results. Business value: Bounds prevent loops, retry storms and unplanned model spend. Interview focus: explain where this component sits, how it fails safely and how it is rolled back.</t>
  </si>
  <si>
    <t>W4-07</t>
  </si>
  <si>
    <t>State security</t>
  </si>
  <si>
    <t>Persist only redacted agent state and audit decisions.</t>
  </si>
  <si>
    <t>Checkpoints must not become a secret/PII store.</t>
  </si>
  <si>
    <t>RET-001</t>
  </si>
  <si>
    <t>State fixture contains IDs/outcomes but no content/secrets.</t>
  </si>
  <si>
    <t>pytest tests/security/test_agent_state_redaction.py -q</t>
  </si>
  <si>
    <t>Redaction assertion passes.</t>
  </si>
  <si>
    <t>docs/test-evidence/W4-07-state.txt</t>
  </si>
  <si>
    <t>Purge test checkpoints and restore safe serializer.</t>
  </si>
  <si>
    <t>Week 4 State security task in the end-to-end architecture. After Code Edit Approval, Codex writes only the approved code/configuration/test code for “Persist only redacted agent state and audit decisions.”; you run the verification/deployment commands and return the results. Business value: Checkpoints must not become a secret/PII store. Interview focus: explain where this component sits, how it fails safely and how it is rolled back.</t>
  </si>
  <si>
    <t>W4-08</t>
  </si>
  <si>
    <t>Observability</t>
  </si>
  <si>
    <t>Trace API to retrieval, LLM, guardrail, approval and tool.</t>
  </si>
  <si>
    <t>Correlated traces make probabilistic workflows diagnosable.</t>
  </si>
  <si>
    <t>One local trace contains all stages and safe attributes.</t>
  </si>
  <si>
    <t>pytest tests/feature/test_trace_correlation.py -q</t>
  </si>
  <si>
    <t>Trace ID links JSON logs and spans; content is redacted.</t>
  </si>
  <si>
    <t>docs/test-evidence/W4-08-trace.json</t>
  </si>
  <si>
    <t>W4-01:W4-07</t>
  </si>
  <si>
    <t>Disable exporter; preserve local logs and core service.</t>
  </si>
  <si>
    <t>Week 4 Observability task in the end-to-end architecture. After Code Edit Approval, Codex writes only the approved code/configuration/test code for “Trace API to retrieval, LLM, guardrail, approval and tool.”; you run the verification/deployment commands and return the results. Business value: Correlated traces make probabilistic workflows diagnosable. Interview focus: explain where this component sits, how it fails safely and how it is rolled back.</t>
  </si>
  <si>
    <t>W4-09</t>
  </si>
  <si>
    <t>Failure testing</t>
  </si>
  <si>
    <t>Exercise denial, malformed args, injection, timeout, loop and rejection.</t>
  </si>
  <si>
    <t>Agent safety is proven through negative paths.</t>
  </si>
  <si>
    <t>All failure modes terminate without write side effects.</t>
  </si>
  <si>
    <t>pytest tests/security/test_agent_* tests/feature/test_agent_failures.py -q</t>
  </si>
  <si>
    <t>Audit records show safe terminal reason.</t>
  </si>
  <si>
    <t>docs/test-evidence/W4-09-failures.txt</t>
  </si>
  <si>
    <t>ADR-005, ADR-017</t>
  </si>
  <si>
    <t>W4-05:W4-08</t>
  </si>
  <si>
    <t>Disable agent endpoint and preserve evidence.</t>
  </si>
  <si>
    <t>Week 4 Failure testing task in the end-to-end architecture. After Code Edit Approval, Codex writes only the approved code/configuration/test code for “Exercise denial, malformed args, injection, timeout, loop and rejection.”; you run the verification/deployment commands and return the results. Business value: Agent safety is proven through negative paths. Interview focus: explain where this component sits, how it fails safely and how it is rolled back.</t>
  </si>
  <si>
    <t>W4-10</t>
  </si>
  <si>
    <t>Performance</t>
  </si>
  <si>
    <t>Run bounded local smoke/load test with fake/approved model.</t>
  </si>
  <si>
    <t>Concurrency and timeouts must fail predictably before EKS.</t>
  </si>
  <si>
    <t>No unbounded queue; p95/p99 baseline is recorded.</t>
  </si>
  <si>
    <t>pytest tests/feature/test_api_load_smoke.py -q</t>
  </si>
  <si>
    <t>Latency/error/concurrency report is redacted.</t>
  </si>
  <si>
    <t>docs/test-evidence/W4-10-load.json</t>
  </si>
  <si>
    <t>ADR-007, ADR-008</t>
  </si>
  <si>
    <t>W4-01,W4-06</t>
  </si>
  <si>
    <t>Reduce traffic; revert concurrency settings.</t>
  </si>
  <si>
    <t>Week 4 Performance task in the end-to-end architecture. After Code Edit Approval, Codex writes only the approved code/configuration/test code for “Run bounded local smoke/load test with fake/approved model.”; you run the verification/deployment commands and return the results. Business value: Concurrency and timeouts must fail predictably before EKS. Interview focus: explain where this component sits, how it fails safely and how it is rolled back.</t>
  </si>
  <si>
    <t>W4-11</t>
  </si>
  <si>
    <t>Release rollback</t>
  </si>
  <si>
    <t>Deploy local immutable version N+1, force regression and restore N.</t>
  </si>
  <si>
    <t>Release rollback is separate from infrastructure rollback.</t>
  </si>
  <si>
    <t>W4-ROLLBACK-001</t>
  </si>
  <si>
    <t>N becomes healthy and passes feature tests after rollback.</t>
  </si>
  <si>
    <t>Rollback duration and health evidence recorded.</t>
  </si>
  <si>
    <t>docs/rollback-records/W4-release.md</t>
  </si>
  <si>
    <t>W4-01:W4-10</t>
  </si>
  <si>
    <t>Keep agent route disabled until the failure is fixed.</t>
  </si>
  <si>
    <t>Week 4 Release rollback task in the end-to-end architecture. After Code Edit Approval, Codex writes only the approved code/configuration/test code for “Deploy local immutable version N+1, force regression and restore N.”; you run the verification/deployment commands and return the results. Business value: Release rollback is separate from infrastructure rollback. Interview focus: explain where this component sits, how it fails safely and how it is rolled back.</t>
  </si>
  <si>
    <t>W4-12</t>
  </si>
  <si>
    <t>Approve controlled API/agent and Week 5 AWS inputs.</t>
  </si>
  <si>
    <t>Cloud infrastructure should not be planned for an unsafe runtime.</t>
  </si>
  <si>
    <t>AWS-001, AWS-002, NET-001, TAG-001, COST-001</t>
  </si>
  <si>
    <t>All consequential actions are policy-valid and approved.</t>
  </si>
  <si>
    <t>Owner signs graph, API, evidence and rollback record.</t>
  </si>
  <si>
    <t>docs/deployment-records/W4-signoff.md</t>
  </si>
  <si>
    <t>W4-01:W4-11</t>
  </si>
  <si>
    <t>Do not begin Terraform plan until inputs and cost ceiling are approved.</t>
  </si>
  <si>
    <t>Week 4 business/decision documentation task in Checkpoint. The owner provides or approves the facts; after Document Writing Approval, Codex may draft only the approved business-first documentation. No code or command execution is permitted. Business value: Cloud infrastructure should not be planned for an unsafe runtime. Interview focus: explain the decision, its alternatives and downstream impact.</t>
  </si>
  <si>
    <t>W4-13</t>
  </si>
  <si>
    <t>Complete the Week 4 API/agent business, architecture and interview teach-back.</t>
  </si>
  <si>
    <t>Makes bounded agents, human approval, API controls and observability explainable to business and technical interviewers.</t>
  </si>
  <si>
    <t>Owner explains API boundaries, authorization, agent state/budgets, human approval, telemetry and three interview answers.</t>
  </si>
  <si>
    <t>docs/learning/W4-learning-review.md</t>
  </si>
  <si>
    <t>ADR-005, ADR-007 and Week 4 ADRs</t>
  </si>
  <si>
    <t>Mandatory learning gate before Week 5.</t>
  </si>
  <si>
    <t>Week 4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</si>
  <si>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W5-01</t>
  </si>
  <si>
    <t>AWS inputs</t>
  </si>
  <si>
    <t>Confirm sandbox account, region, network, tags, data residency and budget ceiling.</t>
  </si>
  <si>
    <t>Terraform cannot be safely reviewed with ambiguous ownership or cost.</t>
  </si>
  <si>
    <t>W5-INPUTS-001</t>
  </si>
  <si>
    <t>AWS-001, AWS-002, NET-001, TAG-001, COST-001, PRIV-001</t>
  </si>
  <si>
    <t>All variables are non-secret and approved.</t>
  </si>
  <si>
    <t>Review infra/environments/sandbox/terraform.tfvars.example</t>
  </si>
  <si>
    <t>No credential/secret value is requested.</t>
  </si>
  <si>
    <t>docs/cost-estimates/W5-inputs.md</t>
  </si>
  <si>
    <t>Do not initialize/apply until inputs are approved.</t>
  </si>
  <si>
    <t>Week 5 business/decision documentation task in AWS inputs. The owner provides or approves the facts; after Document Writing Approval, Codex may draft only the approved business-first documentation. No code or command execution is permitted. Business value: Terraform cannot be safely reviewed with ambiguous ownership or cost. Interview focus: explain the decision, its alternatives and downstream impact.</t>
  </si>
  <si>
    <t>W5-02</t>
  </si>
  <si>
    <t>State bootstrap</t>
  </si>
  <si>
    <t>Build isolated encrypted/versioned S3 state and Terraform 1.5 DynamoDB locking stack.</t>
  </si>
  <si>
    <t>State must survive platform rollback and be removed last during full teardown.</t>
  </si>
  <si>
    <t>W5-001</t>
  </si>
  <si>
    <t>fmt/validate/Checkov pass; apply remains manual.</t>
  </si>
  <si>
    <t>Bootstrap plan contains only expected resources.</t>
  </si>
  <si>
    <t>docs/test-evidence/W5-02-bootstrap.txt</t>
  </si>
  <si>
    <t>Destroy platform first; bootstrap destroy is separately reviewed.</t>
  </si>
  <si>
    <t>Week 5 State bootstrap task in the end-to-end architecture. After Code Edit Approval, Codex writes only the approved code/configuration/test code for “Build isolated encrypted/versioned S3 state and Terraform 1.5 DynamoDB locking stack.”; you run the verification/deployment commands and return the results. Business value: State must survive platform rollback and be removed last during full teardown. Interview focus: explain where this component sits, how it fails safely and how it is rolled back.</t>
  </si>
  <si>
    <t>W5-03</t>
  </si>
  <si>
    <t>Security foundation</t>
  </si>
  <si>
    <t>Create KMS, private/versioned S3 and secret-metadata modules.</t>
  </si>
  <si>
    <t>Encryption and secret separation are foundational controls.</t>
  </si>
  <si>
    <t>KMS-001, TAG-001</t>
  </si>
  <si>
    <t>No public access or secret value resource exists.</t>
  </si>
  <si>
    <t>Security controls pass; deletion settings are explicit.</t>
  </si>
  <si>
    <t>docs/test-evidence/W5-03-security.txt</t>
  </si>
  <si>
    <t>ADR-009, ADR-014</t>
  </si>
  <si>
    <t>W5-01,W5-02</t>
  </si>
  <si>
    <t>Apply prior Terraform version; use purge only for disposable sandbox.</t>
  </si>
  <si>
    <t>Week 5 Security foundation task in the end-to-end architecture. After Code Edit Approval, Codex writes only the approved code/configuration/test code for “Create KMS, private/versioned S3 and secret-metadata modules.”; you run the verification/deployment commands and return the results. Business value: Encryption and secret separation are foundational controls. Interview focus: explain where this component sits, how it fails safely and how it is rolled back.</t>
  </si>
  <si>
    <t>W5-04</t>
  </si>
  <si>
    <t>IAM</t>
  </si>
  <si>
    <t>Create least-privilege runtime, ingestion and GitHub OIDC roles.</t>
  </si>
  <si>
    <t>Workloads need short-lived, separated permissions.</t>
  </si>
  <si>
    <t>GHA-001, BED-001, TAG-001</t>
  </si>
  <si>
    <t>No wildcard action/resource without reviewed exception.</t>
  </si>
  <si>
    <t>Trust policies bind approved repo/environment and workload identity.</t>
  </si>
  <si>
    <t>docs/test-evidence/W5-04-iam.txt</t>
  </si>
  <si>
    <t>ADR-006, ADR-010</t>
  </si>
  <si>
    <t>Disable role session/restore prior policy; do not store keys.</t>
  </si>
  <si>
    <t>Week 5 IAM task in the end-to-end architecture. After Code Edit Approval, Codex writes only the approved code/configuration/test code for “Create least-privilege runtime, ingestion and GitHub OIDC roles.”; you run the verification/deployment commands and return the results. Business value: Workloads need short-lived, separated permissions. Interview focus: explain where this component sits, how it fails safely and how it is rolled back.</t>
  </si>
  <si>
    <t>W5-05</t>
  </si>
  <si>
    <t>AWS retrieval</t>
  </si>
  <si>
    <t>Create private encrypted OpenSearch and ECR modules.</t>
  </si>
  <si>
    <t>OpenSearch is the AWS vector target; ECR stores immutable images.</t>
  </si>
  <si>
    <t>NET-001, TAG-001</t>
  </si>
  <si>
    <t>Private network, TLS, encryption, logs and access controls are planned.</t>
  </si>
  <si>
    <t>terraform -chdir=infra/environments/sandbox plan -out=tfplan</t>
  </si>
  <si>
    <t>Plan summary shows only expected resources and estimated baseline cost.</t>
  </si>
  <si>
    <t>docs/test-evidence/W5-05-platform-plan.txt</t>
  </si>
  <si>
    <t>ADR-003, ADR-015</t>
  </si>
  <si>
    <t>W5-03,W5-04</t>
  </si>
  <si>
    <t>Apply reviewed previous Terraform version or destroy disposable resources in order.</t>
  </si>
  <si>
    <t>Week 5 AWS retrieval task in the end-to-end architecture. After Code Edit Approval, Codex writes only the approved code/configuration/test code for “Create private encrypted OpenSearch and ECR modules.”; you run the verification/deployment commands and return the results. Business value: OpenSearch is the AWS vector target; ECR stores immutable images. Interview focus: explain where this component sits, how it fails safely and how it is rolled back.</t>
  </si>
  <si>
    <t>W5-06</t>
  </si>
  <si>
    <t>Policy as code</t>
  </si>
  <si>
    <t>Implement OPA and Checkov security/tagging policies with fixtures.</t>
  </si>
  <si>
    <t>Policy gates make critical architecture decisions executable.</t>
  </si>
  <si>
    <t>W5-003</t>
  </si>
  <si>
    <t>AWS-002, TAG-001</t>
  </si>
  <si>
    <t>Insecure fixtures fail; secure fixtures pass.</t>
  </si>
  <si>
    <t>Failures identify resource/rule/remediation.</t>
  </si>
  <si>
    <t>docs/test-evidence/W5-06-policy.txt</t>
  </si>
  <si>
    <t>ADR-010, ADR-017</t>
  </si>
  <si>
    <t>W5-03:W5-05</t>
  </si>
  <si>
    <t>Revert candidate policy only through reviewed exception/ADR.</t>
  </si>
  <si>
    <t>Week 5 Policy as code task in the end-to-end architecture. After Code Edit Approval, Codex writes only the approved code/configuration/test code for “Implement OPA and Checkov security/tagging policies with fixtures.”; you run the verification/deployment commands and return the results. Business value: Policy gates make critical architecture decisions executable. Interview focus: explain where this component sits, how it fails safely and how it is rolled back.</t>
  </si>
  <si>
    <t>W5-07</t>
  </si>
  <si>
    <t>CI/CD</t>
  </si>
  <si>
    <t>Create PR CI and Terraform-plan workflow using GitHub OIDC.</t>
  </si>
  <si>
    <t>Automated gates and short-lived identity reduce change and credential risk.</t>
  </si>
  <si>
    <t>W5-002</t>
  </si>
  <si>
    <t>GHA-001</t>
  </si>
  <si>
    <t>All required checks run; apply/destroy are owner-gated.</t>
  </si>
  <si>
    <t>Review .github/workflows and run actionlint if available</t>
  </si>
  <si>
    <t>No access-key secret; immutable action pins are TODO/approved.</t>
  </si>
  <si>
    <t>docs/test-evidence/W5-07-ci.txt</t>
  </si>
  <si>
    <t>W5-04,W5-06</t>
  </si>
  <si>
    <t>Disable workflow; revoke OIDC trust; keep last good release.</t>
  </si>
  <si>
    <t>Week 5 CI/CD task in the end-to-end architecture. After Code Edit Approval, Codex writes only the approved code/configuration/test code for “Create PR CI and Terraform-plan workflow using GitHub OIDC.”; you run the verification/deployment commands and return the results. Business value: Automated gates and short-lived identity reduce change and credential risk. Interview focus: explain where this component sits, how it fails safely and how it is rolled back.</t>
  </si>
  <si>
    <t>W5-08</t>
  </si>
  <si>
    <t>Supply chain</t>
  </si>
  <si>
    <t>Build image, scan with Trivy/Grype and generate Syft SBOM.</t>
  </si>
  <si>
    <t>Deployment must use a known, scanned immutable artifact.</t>
  </si>
  <si>
    <t>Critical findings fail per policy and SBOM is retained.</t>
  </si>
  <si>
    <t>Redacted scan reports and SPDX/CycloneDX SBOM exist.</t>
  </si>
  <si>
    <t>docs/test-evidence/W5-08-supply-chain.txt</t>
  </si>
  <si>
    <t>Do not publish vulnerable digest; restore prior approved digest.</t>
  </si>
  <si>
    <t>Week 5 Supply chain task in the end-to-end architecture. After Code Edit Approval, Codex writes only the approved code/configuration/test code for “Build image, scan with Trivy/Grype and generate Syft SBOM.”; you run the verification/deployment commands and return the results. Business value: Deployment must use a known, scanned immutable artifact. Interview focus: explain where this component sits, how it fails safely and how it is rolled back.</t>
  </si>
  <si>
    <t>W5-09</t>
  </si>
  <si>
    <t>Plan review</t>
  </si>
  <si>
    <t>Generate saved Terraform plan, JSON policy result and human-readable summary.</t>
  </si>
  <si>
    <t>Applying the reviewed bytes prevents unseen infrastructure change.</t>
  </si>
  <si>
    <t>W5-004</t>
  </si>
  <si>
    <t>Plan, policy and cost review are approved before any apply.</t>
  </si>
  <si>
    <t>make plan-sandbox</t>
  </si>
  <si>
    <t>Summary lists creates/updates/deletes, costs and residual risks.</t>
  </si>
  <si>
    <t>docs/deployment-records/W5-plan-review.md</t>
  </si>
  <si>
    <t>W5-02:W5-08</t>
  </si>
  <si>
    <t>Discard saved plan on code/input drift and regenerate.</t>
  </si>
  <si>
    <t>Week 5 Plan review task in the end-to-end architecture. After Code Edit Approval, Codex writes only the approved code/configuration/test code for “Generate saved Terraform plan, JSON policy result and human-readable summary.”; you run the verification/deployment commands and return the results. Business value: Applying the reviewed bytes prevents unseen infrastructure change. Interview focus: explain where this component sits, how it fails safely and how it is rolled back.</t>
  </si>
  <si>
    <t>W5-10</t>
  </si>
  <si>
    <t>Sandbox lifecycle</t>
  </si>
  <si>
    <t>After explicit approval, deploy/validate/rollback/destroy in controlled sequence.</t>
  </si>
  <si>
    <t>Capability must be proven, but Codex must never self-approve mutations.</t>
  </si>
  <si>
    <t>Reviewed plan applies; validation passes; rollback path is recorded.</t>
  </si>
  <si>
    <t>make deploy-sandbox  # owner-approved only</t>
  </si>
  <si>
    <t>Deployment record contains plan hash, approver, resources and health.</t>
  </si>
  <si>
    <t>docs/deployment-records/W5-sandbox.md</t>
  </si>
  <si>
    <t>Use last-known-good Terraform version; destroy is not ordinary rollback.</t>
  </si>
  <si>
    <t>Week 5 owner decision/checkpoint in Sandbox lifecycle. You choose, approve or execute “After explicit approval, deploy/validate/rollback/destroy in controlled sequence.” because the decision affects downstream architecture and risk. Codex explains alternatives and may draft approved wording only under the proper approval stage. Business value: Capability must be proven, but Codex must never self-approve mutations. Interview focus: explain the decision, trade-off and downstream consequence.</t>
  </si>
  <si>
    <t>W5-11</t>
  </si>
  <si>
    <t>Teardown plan</t>
  </si>
  <si>
    <t>Create and review platform destroy plan; preserve bootstrap until platform is gone.</t>
  </si>
  <si>
    <t>Deletion order prevents dependency residue and loss of auditability.</t>
  </si>
  <si>
    <t>Destroy plan targets only approved sandbox resources.</t>
  </si>
  <si>
    <t>make plan-destroy-sandbox</t>
  </si>
  <si>
    <t>Plan and deletion order approved; KMS window noted.</t>
  </si>
  <si>
    <t>docs/deployment-records/W5-destroy-plan.md</t>
  </si>
  <si>
    <t>ADR-009, ADR-012</t>
  </si>
  <si>
    <t>Cancel before apply if any unexpected target appears.</t>
  </si>
  <si>
    <t>Week 5 Teardown plan task in the end-to-end architecture. After Code Edit Approval, Codex writes only the approved code/configuration/test code for “Create and review platform destroy plan; preserve bootstrap until platform is gone.”; you run the verification/deployment commands and return the results. Business value: Deletion order prevents dependency residue and loss of auditability. Interview focus: explain where this component sits, how it fails safely and how it is rolled back.</t>
  </si>
  <si>
    <t>W5-12</t>
  </si>
  <si>
    <t>Cleanliness proof</t>
  </si>
  <si>
    <t>Run verify-clean using required tags and native service APIs after approved teardown.</t>
  </si>
  <si>
    <t>A successful Terraform destroy is not proof of zero residual resources.</t>
  </si>
  <si>
    <t>No active unmanaged resource remains; exception is documented PendingDeletion KMS key.</t>
  </si>
  <si>
    <t>Resource-cleanliness report is complete and signed.</t>
  </si>
  <si>
    <t>docs/resource-cleanliness/W5-report.json</t>
  </si>
  <si>
    <t>Remove residuals in dependency order; do not delete bootstrap until clean.</t>
  </si>
  <si>
    <t>Week 5 Cleanliness proof task in the end-to-end architecture. After Code Edit Approval, Codex writes only the approved code/configuration/test code for “Run verify-clean using required tags and native service APIs after approved teardown.”; you run the verification/deployment commands and return the results. Business value: A successful Terraform destroy is not proof of zero residual resources. Interview focus: explain where this component sits, how it fails safely and how it is rolled back.</t>
  </si>
  <si>
    <t>W5-13</t>
  </si>
  <si>
    <t>Approve AWS lifecycle evidence and Week 6 EKS deployment inputs.</t>
  </si>
  <si>
    <t>Runtime deployment should use only reviewed, reconstructable platform components.</t>
  </si>
  <si>
    <t>EKS-001, OBS-001, SLO-001</t>
  </si>
  <si>
    <t>Plans/policies/scans/lifecycle evidence pass; no plaintext secret or unmanaged resource.</t>
  </si>
  <si>
    <t>Review W5 evidence index</t>
  </si>
  <si>
    <t>Owner sign-off and any deferred actual deployment clearly recorded.</t>
  </si>
  <si>
    <t>docs/deployment-records/W5-signoff.md</t>
  </si>
  <si>
    <t>W5-01:W5-12</t>
  </si>
  <si>
    <t>Do not deploy EKS app until the platform gate passes.</t>
  </si>
  <si>
    <t>Week 5 business/decision documentation task in Checkpoint. The owner provides or approves the facts; after Document Writing Approval, Codex may draft only the approved business-first documentation. No code or command execution is permitted. Business value: Runtime deployment should use only reviewed, reconstructable platform components. Interview focus: explain the decision, its alternatives and downstream impact.</t>
  </si>
  <si>
    <t>W5-14</t>
  </si>
  <si>
    <t>Complete the Week 5 AWS lifecycle business, architecture and interview teach-back.</t>
  </si>
  <si>
    <t>Connects infrastructure-as-code, identity, policy, supply chain, cost and teardown into a controlled cloud story.</t>
  </si>
  <si>
    <t>Owner explains reviewed plans, OIDC, policy gates, immutable artifacts, rollback/teardown and three interview answers.</t>
  </si>
  <si>
    <t>docs/learning/W5-learning-review.md</t>
  </si>
  <si>
    <t>Week 5 ADRs</t>
  </si>
  <si>
    <t>Mandatory learning gate before Week 6.</t>
  </si>
  <si>
    <t>Week 5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</si>
  <si>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W6-01</t>
  </si>
  <si>
    <t>Artifact promotion</t>
  </si>
  <si>
    <t>Publish scanned image to ECR by immutable digest.</t>
  </si>
  <si>
    <t>Rollback and provenance require immutable deployment identity.</t>
  </si>
  <si>
    <t>EKS-001</t>
  </si>
  <si>
    <t>Digest matches the scanned/SBOM artifact.</t>
  </si>
  <si>
    <t>docker inspect --format='{{index .RepoDigests 0}}' enterprise-ai:test</t>
  </si>
  <si>
    <t>Digest, scan and SBOM are linked in deployment record.</t>
  </si>
  <si>
    <t>docs/deployment-records/W6-image.md</t>
  </si>
  <si>
    <t>ADR-012, ADR-017</t>
  </si>
  <si>
    <t>Restore prior approved digest; never reuse a mutable tag as authority.</t>
  </si>
  <si>
    <t>Week 6 Artifact promotion task in the end-to-end architecture. After Code Edit Approval, Codex writes only the approved code/configuration/test code for “Publish scanned image to ECR by immutable digest.”; you run the verification/deployment commands and return the results. Business value: Rollback and provenance require immutable deployment identity. Interview focus: explain where this component sits, how it fails safely and how it is rolled back.</t>
  </si>
  <si>
    <t>W6-02</t>
  </si>
  <si>
    <t>Kubernetes</t>
  </si>
  <si>
    <t>Create EKS deployment/Service with non-root/read-only settings and probes.</t>
  </si>
  <si>
    <t>Production-shaped runtime boundaries reduce container and availability risk.</t>
  </si>
  <si>
    <t>W6-001</t>
  </si>
  <si>
    <t>Server dry-run and policy validation pass.</t>
  </si>
  <si>
    <t>kubectl apply --dry-run=server -f deploy/k8s</t>
  </si>
  <si>
    <t>Manifests use immutable digest and no secret literal.</t>
  </si>
  <si>
    <t>docs/test-evidence/W6-02-k8s.txt</t>
  </si>
  <si>
    <t>ADR-015</t>
  </si>
  <si>
    <t>kubectl rollout undo or redeploy previous digest.</t>
  </si>
  <si>
    <t>Week 6 Kubernetes task in the end-to-end architecture. After Code Edit Approval, Codex writes only the approved code/configuration/test code for “Create EKS deployment/Service with non-root/read-only settings and probes.”; you run the verification/deployment commands and return the results. Business value: Production-shaped runtime boundaries reduce container and availability risk. Interview focus: explain where this component sits, how it fails safely and how it is rolled back.</t>
  </si>
  <si>
    <t>W6-03</t>
  </si>
  <si>
    <t>Workload identity</t>
  </si>
  <si>
    <t>Configure EKS Pod Identity/IRSA, RBAC and least-privilege service account.</t>
  </si>
  <si>
    <t>Pods must never contain static AWS credentials.</t>
  </si>
  <si>
    <t>AWS-001, EKS-001</t>
  </si>
  <si>
    <t>Pod accesses only required AWS APIs and env has no static key.</t>
  </si>
  <si>
    <t>kubectl exec deploy/enterprise-ai-api -- env | grep AWS_ACCESS_KEY_ID; test $? -ne 0</t>
  </si>
  <si>
    <t>No static credential; role session is short-lived and scoped.</t>
  </si>
  <si>
    <t>docs/test-evidence/W6-03-identity.txt</t>
  </si>
  <si>
    <t>W5-04,W6-02</t>
  </si>
  <si>
    <t>Remove service-account binding and restore prior role policy.</t>
  </si>
  <si>
    <t>Week 6 Workload identity task in the end-to-end architecture. After Code Edit Approval, Codex writes only the approved code/configuration/test code for “Configure EKS Pod Identity/IRSA, RBAC and least-privilege service account.”; you run the verification/deployment commands and return the results. Business value: Pods must never contain static AWS credentials. Interview focus: explain where this component sits, how it fails safely and how it is rolled back.</t>
  </si>
  <si>
    <t>W6-04</t>
  </si>
  <si>
    <t>Network security</t>
  </si>
  <si>
    <t>Apply NetworkPolicy and approved ingress/egress boundaries.</t>
  </si>
  <si>
    <t>Retrieval/model paths should be explicit and least privilege.</t>
  </si>
  <si>
    <t>NET-001, EKS-001</t>
  </si>
  <si>
    <t>Denied destination test fails; approved dependencies remain reachable.</t>
  </si>
  <si>
    <t>kubectl apply --dry-run=server -f deploy/k8s/networkpolicy.yaml</t>
  </si>
  <si>
    <t>Network test evidence documents permitted flows.</t>
  </si>
  <si>
    <t>docs/test-evidence/W6-04-network.txt</t>
  </si>
  <si>
    <t>ADR-006, ADR-015</t>
  </si>
  <si>
    <t>Restore last-known-good policy; scale down if isolation is uncertain.</t>
  </si>
  <si>
    <t>Week 6 Network security task in the end-to-end architecture. After Code Edit Approval, Codex writes only the approved code/configuration/test code for “Apply NetworkPolicy and approved ingress/egress boundaries.”; you run the verification/deployment commands and return the results. Business value: Retrieval/model paths should be explicit and least privilege. Interview focus: explain where this component sits, how it fails safely and how it is rolled back.</t>
  </si>
  <si>
    <t>W6-05</t>
  </si>
  <si>
    <t>Resilience</t>
  </si>
  <si>
    <t>Configure requests/limits, HPA, PDB and rolling update settings.</t>
  </si>
  <si>
    <t>Availability and autoscaling must be defined before load/chaos tests.</t>
  </si>
  <si>
    <t>Schema/policy checks pass and settings have rationale.</t>
  </si>
  <si>
    <t>PDB/HPA do not conflict at minimum replicas.</t>
  </si>
  <si>
    <t>docs/test-evidence/W6-05-resilience.txt</t>
  </si>
  <si>
    <t>Rollback manifests and return to last safe replica/settings.</t>
  </si>
  <si>
    <t>Week 6 Resilience task in the end-to-end architecture. After Code Edit Approval, Codex writes only the approved code/configuration/test code for “Configure requests/limits, HPA, PDB and rolling update settings.”; you run the verification/deployment commands and return the results. Business value: Availability and autoscaling must be defined before load/chaos tests. Interview focus: explain where this component sits, how it fails safely and how it is rolled back.</t>
  </si>
  <si>
    <t>W6-06</t>
  </si>
  <si>
    <t>Observability platform</t>
  </si>
  <si>
    <t>Deploy OTel path to CloudWatch/X-Ray plus Prometheus/Grafana/Jaeger option.</t>
  </si>
  <si>
    <t>Vendor-neutral telemetry supports both AWS and open-source operations.</t>
  </si>
  <si>
    <t>W6-002</t>
  </si>
  <si>
    <t>One request trace links API, retrieval and LLM spans.</t>
  </si>
  <si>
    <t>Trace/log/metric IDs correlate without sensitive content.</t>
  </si>
  <si>
    <t>docs/test-evidence/W6-06-observability.json</t>
  </si>
  <si>
    <t>W4-08,W6-02</t>
  </si>
  <si>
    <t>Disable broken exporter; preserve local telemetry path.</t>
  </si>
  <si>
    <t>Week 6 Observability platform task in the end-to-end architecture. After Code Edit Approval, Codex writes only the approved code/configuration/test code for “Deploy OTel path to CloudWatch/X-Ray plus Prometheus/Grafana/Jaeger option.”; you run the verification/deployment commands and return the results. Business value: Vendor-neutral telemetry supports both AWS and open-source operations. Interview focus: explain where this component sits, how it fails safely and how it is rolled back.</t>
  </si>
  <si>
    <t>W6-07</t>
  </si>
  <si>
    <t>SRE objectives</t>
  </si>
  <si>
    <t>Approve SLIs/SLOs, error-budget policy and burn alerts.</t>
  </si>
  <si>
    <t>Reliability targets must reflect user pain and govern releases.</t>
  </si>
  <si>
    <t>SLO-001, OBS-001</t>
  </si>
  <si>
    <t>Availability 99.9%, p95&lt;4s, p99&lt;10s, retrieval p99&lt;750ms, grounded&gt;=95%, isolation/safety=100% are reviewed.</t>
  </si>
  <si>
    <t>promtool check rules observability/alerts.yml</t>
  </si>
  <si>
    <t>Rules validate and map to an owner/runbook.</t>
  </si>
  <si>
    <t>docs/architecture/slo.md</t>
  </si>
  <si>
    <t>Disable noisy alert only through reviewed threshold/runbook update.</t>
  </si>
  <si>
    <t>Week 6 SRE objectives task in the end-to-end architecture. After Code Edit Approval, Codex writes only the approved code/configuration/test code for “Approve SLIs/SLOs, error-budget policy and burn alerts.”; you run the verification/deployment commands and return the results. Business value: Reliability targets must reflect user pain and govern releases. Interview focus: explain where this component sits, how it fails safely and how it is rolled back.</t>
  </si>
  <si>
    <t>W6-08</t>
  </si>
  <si>
    <t>Runbook</t>
  </si>
  <si>
    <t>Create and rehearse inference-latency-spike runbook.</t>
  </si>
  <si>
    <t>An alert is useful only if it drives a safe action.</t>
  </si>
  <si>
    <t>Codex + User</t>
  </si>
  <si>
    <t>Runbook covers impact, stabilize, stage isolation, rollback and evidence.</t>
  </si>
  <si>
    <t>Run tabletop and record timeline</t>
  </si>
  <si>
    <t>Owner can distinguish retrieval, model, queue and dependency latency.</t>
  </si>
  <si>
    <t>runbooks/inference-latency.md</t>
  </si>
  <si>
    <t>ADR-008, ADR-012</t>
  </si>
  <si>
    <t>W6-06,W6-07</t>
  </si>
  <si>
    <t>Rollback release/config; use safe refusal/fallback if approved.</t>
  </si>
  <si>
    <t>Week 6 Runbook task in the end-to-end architecture. After Code Edit Approval, Codex writes only the approved code/configuration/test code for “Create and rehearse inference-latency-spike runbook.”; you run the verification/deployment commands and return the results. Business value: An alert is useful only if it drives a safe action. Interview focus: explain where this component sits, how it fails safely and how it is rolled back.</t>
  </si>
  <si>
    <t>W6-09</t>
  </si>
  <si>
    <t>Failure/chaos</t>
  </si>
  <si>
    <t>Stop Qdrant/inject LLM timeout locally; prepare FIS plan without executing it.</t>
  </si>
  <si>
    <t>Controlled failure proves readiness, bounded retries and alert/runbook quality.</t>
  </si>
  <si>
    <t>FIS-001</t>
  </si>
  <si>
    <t>Readiness fails, no retry storm, alert/runbook activates; FIS has tag targets/stop alarms.</t>
  </si>
  <si>
    <t>pytest tests/feature/test_failure_modes.py -q</t>
  </si>
  <si>
    <t>RTO and alert evidence recorded; no production target.</t>
  </si>
  <si>
    <t>docs/test-evidence/W6-09-chaos.txt</t>
  </si>
  <si>
    <t>W6-07,W6-08</t>
  </si>
  <si>
    <t>Stop experiment, restore dependency, rollback configuration.</t>
  </si>
  <si>
    <t>Week 6 Failure/chaos task in the end-to-end architecture. After Code Edit Approval, Codex writes only the approved code/configuration/test code for “Stop Qdrant/inject LLM timeout locally; prepare FIS plan without executing it.”; you run the verification/deployment commands and return the results. Business value: Controlled failure proves readiness, bounded retries and alert/runbook quality. Interview focus: explain where this component sits, how it fails safely and how it is rolled back.</t>
  </si>
  <si>
    <t>W6-10</t>
  </si>
  <si>
    <t>End-to-end validation</t>
  </si>
  <si>
    <t>Run local and sandbox cited query plus golden evaluation/security suite.</t>
  </si>
  <si>
    <t>Final proof must combine functionality, quality, security and observability.</t>
  </si>
  <si>
    <t>W6-003</t>
  </si>
  <si>
    <t>No material regression; sandbox query has citations and trace ID.</t>
  </si>
  <si>
    <t>make final-proof</t>
  </si>
  <si>
    <t>Evidence index links tests, eval, scans, traces and decisions.</t>
  </si>
  <si>
    <t>docs/test-evidence/W6-final-index.md</t>
  </si>
  <si>
    <t>W6-01:W6-09</t>
  </si>
  <si>
    <t>Block promotion and restore last-known-good release/config.</t>
  </si>
  <si>
    <t>Week 6 End-to-end validation task in the end-to-end architecture. After Code Edit Approval, Codex writes only the approved code/configuration/test code for “Run local and sandbox cited query plus golden evaluation/security suite.”; you run the verification/deployment commands and return the results. Business value: Final proof must combine functionality, quality, security and observability. Interview focus: explain where this component sits, how it fails safely and how it is rolled back.</t>
  </si>
  <si>
    <t>W6-11</t>
  </si>
  <si>
    <t>Release rollback drill</t>
  </si>
  <si>
    <t>Force a safe sandbox regression and restore previous image/configuration.</t>
  </si>
  <si>
    <t>Rollback must be timed and revalidated before handover.</t>
  </si>
  <si>
    <t>Last-known-good release passes health, smoke and evaluation gates.</t>
  </si>
  <si>
    <t>Rollback record includes trigger, approver, duration and post-checks.</t>
  </si>
  <si>
    <t>docs/rollback-records/W6-release.md</t>
  </si>
  <si>
    <t>Keep failed digest blocked; open defect with evidence.</t>
  </si>
  <si>
    <t>Week 6 owner decision/checkpoint in Release rollback drill. You choose, approve or execute “Force a safe sandbox regression and restore previous image/configuration.” because the decision affects downstream architecture and risk. Codex explains alternatives and may draft approved wording only under the proper approval stage. Business value: Rollback must be timed and revalidated before handover. Interview focus: explain the decision, trade-off and downstream consequence.</t>
  </si>
  <si>
    <t>W6-12</t>
  </si>
  <si>
    <t>Full teardown</t>
  </si>
  <si>
    <t>Run approved destroy sequence, remove bootstrap last and verify cleanliness.</t>
  </si>
  <si>
    <t>Learning-project cost and residue must stop after use.</t>
  </si>
  <si>
    <t>No active project resource remains; KMS exception is PendingDeletion only.</t>
  </si>
  <si>
    <t>make plan-destroy-sandbox; owner approve; make destroy-sandbox; make verify-clean</t>
  </si>
  <si>
    <t>Signed cleanup report and deletion record exist.</t>
  </si>
  <si>
    <t>docs/resource-cleanliness/W6-final.json</t>
  </si>
  <si>
    <t>ADR-009, ADR-013, ADR-014</t>
  </si>
  <si>
    <t>Remove residuals in dependency order; never broadly target unverified resources.</t>
  </si>
  <si>
    <t>Week 6 owner decision/checkpoint in Full teardown. You choose, approve or execute “Run approved destroy sequence, remove bootstrap last and verify cleanliness.” because the decision affects downstream architecture and risk. Codex explains alternatives and may draft approved wording only under the proper approval stage. Business value: Learning-project cost and residue must stop after use. Interview focus: explain the decision, trade-off and downstream consequence.</t>
  </si>
  <si>
    <t>W6-13</t>
  </si>
  <si>
    <t>Handover and learning</t>
  </si>
  <si>
    <t>Update ADRs with actual outcomes and deliver a 10-minute architecture explanation.</t>
  </si>
  <si>
    <t>The engineer must understand and defend every decision, not just run generated code.</t>
  </si>
  <si>
    <t>Explain objective, flows, security, evaluation, agent controls, SLOs and reversibility.</t>
  </si>
  <si>
    <t>Owner presentation rehearsal and final workbook review</t>
  </si>
  <si>
    <t>All TODOs/deferrals are visible; source-of-truth and workbook agree.</t>
  </si>
  <si>
    <t>docs/architecture/final-review.md</t>
  </si>
  <si>
    <t>W6-01:W6-12</t>
  </si>
  <si>
    <t>Any future change starts a new controlled feature cycle.</t>
  </si>
  <si>
    <t>Week 6 owner decision/checkpoint in Handover and learning. You choose, approve or execute “Update ADRs with actual outcomes and deliver a 10-minute architecture explanation.” because the decision affects downstream architecture and risk. Codex explains alternatives and may draft approved wording only under the proper approval stage. Business value: The engineer must understand and defend every decision, not just run generated code. Interview focus: explain the decision, trade-off and downstream consequence.</t>
  </si>
  <si>
    <t>W6-14</t>
  </si>
  <si>
    <t>Complete the Week 6 end-to-end architecture, deployment, SRE and interview teach-back.</t>
  </si>
  <si>
    <t>Consolidates the full enterprise AI platform into a deployment, reliability, security and business-value narrative.</t>
  </si>
  <si>
    <t>Owner delivers a 10-minute end-to-end explanation plus failure, rollback, teardown and five interview answers.</t>
  </si>
  <si>
    <t>Final business case, architecture deep-dive, layman walkthrough, decision recap and interview Q&amp;A completed.</t>
  </si>
  <si>
    <t>docs/learning/W6-learning-review.md</t>
  </si>
  <si>
    <t>All approved ADRs</t>
  </si>
  <si>
    <t>Final learning and interview-readiness gate.</t>
  </si>
  <si>
    <t>Week 6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</si>
  <si>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Week 1 — Control Foundation</t>
  </si>
  <si>
    <t>Control foundation: repo, traceability, test/security gates, separated Terraform roots and cleanup-verifier skeleton.</t>
  </si>
  <si>
    <t>Exit gate</t>
  </si>
  <si>
    <t>Preflight, tests, reviewed-plan and cleanup workflows are understood and pass before RAG code.</t>
  </si>
  <si>
    <t>Action</t>
  </si>
  <si>
    <t>Architecture Reason</t>
  </si>
  <si>
    <t>Effort</t>
  </si>
  <si>
    <t>Prompt</t>
  </si>
  <si>
    <t>User TODO</t>
  </si>
  <si>
    <t>Acceptance</t>
  </si>
  <si>
    <t>Owner Verify</t>
  </si>
  <si>
    <t>Evidence</t>
  </si>
  <si>
    <t>Rollback/Teardown</t>
  </si>
  <si>
    <t>Grouped prompt sequence — full Main / Code Edit / Document Writing / Final Approval prompts are in 10 Codex Prompts</t>
  </si>
  <si>
    <t>Order</t>
  </si>
  <si>
    <t>Feature</t>
  </si>
  <si>
    <t>Purpose</t>
  </si>
  <si>
    <t>Required Inputs</t>
  </si>
  <si>
    <t>Expected Outputs</t>
  </si>
  <si>
    <t>Example Usage</t>
  </si>
  <si>
    <t>MVP scope and approval record</t>
  </si>
  <si>
    <t>Create the missing one-page MVP-001 source-of-truth artifact before repository implementation.</t>
  </si>
  <si>
    <t>USE-001, DATA-001 and five starter EVAL-001 questions; no credentials</t>
  </si>
  <si>
    <t>docs/features/MVP-001.md with scope, exclusions, measures and approval fields</t>
  </si>
  <si>
    <t>Review Main Prompt → Column M document approval → owner review → Column N final approval</t>
  </si>
  <si>
    <t>Source precedence ADR</t>
  </si>
  <si>
    <t>Create the missing governance decision without creating unrelated Codex context files.</t>
  </si>
  <si>
    <t>Source of Truth v1.1 and Coaching Blueprint as read-only references; no credentials</t>
  </si>
  <si>
    <t>docs/adr/ADR-000-source-precedence.md in Proposed state</t>
  </si>
  <si>
    <t>Repository and feature-control foundation</t>
  </si>
  <si>
    <t>Create the traceability and evidence structure before feature code.</t>
  </si>
  <si>
    <t>TODO_REPOSITORY, TODO_USER_OR_TEAM, TODO_COST_CENTER</t>
  </si>
  <si>
    <t>Monorepo skeleton, feature-matrix.yaml, ADR/test/evidence folders, Makefile, README</t>
  </si>
  <si>
    <t>Review Main Prompt → Column L code approval → owner runs TEST-001 guidance → Column M documents → Column N final approval</t>
  </si>
  <si>
    <t>Dependency and configuration foundation</t>
  </si>
  <si>
    <t>Make installation reproducible and configuration explicit.</t>
  </si>
  <si>
    <t>Python 3.11; no cloud credentials</t>
  </si>
  <si>
    <t>requirements*.txt, pyproject.toml, .env.example, typed config and unit tests</t>
  </si>
  <si>
    <t>Test and evidence framework</t>
  </si>
  <si>
    <t>Make every acceptance criterion executable and auditable.</t>
  </si>
  <si>
    <t>Feature template and repo skeleton</t>
  </si>
  <si>
    <t>pytest markers, fixtures, evidence naming rules, sample feature test</t>
  </si>
  <si>
    <t>Lifecycle controller and cleanup-verifier skeleton</t>
  </si>
  <si>
    <t>Treat deployability and reversibility as platform features.</t>
  </si>
  <si>
    <t>Required tag schema; sandbox-only scope</t>
  </si>
  <si>
    <t>platformctl commands, dry-run workflows, mocked residual-resource tests</t>
  </si>
  <si>
    <t>Reusable weekly checkpoint</t>
  </si>
  <si>
    <t>Stop between weeks until MUST work, evidence, decisions, TODOs and rollback readiness are reviewed.</t>
  </si>
  <si>
    <t>Week 1 owner learning and interview teach-back</t>
  </si>
  <si>
    <t>Teach the completed week's business outcome, architecture, decisions, trade-offs and failure/rollback story.</t>
  </si>
  <si>
    <t>Completed weekly tasks, owner-executed results, approved decisions and documentation</t>
  </si>
  <si>
    <t>Owner teach-back and optional docs/learning/W1-learning-review.md</t>
  </si>
  <si>
    <t>Use after all weekly work and final approvals; no code or runtime action</t>
  </si>
  <si>
    <t>Week 2 — Local Retrieval</t>
  </si>
  <si>
    <t>Local searchable knowledge: typed contracts, secure ingestion, local embeddings, Qdrant, authorization and reversible feature proof.</t>
  </si>
  <si>
    <t>Local retrieval deploys, returns authorized expected sources, rolls back and removes without residue.</t>
  </si>
  <si>
    <t>Domain models and pluggable vector adapters</t>
  </si>
  <si>
    <t>Prevent vendor SDK types from leaking into RAG logic.</t>
  </si>
  <si>
    <t>QDRANT_URL; AWS auth only for marked tests</t>
  </si>
  <si>
    <t>Domain models, VectorStore protocol, Qdrant/OpenSearch/fake adapters, contract tests</t>
  </si>
  <si>
    <t>Embedder contract and local adapter</t>
  </si>
  <si>
    <t>Support local and future provider embeddings through one boundary.</t>
  </si>
  <si>
    <t>EMBEDDING_MODEL_ID</t>
  </si>
  <si>
    <t>Embedder protocol, sentence-transformer/fake adapters, batch and dimension tests</t>
  </si>
  <si>
    <t>Secure ingestion pipeline</t>
  </si>
  <si>
    <t>Turn approved files into versioned, authorized chunks.</t>
  </si>
  <si>
    <t>Approved local sample path; tenant/classification rules</t>
  </si>
  <si>
    <t>Loaders, chunker, Presidio hook, CLI, manifest, quarantine and tests</t>
  </si>
  <si>
    <t>Local Qdrant lifecycle and retrieval proof</t>
  </si>
  <si>
    <t>Prove the feature can be deployed, tested, rolled back and removed locally.</t>
  </si>
  <si>
    <t>Docker 24+, QDRANT_URL</t>
  </si>
  <si>
    <t>docker-compose.yml, local lifecycle targets, integration and cleanup tests</t>
  </si>
  <si>
    <t>Local retrieval architecture explanation</t>
  </si>
  <si>
    <t>Create an interview-ready explanation grounded in the implemented retrieval evidence.</t>
  </si>
  <si>
    <t>Approved W2 ADRs, adapter/chunking configuration and W2 evidence</t>
  </si>
  <si>
    <t>Use only for owner learning and teach-back; no code, command or document mutation</t>
  </si>
  <si>
    <t>Week 2 owner learning and interview teach-back</t>
  </si>
  <si>
    <t>Owner teach-back and optional docs/learning/W2-learning-review.md</t>
  </si>
  <si>
    <t>Week 3 — Cited RAG</t>
  </si>
  <si>
    <t>Cited RAG: provider-neutral LLM, Bedrock adapter, citations/abstention, guardrails, golden evaluation and regression rollback.</t>
  </si>
  <si>
    <t>A query returns a grounded cited answer or safe abstention; regression/security/rollback tests pass.</t>
  </si>
  <si>
    <t>LLM adapters and cited RAG pipeline</t>
  </si>
  <si>
    <t>Generate evidence-bound answers while retaining provider portability.</t>
  </si>
  <si>
    <t>LLM_PROVIDER, LLM_MODEL_ID, AWS_REGION; Bedrock test is marked</t>
  </si>
  <si>
    <t>LLM protocol, fake/Bedrock adapters, prompt loader, RAG service and tests</t>
  </si>
  <si>
    <t>Evaluation harness and release gate</t>
  </si>
  <si>
    <t>Replace subjective demonstrations with repeatable evidence.</t>
  </si>
  <si>
    <t>configs/eval/golden.jsonl with 25+ approved cases</t>
  </si>
  <si>
    <t>JSONL schema, deterministic metrics, Ragas adapter, baseline and report</t>
  </si>
  <si>
    <t>RAG guardrails and security regression suite</t>
  </si>
  <si>
    <t>Treat retrieved content as untrusted and enforce authorization outside the model.</t>
  </si>
  <si>
    <t>Classification/tenant rules; injection fixtures</t>
  </si>
  <si>
    <t>Input/output validators, citation/abstention gates, security tests</t>
  </si>
  <si>
    <t>Cited-RAG configuration rollback drill</t>
  </si>
  <si>
    <t>Prove prompt/model/retriever/index configuration can return to a known-good baseline.</t>
  </si>
  <si>
    <t>Approved baseline and exact local configuration paths from the pre-edit plan</t>
  </si>
  <si>
    <t>Restored configuration and docs/rollback-records/W3-rag.md</t>
  </si>
  <si>
    <t>Week 3 owner learning and interview teach-back</t>
  </si>
  <si>
    <t>Owner teach-back and optional docs/learning/W3-learning-review.md</t>
  </si>
  <si>
    <t>Week 4 — API and Agent</t>
  </si>
  <si>
    <t>Controlled API and agent: FastAPI, LangGraph, budgets, human approval, redacted state, telemetry and release rollback.</t>
  </si>
  <si>
    <t>Write action cannot execute without policy and durable approval; previous release restores successfully.</t>
  </si>
  <si>
    <t>FastAPI service boundary</t>
  </si>
  <si>
    <t>Expose production-shaped, testable endpoints.</t>
  </si>
  <si>
    <t>Fake providers by default; auth interface choice</t>
  </si>
  <si>
    <t>FastAPI endpoints, schemas, dependencies, health, error mapping and tests</t>
  </si>
  <si>
    <t>Bounded LangGraph agent controller</t>
  </si>
  <si>
    <t>Add controlled agent behavior without uncontrolled autonomy.</t>
  </si>
  <si>
    <t>Step/tool/time budgets; approval-store decision</t>
  </si>
  <si>
    <t>Typed graph, nodes/edges, approval interrupt, tools, tests and Mermaid</t>
  </si>
  <si>
    <t>Application telemetry and redacted audit trail</t>
  </si>
  <si>
    <t>Make each RAG and agent stage explainable operationally.</t>
  </si>
  <si>
    <t>OTEL exporter endpoint; no content export</t>
  </si>
  <si>
    <t>Telemetry module, structured logs, trace tests and local collector config</t>
  </si>
  <si>
    <t>Local immutable release rollback drill</t>
  </si>
  <si>
    <t>Prove release rollback separately from infrastructure rollback.</t>
  </si>
  <si>
    <t>Approved local immutable releases N and N+1 and safe regression method</t>
  </si>
  <si>
    <t>Restored release N and docs/rollback-records/W4-release.md</t>
  </si>
  <si>
    <t>Week 4 owner learning and interview teach-back</t>
  </si>
  <si>
    <t>Owner teach-back and optional docs/learning/W4-learning-review.md</t>
  </si>
  <si>
    <t>Week 5 — AWS Lifecycle</t>
  </si>
  <si>
    <t>AWS lifecycle proof: Terraform/policy/CI, reviewed plans, short-lived identity, deploy/rollback/teardown capability and orphan scan.</t>
  </si>
  <si>
    <t>Terraform/policy/plan/lifecycle evidence passes; no plaintext secret or unexpected unmanaged resource.</t>
  </si>
  <si>
    <t>AWS sandbox input approval</t>
  </si>
  <si>
    <t>Capture all non-secret AWS, network, tagging, residency and budget choices before Terraform work.</t>
  </si>
  <si>
    <t>AWS-001, AWS-002, NET-001, TAG-001, COST-001 and PRIV-001; no credentials</t>
  </si>
  <si>
    <t>Non-secret tfvars example and docs/cost-estimates/W5-inputs.md</t>
  </si>
  <si>
    <t>Terraform AWS sandbox modules</t>
  </si>
  <si>
    <t>Produce reviewable infrastructure without secret material.</t>
  </si>
  <si>
    <t>TODO account, region, VPC/subnets, GitHub repo, tags, Bedrock models</t>
  </si>
  <si>
    <t>Bootstrap and KMS/S3/IAM/OpenSearch/ECR/secret-metadata modules</t>
  </si>
  <si>
    <t>GitHub Actions DevSecOps pipeline</t>
  </si>
  <si>
    <t>Enforce quality, IaC and supply-chain gates with short-lived identity.</t>
  </si>
  <si>
    <t>GitHub environment, OIDC role ARN, sandbox variables</t>
  </si>
  <si>
    <t>PR CI, Terraform plan workflow, image/SBOM scans and approval-gated deploy shell</t>
  </si>
  <si>
    <t>OPA and Checkov policy pack</t>
  </si>
  <si>
    <t>Make critical cloud controls executable before apply.</t>
  </si>
  <si>
    <t>Approved regions, encryption/tag rules, exception process</t>
  </si>
  <si>
    <t>Rego policies/tests, Checkov custom policies and fixtures</t>
  </si>
  <si>
    <t>Reviewed deploy, rollback, teardown and orphan scan</t>
  </si>
  <si>
    <t>Prove the AWS lifecycle without leaving unmanaged resources.</t>
  </si>
  <si>
    <t>Approved saved plan; budget ceiling; typed owner confirmations</t>
  </si>
  <si>
    <t>platformctl AWS implementations, deployment/rollback/destroy records, cleanup report</t>
  </si>
  <si>
    <t>Week 5 owner learning and interview teach-back</t>
  </si>
  <si>
    <t>Owner teach-back and optional docs/learning/W5-learning-review.md</t>
  </si>
  <si>
    <t>Week 6 — EKS and SRE</t>
  </si>
  <si>
    <t>EKS/SRE final proof: immutable workload, identity/network/resilience, SLOs/runbook/chaos, rollback and complete teardown.</t>
  </si>
  <si>
    <t>End-to-end RAG meets gates; release rollback and full teardown/cleanliness proof are signed.</t>
  </si>
  <si>
    <t>Immutable EKS application deployment</t>
  </si>
  <si>
    <t>Deploy the verified service with workload identity and safe rollout controls.</t>
  </si>
  <si>
    <t>EKS cluster/namespace, ECR digest, domain/cert, pod identity choice</t>
  </si>
  <si>
    <t>Kubernetes/Helm manifests, identity, network policy, health, HPA/PDB and rollback</t>
  </si>
  <si>
    <t>SRE observability, alerts, runbook and chaos plan</t>
  </si>
  <si>
    <t>Make the platform supportable and measurable.</t>
  </si>
  <si>
    <t>SLO approval; alert destination; pre-production chaos approval</t>
  </si>
  <si>
    <t>OTel collector, Prometheus, Grafana, CloudWatch alarms, runbook and FIS plan</t>
  </si>
  <si>
    <t>Final end-to-end proof and handover</t>
  </si>
  <si>
    <t>Demonstrate architecture, quality, safety, rollback and clean teardown together.</t>
  </si>
  <si>
    <t>Approved sandbox window and evidence locations</t>
  </si>
  <si>
    <t>Final validation script, evidence index, ADR updates, demo checklist and architecture brief</t>
  </si>
  <si>
    <t>Week 6 owner learning and interview teach-back</t>
  </si>
  <si>
    <t>Owner teach-back and optional docs/learning/W6-learning-review.md</t>
  </si>
  <si>
    <t>Architecture Map and Decision Trace</t>
  </si>
  <si>
    <t>Objective: turn approved enterprise knowledge into safe, cited answers and controlled actions while every change remains testable, observable, recoverable and removable.</t>
  </si>
  <si>
    <t>End-to-end flow: approved source → validate/classify/redact → chunk/embed → vector index → authenticate/authorize → retrieve evidence → generate → validate citations/abstain → optionally propose an allowlisted tool → human approval → observe/audit</t>
  </si>
  <si>
    <t>Layer</t>
  </si>
  <si>
    <t>Component</t>
  </si>
  <si>
    <t>Plain-Language Role</t>
  </si>
  <si>
    <t>Selected Design</t>
  </si>
  <si>
    <t>Build Week</t>
  </si>
  <si>
    <t>Decision IDs</t>
  </si>
  <si>
    <t>Safe Failure Behavior</t>
  </si>
  <si>
    <t>How We Verify</t>
  </si>
  <si>
    <t>Knowledge plane</t>
  </si>
  <si>
    <t>S3 versioned source</t>
  </si>
  <si>
    <t>Document warehouse for approved source material.</t>
  </si>
  <si>
    <t>S3 + secure ingestion</t>
  </si>
  <si>
    <t>Weeks 2,5</t>
  </si>
  <si>
    <t>ADR-006, ADR-009</t>
  </si>
  <si>
    <t>Quarantine invalid/PII content; do not index it.</t>
  </si>
  <si>
    <t>Ingestion manifest and PII tests</t>
  </si>
  <si>
    <t>Ingestion + Presidio</t>
  </si>
  <si>
    <t>Librarian that validates, hashes, classifies, redacts and chunks.</t>
  </si>
  <si>
    <t>Python local first; Glue/Macie later</t>
  </si>
  <si>
    <t>Bad files are quarantined; retries are bounded.</t>
  </si>
  <si>
    <t>Idempotency/quarantine evidence</t>
  </si>
  <si>
    <t>Sentence Transformers</t>
  </si>
  <si>
    <t>Converts text meaning to normalized vectors.</t>
  </si>
  <si>
    <t>Local CPU adapter</t>
  </si>
  <si>
    <t>Dimension/model mismatch fails before upsert.</t>
  </si>
  <si>
    <t>Embedder unit tests</t>
  </si>
  <si>
    <t>Qdrant</t>
  </si>
  <si>
    <t>Local searchable catalogue for development/integration.</t>
  </si>
  <si>
    <t>MUST local</t>
  </si>
  <si>
    <t>Readiness fails and query returns controlled dependency error.</t>
  </si>
  <si>
    <t>Qdrant contract/cleanup tests</t>
  </si>
  <si>
    <t>OpenSearch vectors</t>
  </si>
  <si>
    <t>Private AWS vector and hybrid search target.</t>
  </si>
  <si>
    <t>MUST plan; SHOULD deploy</t>
  </si>
  <si>
    <t>Use last good Terraform/index; do not expose public endpoint.</t>
  </si>
  <si>
    <t>Terraform plan/policy evidence</t>
  </si>
  <si>
    <t>Request plane</t>
  </si>
  <si>
    <t>FastAPI/Uvicorn</t>
  </si>
  <si>
    <t>Typed front desk for health, query and agent requests.</t>
  </si>
  <si>
    <t>Thin API boundary</t>
  </si>
  <si>
    <t>Deadline/size/concurrency errors are normalized.</t>
  </si>
  <si>
    <t>API unit/smoke tests</t>
  </si>
  <si>
    <t>Identity + metadata policy</t>
  </si>
  <si>
    <t>Security desk checking who may retrieve or act.</t>
  </si>
  <si>
    <t>Authorize before retrieval/action</t>
  </si>
  <si>
    <t>Weeks 2,4</t>
  </si>
  <si>
    <t>Deny before calling retriever or tool.</t>
  </si>
  <si>
    <t>Tenant/auth security tests</t>
  </si>
  <si>
    <t>Retriever interface</t>
  </si>
  <si>
    <t>Finds authorized evidence without leaking vendor types.</t>
  </si>
  <si>
    <t>Qdrant/OpenSearch adapters</t>
  </si>
  <si>
    <t>Weeks 2,3</t>
  </si>
  <si>
    <t>Abstain/control-error when evidence/dependency is insufficient.</t>
  </si>
  <si>
    <t>Backend contract + recall@5</t>
  </si>
  <si>
    <t>Bedrock LLM adapter</t>
  </si>
  <si>
    <t>Language expert drafts from supplied evidence.</t>
  </si>
  <si>
    <t>Primary AWS LLM boundary</t>
  </si>
  <si>
    <t>Bounded retry/fallback or controlled timeout error.</t>
  </si>
  <si>
    <t>Adapter and usage tests</t>
  </si>
  <si>
    <t>RAG guardrails</t>
  </si>
  <si>
    <t>Checks untrusted context, citations, output schema and refusal.</t>
  </si>
  <si>
    <t>Deterministic gates around model</t>
  </si>
  <si>
    <t>Reject malformed/uncited output or safely abstain.</t>
  </si>
  <si>
    <t>Security and golden evaluation</t>
  </si>
  <si>
    <t>Action plane</t>
  </si>
  <si>
    <t>LangGraph controller</t>
  </si>
  <si>
    <t>Workflow supervisor with explicit state and terminal paths.</t>
  </si>
  <si>
    <t>Bounded graph</t>
  </si>
  <si>
    <t>Budget/timeout/denial ends in safe terminal.</t>
  </si>
  <si>
    <t>Graph path tests</t>
  </si>
  <si>
    <t>Allowlisted tools + approval</t>
  </si>
  <si>
    <t>Narrow functions; write actions need durable human decision.</t>
  </si>
  <si>
    <t>Read-only default</t>
  </si>
  <si>
    <t>No valid approval means no write side effect.</t>
  </si>
  <si>
    <t>Approval/idempotency tests</t>
  </si>
  <si>
    <t>Runtime plane</t>
  </si>
  <si>
    <t>EKS + ECR</t>
  </si>
  <si>
    <t>Runs immutable API image with Kubernetes controls.</t>
  </si>
  <si>
    <t>Learning deployment target</t>
  </si>
  <si>
    <t>Rolling rollback to previous digest.</t>
  </si>
  <si>
    <t>Manifest/health/rollback evidence</t>
  </si>
  <si>
    <t>Security plane</t>
  </si>
  <si>
    <t>IAM/KMS/Secrets Manager</t>
  </si>
  <si>
    <t>Workload identity, encryption and runtime secret retrieval.</t>
  </si>
  <si>
    <t>Least privilege; no secret in code/state</t>
  </si>
  <si>
    <t>Weeks 1–6</t>
  </si>
  <si>
    <t>Fail closed; revoke role/session; rotate exposed secret.</t>
  </si>
  <si>
    <t>Policy and identity tests</t>
  </si>
  <si>
    <t>Control plane</t>
  </si>
  <si>
    <t>Terraform + GitHub Actions</t>
  </si>
  <si>
    <t>Creates reviewed infrastructure and enforces CI/security gates.</t>
  </si>
  <si>
    <t>Saved plans; OIDC; manual mutation</t>
  </si>
  <si>
    <t>Weeks 1,5</t>
  </si>
  <si>
    <t>ADR-009, ADR-010, ADR-011</t>
  </si>
  <si>
    <t>Discard drifted plan; apply prior reviewed version.</t>
  </si>
  <si>
    <t>Plan/policy/OIDC evidence</t>
  </si>
  <si>
    <t>Operations plane</t>
  </si>
  <si>
    <t>OpenTelemetry</t>
  </si>
  <si>
    <t>Correlates safe traces, metrics and logs across every stage.</t>
  </si>
  <si>
    <t>Vendor-neutral contract</t>
  </si>
  <si>
    <t>Weeks 3–6</t>
  </si>
  <si>
    <t>Disable broken exporter; keep core service safe.</t>
  </si>
  <si>
    <t>Trace/redaction tests</t>
  </si>
  <si>
    <t>CloudWatch/X-Ray + Prometheus/Grafana/Jaeger</t>
  </si>
  <si>
    <t>Monitoring room, dashboards, alerts and investigation.</t>
  </si>
  <si>
    <t>AWS + open local path</t>
  </si>
  <si>
    <t>ADR-008, ADR-017</t>
  </si>
  <si>
    <t>Burn alert triggers runbook/rollback/fallback.</t>
  </si>
  <si>
    <t>Alert and runbook rehearsal</t>
  </si>
  <si>
    <t>Lifecycle plane</t>
  </si>
  <si>
    <t>platformctl + cleanup verifier</t>
  </si>
  <si>
    <t>Controls plan/deploy/rollback/destroy and proves no residue.</t>
  </si>
  <si>
    <t>Separate release/infra/teardown</t>
  </si>
  <si>
    <t>Weeks 1,5,6</t>
  </si>
  <si>
    <t>ADR-012, ADR-013, ADR-014</t>
  </si>
  <si>
    <t>Unexpected target/residual stops completion.</t>
  </si>
  <si>
    <t>Rollback and cleanliness reports</t>
  </si>
  <si>
    <t>Controlled Owner-Led Codex Prompt Library — v1.3.4</t>
  </si>
  <si>
    <t>Workflow: FOUR APPROVAL GATES PLUS OWNER TESTING AND WEEKLY LEARNING. Main Prompt is read-only; Column L authorizes exact code/content edits; the owner executes TEST-001; Column M produces the complete document manifest; Column N closes every manifest document; only the owner updates Excel.</t>
  </si>
  <si>
    <t>Main Prompt (paste first)</t>
  </si>
  <si>
    <t>Workflow / Execution Order</t>
  </si>
  <si>
    <t>Verification / Stop Point</t>
  </si>
  <si>
    <t>Owner Approval</t>
  </si>
  <si>
    <t>Covered Tracker Steps</t>
  </si>
  <si>
    <t>Column L — Code or Content Edit Approval</t>
  </si>
  <si>
    <t>Column M — Document Approval + Manifest</t>
  </si>
  <si>
    <t>Column N — Final Approval + Complete Closure</t>
  </si>
  <si>
    <t>Test and Evidence Register</t>
  </si>
  <si>
    <t>The owner runs every command. Record PASS only when the owner-executed output and approved evidence prove the expected result.</t>
  </si>
  <si>
    <t>Test ID</t>
  </si>
  <si>
    <t>Type</t>
  </si>
  <si>
    <t>Command</t>
  </si>
  <si>
    <t>Run Date</t>
  </si>
  <si>
    <t>Actual Result</t>
  </si>
  <si>
    <t>Defect / Follow-up</t>
  </si>
  <si>
    <t>Owner Sign-off</t>
  </si>
  <si>
    <t>T-W1-001</t>
  </si>
  <si>
    <t>Unit</t>
  </si>
  <si>
    <t>Typed config and invalid-value behavior</t>
  </si>
  <si>
    <t>pytest tests/unit/test_config.py -q</t>
  </si>
  <si>
    <t>Pass offline; invalid values fail clearly</t>
  </si>
  <si>
    <t>Pass</t>
  </si>
  <si>
    <t>PASS — typed configuration and consolidated Week 1 validation; implementation commit 210381c3ddbc9aab83ccaeb11a59db8d8dad549b.</t>
  </si>
  <si>
    <t>Canonical evidence reconciled; composite PASS is recorded in docs/test-evidence/W1-consolidated-validation.json.</t>
  </si>
  <si>
    <t>Gyan Prakash Rai — implementation approved 2026-08-18; reaffirmed 2026-08-18T16:01:18Z</t>
  </si>
  <si>
    <t>T-W1-002</t>
  </si>
  <si>
    <t>Feature-matrix schema/traceability</t>
  </si>
  <si>
    <t>Exit 0; missing required field fails</t>
  </si>
  <si>
    <t>PASS — feature-matrix validation and consolidated Week 1 validation; implementation commit 210381c3ddbc9aab83ccaeb11a59db8d8dad549b.</t>
  </si>
  <si>
    <t>T-W1-003</t>
  </si>
  <si>
    <t>Security</t>
  </si>
  <si>
    <t>Pre-commit/secret scanning</t>
  </si>
  <si>
    <t>Source passes; synthetic secret fixture is rejected</t>
  </si>
  <si>
    <t>PASS — final composite independent Week 1 closure gate; exact-staged security controls passed; implementation commit 210381c3ddbc9aab83ccaeb11a59db8d8dad549b.</t>
  </si>
  <si>
    <t>Historical TEST-001 and TEST-001R failures and TEST-001R2 evidence-only failure remain preserved; final focused composite independent PASS recorded.</t>
  </si>
  <si>
    <t>T-W1-004</t>
  </si>
  <si>
    <t>Teardown</t>
  </si>
  <si>
    <t>Mocked residual-resource verifier</t>
  </si>
  <si>
    <t>Unexpected residual fails; KMS exception classified</t>
  </si>
  <si>
    <t>PASS — mocked cleanup and consolidated cleanliness validation; implementation commit 210381c3ddbc9aab83ccaeb11a59db8d8dad549b.</t>
  </si>
  <si>
    <t>Canonical evidence reconciled; no AWS, paid API or deployment mutation occurred.</t>
  </si>
  <si>
    <t>T-W2-001</t>
  </si>
  <si>
    <t>Domain model validation</t>
  </si>
  <si>
    <t>Tenant/classification required</t>
  </si>
  <si>
    <t>docs/test-evidence/W2-models.txt</t>
  </si>
  <si>
    <t>Not Run</t>
  </si>
  <si>
    <t>T-W2-002</t>
  </si>
  <si>
    <t>Contract</t>
  </si>
  <si>
    <t>VectorStore fake/Qdrant parity</t>
  </si>
  <si>
    <t>pytest tests/contract -q</t>
  </si>
  <si>
    <t>All implementations satisfy same contract</t>
  </si>
  <si>
    <t>docs/test-evidence/W2-contract.txt</t>
  </si>
  <si>
    <t>T-W2-003</t>
  </si>
  <si>
    <t>Embedder batching/normalization/dimension</t>
  </si>
  <si>
    <t>No network; normalized vectors; mismatch rejected</t>
  </si>
  <si>
    <t>docs/test-evidence/W2-embedder.txt</t>
  </si>
  <si>
    <t>T-W2-004</t>
  </si>
  <si>
    <t>PII and tenant isolation</t>
  </si>
  <si>
    <t>pytest tests/security/test_pii.py tests/security/test_tenant_isolation.py -q</t>
  </si>
  <si>
    <t>No unredacted PII or cross-tenant chunk</t>
  </si>
  <si>
    <t>docs/test-evidence/W2-security.txt</t>
  </si>
  <si>
    <t>T-W2-005</t>
  </si>
  <si>
    <t>Idempotent ingestion and top-5 retrieval</t>
  </si>
  <si>
    <t>pytest tests/feature/test_local_retrieval.py -q</t>
  </si>
  <si>
    <t>Repeated ingest stable; expected source in top 5</t>
  </si>
  <si>
    <t>docs/test-evidence/W2-retrieval.json</t>
  </si>
  <si>
    <t>T-W2-006</t>
  </si>
  <si>
    <t>Local Compose cleanup</t>
  </si>
  <si>
    <t>No project container/volume/network</t>
  </si>
  <si>
    <t>docs/resource-cleanliness/W2-local.json</t>
  </si>
  <si>
    <t>T-W3-001</t>
  </si>
  <si>
    <t>Citation validation and abstention</t>
  </si>
  <si>
    <t>Only supplied citations; weak evidence abstains</t>
  </si>
  <si>
    <t>docs/test-evidence/W3-rag.txt</t>
  </si>
  <si>
    <t>T-W3-002</t>
  </si>
  <si>
    <t>Prompt injection and cross-tenant RAG</t>
  </si>
  <si>
    <t>No policy override or unauthorized retrieval</t>
  </si>
  <si>
    <t>docs/test-evidence/W3-security.txt</t>
  </si>
  <si>
    <t>T-W3-003</t>
  </si>
  <si>
    <t>Evaluation</t>
  </si>
  <si>
    <t>Golden-set baseline</t>
  </si>
  <si>
    <t>Recall@5 &gt;=0.85; grounded/cited or abstain &gt;=95%</t>
  </si>
  <si>
    <t>T-W3-004</t>
  </si>
  <si>
    <t>Rollback</t>
  </si>
  <si>
    <t>Prompt/model/retriever rollback</t>
  </si>
  <si>
    <t>Last-known-good baseline restored</t>
  </si>
  <si>
    <t>T-W4-001</t>
  </si>
  <si>
    <t>FastAPI health/query/error mapping</t>
  </si>
  <si>
    <t>Typed response; controlled errors; no internal leakage</t>
  </si>
  <si>
    <t>docs/test-evidence/W4-api.txt</t>
  </si>
  <si>
    <t>T-W4-002</t>
  </si>
  <si>
    <t>Agent approval and tool schema</t>
  </si>
  <si>
    <t>No write without valid approval</t>
  </si>
  <si>
    <t>docs/test-evidence/W4-approval.txt</t>
  </si>
  <si>
    <t>T-W4-003</t>
  </si>
  <si>
    <t>Agent limits and failure terminals</t>
  </si>
  <si>
    <t>pytest tests/feature/test_agent_failures.py -q</t>
  </si>
  <si>
    <t>Timeout/loop/malformed calls stop safely</t>
  </si>
  <si>
    <t>docs/test-evidence/W4-agent-failures.txt</t>
  </si>
  <si>
    <t>T-W4-004</t>
  </si>
  <si>
    <t>Trace/log correlation and redaction</t>
  </si>
  <si>
    <t>pytest tests/feature/test_trace_correlation.py tests/security/test_log_redaction.py -q</t>
  </si>
  <si>
    <t>One trace links stages; no sensitive content</t>
  </si>
  <si>
    <t>docs/test-evidence/W4-trace.json</t>
  </si>
  <si>
    <t>T-W4-005</t>
  </si>
  <si>
    <t>Immutable application release rollback</t>
  </si>
  <si>
    <t>Previous release healthy and feature-valid</t>
  </si>
  <si>
    <t>T-W5-001</t>
  </si>
  <si>
    <t>IaC</t>
  </si>
  <si>
    <t>Terraform format and validation</t>
  </si>
  <si>
    <t>Exit 0</t>
  </si>
  <si>
    <t>docs/test-evidence/W5-terraform.txt</t>
  </si>
  <si>
    <t>T-W5-002</t>
  </si>
  <si>
    <t>Policy</t>
  </si>
  <si>
    <t>tflint/Checkov/OPA</t>
  </si>
  <si>
    <t>Secure config passes; insecure fixtures fail</t>
  </si>
  <si>
    <t>docs/test-evidence/W5-policy.txt</t>
  </si>
  <si>
    <t>T-W5-003</t>
  </si>
  <si>
    <t>Reviewed sandbox plan</t>
  </si>
  <si>
    <t>Only expected resources; no secret values</t>
  </si>
  <si>
    <t>T-W5-004</t>
  </si>
  <si>
    <t>Trivy, Syft and Grype</t>
  </si>
  <si>
    <t>No disallowed critical finding; SBOM created</t>
  </si>
  <si>
    <t>docs/test-evidence/W5-supply-chain.txt</t>
  </si>
  <si>
    <t>T-W5-005</t>
  </si>
  <si>
    <t>Identity</t>
  </si>
  <si>
    <t>GitHub OIDC</t>
  </si>
  <si>
    <t>Run approved GitHub plan workflow</t>
  </si>
  <si>
    <t>Short-lived role; no access-key secret</t>
  </si>
  <si>
    <t>docs/test-evidence/W5-oidc.txt</t>
  </si>
  <si>
    <t>T-W5-006</t>
  </si>
  <si>
    <t>Destroy plan and clean-resource report</t>
  </si>
  <si>
    <t>No active residual except documented KMS PendingDeletion</t>
  </si>
  <si>
    <t>T-W6-001</t>
  </si>
  <si>
    <t>Manifest/schema/policy validation</t>
  </si>
  <si>
    <t>Dry-run passes; immutable digest/no secret literal</t>
  </si>
  <si>
    <t>docs/test-evidence/W6-k8s.txt</t>
  </si>
  <si>
    <t>T-W6-002</t>
  </si>
  <si>
    <t>Pod has workload identity only</t>
  </si>
  <si>
    <t>Inspect pod environment and AWS caller identity</t>
  </si>
  <si>
    <t>No static key; expected role session</t>
  </si>
  <si>
    <t>docs/test-evidence/W6-identity.txt</t>
  </si>
  <si>
    <t>T-W6-003</t>
  </si>
  <si>
    <t>SRE</t>
  </si>
  <si>
    <t>Prometheus rules and dashboard sources</t>
  </si>
  <si>
    <t>Rules valid and linked to runbook</t>
  </si>
  <si>
    <t>docs/test-evidence/W6-alerts.txt</t>
  </si>
  <si>
    <t>T-W6-004</t>
  </si>
  <si>
    <t>Chaos</t>
  </si>
  <si>
    <t>Qdrant stop and fake LLM timeout</t>
  </si>
  <si>
    <t>Readiness/alerts safe; no retry storm</t>
  </si>
  <si>
    <t>docs/test-evidence/W6-chaos.txt</t>
  </si>
  <si>
    <t>T-W6-005</t>
  </si>
  <si>
    <t>End-to-end sandbox quality</t>
  </si>
  <si>
    <t>No material regression; cited response and trace</t>
  </si>
  <si>
    <t>T-W6-006</t>
  </si>
  <si>
    <t>EKS release rollback</t>
  </si>
  <si>
    <t>Previous digest healthy within recorded RTO</t>
  </si>
  <si>
    <t>T-W6-007</t>
  </si>
  <si>
    <t>Full platform/bootstrap teardown and orphan scan</t>
  </si>
  <si>
    <t>No active project resource; state backend removed last</t>
  </si>
  <si>
    <t>T-W1-000</t>
  </si>
  <si>
    <t>Review</t>
  </si>
  <si>
    <t>MVP-001 scope completeness</t>
  </si>
  <si>
    <t>Review docs/features/MVP-001.md against USE-001, DATA-001 and the five-question EVAL-001 starter set</t>
  </si>
  <si>
    <t>Five representative questions, exclusions and measurable answer/abstain/security criteria are complete</t>
  </si>
  <si>
    <t>PASS — MVP-001 scope, starter questions and acceptance criteria reviewed and owner approved.</t>
  </si>
  <si>
    <t>Canonical scope evidence confirmed; implementation commit 210381c3ddbc9aab83ccaeb11a59db8d8dad549b.</t>
  </si>
  <si>
    <t>T-W1-000A</t>
  </si>
  <si>
    <t>ADR-000 source precedence</t>
  </si>
  <si>
    <t>Authority order, conflict rule, three examples, governance-only scope and Proposed status are present</t>
  </si>
  <si>
    <t>PASS — source precedence, conflict stop and governance-only scope reviewed and owner approved.</t>
  </si>
  <si>
    <t>Canonical governance evidence confirmed; implementation commit 210381c3ddbc9aab83ccaeb11a59db8d8dad549b.</t>
  </si>
  <si>
    <t>Architecture Decision Register</t>
  </si>
  <si>
    <t>Baseline decisions come from the source documents. Change them only with evidence, alternatives, trade-offs and a superseding ADR.</t>
  </si>
  <si>
    <t>Decision</t>
  </si>
  <si>
    <t>Decision Week</t>
  </si>
  <si>
    <t>Rationale</t>
  </si>
  <si>
    <t>Alternatives</t>
  </si>
  <si>
    <t>Trade-offs / Cost / Risk</t>
  </si>
  <si>
    <t>Revisit Trigger</t>
  </si>
  <si>
    <t>ADR Evidence Path</t>
  </si>
  <si>
    <t>Review Notes</t>
  </si>
  <si>
    <t>RAG before fine-tuning</t>
  </si>
  <si>
    <t>Baseline Approved</t>
  </si>
  <si>
    <t>Use RAG for current/proprietary knowledge; tune only after measured behavior gap.</t>
  </si>
  <si>
    <t>Fine-tune first; prompt-only</t>
  </si>
  <si>
    <t>Faster/cheaper and auditable, but retrieval quality becomes critical.</t>
  </si>
  <si>
    <t>Evaluation proves stable gap that RAG/prompting cannot close.</t>
  </si>
  <si>
    <t>docs/adr/ADR-001-rag-before-tuning.md</t>
  </si>
  <si>
    <t>Provider-neutral domain interfaces</t>
  </si>
  <si>
    <t>Keep model/vector/embedder SDK types at adapter boundaries.</t>
  </si>
  <si>
    <t>Direct vendor SDK use</t>
  </si>
  <si>
    <t>Adds interface code; materially improves portability and tests.</t>
  </si>
  <si>
    <t>A provider-specific feature gives measurable value impossible through the contract.</t>
  </si>
  <si>
    <t>docs/adr/ADR-002-provider-boundaries.md</t>
  </si>
  <si>
    <t>Qdrant local; OpenSearch AWS</t>
  </si>
  <si>
    <t>Qdrant gives realistic local DX; OpenSearch provides AWS-native vector/hybrid security.</t>
  </si>
  <si>
    <t>FAISS, Chroma, Milvus, Weaviate, Pinecone</t>
  </si>
  <si>
    <t>Two adapters/re-index path; OpenSearch has idle cost.</t>
  </si>
  <si>
    <t>Scale, residency, hybrid quality or cost evidence changes the decision.</t>
  </si>
  <si>
    <t>docs/adr/ADR-003-vector-stores.md</t>
  </si>
  <si>
    <t>Bedrock primary LLM adapter</t>
  </si>
  <si>
    <t>AWS IAM/regional model access without running GPUs.</t>
  </si>
  <si>
    <t>SageMaker, external API, local model</t>
  </si>
  <si>
    <t>Per-token cost, quotas and model/region constraints.</t>
  </si>
  <si>
    <t>Approved custom model or provider cost/quality advantage.</t>
  </si>
  <si>
    <t>docs/adr/ADR-004-bedrock.md</t>
  </si>
  <si>
    <t>LangGraph for bounded agent workflow</t>
  </si>
  <si>
    <t>Explicit state, budgets, approval and terminal outcomes.</t>
  </si>
  <si>
    <t>AutoGen, custom FSM, Step Functions</t>
  </si>
  <si>
    <t>Framework dependency and state discipline.</t>
  </si>
  <si>
    <t>Another engine passes identical safety/operability tests with lower complexity.</t>
  </si>
  <si>
    <t>docs/adr/ADR-005-langgraph.md</t>
  </si>
  <si>
    <t>Authorize before retrieval and action</t>
  </si>
  <si>
    <t>Models cannot enforce access; trusted identity/metadata policies must.</t>
  </si>
  <si>
    <t>Prompt-only authorization</t>
  </si>
  <si>
    <t>More policy/metadata design; prevents cross-tenant leakage/action.</t>
  </si>
  <si>
    <t>Never; only implementation may evolve after security review.</t>
  </si>
  <si>
    <t>docs/adr/ADR-006-authorization.md</t>
  </si>
  <si>
    <t>FastAPI/Uvicorn API boundary</t>
  </si>
  <si>
    <t>Typed, testable orchestration API and health endpoints.</t>
  </si>
  <si>
    <t>Lambda-only, Ray Serve, Triton</t>
  </si>
  <si>
    <t>Not optimized GPU serving; ideal for RAG orchestration.</t>
  </si>
  <si>
    <t>Measured throughput/model-serving needs require specialized runtime.</t>
  </si>
  <si>
    <t>docs/adr/ADR-007-fastapi.md</t>
  </si>
  <si>
    <t>OpenTelemetry as observability contract</t>
  </si>
  <si>
    <t>Vendor-neutral correlation across API, retrieval, model and tools.</t>
  </si>
  <si>
    <t>CloudWatch-only; vendor APM</t>
  </si>
  <si>
    <t>Requires collector/config; protects portability and privacy controls.</t>
  </si>
  <si>
    <t>Operating vendor standard changes while OTLP compatibility remains.</t>
  </si>
  <si>
    <t>docs/adr/ADR-008-otel.md</t>
  </si>
  <si>
    <t>Separate Terraform bootstrap/platform roots</t>
  </si>
  <si>
    <t>Platform can be destroyed before its remote-state backend.</t>
  </si>
  <si>
    <t>Single root</t>
  </si>
  <si>
    <t>Two-stage lifecycle adds deliberate coordination.</t>
  </si>
  <si>
    <t>A managed external state service changes teardown requirements.</t>
  </si>
  <si>
    <t>docs/adr/ADR-009-terraform-roots.md</t>
  </si>
  <si>
    <t>ADR-010</t>
  </si>
  <si>
    <t>Saved plan plus owner approval</t>
  </si>
  <si>
    <t>Only reviewed plan bytes may be applied.</t>
  </si>
  <si>
    <t>Direct terraform apply</t>
  </si>
  <si>
    <t>Slower delivery; much stronger change traceability.</t>
  </si>
  <si>
    <t>No relaxation for sandbox mutations without a superseding control decision.</t>
  </si>
  <si>
    <t>docs/adr/ADR-010-saved-plan.md</t>
  </si>
  <si>
    <t>ADR-011</t>
  </si>
  <si>
    <t>No automatic apply/destroy</t>
  </si>
  <si>
    <t>Protect learning-account budget and destructive boundaries.</t>
  </si>
  <si>
    <t>Fully automated CD/teardown</t>
  </si>
  <si>
    <t>Manual gate adds time; keeps user aware of every mutation.</t>
  </si>
  <si>
    <t>After mature controls, separate production governance may approve automation.</t>
  </si>
  <si>
    <t>docs/adr/ADR-011-manual-mutations.md</t>
  </si>
  <si>
    <t>Release, infrastructure rollback and teardown are separate</t>
  </si>
  <si>
    <t>Each solves a different failure and needs different validation.</t>
  </si>
  <si>
    <t>Use destroy as rollback</t>
  </si>
  <si>
    <t>More procedures; avoids data loss and confused recovery.</t>
  </si>
  <si>
    <t>Never merge concepts; refine runbooks as evidence changes.</t>
  </si>
  <si>
    <t>docs/adr/ADR-012-reversibility.md</t>
  </si>
  <si>
    <t>ADR-013</t>
  </si>
  <si>
    <t>Tags plus native service cleanup checks</t>
  </si>
  <si>
    <t>Tag discovery alone can miss untagged/unsupported residuals.</t>
  </si>
  <si>
    <t>Terraform destroy only; tags only</t>
  </si>
  <si>
    <t>Verifier needs maintenance; gives stronger cleanup evidence.</t>
  </si>
  <si>
    <t>AWS adds coverage that makes a native check redundant.</t>
  </si>
  <si>
    <t>docs/adr/ADR-013-cleanup-verification.md</t>
  </si>
  <si>
    <t>ADR-014</t>
  </si>
  <si>
    <t>KMS PendingDeletion is the only permitted residual</t>
  </si>
  <si>
    <t>AWS enforces a 7–30 day key deletion window.</t>
  </si>
  <si>
    <t>Force immediate key disappearance</t>
  </si>
  <si>
    <t>Documented exception, key unusable; requires follow-up check.</t>
  </si>
  <si>
    <t>AWS deletion behavior changes or org policy requires longer retention.</t>
  </si>
  <si>
    <t>docs/adr/ADR-014-kms-deletion.md</t>
  </si>
  <si>
    <t>EKS is the learning deployment target</t>
  </si>
  <si>
    <t>Matches enterprise Kubernetes/SRE learning goals.</t>
  </si>
  <si>
    <t>ECS/Fargate</t>
  </si>
  <si>
    <t>Higher baseline cost/complexity; richer controls/learning.</t>
  </si>
  <si>
    <t>Budget/ops evidence favors ECS for a real use case.</t>
  </si>
  <si>
    <t>docs/adr/ADR-015-eks.md</t>
  </si>
  <si>
    <t>One feature per controlled cycle</t>
  </si>
  <si>
    <t>Improves learning, traceability and rollback.</t>
  </si>
  <si>
    <t>Parallel feature generation</t>
  </si>
  <si>
    <t>Reduces speed; avoids opaque bulk changes.</t>
  </si>
  <si>
    <t>Team size/process matures with equivalent traceability.</t>
  </si>
  <si>
    <t>docs/adr/ADR-016-feature-cycle.md</t>
  </si>
  <si>
    <t>Quality, security and rollback are release gates</t>
  </si>
  <si>
    <t>A demo is not production evidence.</t>
  </si>
  <si>
    <t>Manual subjective acceptance</t>
  </si>
  <si>
    <t>More test/eval work; prevents silent regression.</t>
  </si>
  <si>
    <t>Thresholds change from measured evidence, not convenience.</t>
  </si>
  <si>
    <t>docs/adr/ADR-017-release-gates.md</t>
  </si>
  <si>
    <t>ADR-018</t>
  </si>
  <si>
    <t>Step Functions/EventBridge are background orchestration only</t>
  </si>
  <si>
    <t>Post-MVP</t>
  </si>
  <si>
    <t>Use durable AWS workflows for ingestion/re-index, not token-level agent loops.</t>
  </si>
  <si>
    <t>Step Functions for request agent</t>
  </si>
  <si>
    <t>Adds service transitions/cost and latency in background only.</t>
  </si>
  <si>
    <t>A long-running operational workflow needs managed durability.</t>
  </si>
  <si>
    <t>docs/adr/ADR-018-background-orchestration.md</t>
  </si>
  <si>
    <t>Owner TODO and Input Register</t>
  </si>
  <si>
    <t>Yellow cells are user-owned inputs. Never place a password, API key, secret value or long-lived AWS credential in this workbook.</t>
  </si>
  <si>
    <t>TODO ID</t>
  </si>
  <si>
    <t>Category</t>
  </si>
  <si>
    <t>Owner Action</t>
  </si>
  <si>
    <t>Due Week</t>
  </si>
  <si>
    <t>Blocking?</t>
  </si>
  <si>
    <t>Where Used</t>
  </si>
  <si>
    <t>Decision / Notes</t>
  </si>
  <si>
    <t>Completed Date</t>
  </si>
  <si>
    <t>USE-001</t>
  </si>
  <si>
    <t>Use case</t>
  </si>
  <si>
    <t>Define the first business question set, users, exclusions and action boundary.</t>
  </si>
  <si>
    <t>Yes</t>
  </si>
  <si>
    <t>Approved first use case, target users, exclusions, five starter questions and action boundary. Implementation commit 210381c3ddbc9aab83ccaeb11a59db8d8dad549b; approved 2026-08-18; reaffirmed 2026-08-18T16:01:18Z.</t>
  </si>
  <si>
    <t>DATA-001</t>
  </si>
  <si>
    <t>Data</t>
  </si>
  <si>
    <t>Provide a small approved, synthetic/non-sensitive sample corpus.</t>
  </si>
  <si>
    <t>Approved synthetic/non-sensitive sample-data boundary; the full golden dataset remains deferred to W3-002. Implementation commit 210381c3ddbc9aab83ccaeb11a59db8d8dad549b; approved 2026-08-18; reaffirmed 2026-08-18T16:01:18Z.</t>
  </si>
  <si>
    <t>DATA-002</t>
  </si>
  <si>
    <t>Define tenant, classification and document-access metadata.</t>
  </si>
  <si>
    <t>docs/architecture/data-classification.md</t>
  </si>
  <si>
    <t>Define which PII types are redact, quarantine or allow-with-approval.</t>
  </si>
  <si>
    <t>configs/pii-policy.yaml</t>
  </si>
  <si>
    <t>Create 25+ representative questions, expected facts and source IDs.</t>
  </si>
  <si>
    <t>configs/eval/golden.jsonl</t>
  </si>
  <si>
    <t>AWS-001</t>
  </si>
  <si>
    <t>AWS</t>
  </si>
  <si>
    <t>Enter sandbox account ID as a non-secret variable; never a credential.</t>
  </si>
  <si>
    <t>terraform.tfvars.example / GitHub variable</t>
  </si>
  <si>
    <t>AWS-002</t>
  </si>
  <si>
    <t>Choose approved AWS region and confirm Bedrock/OpenSearch availability.</t>
  </si>
  <si>
    <t>.env.example; infra/environments/sandbox/variables.tf; README.md</t>
  </si>
  <si>
    <t>Approved AWS-first boundary; region and model-service availability remain deployment-time verification. Implementation commit 210381c3ddbc9aab83ccaeb11a59db8d8dad549b; approved 2026-08-18; reaffirmed 2026-08-18T16:01:18Z.</t>
  </si>
  <si>
    <t>NET-001</t>
  </si>
  <si>
    <t>Networking</t>
  </si>
  <si>
    <t>Provide VPC/private subnet IDs, egress approach, CIDRs and DNS constraints.</t>
  </si>
  <si>
    <t>infra/environments/sandbox/variables.tf</t>
  </si>
  <si>
    <t>Provide Owner, CostCenter, Repository and ExpiresAt values.</t>
  </si>
  <si>
    <t>configs/tags.yaml</t>
  </si>
  <si>
    <t>Approved Owner=Gyan-Prakash-Rai; CostCenter=Personal-Learning; Repository=enterprise-ai-platform; ExpiresAt=2026-09-27T23:59:59Z. Implementation commit 210381c3ddbc9aab83ccaeb11a59db8d8dad549b; approved 2026-08-18; reaffirmed 2026-08-18T16:01:18Z.</t>
  </si>
  <si>
    <t>KMS-001</t>
  </si>
  <si>
    <t>Choose KMS deletion window (7–30 days) and follow-up owner.</t>
  </si>
  <si>
    <t>Provide GitHub org/repo, protected environment and OIDC role naming.</t>
  </si>
  <si>
    <t>GitHub variables / Terraform inputs</t>
  </si>
  <si>
    <t>AI platform</t>
  </si>
  <si>
    <t>Select approved Bedrock model ID, region, quota and fallback policy.</t>
  </si>
  <si>
    <t>LLM_MODEL_ID / docs/adr</t>
  </si>
  <si>
    <t>Approve sentence-transformer model, dimension and license.</t>
  </si>
  <si>
    <t>Define auth provider, claims, tenant mapping and authorization owner.</t>
  </si>
  <si>
    <t>docs/architecture/authorization.md</t>
  </si>
  <si>
    <t>Choose approved secret scanner/pre-commit policy and exception process.</t>
  </si>
  <si>
    <t>No</t>
  </si>
  <si>
    <t>.pre-commit-config.yaml; .secrets.baseline; docs/test-evidence/W1-08-precommit.txt</t>
  </si>
  <si>
    <t>Approved local pre-commit/detect-secrets policy and reviewed, time-bounded exception process; composite independent PASS recorded. Implementation commit 210381c3ddbc9aab83ccaeb11a59db8d8dad549b; approved 2026-08-18; reaffirmed 2026-08-18T16:01:18Z.</t>
  </si>
  <si>
    <t>Agent control</t>
  </si>
  <si>
    <t>Choose durable approval store, approver role and expiry/rejection policy.</t>
  </si>
  <si>
    <t>docs/architecture/agent-approval.md</t>
  </si>
  <si>
    <t>Operations</t>
  </si>
  <si>
    <t>Provide alert destination, on-call owner and telemetry retention.</t>
  </si>
  <si>
    <t>observability/ / runbooks/</t>
  </si>
  <si>
    <t>Approve initial SLIs/SLOs, error-budget review cadence and exclusions.</t>
  </si>
  <si>
    <t>Cost</t>
  </si>
  <si>
    <t>Set monthly sandbox ceiling, daily alert and maximum paid-evaluation spend.</t>
  </si>
  <si>
    <t>docs/cost-estimates/budget.md</t>
  </si>
  <si>
    <t>Choose existing/new EKS sandbox, namespace, domain/cert and identity method.</t>
  </si>
  <si>
    <t>deploy/k8s/values-sandbox.yaml</t>
  </si>
  <si>
    <t>Define logs/traces/evaluation/approval evidence retention and redaction.</t>
  </si>
  <si>
    <t>docs/architecture/retention.md</t>
  </si>
  <si>
    <t>Approve pre-production-only FIS targets, stop alarms, window and owner.</t>
  </si>
  <si>
    <t>docs/chaos/fis-plan.md</t>
  </si>
  <si>
    <t>Destructive control</t>
  </si>
  <si>
    <t>Approve typed confirmation format and who may deploy/rollback/destroy.</t>
  </si>
  <si>
    <t>docs/architecture/approval-boundaries.md</t>
  </si>
  <si>
    <t>Approved typed confirmation and owner-executed mutation boundary; no automatic apply or destroy. Implementation commit 210381c3ddbc9aab83ccaeb11a59db8d8dad549b; approved 2026-08-18; reaffirmed 2026-08-18T16:01:18Z.</t>
  </si>
  <si>
    <t>PRIV-001</t>
  </si>
  <si>
    <t>Confirm allowed regions, data residency and third-party data-processing rules.</t>
  </si>
  <si>
    <t>docs/architecture/privacy.md</t>
  </si>
  <si>
    <t>Retrieval</t>
  </si>
  <si>
    <t>Approve top_k, minimum score and maximum context budget after baseline tests.</t>
  </si>
  <si>
    <t>configs/rag.yaml</t>
  </si>
  <si>
    <t>Deploy, Rollback and Teardown Control</t>
  </si>
  <si>
    <t>Codex may write lifecycle code and advise steps, but the owner executes every deploy, rollback and teardown command after reviewing exact targets and risk.</t>
  </si>
  <si>
    <t>Three distinct operations</t>
  </si>
  <si>
    <t>Operation</t>
  </si>
  <si>
    <t>Trigger</t>
  </si>
  <si>
    <t>Required outcome</t>
  </si>
  <si>
    <t>Boundary</t>
  </si>
  <si>
    <t>Mode</t>
  </si>
  <si>
    <t>Environment</t>
  </si>
  <si>
    <t>Behavior</t>
  </si>
  <si>
    <t>Approval</t>
  </si>
  <si>
    <t>Failed app/prompt/graph/config</t>
  </si>
  <si>
    <t>Restore last-known-good immutable image/config and re-run health/feature/evaluation.</t>
  </si>
  <si>
    <t>Do not change infrastructure unless evidence requires it.</t>
  </si>
  <si>
    <t>destroy-safe</t>
  </si>
  <si>
    <t>Production-like</t>
  </si>
  <si>
    <t>Reviewed destroy plan, retention/recovery windows and residual report.</t>
  </si>
  <si>
    <t>Owner + change approval</t>
  </si>
  <si>
    <t>Infrastructure rollback</t>
  </si>
  <si>
    <t>Terraform change causes regression</t>
  </si>
  <si>
    <t>Review and apply last-known-good Git/Terraform version.</t>
  </si>
  <si>
    <t>Destroy is not ordinary rollback.</t>
  </si>
  <si>
    <t>purge-sandbox</t>
  </si>
  <si>
    <t>Disposable learning only</t>
  </si>
  <si>
    <t>Empty versions/images/logs, delete sandbox secrets, backend last, schedule KMS deletion.</t>
  </si>
  <si>
    <t>Owner typed confirmation</t>
  </si>
  <si>
    <t>Complete teardown</t>
  </si>
  <si>
    <t>Sandbox no longer needed</t>
  </si>
  <si>
    <t>Destroy in dependency order, backend last, then prove cleanliness.</t>
  </si>
  <si>
    <t>KMS PendingDeletion is the only documented residual.</t>
  </si>
  <si>
    <t>verify-clean</t>
  </si>
  <si>
    <t>All</t>
  </si>
  <si>
    <t>Tag discovery plus native API checks; fail on unexpected residual.</t>
  </si>
  <si>
    <t>Independent evidence review</t>
  </si>
  <si>
    <t>Applies To</t>
  </si>
  <si>
    <t>Verification / Required Outcome</t>
  </si>
  <si>
    <t>Failure / Recovery Rule</t>
  </si>
  <si>
    <t>Freeze changes and capture evidence</t>
  </si>
  <si>
    <t>Owner approval record, saved plan hash, image/config versions and backup/retention decision exist.</t>
  </si>
  <si>
    <t>Stop; do not mutate.</t>
  </si>
  <si>
    <t>Remove external traffic and scheduled triggers</t>
  </si>
  <si>
    <t>Destroy/Rollback</t>
  </si>
  <si>
    <t>No new requests/jobs enter the environment.</t>
  </si>
  <si>
    <t>Restore routing/triggers only from approved version.</t>
  </si>
  <si>
    <t>Roll back immutable app/prompt/graph/config if incident recovery</t>
  </si>
  <si>
    <t>Last-known-good release passes health, smoke and evaluation.</t>
  </si>
  <si>
    <t>Keep failed version blocked; open defect.</t>
  </si>
  <si>
    <t>Apply reviewed last-known-good Terraform version if platform regression</t>
  </si>
  <si>
    <t>Plan contains only intended corrective changes.</t>
  </si>
  <si>
    <t>Do not use destroy as ordinary rollback.</t>
  </si>
  <si>
    <t>Delete Kubernetes workload, ingress/load balancers and external DNS records</t>
  </si>
  <si>
    <t>No EKS workload or AWS load balancer remains for project tags.</t>
  </si>
  <si>
    <t>Remove finalizers/dependencies deliberately; never broad-delete.</t>
  </si>
  <si>
    <t>Delete OpenSearch indexes/domain and model endpoints if created</t>
  </si>
  <si>
    <t>No active vector/model compute; backups handled per policy.</t>
  </si>
  <si>
    <t>Restore only from approved snapshot/artifact.</t>
  </si>
  <si>
    <t>Delete ECR images/repository and artifact caches according to mode</t>
  </si>
  <si>
    <t>No billed image storage remains except required evidence.</t>
  </si>
  <si>
    <t>Retain signed SBOM/evidence outside disposable platform.</t>
  </si>
  <si>
    <t>Empty S3 object versions, delete markers and multipart uploads; delete buckets</t>
  </si>
  <si>
    <t>All project data buckets are empty/deleted in purge-sandbox.</t>
  </si>
  <si>
    <t>destroy-safe follows retention/legal hold.</t>
  </si>
  <si>
    <t>Delete/schedule Secrets Manager secrets per mode</t>
  </si>
  <si>
    <t>No recoverable sandbox secret unless destroy-safe retention requires it.</t>
  </si>
  <si>
    <t>Never expose secret values during verification.</t>
  </si>
  <si>
    <t>Delete logs, alarms, dashboards and EventBridge/Step Functions/Lambda resources</t>
  </si>
  <si>
    <t>No active monitoring/control-plane billing remains; evidence retained separately.</t>
  </si>
  <si>
    <t>Preserve incident/audit records per retention policy.</t>
  </si>
  <si>
    <t>Delete IAM policies/roles, security groups, endpoints and owned network resources</t>
  </si>
  <si>
    <t>No project principals or ENIs block deletion.</t>
  </si>
  <si>
    <t>Verify shared VPC resources are out of scope.</t>
  </si>
  <si>
    <t>Destroy owned EKS cluster/node groups only if created by project</t>
  </si>
  <si>
    <t>No project compute remains.</t>
  </si>
  <si>
    <t>Existing shared cluster is never targeted.</t>
  </si>
  <si>
    <t>Verify platform state is empty, then remove platform root resources</t>
  </si>
  <si>
    <t>Terraform platform destroy completes and state is preserved for audit until verified.</t>
  </si>
  <si>
    <t>Resolve residuals before backend deletion.</t>
  </si>
  <si>
    <t>Remove remote-state DynamoDB/S3 backend last</t>
  </si>
  <si>
    <t>State backend is deleted only after signed platform cleanliness report.</t>
  </si>
  <si>
    <t>If verification fails, keep backend and fix residuals.</t>
  </si>
  <si>
    <t>Schedule customer-managed KMS key deletion</t>
  </si>
  <si>
    <t>Key is unusable in PendingDeletion for approved 7–30 day window.</t>
  </si>
  <si>
    <t>This is the only allowed residual; record follow-up date.</t>
  </si>
  <si>
    <t>Run tag plus service-specific orphan scan and cost follow-up</t>
  </si>
  <si>
    <t>Zero active unmanaged resources; delayed billing checked later without claiming immediate zero cost.</t>
  </si>
  <si>
    <t>Any unexpected residual fails completion.</t>
  </si>
  <si>
    <t>Required commands (generated by the project, always owner-gated): make plan-sandbox | make deploy-sandbox | make validate-sandbox | make rollback-release | make plan-destroy-sandbox | make destroy-sandbox | make verify-clean</t>
  </si>
  <si>
    <t>Required Technology Adoption Map</t>
  </si>
  <si>
    <t>The comprehensive stack is retained, but only tools that reduce a measured risk or satisfy the MVP are activated. Alternatives and migration controls are explicit.</t>
  </si>
  <si>
    <t>Technology</t>
  </si>
  <si>
    <t>When</t>
  </si>
  <si>
    <t>Why / Role</t>
  </si>
  <si>
    <t>Open Alternative / Migration</t>
  </si>
  <si>
    <t>Cost, Residency and Privacy Note</t>
  </si>
  <si>
    <t>Core AI</t>
  </si>
  <si>
    <t>scikit-learn</t>
  </si>
  <si>
    <t>OPTIONAL</t>
  </si>
  <si>
    <t>Non-LLM baseline/explainability lab only.</t>
  </si>
  <si>
    <t>SHAP/LIME for classical model explanations.</t>
  </si>
  <si>
    <t>No hosted cost; dependency/license review.</t>
  </si>
  <si>
    <t>PyTorch</t>
  </si>
  <si>
    <t>Weeks 9–10</t>
  </si>
  <si>
    <t>Custom training only after measured gap.</t>
  </si>
  <si>
    <t>Bedrock avoids operating GPUs.</t>
  </si>
  <si>
    <t>GPU/training cost and model/data license.</t>
  </si>
  <si>
    <t>PyTorch Lightning</t>
  </si>
  <si>
    <t>Reproducible training harness.</t>
  </si>
  <si>
    <t>Native PyTorch.</t>
  </si>
  <si>
    <t>Same GPU/data considerations.</t>
  </si>
  <si>
    <t>Hugging Face Transformers</t>
  </si>
  <si>
    <t>Model/dataset ecosystem for approved training.</t>
  </si>
  <si>
    <t>Bedrock/SageMaker model catalog.</t>
  </si>
  <si>
    <t>License, model provenance and download residency.</t>
  </si>
  <si>
    <t>PEFT/LoRA</t>
  </si>
  <si>
    <t>Adapter tuning when evaluation justifies it.</t>
  </si>
  <si>
    <t>Prompt/RAG first.</t>
  </si>
  <si>
    <t>GPU cost; retain adapter/model cards.</t>
  </si>
  <si>
    <t>Orchestration</t>
  </si>
  <si>
    <t>LangChain</t>
  </si>
  <si>
    <t>Weeks 2–4</t>
  </si>
  <si>
    <t>Connectors/building blocks behind domain interfaces.</t>
  </si>
  <si>
    <t>Direct SDK adapters.</t>
  </si>
  <si>
    <t>Open-source; abstraction churn risk.</t>
  </si>
  <si>
    <t>LangGraph</t>
  </si>
  <si>
    <t>Bounded state graph, approval and terminal states.</t>
  </si>
  <si>
    <t>Custom FSM; AutoGen lab.</t>
  </si>
  <si>
    <t>Open-source; optional LangSmith privacy review.</t>
  </si>
  <si>
    <t>Agents</t>
  </si>
  <si>
    <t>AutoGen AgentChat</t>
  </si>
  <si>
    <t>Compare multi-agent patterns only.</t>
  </si>
  <si>
    <t>LangGraph production path.</t>
  </si>
  <si>
    <t>Second runtime and governance burden.</t>
  </si>
  <si>
    <t>AutoGen Studio</t>
  </si>
  <si>
    <t>Visual prototype, not production UI.</t>
  </si>
  <si>
    <t>Mermaid/graph tests.</t>
  </si>
  <si>
    <t>Review data flow and hosting.</t>
  </si>
  <si>
    <t>OpenAI Responses/Conversations patterns</t>
  </si>
  <si>
    <t>Provider lab</t>
  </si>
  <si>
    <t>Provider-neutral tool/state adapter.</t>
  </si>
  <si>
    <t>Bedrock/LangGraph.</t>
  </si>
  <si>
    <t>External API cost, DPA, residency and retention.</t>
  </si>
  <si>
    <t>Anthropic workflow patterns</t>
  </si>
  <si>
    <t>Design reference</t>
  </si>
  <si>
    <t>Reference patterns, not required runtime.</t>
  </si>
  <si>
    <t>LangGraph.</t>
  </si>
  <si>
    <t>Provider approval/residency if API used.</t>
  </si>
  <si>
    <t>LLM Ops</t>
  </si>
  <si>
    <t>LangSmith</t>
  </si>
  <si>
    <t>After privacy review</t>
  </si>
  <si>
    <t>Trace/evaluation convenience.</t>
  </si>
  <si>
    <t>OTel + Jaeger/Grafana.</t>
  </si>
  <si>
    <t>Telemetry content, license and residency.</t>
  </si>
  <si>
    <t>Deterministic validators and prompt templates</t>
  </si>
  <si>
    <t>Authorization, citations, abstention, schemas and allowlists.</t>
  </si>
  <si>
    <t>None; mandatory foundation.</t>
  </si>
  <si>
    <t>Low platform cost.</t>
  </si>
  <si>
    <t>Guardrails AI</t>
  </si>
  <si>
    <t>Declarative validator adapter.</t>
  </si>
  <si>
    <t>Custom deterministic checks; Bedrock Guardrails.</t>
  </si>
  <si>
    <t>Dependency and provider-specific cost for Bedrock option.</t>
  </si>
  <si>
    <t>Custom JSONL harness</t>
  </si>
  <si>
    <t>Portable deterministic release gate.</t>
  </si>
  <si>
    <t>None.</t>
  </si>
  <si>
    <t>Paid judge calls disabled by default.</t>
  </si>
  <si>
    <t>Ragas</t>
  </si>
  <si>
    <t>Faithfulness/relevance metrics behind adapter.</t>
  </si>
  <si>
    <t>Custom metrics.</t>
  </si>
  <si>
    <t>LLM evaluator token cost/privacy.</t>
  </si>
  <si>
    <t>DeepEval</t>
  </si>
  <si>
    <t>Additional regression suites.</t>
  </si>
  <si>
    <t>Ragas/custom.</t>
  </si>
  <si>
    <t>Judge cost and dataset privacy.</t>
  </si>
  <si>
    <t>Serving</t>
  </si>
  <si>
    <t>FastAPI + Uvicorn</t>
  </si>
  <si>
    <t>Typed orchestration API.</t>
  </si>
  <si>
    <t>Lambda/ECS for lower ops.</t>
  </si>
  <si>
    <t>Compute only; no GPU requirement.</t>
  </si>
  <si>
    <t>Ray Serve</t>
  </si>
  <si>
    <t>When measured</t>
  </si>
  <si>
    <t>Distributed Python model composition.</t>
  </si>
  <si>
    <t>FastAPI or SageMaker.</t>
  </si>
  <si>
    <t>Cluster operations/cost.</t>
  </si>
  <si>
    <t>Triton Inference Server</t>
  </si>
  <si>
    <t>High-throughput GPU inference.</t>
  </si>
  <si>
    <t>SageMaker endpoint/Ray.</t>
  </si>
  <si>
    <t>GPU and packaging complexity.</t>
  </si>
  <si>
    <t>SageMaker endpoints/autoscaling</t>
  </si>
  <si>
    <t>Approved custom model hosting.</t>
  </si>
  <si>
    <t>Ray/Triton on EKS; Bedrock.</t>
  </si>
  <si>
    <t>Idle/GPU cost and AWS coupling.</t>
  </si>
  <si>
    <t>Model monitoring</t>
  </si>
  <si>
    <t>OpenTelemetry custom metrics</t>
  </si>
  <si>
    <t>Portable model/retrieval/agent telemetry.</t>
  </si>
  <si>
    <t>Redact content; CloudWatch ingest cost.</t>
  </si>
  <si>
    <t>Arize / WhyLabs / Fiddler</t>
  </si>
  <si>
    <t>After review</t>
  </si>
  <si>
    <t>Managed model monitoring.</t>
  </si>
  <si>
    <t>OTel + Prometheus/Grafana.</t>
  </si>
  <si>
    <t>License, data residency and telemetry privacy.</t>
  </si>
  <si>
    <t>Model ops</t>
  </si>
  <si>
    <t>SageMaker Model Registry</t>
  </si>
  <si>
    <t>Custom-model phase</t>
  </si>
  <si>
    <t>AWS governance for trained models.</t>
  </si>
  <si>
    <t>MLflow.</t>
  </si>
  <si>
    <t>AWS coupling; low metadata cost vs hosting.</t>
  </si>
  <si>
    <t>MLflow</t>
  </si>
  <si>
    <t>Portable/self-hosted registry.</t>
  </si>
  <si>
    <t>SageMaker Registry.</t>
  </si>
  <si>
    <t>Operate database/artifact store.</t>
  </si>
  <si>
    <t>Feature store</t>
  </si>
  <si>
    <t>Feast / SageMaker Feature Store</t>
  </si>
  <si>
    <t>Structured ML only</t>
  </si>
  <si>
    <t>Not needed for document RAG.</t>
  </si>
  <si>
    <t>Versioned documents/vector metadata.</t>
  </si>
  <si>
    <t>Online store and managed-service cost.</t>
  </si>
  <si>
    <t>sentence-transformers</t>
  </si>
  <si>
    <t>Local CPU embeddings.</t>
  </si>
  <si>
    <t>Bedrock/OpenAI adapter later.</t>
  </si>
  <si>
    <t>Model license; local compute.</t>
  </si>
  <si>
    <t>OpenAI embeddings placeholder</t>
  </si>
  <si>
    <t>Adapter portability test.</t>
  </si>
  <si>
    <t>Local/Bedrock embeddings.</t>
  </si>
  <si>
    <t>Per-token cost, DPA, residency and retention.</t>
  </si>
  <si>
    <t>Vector DB</t>
  </si>
  <si>
    <t>Local client/server integration and filters.</t>
  </si>
  <si>
    <t>Chroma/FAISS for simpler labs.</t>
  </si>
  <si>
    <t>Low local cost; production ops if self-hosted.</t>
  </si>
  <si>
    <t>MUST plan / SHOULD deploy</t>
  </si>
  <si>
    <t>AWS vector/hybrid target with VPC/IAM/KMS.</t>
  </si>
  <si>
    <t>Qdrant/Milvus/Weaviate/Pinecone.</t>
  </si>
  <si>
    <t>Meaningful idle baseline; size sandbox carefully.</t>
  </si>
  <si>
    <t>FAISS</t>
  </si>
  <si>
    <t>Notebook lab</t>
  </si>
  <si>
    <t>In-process local vector search.</t>
  </si>
  <si>
    <t>Qdrant.</t>
  </si>
  <si>
    <t>No HA/tenancy/filter service controls.</t>
  </si>
  <si>
    <t>Chroma</t>
  </si>
  <si>
    <t>Prototype</t>
  </si>
  <si>
    <t>Fast learning path.</t>
  </si>
  <si>
    <t>Validate production security/durability.</t>
  </si>
  <si>
    <t>Milvus</t>
  </si>
  <si>
    <t>Scale phase</t>
  </si>
  <si>
    <t>Large self-managed scale.</t>
  </si>
  <si>
    <t>Qdrant/OpenSearch.</t>
  </si>
  <si>
    <t>High operational footprint; Zilliz adds SaaS residency.</t>
  </si>
  <si>
    <t>Weaviate</t>
  </si>
  <si>
    <t>Comparison phase</t>
  </si>
  <si>
    <t>Rich OSS ecosystem.</t>
  </si>
  <si>
    <t>Self-host ops or SaaS cost/residency.</t>
  </si>
  <si>
    <t>Pinecone</t>
  </si>
  <si>
    <t>SaaS comparison</t>
  </si>
  <si>
    <t>Managed convenience.</t>
  </si>
  <si>
    <t>Per-op/storage/egress, residency and vendor exit.</t>
  </si>
  <si>
    <t>Data engineering</t>
  </si>
  <si>
    <t>S3 + Glue Spark</t>
  </si>
  <si>
    <t>Weeks 7–8</t>
  </si>
  <si>
    <t>Versioned source and batch ETL.</t>
  </si>
  <si>
    <t>Local pipeline/Lambda for small corpus.</t>
  </si>
  <si>
    <t>Glue job/runtime and S3 request/storage cost.</t>
  </si>
  <si>
    <t>Apache Airflow/MWAA</t>
  </si>
  <si>
    <t>Complex data DAGs</t>
  </si>
  <si>
    <t>Cross-system DAG ownership/backfills.</t>
  </si>
  <si>
    <t>Step Functions.</t>
  </si>
  <si>
    <t>MWAA baseline cost/ops.</t>
  </si>
  <si>
    <t>Apache Flink</t>
  </si>
  <si>
    <t>Streaming phase</t>
  </si>
  <si>
    <t>Stateful event-time processing.</t>
  </si>
  <si>
    <t>Kinesis consumers/Lambda.</t>
  </si>
  <si>
    <t>Always-on streaming cost/ops.</t>
  </si>
  <si>
    <t>Eventing</t>
  </si>
  <si>
    <t>EventBridge + Step Functions</t>
  </si>
  <si>
    <t>Background ingestion/re-index orchestration.</t>
  </si>
  <si>
    <t>Airflow for data DAGs.</t>
  </si>
  <si>
    <t>Per-event/state-transition cost.</t>
  </si>
  <si>
    <t>Kafka/MSK</t>
  </si>
  <si>
    <t>Kafka compatibility/ecosystem.</t>
  </si>
  <si>
    <t>Kinesis/EventBridge.</t>
  </si>
  <si>
    <t>Broker/managed baseline and data transfer.</t>
  </si>
  <si>
    <t>Kinesis</t>
  </si>
  <si>
    <t>AWS-native high-throughput stream.</t>
  </si>
  <si>
    <t>MSK/Flink/EventBridge.</t>
  </si>
  <si>
    <t>Shard/on-demand and retention cost.</t>
  </si>
  <si>
    <t>Data quality</t>
  </si>
  <si>
    <t>Great Expectations</t>
  </si>
  <si>
    <t>Code-first data quality.</t>
  </si>
  <si>
    <t>Soda.</t>
  </si>
  <si>
    <t>Open-source execution cost.</t>
  </si>
  <si>
    <t>Soda / Monte Carlo</t>
  </si>
  <si>
    <t>Enterprise data ops</t>
  </si>
  <si>
    <t>Managed observability/convenience.</t>
  </si>
  <si>
    <t>Great Expectations.</t>
  </si>
  <si>
    <t>License, metadata/data residency.</t>
  </si>
  <si>
    <t>Microsoft Presidio</t>
  </si>
  <si>
    <t>Local PII detection/redaction hook.</t>
  </si>
  <si>
    <t>Custom detectors.</t>
  </si>
  <si>
    <t>Model accuracy and language coverage.</t>
  </si>
  <si>
    <t>AWS Macie</t>
  </si>
  <si>
    <t>Sensitive-data discovery in S3.</t>
  </si>
  <si>
    <t>Presidio + classification process.</t>
  </si>
  <si>
    <t>Per-GB discovery and regional service.</t>
  </si>
  <si>
    <t>AWS compute</t>
  </si>
  <si>
    <t>SHOULD target</t>
  </si>
  <si>
    <t>Kubernetes deployment and registry.</t>
  </si>
  <si>
    <t>ECS/Fargate for lower ops.</t>
  </si>
  <si>
    <t>Cluster/node/NAT/LB baseline cost.</t>
  </si>
  <si>
    <t>Lambda / Fargate / EC2</t>
  </si>
  <si>
    <t>SHOULD/OPTIONAL</t>
  </si>
  <si>
    <t>By use case</t>
  </si>
  <si>
    <t>Events, simpler containers or ops runner.</t>
  </si>
  <si>
    <t>EKS.</t>
  </si>
  <si>
    <t>Duration/idle/operations trade-offs.</t>
  </si>
  <si>
    <t>AWS managed AI</t>
  </si>
  <si>
    <t>Bedrock</t>
  </si>
  <si>
    <t>Primary LLM access.</t>
  </si>
  <si>
    <t>SageMaker/external/local adapter.</t>
  </si>
  <si>
    <t>Token cost, quota and regional availability.</t>
  </si>
  <si>
    <t>AWS security</t>
  </si>
  <si>
    <t>IAM, KMS, Secrets Manager</t>
  </si>
  <si>
    <t>Identity, encryption and secret separation.</t>
  </si>
  <si>
    <t>No substitute.</t>
  </si>
  <si>
    <t>KMS/API/secret monthly and call cost.</t>
  </si>
  <si>
    <t>AWS audit</t>
  </si>
  <si>
    <t>CloudTrail + CloudWatch</t>
  </si>
  <si>
    <t>Weeks 5–6</t>
  </si>
  <si>
    <t>Audit, logs, metrics and alarms.</t>
  </si>
  <si>
    <t>OTel + OSS destinations.</t>
  </si>
  <si>
    <t>Log ingestion, retention, alarms and API events.</t>
  </si>
  <si>
    <t>VPC, private subnets, NACLs, security groups</t>
  </si>
  <si>
    <t>MUST AWS</t>
  </si>
  <si>
    <t>Private data plane and controlled flows.</t>
  </si>
  <si>
    <t>Existing approved VPC.</t>
  </si>
  <si>
    <t>NAT/endpoints/flow logs can dominate sandbox cost.</t>
  </si>
  <si>
    <t>Terraform modules + remote state</t>
  </si>
  <si>
    <t>Weeks 1 and 5</t>
  </si>
  <si>
    <t>Reviewable/repeatable infrastructure.</t>
  </si>
  <si>
    <t>CloudFormation/CDK not selected.</t>
  </si>
  <si>
    <t>State S3/DynamoDB/KMS tiny but nonzero.</t>
  </si>
  <si>
    <t>Config management</t>
  </si>
  <si>
    <t>Ansible</t>
  </si>
  <si>
    <t>EC2/runner bootstrap only.</t>
  </si>
  <si>
    <t>Immutable images/user data/SSM.</t>
  </si>
  <si>
    <t>No platform fee; EC2 runtime cost.</t>
  </si>
  <si>
    <t>GitHub Actions</t>
  </si>
  <si>
    <t>PR checks, OIDC and controlled promotion.</t>
  </si>
  <si>
    <t>GitLab CI/Jenkins alternatives.</t>
  </si>
  <si>
    <t>Runner minutes/storage; self-hosted runner cost.</t>
  </si>
  <si>
    <t>IaC security</t>
  </si>
  <si>
    <t>Checkov, tflint, terraform fmt, OPA/Gatekeeper</t>
  </si>
  <si>
    <t>Shift-left and admission policy.</t>
  </si>
  <si>
    <t>Sentinel for TFE/HCP.</t>
  </si>
  <si>
    <t>OSS tools; CI time.</t>
  </si>
  <si>
    <t>Trivy, Syft, Grype</t>
  </si>
  <si>
    <t>Vulnerability scans and SBOM.</t>
  </si>
  <si>
    <t>Snyk/Wiz/Sysdig managed options.</t>
  </si>
  <si>
    <t>OSS vs license and telemetry considerations.</t>
  </si>
  <si>
    <t>Secrets scanning</t>
  </si>
  <si>
    <t>pre-commit + CI detector</t>
  </si>
  <si>
    <t>Prevent plaintext credentials.</t>
  </si>
  <si>
    <t>GitHub secret scanning if available.</t>
  </si>
  <si>
    <t>Repository plan/licensing may vary.</t>
  </si>
  <si>
    <t>Prometheus, Grafana, Jaeger</t>
  </si>
  <si>
    <t>Open local metrics/dashboard/tracing.</t>
  </si>
  <si>
    <t>CloudWatch/X-Ray.</t>
  </si>
  <si>
    <t>Self-host compute/storage.</t>
  </si>
  <si>
    <t>AWS X-Ray + CloudWatch</t>
  </si>
  <si>
    <t>AWS-native tracing/metrics/logs/alarms.</t>
  </si>
  <si>
    <t>OTel OSS backend.</t>
  </si>
  <si>
    <t>Ingest/retention/query costs.</t>
  </si>
  <si>
    <t>Datadog / New Relic</t>
  </si>
  <si>
    <t>Managed operations platform.</t>
  </si>
  <si>
    <t>OTel + CloudWatch/Prometheus/Grafana.</t>
  </si>
  <si>
    <t>License/ingest and data residency.</t>
  </si>
  <si>
    <t>SLIs/SLOs, error budgets, runbooks, FIS</t>
  </si>
  <si>
    <t>MUST controls</t>
  </si>
  <si>
    <t>Operational readiness and failure learning.</t>
  </si>
  <si>
    <t>Local fault injection before FIS.</t>
  </si>
  <si>
    <t>FIS actions and affected resources may cost.</t>
  </si>
  <si>
    <t>Autoscaling</t>
  </si>
  <si>
    <t>EKS HPA + SageMaker autoscaling</t>
  </si>
  <si>
    <t>Week 6/custom models</t>
  </si>
  <si>
    <t>Scale measured workloads.</t>
  </si>
  <si>
    <t>Fixed sandbox replicas/Bedrock managed service.</t>
  </si>
  <si>
    <t>Scaling can increase spend; cap maxima.</t>
  </si>
  <si>
    <t>Documentation</t>
  </si>
  <si>
    <t>Mermaid, PlantUML, C4</t>
  </si>
  <si>
    <t>MUST/SHOULD</t>
  </si>
  <si>
    <t>Throughout</t>
  </si>
  <si>
    <t>Architecture and interview communication.</t>
  </si>
  <si>
    <t>Markdown diagrams.</t>
  </si>
  <si>
    <t>No platform cost for OSS.</t>
  </si>
  <si>
    <t>Snyk / HashiCorp Sentinel</t>
  </si>
  <si>
    <t>Enterprise integration</t>
  </si>
  <si>
    <t>Managed SCA or TFE policy.</t>
  </si>
  <si>
    <t>Trivy/Grype and OPA.</t>
  </si>
  <si>
    <t>License and vendor coupling.</t>
  </si>
  <si>
    <t>Environment Variable and Secret Boundary</t>
  </si>
  <si>
    <t>The example column contains placeholders only. Secret values belong in Secrets Manager and are injected through workload identity at runtime.</t>
  </si>
  <si>
    <t>Variable</t>
  </si>
  <si>
    <t>Secret?</t>
  </si>
  <si>
    <t>Example / Placeholder</t>
  </si>
  <si>
    <t>Needed By</t>
  </si>
  <si>
    <t>Validation / Rule</t>
  </si>
  <si>
    <t>Consumer</t>
  </si>
  <si>
    <t>Owner Notes</t>
  </si>
  <si>
    <t>APP_ENV</t>
  </si>
  <si>
    <t>Runtime</t>
  </si>
  <si>
    <t>local</t>
  </si>
  <si>
    <t>local|sandbox|production</t>
  </si>
  <si>
    <t>Application</t>
  </si>
  <si>
    <t>LOG_LEVEL</t>
  </si>
  <si>
    <t>INFO</t>
  </si>
  <si>
    <t>Approved enum; no DEBUG in production by default</t>
  </si>
  <si>
    <t>AWS_REGION</t>
  </si>
  <si>
    <t>Runtime/IaC</t>
  </si>
  <si>
    <t>TODO_AWS_REGION</t>
  </si>
  <si>
    <t>Approved Bedrock/OpenSearch region</t>
  </si>
  <si>
    <t>AWS adapters/Terraform</t>
  </si>
  <si>
    <t>AWS_PROFILE</t>
  </si>
  <si>
    <t>Local only</t>
  </si>
  <si>
    <t>TODO_LOCAL_PROFILE_ONLY</t>
  </si>
  <si>
    <t>Must not be used in CI/EKS</t>
  </si>
  <si>
    <t>Local AWS SDK</t>
  </si>
  <si>
    <t>LLM_PROVIDER</t>
  </si>
  <si>
    <t>fake</t>
  </si>
  <si>
    <t>fake|bedrock|approved adapter</t>
  </si>
  <si>
    <t>RAG</t>
  </si>
  <si>
    <t>LLM_MODEL_ID</t>
  </si>
  <si>
    <t>TODO_APPROVED_BEDROCK_MODEL_ID</t>
  </si>
  <si>
    <t>Configuration only; approved model</t>
  </si>
  <si>
    <t>Bedrock adapter</t>
  </si>
  <si>
    <t>EMBEDDING_PROVIDER</t>
  </si>
  <si>
    <t>sentence_transformers</t>
  </si>
  <si>
    <t>Approved adapter</t>
  </si>
  <si>
    <t>sentence-transformers/all-MiniLM-L6-v2</t>
  </si>
  <si>
    <t>License/dimension approved</t>
  </si>
  <si>
    <t>Embedder</t>
  </si>
  <si>
    <t>VECTOR_BACKEND</t>
  </si>
  <si>
    <t>qdrant</t>
  </si>
  <si>
    <t>qdrant|opensearch|fake</t>
  </si>
  <si>
    <t>Retriever</t>
  </si>
  <si>
    <t>QDRANT_URL</t>
  </si>
  <si>
    <t>Local/runtime</t>
  </si>
  <si>
    <t>http://localhost:6333</t>
  </si>
  <si>
    <t>HTTPS/service DNS outside local</t>
  </si>
  <si>
    <t>Qdrant adapter</t>
  </si>
  <si>
    <t>QDRANT_API_KEY</t>
  </si>
  <si>
    <t>Secret</t>
  </si>
  <si>
    <t>Secrets Manager/runtime injection only</t>
  </si>
  <si>
    <t>OPENSEARCH_ENDPOINT</t>
  </si>
  <si>
    <t>Private endpoint; no credential in value</t>
  </si>
  <si>
    <t>OpenSearch adapter</t>
  </si>
  <si>
    <t>OPENSEARCH_INDEX</t>
  </si>
  <si>
    <t>enterprise-ai-chunks-v1</t>
  </si>
  <si>
    <t>Versioned naming convention</t>
  </si>
  <si>
    <t>S3_DOCUMENT_BUCKET</t>
  </si>
  <si>
    <t>TODO_BUCKET_NAME</t>
  </si>
  <si>
    <t>Private/versioned bucket</t>
  </si>
  <si>
    <t>SECRETS_PREFIX</t>
  </si>
  <si>
    <t>/TODO_ORG/enterprise-ai/sandbox</t>
  </si>
  <si>
    <t>Metadata path only; no secret value</t>
  </si>
  <si>
    <t>RAG_TOP_K</t>
  </si>
  <si>
    <t>5</t>
  </si>
  <si>
    <t>1–20; evaluation-approved</t>
  </si>
  <si>
    <t>RAG_MIN_SCORE</t>
  </si>
  <si>
    <t>0.50</t>
  </si>
  <si>
    <t>0–1; evaluation-approved</t>
  </si>
  <si>
    <t>RAG_MAX_CONTEXT_CHARS</t>
  </si>
  <si>
    <t>12000</t>
  </si>
  <si>
    <t>&gt;0 and token-budget aligned</t>
  </si>
  <si>
    <t>AGENT_MAX_STEPS</t>
  </si>
  <si>
    <t>6</t>
  </si>
  <si>
    <t>1–10</t>
  </si>
  <si>
    <t>AGENT_TIMEOUT_SECONDS</t>
  </si>
  <si>
    <t>30</t>
  </si>
  <si>
    <t>1–60</t>
  </si>
  <si>
    <t>LangGraph/API</t>
  </si>
  <si>
    <t>AGENT_MAX_TOOL_CALLS</t>
  </si>
  <si>
    <t>3</t>
  </si>
  <si>
    <t>0–5</t>
  </si>
  <si>
    <t>REQUIRE_TOOL_APPROVAL</t>
  </si>
  <si>
    <t>true</t>
  </si>
  <si>
    <t>Must remain true for write tools</t>
  </si>
  <si>
    <t>OTEL_SERVICE_NAME</t>
  </si>
  <si>
    <t>enterprise-ai-api</t>
  </si>
  <si>
    <t>Low-cardinality service name</t>
  </si>
  <si>
    <t>OTEL_EXPORTER_OTLP_ENDPOINT</t>
  </si>
  <si>
    <t>http://localhost:4317</t>
  </si>
  <si>
    <t>TLS/private endpoint outside local</t>
  </si>
  <si>
    <t>LANGSMITH_TRACING</t>
  </si>
  <si>
    <t>false</t>
  </si>
  <si>
    <t>Enable only after privacy review</t>
  </si>
  <si>
    <t>Optional telemetry</t>
  </si>
  <si>
    <t>LANGSMITH_API_KEY</t>
  </si>
  <si>
    <t>Secrets Manager only</t>
  </si>
  <si>
    <t>OPENAI_API_KEY</t>
  </si>
  <si>
    <t>Secrets Manager only; optional</t>
  </si>
  <si>
    <t>Optional adapter</t>
  </si>
  <si>
    <t>OPENAI_MODEL_ID</t>
  </si>
  <si>
    <t>TODO_ONLY_IF_APPROVED</t>
  </si>
  <si>
    <t>Approved model only</t>
  </si>
  <si>
    <t>AWS_ACCOUNT_ID</t>
  </si>
  <si>
    <t>IaC/CI</t>
  </si>
  <si>
    <t>TODO_SANDBOX_ACCOUNT_ID</t>
  </si>
  <si>
    <t>12-digit sandbox account</t>
  </si>
  <si>
    <t>Terraform/GitHub</t>
  </si>
  <si>
    <t>GITHUB_REPOSITORY</t>
  </si>
  <si>
    <t>TODO_ORG_REPO</t>
  </si>
  <si>
    <t>Exact owner/repository</t>
  </si>
  <si>
    <t>OIDC trust</t>
  </si>
  <si>
    <t>PROJECT_OWNER</t>
  </si>
  <si>
    <t>Tags</t>
  </si>
  <si>
    <t>TODO_USER_OR_TEAM</t>
  </si>
  <si>
    <t>Non-empty</t>
  </si>
  <si>
    <t>All AWS resources</t>
  </si>
  <si>
    <t>COST_CENTER</t>
  </si>
  <si>
    <t>TODO_COST_CENTER</t>
  </si>
  <si>
    <t>Organization-approved value</t>
  </si>
  <si>
    <t>EXPIRES_AT</t>
  </si>
  <si>
    <t>TODO_ISO8601_TIMESTAMP</t>
  </si>
  <si>
    <t>Future sandbox expiry</t>
  </si>
  <si>
    <t>Source and Traceability Register — v1.3.4</t>
  </si>
  <si>
    <t>Use this sheet to resolve any difference between the documents, workbook and generated implementation.</t>
  </si>
  <si>
    <t>Source</t>
  </si>
  <si>
    <t>Version / Type</t>
  </si>
  <si>
    <t>Content Used</t>
  </si>
  <si>
    <t>Authority</t>
  </si>
  <si>
    <t>Conflict Rule</t>
  </si>
  <si>
    <t>Review Status</t>
  </si>
  <si>
    <t>Enterprise_AI_Architecture_Source_of_Truth_v1.1(1).docx</t>
  </si>
  <si>
    <t>Version 1.1</t>
  </si>
  <si>
    <t>Implementation authority, controlled feature cycle, revised six-week schedule, deploy/rollback/teardown, cleanup verification and Codex contract.</t>
  </si>
  <si>
    <t>Highest</t>
  </si>
  <si>
    <t>Overrides conflicting earlier weekly sequencing.</t>
  </si>
  <si>
    <t>Current</t>
  </si>
  <si>
    <t>Enterprise_AI_Architecture_Coaching_Blueprint(1).docx</t>
  </si>
  <si>
    <t>Coaching Blueprint</t>
  </si>
  <si>
    <t>Technical stack, component rationale, original Codex prompts, acceptance criteria, SLOs, chaos and learning resources.</t>
  </si>
  <si>
    <t>Supporting</t>
  </si>
  <si>
    <t>Prompt/technology content retained and re-sequenced under v1.1.</t>
  </si>
  <si>
    <t>This workbook</t>
  </si>
  <si>
    <t>Execution Tracker v1.3.4</t>
  </si>
  <si>
    <t>Preserves the six-week architecture and historical status; adds complete producer-consumer impact control, owner-only execution, Column M document manifests and complete Column N document closure.</t>
  </si>
  <si>
    <t>Execution</t>
  </si>
  <si>
    <t>Must remain consistent with Source of Truth v1.1 and owner-approved decisions; architecture changes still require reviewed ADR control.</t>
  </si>
  <si>
    <t>Current — complete-impact and documentation-closure amendment</t>
  </si>
  <si>
    <t>Change rule: Codex writes approved code only. The owner executes tests/deployments/remediation, approves documentation separately, gives final approval after testing and completes the weekly learning teach-back.</t>
  </si>
  <si>
    <t>Enterprise AI Owner Learning Journey — v1.3.4</t>
  </si>
  <si>
    <t>The owner owns decisions and execution. Codex works within FOUR APPROVAL GATES PLUS OWNER TESTING AND WEEKLY LEARNING, explains every gate and preserves truthful evidence and complete documentation closure.</t>
  </si>
  <si>
    <t>1</t>
  </si>
  <si>
    <t>Gate 1 — Main Prompt</t>
  </si>
  <si>
    <t>Read-only complete-impact plan</t>
  </si>
  <si>
    <t>Business purpose, baseline, producers/consumers, connections, exact boundary, gates, rollback/teardown and consolidated decisions</t>
  </si>
  <si>
    <t>No edits or execution</t>
  </si>
  <si>
    <t>Owner reviews and decides</t>
  </si>
  <si>
    <t>No runtime action</t>
  </si>
  <si>
    <t>READY FOR PRE-EDIT REVIEW</t>
  </si>
  <si>
    <t>2</t>
  </si>
  <si>
    <t>Gate 2 — Column L</t>
  </si>
  <si>
    <t>Bounded code or content edit</t>
  </si>
  <si>
    <t>Exact approved paths/contracts; baseline and patch-context revalidation; complete consumer synchronization</t>
  </si>
  <si>
    <t>Column L</t>
  </si>
  <si>
    <t>Codex edits only</t>
  </si>
  <si>
    <t>No commands run</t>
  </si>
  <si>
    <t>CODE/CONTENT READY FOR OWNER REVIEW</t>
  </si>
  <si>
    <t>Owner Testing</t>
  </si>
  <si>
    <t>One command at a time; cache-safe configured gates; complete failure impact analysis before remediation approval</t>
  </si>
  <si>
    <t>TEST-001</t>
  </si>
  <si>
    <t>Owner executes</t>
  </si>
  <si>
    <t>Codex diagnoses only</t>
  </si>
  <si>
    <t>PASS / FAIL / NOT RUN / INDETERMINATE</t>
  </si>
  <si>
    <t>4</t>
  </si>
  <si>
    <t>Gate 3 — Column M</t>
  </si>
  <si>
    <t>Bounded documentation writing</t>
  </si>
  <si>
    <t>Exact CREATE/UPDATE paths, truthful owner results and complete Column M Approved Document Manifest</t>
  </si>
  <si>
    <t>Column M</t>
  </si>
  <si>
    <t>Codex documents only</t>
  </si>
  <si>
    <t>No code or commands</t>
  </si>
  <si>
    <t>DOCUMENTATION READY FOR OWNER REVIEW</t>
  </si>
  <si>
    <t>Gate 4 — Column N</t>
  </si>
  <si>
    <t>Complete documentation closure</t>
  </si>
  <si>
    <t>Preflight every manifest document; record owner-supplied reviewer, decision and date; reconcile every path</t>
  </si>
  <si>
    <t>Column N</t>
  </si>
  <si>
    <t>Codex closes docs only</t>
  </si>
  <si>
    <t>Owner updates Excel</t>
  </si>
  <si>
    <t>APPROVED FOR USER TRACKER UPDATE</t>
  </si>
  <si>
    <t>Weekly Learning</t>
  </si>
  <si>
    <t>Mandatory owner teach-back</t>
  </si>
  <si>
    <t>Business, architecture, data/control flow, decisions, failures, remediation, evidence gaps and interview practice</t>
  </si>
  <si>
    <t>Codex teaches</t>
  </si>
  <si>
    <t>Owner explains back</t>
  </si>
  <si>
    <t>WEEKLY LEARNING COMPLETE</t>
  </si>
  <si>
    <t>Business Outcome</t>
  </si>
  <si>
    <t>Technical Focus</t>
  </si>
  <si>
    <t>Owner Hands-On</t>
  </si>
  <si>
    <t>Decisions to Explain</t>
  </si>
  <si>
    <t>Interview Story</t>
  </si>
  <si>
    <t>Weekly Learning Task</t>
  </si>
  <si>
    <t>Learning Status</t>
  </si>
  <si>
    <t>A governed, testable and reversible engineering foundation.</t>
  </si>
  <si>
    <t>Repository, typed config, tests, DevSecOps, Terraform lifecycle and cleanup controls.</t>
  </si>
  <si>
    <t>Run local quality/security/lifecycle checks and review evidence.</t>
  </si>
  <si>
    <t>Source precedence, provider boundaries, tags, secret policy and teardown semantics.</t>
  </si>
  <si>
    <t>How you made AI delivery safe before building AI features.</t>
  </si>
  <si>
    <t>Authorized local document retrieval with privacy and rollback controls.</t>
  </si>
  <si>
    <t>Domain models, Qdrant, vector contracts, embeddings, ingestion, PII and tenant filtering.</t>
  </si>
  <si>
    <t>Run Docker/Qdrant and retrieval tests; diagnose local runtime issues.</t>
  </si>
  <si>
    <t>Vector store, embedding model, metadata, PII and authorization choices.</t>
  </si>
  <si>
    <t>How data becomes searchable evidence without crossing tenant/privacy boundaries.</t>
  </si>
  <si>
    <t>Grounded cited answers or safe abstention with measurable quality.</t>
  </si>
  <si>
    <t>LLM adapters, RAG pipeline, guardrails, evaluation, telemetry and config rollback.</t>
  </si>
  <si>
    <t>Run golden evaluation/security tests and interpret quality/cost results.</t>
  </si>
  <si>
    <t>Bedrock boundary, thresholds, prompt/evidence design and judge limitations.</t>
  </si>
  <si>
    <t>How you prove an AI answer is grounded, safe and reversible.</t>
  </si>
  <si>
    <t>A controlled API and bounded agent workflow with human approval.</t>
  </si>
  <si>
    <t>FastAPI, auth, LangGraph state, tools, budgets, redacted state and traces.</t>
  </si>
  <si>
    <t>Run API/agent failure tests, load smoke tests and local release rollback.</t>
  </si>
  <si>
    <t>Agent framework, tool boundary, approval durability and observability.</t>
  </si>
  <si>
    <t>How you prevent an agent from becoming an autonomous black box.</t>
  </si>
  <si>
    <t>A reviewable, secure and removable AWS platform lifecycle.</t>
  </si>
  <si>
    <t>Terraform state, IAM/OIDC, KMS/S3/OpenSearch/ECR, policy and supply chain.</t>
  </si>
  <si>
    <t>Review plans, execute approved cloud lifecycle and prove cleanup.</t>
  </si>
  <si>
    <t>Region/network/tags/budget, state separation, identity and policy exceptions.</t>
  </si>
  <si>
    <t>How you deploy cloud AI infrastructure without long-lived keys or orphaned cost.</t>
  </si>
  <si>
    <t>An immutable EKS deployment with SRE proof, rollback and final teardown.</t>
  </si>
  <si>
    <t>Kubernetes security/resilience, OTel, SLOs, runbooks, chaos and end-to-end proof.</t>
  </si>
  <si>
    <t>Execute rollout, SRE checks, safe failure drills, rollback and complete teardown.</t>
  </si>
  <si>
    <t>Artifact promotion, workload identity, SLOs, chaos boundary and handover.</t>
  </si>
  <si>
    <t>How the full platform operates safely in production-shaped conditions.</t>
  </si>
  <si>
    <t>Weekly teach-back checklist</t>
  </si>
  <si>
    <t>Business</t>
  </si>
  <si>
    <t>What problem did we solve, for whom and how is success measured?</t>
  </si>
  <si>
    <t>Architecture</t>
  </si>
  <si>
    <t>Can I draw the end-to-end flow and explain each component's responsibility?</t>
  </si>
  <si>
    <t>Decisions</t>
  </si>
  <si>
    <t>Can I explain selected choices, rejected alternatives, trade-offs and revisit triggers?</t>
  </si>
  <si>
    <t>Can I explain how we test, deploy, observe, diagnose, roll back and tear down?</t>
  </si>
  <si>
    <t>Security/cost</t>
  </si>
  <si>
    <t>Can I explain identity, data boundaries, secrets, failure containment and cost controls?</t>
  </si>
  <si>
    <t>Interview</t>
  </si>
  <si>
    <t>Can I tell the week's story in two minutes and answer five follow-up questions?</t>
  </si>
  <si>
    <t>python -m tools.platformctl validate</t>
  </si>
  <si>
    <t>python -m enterprise_ai_platform.evaluation.runner --dataset configs/eval/golden.jsonl --out reports/eval.json</t>
  </si>
  <si>
    <t xml:space="preserve">COLUMN M — EXACT DOCUMENT WRITING APPROVAL — W1-001
This is a separate owner approval after the bounded edit and owner testing or content review. Classify every path under one—and only one—of the CREATE and UPDATE headings after read-only preflight inspection.
EXACT DOCUMENTATION BOUNDARY
CREATE:
- docs/test-evidence/W1-03-layout.txt
- docs/test-evidence/W1-04-feature-matrix.json
- docs/test-evidence/W1-07-make.txt
UPDATE:
- docs/test-evidence/README.md
- docs/test-evidence/W1-001.md
- docs/features/FEATURE-TEMPLATE.md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W1-001.
</t>
  </si>
  <si>
    <t xml:space="preserve">COLUMN M — EXACT DOCUMENT WRITING APPROVAL — W1-002
This is a separate owner approval after the bounded edit and owner testing or content review. Classify every path under one—and only one—of the CREATE and UPDATE headings after read-only preflight inspection.
EXACT DOCUMENTATION BOUNDARY
CREATE:
- docs/test-evidence/W1-05-config.txt
UPDATE:
- docs/test-evidence/README.md
- docs/test-evidence/W1-002.md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W1-002.
</t>
  </si>
  <si>
    <t xml:space="preserve">COLUMN M — EXACT DOCUMENT WRITING APPROVAL — W1-003
This is a separate owner approval after the bounded edit and owner testing or content review. Classify every path under one—and only one—of the CREATE and UPDATE headings after read-only preflight inspection.
EXACT DOCUMENTATION BOUNDARY
CREATE:
- docs/test-evidence/W1-06-tests.json
- docs/test-evidence/W1-08-precommit.txt
UPDATE:
- docs/test-evidence/README.md
- docs/test-evidence/W1-003.md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W1-003.
</t>
  </si>
  <si>
    <t xml:space="preserve">COLUMN M — EXACT DOCUMENT WRITING APPROVAL — W1-004
This is a separate owner approval after the bounded edit and owner testing or content review. Classify every path under one—and only one—of the CREATE and UPDATE headings after read-only preflight inspection.
EXACT DOCUMENTATION BOUNDARY
CREATE:
- docs/test-evidence/W1-09-roots.txt
- docs/test-evidence/W1-10-platformctl.txt
- docs/test-evidence/W1-11-cleanup.json
UPDATE:
- docs/test-evidence/README.md
- docs/test-evidence/W1-004.md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W1-004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W1-004.
</t>
  </si>
  <si>
    <t xml:space="preserve">COLUMN M — EXACT DOCUMENT WRITING APPROVAL — W3-001
This is a separate owner approval after the bounded edit and owner testing or content review. Classify every path under one—and only one—of the CREATE and UPDATE headings after read-only preflight inspection.
EXACT DOCUMENTATION BOUNDARY
CREATE:
- docs/test-evidence/W3-001.md
- docs/test-evidence/W3-01-llm-contract.txt
- docs/test-evidence/W3-02-bedrock.txt
- docs/test-evidence/W3-03-prompt.txt
- docs/test-evidence/W3-04-rag.txt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W3-001.
</t>
  </si>
  <si>
    <t xml:space="preserve">COLUMN M — EXACT DOCUMENT WRITING APPROVAL — W3-002
This is a separate owner approval after the bounded edit and owner testing or content review. Classify every path under one—and only one—of the CREATE and UPDATE headings after read-only preflight inspection.
EXACT DOCUMENTATION BOUNDARY
CREATE:
- docs/test-evidence/W3-002.md
- docs/test-evidence/W3-06-golden.txt
- docs/test-evidence/W3-10-gate.txt
UPDATE:
- docs/test-evidence/README.md
VERIFIED UNCHANGED:
- reports/eval.json
EXCLUDED:
- Every repository path not enumerated above.
- Application code, configuration, IaC, schemas, automated tests and Excel tracker fields.
OWNER-GENERATED EVIDENCE RULE
- reports/eval.json is produced only by the owner-approved W3-07 command. Column M must verify it read-only and must not create, rewrite or fabricate it; if it is absent or conflicts with the approved result, stop.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W3-002.
</t>
  </si>
  <si>
    <t xml:space="preserve">COLUMN M — EXACT DOCUMENT WRITING APPROVAL — W4-001
This is a separate owner approval after the bounded edit and owner testing or content review. Classify every path under one—and only one—of the CREATE and UPDATE headings after read-only preflight inspection.
EXACT DOCUMENTATION BOUNDARY
CREATE:
- docs/test-evidence/W4-001.md
- docs/test-evidence/W4-01-api.txt
- docs/test-evidence/W4-02-auth.txt
- docs/test-evidence/W4-10-load.json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W4-001.
</t>
  </si>
  <si>
    <t xml:space="preserve">COLUMN M — EXACT DOCUMENT WRITING APPROVAL — W4-002
This is a separate owner approval after the bounded edit and owner testing or content review. Classify every path under one—and only one—of the CREATE and UPDATE headings after read-only preflight inspection.
EXACT DOCUMENTATION BOUNDARY
CREATE:
- docs/test-evidence/W4-002.md
- docs/test-evidence/W4-03-graph.txt
- docs/test-evidence/W4-04-read-tool.txt
- docs/test-evidence/W4-05-approval.txt
- docs/test-evidence/W4-06-budgets.txt
- docs/test-evidence/W4-07-state.txt
- docs/test-evidence/W4-09-failures.txt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W4-002.
</t>
  </si>
  <si>
    <t xml:space="preserve">COLUMN M — EXACT DOCUMENT WRITING APPROVAL — W4-003
This is a separate owner approval after the bounded edit and owner testing or content review. Classify every path under one—and only one—of the CREATE and UPDATE headings after read-only preflight inspection.
EXACT DOCUMENTATION BOUNDARY
CREATE:
- docs/test-evidence/W4-003.md
- docs/test-evidence/W4-08-trace.json
- docs/test-evidence/W4-trace.json
- docs/test-evidence/W3-09-telemetry.txt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W4-003.
</t>
  </si>
  <si>
    <t xml:space="preserve">COLUMN M — EXACT DOCUMENT WRITING APPROVAL — W5-001
This is a separate owner approval after the bounded edit and owner testing or content review. Classify every path under one—and only one—of the CREATE and UPDATE headings after read-only preflight inspection.
EXACT DOCUMENTATION BOUNDARY
CREATE:
- docs/test-evidence/W5-001.md
- docs/test-evidence/W5-02-bootstrap.txt
- docs/test-evidence/W5-03-security.txt
- docs/test-evidence/W5-04-iam.txt
- docs/test-evidence/W5-05-platform-plan.txt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W5-001.
</t>
  </si>
  <si>
    <t xml:space="preserve">COLUMN M — EXACT DOCUMENT WRITING APPROVAL — W5-002
This is a separate owner approval after the bounded edit and owner testing or content review. Classify every path under one—and only one—of the CREATE and UPDATE headings after read-only preflight inspection.
EXACT DOCUMENTATION BOUNDARY
CREATE:
- docs/test-evidence/W5-002.md
- docs/deployment-records/W6-image.md
- docs/test-evidence/W5-07-ci.txt
- docs/test-evidence/W5-08-supply-chain.txt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W5-002.
</t>
  </si>
  <si>
    <t xml:space="preserve">COLUMN M — EXACT DOCUMENT WRITING APPROVAL — W5-004
This is a separate owner approval after the bounded edit and owner testing or content review. Classify every path under one—and only one—of the CREATE and UPDATE headings after read-only preflight inspection.
EXACT DOCUMENTATION BOUNDARY
CREATE:
- docs/test-evidence/W5-004.md
- docs/deployment-records/W5-plan-review.md
- docs/deployment-records/W5-sandbox.md
- docs/deployment-records/W5-destroy-plan.md
- docs/resource-cleanliness/W5-report.json
- docs/resource-cleanliness/W6-final.json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W5-004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W5-004.
</t>
  </si>
  <si>
    <t xml:space="preserve">COLUMN M — EXACT DOCUMENT WRITING APPROVAL — W6-001
This is a separate owner approval after the bounded edit and owner testing or content review. Classify every path under one—and only one—of the CREATE and UPDATE headings after read-only preflight inspection.
EXACT DOCUMENTATION BOUNDARY
CREATE:
- docs/test-evidence/W6-001.md
- docs/test-evidence/W6-02-k8s.txt
- docs/test-evidence/W6-03-identity.txt
- docs/test-evidence/W6-04-network.txt
- docs/test-evidence/W6-05-resilience.txt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W6-001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W6-001.
</t>
  </si>
  <si>
    <t xml:space="preserve">COLUMN M — EXACT DOCUMENT WRITING APPROVAL — W6-003
This is a separate owner approval after the bounded edit and owner testing or content review. Classify every path under one—and only one—of the CREATE and UPDATE headings after read-only preflight inspection.
EXACT DOCUMENTATION BOUNDARY
CREATE:
- docs/test-evidence/W6-003.md
- docs/test-evidence/W6-final-index.md
- docs/rollback-records/W6-release.md
- docs/architecture/final-review.md
UPDATE:
- docs/test-evidence/README.md
- docs/resource-cleanliness/W6-final.json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W6-003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W6-003.
</t>
  </si>
  <si>
    <t>Read-only teaching plan → owner teach-back → owner writes the exact weekly evidence note → final teach-back approval → owner tracker update</t>
  </si>
  <si>
    <t>COLUMN M — DOCUMENT WRITING APPROVAL — WEEKLY-LEARN-001
NOT APPLICABLE BY DEFAULT. This learning prompt authorizes teaching and teach-back only. The owner—not Codex—writes or updates the one canonical evidence note matching the invoked week:
- docs/learning/W1-learning-review.md
- docs/learning/W2-learning-review.md
- docs/learning/W3-learning-review.md
- docs/learning/W4-learning-review.md
- docs/learning/W5-learning-review.md
- docs/learning/W6-learning-review.md
No Codex-authored repository document is authorized or inferred. A later Codex document request requires an exact single-week CREATE, UPDATE, VERIFIED UNCHANGED and EXCLUDED boundary plus owner-supplied results; it must not include another week's note.
End exactly: DOCUMENTATION NOT AUTHORIZED — WEEKLY-LEARN-001.</t>
  </si>
  <si>
    <t xml:space="preserve">COLUMN N — FINAL APPROVAL AND COMPLETE DOCUMENTATION CLOSURE — W2-LEARN-001
If Column M was not used and no document manifest exists, this gate records owner teach-back and owner confirmation that the applicable owner-written evidence note exists at: docs/architecture/local-retrieval.md. It authorizes no repository or tracker mutation. If any document was created or updated under a later Column M approval, the complete closure below is mandatory.
OWNER MUST SUPPLY — DO NOT INVENT
- Prompt ID: W2-LEARN-001
- Applicable owner-written evidence-note path and existence/review status: [required]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W2-LEARN-001`.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W2-LEARN-001.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W2-LEARN-001.
</t>
  </si>
  <si>
    <t xml:space="preserve">COLUMN N — FINAL APPROVAL AND COMPLETE DOCUMENTATION CLOSURE — WEEKLY-LEARN-001
If Column M was not used and no document manifest exists, this gate records owner teach-back and owner confirmation that the applicable owner-written evidence note exists at: docs/learning/W1-learning-review.md, docs/learning/W2-learning-review.md, docs/learning/W3-learning-review.md, docs/learning/W4-learning-review.md, docs/learning/W5-learning-review.md, docs/learning/W6-learning-review.md. It authorizes no repository or tracker mutation. If any document was created or updated under a later Column M approval, the complete closure below is mandatory.
OWNER MUST SUPPLY — DO NOT INVENT
- Prompt ID: WEEKLY-LEARN-001
- Applicable owner-written evidence-note path and existence/review status: [required]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WEEKLY-LEARN-001`.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WEEKLY-LEARN-001.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WEEKLY-LEARN-001.
</t>
  </si>
  <si>
    <t>Owner completes the teach-back and records notes in docs/learning/W1-learning-review.md</t>
  </si>
  <si>
    <t>Owner completes the teach-back and records notes in docs/learning/W2-learning-review.md</t>
  </si>
  <si>
    <t>Owner completes the teach-back and records notes in docs/learning/W3-learning-review.md</t>
  </si>
  <si>
    <t>Owner completes the teach-back and records notes in docs/learning/W4-learning-review.md</t>
  </si>
  <si>
    <t>Owner completes the teach-back and records notes in docs/learning/W5-learning-review.md</t>
  </si>
  <si>
    <t>Owner completes the teach-back and records notes in docs/learning/W6-learning-review.md</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</si>
  <si>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pip install -r requirements.txt
2. pytest tests/unit/test_config.py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</si>
  <si>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help
2. make preflight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</si>
  <si>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-chdir=infra/bootstrap fmt -check
2. terraform -chdir=infra/environments/sandbox fmt -check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</si>
  <si>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python -m tools.platformctl --help
2. pytest tests/unit/test_platformctl.py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</si>
  <si>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W1-REVIEW-001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</si>
  <si>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preflight
2. make test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</si>
  <si>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QDRANT INTERNAL-ONLY OWNER SEQUENCE (GUIDANCE; NOT A RUNNABLE BATCH)
Codex issues one exact command at a time and waits for complete owner output after every step.
1. Validate current Compose configuration: qdrant and the one-shot runner reference only logical qdrant_internal; qdrant_internal retains internal: true; Qdrant has no published host port.
2. Verify approved immutable image identity and Linux/AMD64 constraints without changing resources.
3. Build the approved least-privilege one-shot runner only after separate owner authorization.
4. Start only Qdrant and wait for health on the internal Compose network.
5. Confirm HostConfig.PortBindings is empty and NetworkSettings.Ports contains no host bindings.
6. Run the one-shot internal runner against http://qdrant:6333; it waits for health, tests the bounded collection and deletes that collection in finally.
7. Confirm successful runner exit and no runner container or test collection.
8. Tear down the owner-selected project, volume, internal network, local runner image and orphans through separately issued commands.
9. Verify zero project-labelled container, volume, network and local-image residue.
Stop on host publication, non-internal networking, digest/platform mismatch, health failure, unexpected collection, cleanup failure or indeterminate output.</t>
  </si>
  <si>
    <t>TEST-001 — QDRANT INTERNAL-ONLY ROLLBACK/TEARDOWN (GUIDANCE; NOT A RUNNABLE BATCH)
Codex issues exactly one owner command at a time and waits for complete output.
1. Stop and remove the owner-selected Compose project containers and orphans.
2. Remove the project volume and logical qdrant_internal network.
3. Remove only the task-local runner image when approved; do not infer removal of shared immutable base images.
4. Verify zero project-labelled container, volume, network and local-image residue.
Stop if any target is ambiguous, outside the approved project, intentionally retained or unverifiable. Qdrant has no host-port publication to remove.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</si>
  <si>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python -m enterprise_ai.ingestion.pipeline ingest --source data/sample --tenant demo
2. pytest tests/feature/test_local_retrieval.py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</si>
  <si>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rollback-local
2. make destroy-local
3.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</si>
  <si>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Owner records the five-minute teach-back notes in docs/architecture/local-retrieval.md</t>
  </si>
  <si>
    <t>W2-REVIEW-001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</si>
  <si>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</si>
  <si>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rollback-rag
2. make evaluate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</si>
  <si>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W3-REVIEW-001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</si>
  <si>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evaluate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</si>
  <si>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rollback-release
2. make smoke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</si>
  <si>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W4-REVIEW-001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</si>
  <si>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security-scan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</si>
  <si>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-chdir=infra/bootstrap fmt -check
2. terraform -chdir=infra/bootstrap validate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</si>
  <si>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-chdir=infra/environments/sandbox validate
2. checkov -d infra/modules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</si>
  <si>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checkov -d infra
2. opa test policies/opa -v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</si>
  <si>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opa test policies/opa -v
2. checkov -d infra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</si>
  <si>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docker build -t enterprise-ai:test .
2. trivy image enterprise-ai:test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</si>
  <si>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destroy-sandbox
2. make verify-clean # owner-approved only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</si>
  <si>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W5-REVIEW-001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</si>
  <si>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rollback-release
2. make validate-sandbox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</si>
  <si>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Week 1 sheet, evidence register, ADRs, TODOs and owner-supplied results</t>
  </si>
  <si>
    <t>Owner-written evidence: docs/architecture/local-retrieval.md</t>
  </si>
  <si>
    <t>Week 2 sheet, evidence register, ADRs, TODOs and owner-supplied results</t>
  </si>
  <si>
    <t>Week 3 sheet, evidence register, ADRs, TODOs and owner-supplied results</t>
  </si>
  <si>
    <t>Week 4 sheet, evidence register, ADRs, TODOs and owner-supplied results</t>
  </si>
  <si>
    <t>Week 5 sheet, evidence register, ADRs, TODOs and owner-supplied results</t>
  </si>
  <si>
    <t>CTX-001</t>
  </si>
  <si>
    <t>Project context</t>
  </si>
  <si>
    <t>Set the owner-learning and code-only operating model.</t>
  </si>
  <si>
    <t>Source of Truth, Coaching Blueprint, tracker and owner decisions</t>
  </si>
  <si>
    <t>Context acknowledgement only</t>
  </si>
  <si>
    <t>PROJECT CONTEXT — ENTERPRISE AI ARCHITECTURE OWNER-LED LEARNING PROJECT / TRACKER v1.3.4
The owner is learning enterprise AI architecture, implementation, testing, deployment, remediation and end-to-end decision flow. Workflow: FOUR APPROVAL GATES PLUS OWNER TESTING AND WEEKLY LEARNING.
Codex may inspect and write only within explicit owner-approved boundaries. The owner executes every test, installer, Docker/service, registry, model download, cloud, deployment, rollback and teardown command. Documentation is separately approved and business-first. Source precedence remains Source of Truth v1.1, owner-approved ADRs, Coaching Blueprint, tracker, approved feature requirements, then generated code. Never invent or silently reconcile an owner decision.
Acknowledge only: WAITING FOR CTRL-001. Do not create, edit, run or mutate anything.</t>
  </si>
  <si>
    <t>Control prompt; paste before task prompts</t>
  </si>
  <si>
    <t>Stop at the control prompt's exact boundary</t>
  </si>
  <si>
    <t>Owner retains all execution and approval authority</t>
  </si>
  <si>
    <t>N/A — CONTROL PROMPT</t>
  </si>
  <si>
    <t>CTRL-001</t>
  </si>
  <si>
    <t>Mandatory control preamble</t>
  </si>
  <si>
    <t>Enforce the Main → Code → Owner Test → Documents → Final Approval workflow.</t>
  </si>
  <si>
    <t>Exact tracker rows, Task Context, owner decisions and approved boundaries</t>
  </si>
  <si>
    <t>Read-only plan, code-only edit, owner runbook, documentation gate and learning summary</t>
  </si>
  <si>
    <t>CTRL-001 — OWNER-LED COMPLETE-IMPACT DEVELOPMENT CONTROL v1.3.4
Workflow: FOUR APPROVAL GATES PLUS OWNER TESTING AND WEEKLY LEARNING. Work on one requested prompt and treat its exact tracker rows plus separate Task Context as the contract.
1. MAIN PROMPT / GATE 1: inspect read-only and return the complete business, baseline, producer-consumer, function/connection, path, schema/fixture, dependency/runtime API, concurrency, test, security/privacy/cost, owner-command, rollback/teardown and learning plan. Ask all owner decisions together. End `READY FOR PRE-EDIT REVIEW — [PROMPT_ID].`
2. COLUMN L / GATE 2: after an exact Code Edit Approval, write only approved code/configuration/IaC/schema/automated tests. For document/governance tasks, use bounded Content Edit Approval instead. Re-read paths, consumers and patch contexts first; on drift return `BLOCKED — BASELINE CHANGED`. Run nothing and do not write documentation/evidence/Excel or use Git mutation. End at the task-specific code/content-ready marker.
3. TEST-001: owner executes one exact command at a time. Codex explains purpose, expected result, access/cost/privacy/risk and stop condition, waits for complete output, and classifies PASS/FAIL/NOT RUN/INDETERMINATE. A failure triggers a complete read-only root-cause/consumer/gate audit and one consolidated remediation approval; no automatic fix.
4. COLUMN M / GATE 3: write only exact approved documentation paths after owner results. Return the complete Column M Approved Document Manifest. No code or commands.
5. COLUMN N / GATE 4: preflight the entire manifest, update every manifest document with Final Owner Approval, and reconcile one row per document. No partial closure. Only then end `APPROVED FOR USER TRACKER UPDATE — [PROMPT_ID].`
6. WEEKLY LEARNING: preserve the mandatory end-of-week teach-back. It authorizes no code or tracker edit.
Cache-safe guidance, exact repository-configured quality scopes, owner-only network/model/Docker/cloud actions, and zero-residue verification are mandatory. Never guess a filename or formatter intent. Stop after the requested prompt.</t>
  </si>
  <si>
    <t>All implementation groups</t>
  </si>
  <si>
    <t>Owner-led test, deployment and remediation guide</t>
  </si>
  <si>
    <t>Guide the owner through every validation and lifecycle command without executing anything.</t>
  </si>
  <si>
    <t>Prompt ID, code diff, acceptance criteria, environment/access boundary</t>
  </si>
  <si>
    <t>One-command-at-a-time owner runbook and validated PASS/BLOCKED summary</t>
  </si>
  <si>
    <t>TEST-001 — OWNER EXECUTION, FAILURE AND CLEANLINESS CONTROL v1.3.4
The owner executes; Codex never executes or self-remediates. Give one exact command at a time only after confirming the path/tool/configuration from repository evidence. For each command state topic/order, purpose, expected result, required access/version/environment/cache, network/privacy/disk/cost impact, evidence to capture, cleanup and stop condition. Wait for complete output.
Normal order: prerequisites and external environment; dependency health; structured parsing; focused tests; direct consumers; indirect consumers; security; teardown/cleanliness; cache-safe complete suite; Ruff configured scope with --no-cache; MyPy configured scope with a verified external OS-temporary cache; repository validator; applicable build/container validation; separately owner-approved opt-in model/network/Docker/cloud integration; cleanup; zero-residue verification.
Use Python -B, pytest without cacheprovider, Ruff --no-cache, an external reusable virtual environment, external model caches and an external unique MyPy cache. Never use a repository cache or Windows NUL without verified compatibility. Resolve and verify every cleanup target before the owner removes it.
On failure: stop; preserve output; classify all results PASS/FAIL/NOT RUN/INDETERMINATE; separate code, stale consumer/fixture/validator, dependency/API, environment, warning and residue causes; perform complete read-only producer-consumer and quality-gate impact analysis; propose one consolidated remediation boundary; wait for a new approval. Do not continue testing or patch the first file.</t>
  </si>
  <si>
    <t>Approved business-first documentation/decision record only; no code or command execution</t>
  </si>
  <si>
    <t>FOUR APPROVAL GATES PLUS OWNER TESTING AND WEEKLY LEARNING — TRACKER v1.3.4
MAIN PROMPT — W1-MVP-001
TASK IDENTITY
- Week: Week 1
- Feature/outcome: MVP scope and approval record
- Business purpose: Create the missing one-page MVP-001 source-of-truth artifact before repository implementation.
- Covered tracker steps: W1-01
- Required inputs: USE-001, DATA-001 and five starter EVAL-001 questions; no credentials
- Expected outputs: Approved business-first documentation/decision record only; no code or command execution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W1-01 — Confirm the first use case, user group, exclusions and measurable MVP outcome.
  Business reason: A narrow use case prevents a platform-without-a-problem and sets evaluation truth.
  Acceptance: One approved one-page scope and 5 representative questions.
  Dependency: None
  Owner verification reference: Owner review of docs/features/MVP-001.md
  Expected result: Scope, exclusions and success measures approved.
  Canonical evidence: docs/features/MVP-001.md
  Rollback/teardown: Revert scope file before implementation begins.
  Current tracker status (read-only historical/current fact): Done
  Separate Task Context: Week 1 business/decision documentation task in Scope. The owner provides or approves the facts; after Document Writing Approval, Codex may draft only the approved business-first documentation. No code or command execution is permitted. Business value: A narrow use case prevents a platform-without-a-problem and sets evaluation truth. Interview focus: explain the decision, its alternatives and downstream impact.
Downstream tracker steps identified from recorded dependencies: W1-02, W1-12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SCOPED TASK — W1-MVP-001
The planned Column L content boundary is update only docs/features/MVP-001.md. Include objective, target users, first use case, in-scope/out-of-scope items, approved sample-data description, five representative questions, measurable answer/abstention/security acceptance criteria, privacy/security assumptions, dependencies, TODO_USER items and owner approval fields. These five questions are the Week 1 starter set; the 25+ versioned golden cases are completed under W3-002. If USE-001, DATA-001 or the five starter questions are incomplete, make no edit and return one consolidated questionnaire. No application, infrastructure, CI/CD or cloud change. Leave Status as READY FOR OWNER REVIEW after implementation.
CONTENT-SPECIFIC READ-ONLY REVIEW — REQUIRED RESPONSE SECTIONS
1. Business and document outcome
Explain the single MVP scope record, its approved use case, exclusions, measurable acceptance and direct feature-matrix references.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docs/features/MVP-001.md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Create the missing one-page MVP-001 source-of-truth artifact before repository implementation. The primary beneficiaries are business owner, architecture owner, delivery team and auditors.
- Process and risk: This task supports owner use case and data choices -&gt; approved MVP-001 feature record -&gt; implementation prompts, tests and evidence. Without it, the platform can produce an unauditable, insecure or non-reproducible result at this exact layer.
- Measurable outcome: one internally consistent MVP record traceable to every mapped implementation acceptance criterion. It contributes to the MVP by making MVP scope and approval record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END-TO-END ARCHITECTURE LEARNING
- Position and flow: owner use case and data choices -&gt; approved MVP-001 feature record -&gt; implementation prompts, tests and evidence.
- Upstream/dependency boundary: None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feature requirements, acceptance criteria, evaluation questions and source precedence.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feature requirements, acceptance criteria, evaluation questions and source precedence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an architect-approved building brief before construction.
- What goes in / happens / comes out: approved USE-001, DATA-001 and five starter EVAL-001 questions; no credentials goes through MVP scope and approval record; validation and controls run; the output is Approved business-first documentation/decision record only; no code or command execution or a clear, non-fabricated stop.
- Why the business cares: the process becomes explainable, safer and repeatable.
- Adjacent technology: a feature source of truth defines what to build; an ADR explains why a durable choice was made.
ARCHITECTURE DECISIONS AND TRADE-OFFS
- Selected recorded direction: scope, user, corpus, success measures and exclusions must be explicit before implementation.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classification, tenant, PII and approval facts must be stated without secrets. Apply classification, PII handling, tenant isolation, authorization before provider/storage calls, secret exclusion, redacted evidence, residency, retention, provenance and least privilege where applicable.
- Failure/operations: ambiguous scope produces conflicting code and tests; block and reconcile the source record.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MVP scope and approval record addresses create the missing one-page mvp-001 source-of-truth artifact before repository implementation. It makes the result governed, testable and reversible, measured by one internally consistent MVP record traceable to every mapped implementation acceptance criterion.
- Two-minute technical explanation: describe feature requirements, acceptance criteria, evaluation questions and source precedence; trace owner use case and data choices -&gt; approved MVP-001 feature record -&gt; implementation prompts, tests and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MVP scope and approval record solve?
   Answer points: Connect Create the missing one-page MVP-001 source-of-truth artifact before repository implementation. to one internally consistent MVP record traceable to every mapped implementation acceptance criterion and identify business owner, architecture owner, delivery team and auditors.
2. Q: Trace the end-to-end flow for W1-MVP-001.
   Answer points: Explain owner use case and data choices -&gt; approved MVP-001 feature record -&gt; implementation prompts, tests and evidence; name upstream dependencies, downstream consumers, trust and state boundaries.
3. Q: Which design decision matters most and what alternative was rejected?
   Answer points: Discuss scope, user, corpus, success measures and exclusions must be explicit before implementation; compare the adjacent alternative and when it could be preferable.
4. Q: How does this task fail safely and how is it recovered?
   Answer points: Use this scenario: ambiguous scope produces conflicting code and tests; block and reconcile the source record; distinguish retry, remediation, rollback, teardown and evidence.
5. Q: How are security, privacy and cost controlled?
   Answer points: Explain classification, tenant, PII and approval facts must be stated without secrets; include least privilege, redaction/residency, bounded resources and owner-only access.
- Design trade-off: volume/latency increases tenfold; explain whether scope, user, corpus, success measures and exclusions must be explicit before implementation still holds and what evidence/ADR/approval must change.
- Failure/remediation: ambiguous scope produces conflicting code and tests; block and reconcile the source record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MVP scope and approval record. Task — establish the governed contract. Action — map consumers, work within gates, owner-test, diagnose completely and prove lifecycle. Result — report only accepted evidence and one internally consistent MVP record traceable to every mapped implementation acceptance criterion.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runtime APIs, concurrency and deployment are not applicable to a document-only scope decision
- Column L activation: no workbook text grants authority until the owner explicitly issues an exact bounded Code or Content Edit Approval after all edit-blocking decisions are resolved and patch contexts are re-read.
End exactly: READY FOR PRE-EDIT REVIEW — W1-MVP-001.</t>
  </si>
  <si>
    <t>Gate 1 Main Prompt → Gate 2 exact Content Edit → owner content review → Gate 3 Column M manifest → Gate 4 Column N complete closure → owner tracker update</t>
  </si>
  <si>
    <t>READY FOR PRE-EDIT REVIEW — W1-MVP-001</t>
  </si>
  <si>
    <t>Owner approval required after complete read-only impact review</t>
  </si>
  <si>
    <t>COLUMN L — COMPLETE BOUNDED CONTENT EDIT APPROVAL — W1-MVP-001
APPROVED TASK CONTRACT
- Prompt and tracker steps: W1-MVP-001 / W1-01
- Business purpose: Create the missing one-page MVP-001 source-of-truth artifact before repository implementation.
- Architecture position and content design: Maintain the one-page MVP source-of-truth record without changing application or infrastructure scope.
- Exact interfaces, functions and connections: No application function, class, API, service or infrastructure connection is changed. The exact document sections are Objective, target users, first use case, in scope, out of scope, approved sample-data description, five starter questions, measurable acceptance, privacy/security assumptions, dependencies, owner inputs and approval fields.
- Exact inputs, outputs, errors and invariants: Inputs are limited to USE-001, DATA-001 and five starter EVAL-001 questions; no credentials. Outputs are Approved business-first documentation/decision record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None
UPDATE:
- docs/features/MVP-001.md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missing one-page MVP-001 source-of-truth artifact before repository implementation. and measurable acceptance.
2. Architecture position: owner use case and data choices -&gt; approved MVP-001 feature record -&gt; implementation prompts, tests and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an architect-approved building brief before construction; what goes in, happens and comes out.
7. Decisions/trade-offs: scope, user, corpus, success measures and exclusions must be explicit before implementation, alternatives, pros/cons, conditions to differ and consequences.
8. Security/privacy/reliability/cost: classification, tenant, PII and approval facts must be stated without secrets, failure isolation, retained resources and accepted access/cost.
9. Failure/remediation/rollback/teardown: ambiguous scope produces conflicting code and tests; block and reconcile the source record;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W1-MVP-001.</t>
  </si>
  <si>
    <t xml:space="preserve">COLUMN M — EXACT DOCUMENT WRITING APPROVAL — W1-MVP-001
This is a separate owner approval after the bounded edit and owner testing or content review. Classify every path under one—and only one—of the CREATE and UPDATE headings after read-only preflight inspection.
EXACT DOCUMENTATION BOUNDARY
CREATE:
- None
UPDATE:
- docs/features/MVP-001.md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W1-MVP-001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W1-MVP-001.
</t>
  </si>
  <si>
    <t xml:space="preserve">COLUMN N — FINAL APPROVAL AND COMPLETE DOCUMENTATION CLOSURE — W1-MVP-001
This gate authorizes documentation closure only after owner review; it is not a code, test, deployment or tracker-edit approval.
OWNER MUST SUPPLY — DO NOT INVENT
- Prompt ID: W1-MVP-001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W1-MVP-001`.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W1-MVP-001.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W1-MVP-001.
</t>
  </si>
  <si>
    <t>FOUR APPROVAL GATES PLUS OWNER TESTING AND WEEKLY LEARNING — TRACKER v1.3.4
MAIN PROMPT — W1-GOV-001
TASK IDENTITY
- Week: Week 1
- Feature/outcome: Source precedence ADR
- Business purpose: Create the missing governance decision without creating unrelated Codex context files.
- Covered tracker steps: W1-02
- Required inputs: Source of Truth v1.1 and Coaching Blueprint as read-only references; no credentials
- Expected outputs: Approved business-first documentation/decision record only; no code or command execution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W1-02 — Record source precedence: v1.1 controls override older schedule while preserving technical prompts.
  Business reason: Prevents Codex and coach from following conflicting weekly sequences.
  Acceptance: Decision recorded and referenced by all feature prompts.
  Dependency: W1-01
  Owner verification reference: Review docs/adr/ADR-000-source-precedence.md
  Expected result: v1.1 is named implementation authority.
  Canonical evidence: docs/adr/ADR-000-source-precedence.md
  Rollback/teardown: Restore prior ADR only through reviewed superseding decision.
  Current tracker status (read-only historical/current fact): Done
  Separate Task Context: Week 1 business/decision documentation task in Governance. The owner provides or approves the facts; after Document Writing Approval, Codex may draft only the approved business-first documentation. No code or command execution is permitted. Business value: Prevents Codex and coach from following conflicting weekly sequences. Interview focus: explain the decision, its alternatives and downstream impact.
Downstream tracker steps identified from recorded dependencies: W1-03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SCOPED TASK — W1-GOV-001
The planned Column L content boundary is update only docs/adr/ADR-000-source-precedence.md. Do not require, create or modify docs/codex files. Record: Source of Truth v1.1 as highest implementation authority; later owner-approved ADRs supersede only explicitly identified decisions; Coaching Blueprint supplies supporting technical guidance; this tracker controls sequence/evidence/status; approved feature requirements govern their scope; generated code/configuration cannot override governing documents; conflicts stop for an owner decision and are never silently reconciled. Include at least three precedence examples, alternatives, trade-offs, consequences, revisit triggers, Status: Proposed, TODO_USER decision owner and governance-only/no-cloud-approval scope. No other file/resource change.
CONTENT-SPECIFIC READ-ONLY REVIEW — REQUIRED RESPONSE SECTIONS
1. Business and document outcome
Explain the source-precedence ADR, its governing authorities, examples, alternatives, consequences and revisit triggers.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docs/adr/ADR-000-source-precedence.md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Create the missing governance decision without creating unrelated Codex context files. The primary beneficiaries are architecture owner, reviewers, developers and auditors.
- Process and risk: This task supports governing sources -&gt; precedence decision -&gt; conflict handling -&gt; downstream prompt and implementation authority. Without it, the platform can produce an unauditable, insecure or non-reproducible result at this exact layer.
- Measurable outcome: zero silent reconciliations and a reviewable source chain. It contributes to the MVP by making Source precedence ADR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END-TO-END ARCHITECTURE LEARNING
- Position and flow: governing sources -&gt; precedence decision -&gt; conflict handling -&gt; downstream prompt and implementation authority.
- Upstream/dependency boundary: W1-01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ADR, Source of Truth, Coaching Blueprint, tracker and approved feature records.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ADR, Source of Truth, Coaching Blueprint, tracker and approved feature records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the rulebook that says which map to trust when maps disagree.
- What goes in / happens / comes out: approved Source of Truth v1.1 and Coaching Blueprint as read-only references; no credentials goes through Source precedence ADR; validation and controls run; the output is Approved business-first documentation/decision record only; no code or command execution or a clear, non-fabricated stop.
- Why the business cares: the process becomes explainable, safer and repeatable.
- Adjacent technology: an ADR records why a durable choice was made; the tracker schedules work under it.
ARCHITECTURE DECISIONS AND TRADE-OFFS
- Selected recorded direction: higher-authority sources win only by recorded precedence; conflicts are surfaced, never silently merged.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approval provenance and auditability prevent unauthorized requirements from entering code. Apply classification, PII handling, tenant isolation, authorization before provider/storage calls, secret exclusion, redacted evidence, residency, retention, provenance and least privilege where applicable.
- Failure/operations: missing or contradictory authority stops work until the owner resolves it.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Source precedence ADR addresses create the missing governance decision without creating unrelated codex context files. It makes the result governed, testable and reversible, measured by zero silent reconciliations and a reviewable source chain.
- Two-minute technical explanation: describe ADR, Source of Truth, Coaching Blueprint, tracker and approved feature records; trace governing sources -&gt; precedence decision -&gt; conflict handling -&gt; downstream prompt and implementation authority;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Source precedence ADR solve?
   Answer points: Connect Create the missing governance decision without creating unrelated Codex context files. to zero silent reconciliations and a reviewable source chain and identify architecture owner, reviewers, developers and auditors.
2. Q: Trace the end-to-end flow for W1-GOV-001.
   Answer points: Explain governing sources -&gt; precedence decision -&gt; conflict handling -&gt; downstream prompt and implementation authority; name upstream dependencies, downstream consumers, trust and state boundaries.
3. Q: Which design decision matters most and what alternative was rejected?
   Answer points: Discuss higher-authority sources win only by recorded precedence; conflicts are surfaced, never silently merged; compare the adjacent alternative and when it could be preferable.
4. Q: How does this task fail safely and how is it recovered?
   Answer points: Use this scenario: missing or contradictory authority stops work until the owner resolves it; distinguish retry, remediation, rollback, teardown and evidence.
5. Q: How are security, privacy and cost controlled?
   Answer points: Explain approval provenance and auditability prevent unauthorized requirements from entering code; include least privilege, redaction/residency, bounded resources and owner-only access.
- Design trade-off: volume/latency increases tenfold; explain whether higher-authority sources win only by recorded precedence; conflicts are surfaced, never silently merged still holds and what evidence/ADR/approval must change.
- Failure/remediation: missing or contradictory authority stops work until the owner resolves it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Source precedence ADR. Task — establish the governed contract. Action — map consumers, work within gates, owner-test, diagnose completely and prove lifecycle. Result — report only accepted evidence and zero silent reconciliations and a reviewable source chain.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application runtime, provider calls and infrastructure teardown are not applicable
- Column L activation: no workbook text grants authority until the owner explicitly issues an exact bounded Code or Content Edit Approval after all edit-blocking decisions are resolved and patch contexts are re-read.
End exactly: READY FOR PRE-EDIT REVIEW — W1-GOV-001.</t>
  </si>
  <si>
    <t>READY FOR PRE-EDIT REVIEW — W1-GOV-001</t>
  </si>
  <si>
    <t>COLUMN L — COMPLETE BOUNDED CONTENT EDIT APPROVAL — W1-GOV-001
APPROVED TASK CONTRACT
- Prompt and tracker steps: W1-GOV-001 / W1-02
- Business purpose: Create the missing governance decision without creating unrelated Codex context files.
- Architecture position and content design: Maintain the source-precedence ADR and its examples without creating unrelated context files.
- Exact interfaces, functions and connections: No application function, class, API, service or infrastructure connection is changed. The exact document sections are Context, decision, precedence order, three examples, alternatives, trade-offs, consequences, revisit triggers, Proposed status and owner fields.
- Exact inputs, outputs, errors and invariants: Inputs are limited to Source of Truth v1.1 and Coaching Blueprint as read-only references; no credentials. Outputs are Approved business-first documentation/decision record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None
UPDATE:
- docs/adr/ADR-000-source-precedence.md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missing governance decision without creating unrelated Codex context files. and measurable acceptance.
2. Architecture position: governing sources -&gt; precedence decision -&gt; conflict handling -&gt; downstream prompt and implementation authority,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the rulebook that says which map to trust when maps disagree; what goes in, happens and comes out.
7. Decisions/trade-offs: higher-authority sources win only by recorded precedence; conflicts are surfaced, never silently merged, alternatives, pros/cons, conditions to differ and consequences.
8. Security/privacy/reliability/cost: approval provenance and auditability prevent unauthorized requirements from entering code, failure isolation, retained resources and accepted access/cost.
9. Failure/remediation/rollback/teardown: missing or contradictory authority stops work until the owner resolves it;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W1-GOV-001.</t>
  </si>
  <si>
    <t xml:space="preserve">COLUMN M — EXACT DOCUMENT WRITING APPROVAL — W1-GOV-001
This is a separate owner approval after the bounded edit and owner testing or content review. Classify every path under one—and only one—of the CREATE and UPDATE headings after read-only preflight inspection.
EXACT DOCUMENTATION BOUNDARY
CREATE:
- None
UPDATE:
- docs/adr/ADR-000-source-precedence.md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W1-GOV-001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W1-GOV-001.
</t>
  </si>
  <si>
    <t xml:space="preserve">COLUMN N — FINAL APPROVAL AND COMPLETE DOCUMENTATION CLOSURE — W1-GOV-001
This gate authorizes documentation closure only after owner review; it is not a code, test, deployment or tracker-edit approval.
OWNER MUST SUPPLY — DO NOT INVENT
- Prompt ID: W1-GOV-001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W1-GOV-001`.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W1-GOV-001.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W1-GOV-001.
</t>
  </si>
  <si>
    <t>Approved code/configuration/test-code changes; owner test/deployment/remediation guide; business/technical/layman/interview summary</t>
  </si>
  <si>
    <t xml:space="preserve">FOUR APPROVAL GATES PLUS OWNER TESTING AND WEEKLY LEARNING — TRACKER v1.3.4
MAIN PROMPT — W1-001
TASK IDENTITY
- Week: Week 1
- Feature/outcome: Repository and feature-control foundation
- Business purpose: Create the traceability and evidence structure before feature code.
- Covered tracker steps: W1-03, W1-04, W1-07
- Required inputs: TODO_REPOSITORY, TODO_USER_OR_TEAM, TODO_COST_CENTER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W1-03 — Create the monorepo and documentation/evidence structure.
  Business reason: Gives every change an auditable home and supports clean ownership.
  Acceptance: Required folders, README and Makefile exist.
  Dependency: W1-02
  Owner verification reference: find . -maxdepth 3 -type d | sort
  Expected result: Layout matches blueprint; no unrelated files changed.
  Canonical evidence: docs/test-evidence/W1-03-layout.txt
  Rollback/teardown: Delete only newly created empty skeleton paths after diff review.
  Current tracker status (read-only historical/current fact): Done
  Separate Task Context: Week 1 Repository task in the end-to-end architecture. After Code Edit Approval, Codex writes only the approved code/configuration/test code for “Create the monorepo and documentation/evidence structure.”; you run the verification/deployment commands and return the results. Business value: Gives every change an auditable home and supports clean ownership. Interview focus: explain where this component sits, how it fails safely and how it is rolled back.
- W1-04 — Create feature-matrix.yaml and the first feature record.
  Business reason: Links purpose, files, tests, cost, approval, rollback and teardown.
  Acceptance: Schema validates and feature MVP-001 is planned.
  Dependency: W1-03
  Owner verification reference: python -m tools.platformctl validate
  Expected result: Validation exits 0; missing required fields fail.
  Canonical evidence: docs/test-evidence/W1-04-feature-matrix.json
  Rollback/teardown: Restore previous matrix version from Git.
  Current tracker status (read-only historical/current fact): Done
  Separate Task Context: Week 1 Traceability task in the end-to-end architecture. After Code Edit Approval, Codex writes only the approved code/configuration/test code for “Create feature-matrix.yaml and the first feature record.”; you run the verification/deployment commands and return the results. Business value: Links purpose, files, tests, cost, approval, rollback and teardown. Interview focus: explain where this component sits, how it fails safely and how it is rolled back.
- W1-07 — Add Make targets for preflight, test, scan, plan, rollback, destroy-plan and verify-clean.
  Business reason: A single, reviewable command vocabulary keeps user and Codex synchronized.
  Acceptance: Make help documents safe commands; mutating commands are gated.
  Dependency: W1-03
  Owner verification reference: make help &amp;&amp; make preflight
  Expected result: Preflight passes; apply/destroy are never default dependencies.
  Canonical evidence: docs/test-evidence/W1-07-make.txt
  Rollback/teardown: Revert Makefile changes.
  Current tracker status (read-only historical/current fact): Done
  Separate Task Context: Week 1 Developer controls task in the end-to-end architecture. After Code Edit Approval, Codex writes only the approved code/configuration/test code for “Add Make targets for preflight, test, scan, plan, rollback, destroy-plan and verify-clean.”; you run the verification/deployment commands and return the results. Business value: A single, reviewable command vocabulary keeps user and Codex synchronized. Interview focus: explain where this component sits, how it fails safely and how it is rolled back.
Downstream tracker steps identified from recorded dependencies: W1-04, W1-05, W1-06, W1-07, W1-09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the enterprise-ai-platform repository skeleton defined in Blueprint v1.1. Add docs/{architecture,adr,features,test-evidence,deployment-records,rollback-records,cost-estimates,resource-cleanliness}, tools/platformctl, infra/{bootstrap,modules,environments/sandbox}, tests/{unit,integration,feature,smoke,security,teardown}, policies, feature-matrix.yaml and a Makefile. Create a feature template with purpose, exclusions, files, resources, tests, security/cost impact, deploy, rollback, teardown, evidence and owner approval. Add README workflow instructions. Do not implement RAG yet.
TASK-SPECIFIC CLARIFICATION
README workflow wording, if this task changes README, must use: FOUR APPROVAL GATES PLUS OWNER TESTING AND WEEKLY LEARNING. It must state that the Main Prompt is read-only; Column L authorizes bounded code or content edits; the owner executes TEST-001; Column M produces the approved document manifest; Column N closes every manifest document; and only the owner updates the tracker.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Schema/serialization: Trace every producer, parser, serializer, fixture and validator; reject missing, duplicated, reordered, unknown or incompatible data deterministically.
- Python quality: Preserve repository Python compatibility, strict typing, deterministic fixtures and configured Ruff/MyPy/Pytest scopes; all execution stays owner-run.
- Documentation/governance: Trace every decision to its authority; separate historical facts, owner-approved values, proposals and unresolved owner inputs without rewriting history.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Create the traceability and evidence structure before feature code. The primary beneficiaries are developers, reviewers, platform owner and auditors.
- Process and risk: This task supports approved feature record -&gt; repository skeleton -&gt; feature matrix -&gt; validator -&gt; owner evidence. Without it, the platform can produce an unauditable, insecure or non-reproducible result at this exact layer.
- Measurable outcome: clean validation plus exact feature-to-path coverage. It contributes to the MVP by making Repository and feature-control foundation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END-TO-END ARCHITECTURE LEARNING
- Position and flow: approved feature record -&gt; repository skeleton -&gt; feature matrix -&gt; validator -&gt; owner evidence.
- Upstream/dependency boundary: W1-02, W1-03, W1-03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Python package layout, feature-matrix JSON contract, platform validator and evidence folders. Gate-1 path evidence must come from the current repository tree and bounded manifest; a path absent from the inspected baseline must be labelled PROPOSED, never stated as an existing exact path.
- Implemented symbol evidence to trace at Gate 1: tools.platformctl.validate.validate_feature_matrix plus its feature-matrix, CLI and automated-test callers. Re-read current files and enumerate every direct and indirect consumer before proposing edits.
- Connections and boundaries: identify each local call, file/state boundary, network/service edge, authentication/authorization decision and retained resource. Explain local-to-AWS/EKS/production evolution only where this task records it.
TECHNICAL LEARNING
- Contract: Python package layout, feature-matrix JSON contract, platform validator and evidence folders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labelled filing cabinet with an inventory checker.
- What goes in / happens / comes out: approved TODO_REPOSITORY, TODO_USER_OR_TEAM, TODO_COST_CENTER goes through Repository and feature-control foundation;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repository structure holds assets; the feature matrix assigns ownership and traceability.
ARCHITECTURE DECISIONS AND TRADE-OFFS
- Selected recorded direction: strict ordered feature ownership and exact path traceability are selected over informal folders.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secrets or caches in Git; validators reject unauthorized features and paths. Apply classification, PII handling, tenant isolation, authorization before provider/storage calls, secret exclusion, redacted evidence, residency, retention, provenance and least privilege where applicable.
- Failure/operations: schema or fixture drift fails validation before later work builds on it.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Repository and feature-control foundation addresses create the traceability and evidence structure before feature code. It makes the result governed, testable and reversible, measured by clean validation plus exact feature-to-path coverage.
- Two-minute technical explanation: describe Python package layout, feature-matrix JSON contract, platform validator and evidence folders; trace approved feature record -&gt; repository skeleton -&gt; feature matrix -&gt; validator -&gt; owner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Repository and feature-control foundation solve?
   Answer points: Connect Create the traceability and evidence structure before feature code. to clean validation plus exact feature-to-path coverage and identify developers, reviewers, platform owner and auditors.
2. Q: Trace the end-to-end flow for W1-001.
   Answer points: Explain approved feature record -&gt; repository skeleton -&gt; feature matrix -&gt; validator -&gt; owner evidence; name upstream dependencies, downstream consumers, trust and state boundaries.
3. Q: Which design decision matters most and what alternative was rejected?
   Answer points: Discuss strict ordered feature ownership and exact path traceability are selected over informal folders; compare the adjacent alternative and when it could be preferable.
4. Q: How does this task fail safely and how is it recovered?
   Answer points: Use this scenario: schema or fixture drift fails validation before later work builds on it; distinguish retry, remediation, rollback, teardown and evidence.
5. Q: How are security, privacy and cost controlled?
   Answer points: Explain no secrets or caches in Git; validators reject unauthorized features and paths; include least privilege, redaction/residency, bounded resources and owner-only access.
- Design trade-off: volume/latency increases tenfold; explain whether strict ordered feature ownership and exact path traceability are selected over informal folders still holds and what evidence/ADR/approval must change.
- Failure/remediation: schema or fixture drift fails validation before later work builds on it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Repository and feature-control foundation. Task — establish the governed contract. Action — map consumers, work within gates, owner-test, diagnose completely and prove lifecycle. Result — report only accepted evidence and clean validation plus exact feature-to-path coverage.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W1-001.
</t>
  </si>
  <si>
    <t>Gate 1 Main Prompt → Gate 2 exact Code Edit → owner TEST-001 → Gate 3 Column M manifest → Gate 4 Column N complete closure → owner tracker update</t>
  </si>
  <si>
    <t>READY FOR PRE-EDIT REVIEW — W1-001</t>
  </si>
  <si>
    <t>W1-03, W1-04, W1-07</t>
  </si>
  <si>
    <t>COLUMN L — COMPLETE BOUNDED CODE EDIT APPROVAL — W1-001
APPROVED TASK CONTRACT
- Prompt and tracker steps: W1-001 / W1-03, W1-04, W1-07
- Business purpose: Create the traceability and evidence structure before feature code.
- Architecture and design: The repository control plane is Makefile plus the JSON-serialized feature-matrix.yaml and its validator; feature ownership maps exact implementation and test paths without implementing RAG.
- Exact interfaces, functions and connections: tools.platformctl.validate validates the ordered feature records; Make targets expose help and preflight without making apply or destroy a default dependency.
- Exact inputs, outputs, errors and invariants: Inputs are limited to TODO_REPOSITORY, TODO_USER_OR_TEAM, TODO_COST_CENTER.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The matrix remains one JSON object with schema_version, project, permitted_statuses and ordered features; malformed, duplicated, reordered, missing or unexpected values are rejected.
- Exact dependency and runtime API rules: Python 3.11 or newer and the repository-configured tool scopes apply; no network, service, model or cloud API participates.
- Exact security, privacy, concurrency and operational controls: No secret values, credentials or resource mutation; path ownership and owner approval remain explicit.
- Exact automated-test behavior: Repository-layout tests prove exact paths; feature tests prove ordered feature identity and rejection of malformed or extra data; platformctl tests prove the validation exit contract.
- Accepted baseline: The inspected repository contains every UPDATE path and does not contain every CREATE path. Historical results remain unchanged; future execution must revalidate content and patch anchors.
EXACT APPROVED PATH MANIFEST
CREATE:
- None
UPDATE:
- feature-matrix.yaml
- Makefile
- tools/platformctl/validate.py
- tests/integration/test_repository_layout.py
- tests/feature/test_feature_matrix.py
- tests/feature/test_mvp_001_mapping.py
- tests/feature/test_mvp_001_platformctl.py
DELETE:
- None
VERIFIED IMPLEMENTED PRODUCERS / UNCHANGED CONSUMERS:
- README.md
- docs/features/FEATURE-TEMPLATE.md
- tools/platformctl/__init__.py
- tools/platformctl/cli.py
- tools/platformctl/contracts.py
- tests/fakes/__init__.py
- tests/security/test_repository_security.py
- tests/feature/test_w2_002_embedder_contract.py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traceability and evidence structure before feature code. and measurable acceptance.
2. Architecture position: approved feature record -&gt; repository skeleton -&gt; feature matrix -&gt; validator -&gt; owner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labelled filing cabinet with an inventory checker; what goes in, happens and comes out.
7. Decisions/trade-offs: strict ordered feature ownership and exact path traceability are selected over informal folders, alternatives, pros/cons, conditions to differ and consequences.
8. Security/privacy/reliability/cost: no secrets or caches in Git; validators reject unauthorized features and paths, failure isolation, retained resources and accepted access/cost.
9. Failure/remediation/rollback/teardown: schema or fixture drift fails validation before later work builds on it;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W1-001.</t>
  </si>
  <si>
    <t xml:space="preserve">COLUMN N — FINAL APPROVAL AND COMPLETE DOCUMENTATION CLOSURE — W1-001
This gate authorizes documentation closure only after owner review; it is not a code, test, deployment or tracker-edit approval.
OWNER MUST SUPPLY — DO NOT INVENT
- Prompt ID: W1-001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W1-001.
</t>
  </si>
  <si>
    <t xml:space="preserve">FOUR APPROVAL GATES PLUS OWNER TESTING AND WEEKLY LEARNING — TRACKER v1.3.4
MAIN PROMPT — W1-002
TASK IDENTITY
- Week: Week 1
- Feature/outcome: Dependency and configuration foundation
- Business purpose: Make installation reproducible and configuration explicit.
- Covered tracker steps: W1-05
- Required inputs: Python 3.11; no cloud credentials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W1-05 — Create reproducible dependencies and typed configuration.
  Business reason: Fail-fast configuration and portable dependencies reduce hidden runtime risk.
  Acceptance: pip install succeeds; config tests pass offline.
  Dependency: W1-03
  Owner verification reference: pip install -r requirements.txt &amp;&amp; pytest tests/unit/test_config.py -q
  Expected result: No paid/network dependency in unit tests; TODOs remain non-secret.
  Canonical evidence: docs/test-evidence/W1-05-config.txt
  Rollback/teardown: Revert dependency/config commit and recreate virtual environment.
  Current tracker status (read-only historical/current fact): Done
  Separate Task Context: Week 1 Python foundation task in the end-to-end architecture. After Code Edit Approval, Codex writes only the approved code/configuration/test code for “Create reproducible dependencies and typed configuration.”; you run the verification/deployment commands and return the results. Business value: Fail-fast configuration and portable dependencies reduce hidden runtime risk. Interview focus: explain where this component sits, how it fails safely and how it is rolled back.
Downstream tracker steps identified from recorded dependencies: W1-06, W1-08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Python 3.11 starter foundation for an enterprise RAG service. Use pydantic-settings for typed environment configuration, fail fast on invalid values and never include a secret value or unsafe default. Create runtime/development requirements with compatible ranges, pyproject settings for Ruff, mypy and pytest, .env.example with TODO placeholders, and unit tests. Include FastAPI, Uvicorn, boto3, sentence-transformers, qdrant-client, opensearch-py, LangChain, LangGraph, OpenTelemetry, pytest, moto, testcontainers, Ragas, DeepEval and Presidio only in appropriate files. Avoid GPU-only packages in the default MVP install.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Data/privacy: Classify data, minimize content, prohibit secrets/PII in logs and evidence, and state residency, retention and deletion effects.
- Security/authorization: Enforce least privilege and tenant/classification controls before provider calls; fail closed and redact errors.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installation reproducible and configuration explicit. The primary beneficiaries are developers, operators, security and support teams.
- Process and risk: This task supports environment values -&gt; typed Settings validation -&gt; provider constructors -&gt; deterministic startup failure or usable configuration. Without it, the platform can produce an unauditable, insecure or non-reproducible result at this exact layer.
- Measurable outcome: reproducible install contract and deterministic configuration tests. It contributes to the MVP by making Dependency and configuration foundation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END-TO-END ARCHITECTURE LEARNING
- Position and flow: environment values -&gt; typed Settings validation -&gt; provider constructors -&gt; deterministic startup failure or usable configuration.
- Upstream/dependency boundary: W1-03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requirements, pyproject tool scopes, Settings model, environment example and configuration tests. Gate-1 path evidence must come from the current repository tree and bounded manifest; a path absent from the inspected baseline must be labelled PROPOSED, never stated as an existing exact path.
- Implemented symbol evidence to trace at Gate 1: enterprise_ai_platform.config.Settings and settings construction/validation callers in the application, Compose configuration and tests. Re-read current files before proposing edits.
- Connections and boundaries: identify each local call, file/state boundary, network/service edge, authentication/authorization decision and retained resource. Explain local-to-AWS/EKS/production evolution only where this task records it.
TECHNICAL LEARNING
- Contract: requirements, pyproject tool scopes, Settings model, environment example and configuration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pre-flight checklist that refuses takeoff with missing instruments.
- What goes in / happens / comes out: approved Python 3.11; no cloud credentials goes through Dependency and configuration foundation;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dependencies provide code; configuration selects permitted runtime behavior.
ARCHITECTURE DECISIONS AND TRADE-OFFS
- Selected recorded direction: explicit typed configuration and bounded versions are selected over hidden defaults.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credentials remain external, errors redact values and invalid configuration fails before service calls. Apply classification, PII handling, tenant isolation, authorization before provider/storage calls, secret exclusion, redacted evidence, residency, retention, provenance and least privilege where applicable.
- Failure/operations: version/API drift or invalid settings stop startup; rollback restores approved bounds.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Dependency and configuration foundation addresses make installation reproducible and configuration explicit. It makes the result governed, testable and reversible, measured by reproducible install contract and deterministic configuration tests.
- Two-minute technical explanation: describe requirements, pyproject tool scopes, Settings model, environment example and configuration tests; trace environment values -&gt; typed Settings validation -&gt; provider constructors -&gt; deterministic startup failure or usable configuration;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Dependency and configuration foundation solve?
   Answer points: Connect Make installation reproducible and configuration explicit. to reproducible install contract and deterministic configuration tests and identify developers, operators, security and support teams.
2. Q: Trace the end-to-end flow for W1-002.
   Answer points: Explain environment values -&gt; typed Settings validation -&gt; provider constructors -&gt; deterministic startup failure or usable configuration; name upstream dependencies, downstream consumers, trust and state boundaries.
3. Q: Which design decision matters most and what alternative was rejected?
   Answer points: Discuss explicit typed configuration and bounded versions are selected over hidden defaults; compare the adjacent alternative and when it could be preferable.
4. Q: How does this task fail safely and how is it recovered?
   Answer points: Use this scenario: version/API drift or invalid settings stop startup; rollback restores approved bounds; distinguish retry, remediation, rollback, teardown and evidence.
5. Q: How are security, privacy and cost controlled?
   Answer points: Explain credentials remain external, errors redact values and invalid configuration fails before service calls; include least privilege, redaction/residency, bounded resources and owner-only access.
- Design trade-off: volume/latency increases tenfold; explain whether explicit typed configuration and bounded versions are selected over hidden defaults still holds and what evidence/ADR/approval must change.
- Failure/remediation: version/API drift or invalid settings stop startup; rollback restores approved bounds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Dependency and configuration foundation. Task — establish the governed contract. Action — map consumers, work within gates, owner-test, diagnose completely and prove lifecycle. Result — report only accepted evidence and reproducible install contract and deterministic configuration tests.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W1-002.
</t>
  </si>
  <si>
    <t>READY FOR PRE-EDIT REVIEW — W1-002</t>
  </si>
  <si>
    <t>COLUMN L — COMPLETE BOUNDED CODE EDIT APPROVAL — W1-002
APPROVED TASK CONTRACT
- Prompt and tracker steps: W1-002 / W1-05
- Business purpose: Make installation reproducible and configuration explicit.
- Architecture and design: Pydantic settings load explicit environment values through enterprise_ai_platform.config and expose validated configuration to consumers without embedding secrets.
- Exact interfaces, functions and connections: Settings and get_settings accept environment strings and return typed immutable configuration; validation errors reject absent or malformed required values.
- Exact inputs, outputs, errors and invariants: Inputs are limited to Python 3.11; no cloud credentials.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Environment names, types, defaults and rejection behavior are fixed by .env.example and Settings fields; tests use monkeypatched environment fixtures only.
- Exact dependency and runtime API rules: Dependency bounds remain in requirements and pyproject; imports must resolve under the supported Python baseline without network use at runtime.
- Exact security, privacy, concurrency and operational controls: Secret values are never committed, logged or included in validation errors; configuration loading is deterministic and side-effect free.
- Exact automated-test behavior: Unit tests cover defaults and invalid values; dependency-contract tests cover declared imports; security tests reject committed secrets; cleanliness tests reject repository-local environments and caches.
- Accepted baseline: The inspected repository contains every UPDATE path and does not contain every CREATE path. Historical results remain unchanged; future execution must revalidate content and patch anchors.
EXACT APPROVED PATH MANIFEST
CREATE:
- None
UPDATE:
- .env.example
- pyproject.toml
- requirements.txt
- requirements-dev.txt
- src/enterprise_ai_platform/config.py
- tests/unit/test_config.py
- tests/integration/test_dependency_contract.py
- tests/security/test_configuration_security.py
- tests/teardown/test_w1_002_cleanliness.py
DELETE:
- None
VERIFIED IMPLEMENTED PRODUCERS / UNCHANGED CONSUMERS:
- src/enterprise_ai_platform/app.py
- docker-compose.yml
- README.md
- tests/conftest.py
- tests/unit/test_app.py
- tests/contract/test_health_contract.py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installation reproducible and configuration explicit. and measurable acceptance.
2. Architecture position: environment values -&gt; typed Settings validation -&gt; provider constructors -&gt; deterministic startup failure or usable configuration,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pre-flight checklist that refuses takeoff with missing instruments; what goes in, happens and comes out.
7. Decisions/trade-offs: explicit typed configuration and bounded versions are selected over hidden defaults, alternatives, pros/cons, conditions to differ and consequences.
8. Security/privacy/reliability/cost: credentials remain external, errors redact values and invalid configuration fails before service calls, failure isolation, retained resources and accepted access/cost.
9. Failure/remediation/rollback/teardown: version/API drift or invalid settings stop startup; rollback restores approved bounds;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W1-002.</t>
  </si>
  <si>
    <t xml:space="preserve">COLUMN N — FINAL APPROVAL AND COMPLETE DOCUMENTATION CLOSURE — W1-002
This gate authorizes documentation closure only after owner review; it is not a code, test, deployment or tracker-edit approval.
OWNER MUST SUPPLY — DO NOT INVENT
- Prompt ID: W1-002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W1-002.
</t>
  </si>
  <si>
    <t xml:space="preserve">FOUR APPROVAL GATES PLUS OWNER TESTING AND WEEKLY LEARNING — TRACKER v1.3.4
MAIN PROMPT — W1-003
TASK IDENTITY
- Week: Week 1
- Feature/outcome: Test and evidence framework
- Business purpose: Make every acceptance criterion executable and auditable.
- Covered tracker steps: W1-06, W1-08
- Required inputs: Feature template and repo skeleton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W1-06 — Create pytest layers, deterministic fakes and evidence capture.
  Business reason: Testing is a feature gate, not an afterthought.
  Acceptance: Markers and sample feature test run locally.
  Dependency: W1-04,W1-05
  Owner verification reference: pytest tests/unit tests/feature -q
  Expected result: Tests pass; evidence metadata excludes secrets/content.
  Canonical evidence: docs/test-evidence/W1-06-tests.json
  Rollback/teardown: Revert test framework commit; no platform resources exist.
  Current tracker status (read-only historical/current fact): Done
  Separate Task Context: Week 1 Testing task in the end-to-end architecture. After Code Edit Approval, Codex writes only the approved code/configuration/test code for “Create pytest layers, deterministic fakes and evidence capture.”; you run the verification/deployment commands and return the results. Business value: Testing is a feature gate, not an afterthought. Interview focus: explain where this component sits, how it fails safely and how it is rolled back.
- W1-08 — Add pre-commit formatting, linting and secret scanning baseline.
  Business reason: Shift-left checks stop secrets and poor-quality changes before PR.
  Acceptance: Insecure secret fixture is blocked without committing a real secret.
  Dependency: W1-05
  Owner verification reference: pre-commit run --all-files
  Expected result: All checks pass on source; synthetic fixture produces expected failure.
  Canonical evidence: docs/test-evidence/W1-08-precommit.txt
  Rollback/teardown: Revert hooks only after owner review; rotate any accidentally exposed credential.
  Current tracker status (read-only historical/current fact): Done
  Separate Task Context: Week 1 DevSecOps task in the end-to-end architecture. After Code Edit Approval, Codex writes only the approved code/configuration/test code for “Add pre-commit formatting, linting and secret scanning baseline.”; you run the verification/deployment commands and return the results. Business value: Shift-left checks stop secrets and poor-quality changes before PR. Interview focus: explain where this component sits, how it fails safely and how it is rolled back.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pytest configuration and folders for unit, integration, contract, feature, smoke, security and teardown tests. Add markers that skip paid/AWS tests by default, deterministic fake providers, a test-evidence README, and a sample feature test mapped to feature-matrix.yaml. Add a script that records command, timestamp, Git SHA, environment, result and redacted report path without logging secrets or document content.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Data/privacy: Classify data, minimize content, prohibit secrets/PII in logs and evidence, and state residency, retention and deletion effects.
- Documentation/governance: Trace every decision to its authority; separate historical facts, owner-approved values, proposals and unresolved owner inputs without rewriting history.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every acceptance criterion executable and auditable. The primary beneficiaries are owner, reviewers, auditors and future maintainers.
- Process and risk: This task supports acceptance criterion -&gt; automated test -&gt; owner execution -&gt; factual evidence -&gt; approval gate. Without it, the platform can produce an unauditable, insecure or non-reproducible result at this exact layer.
- Measurable outcome: each criterion has a runnable check and evidence location. It contributes to the MVP by making Test and evidence framework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END-TO-END ARCHITECTURE LEARNING
- Position and flow: acceptance criterion -&gt; automated test -&gt; owner execution -&gt; factual evidence -&gt; approval gate.
- Upstream/dependency boundary: W1-04,W1-05, W1-05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pytest markers, fixtures, evidence recorder, PASS/FAIL/NOT RUN vocabulary and cleanliness tests. Gate-1 path evidence must come from the current repository tree and bounded manifest; a path absent from the inspected baseline must be labelled PROPOSED, never stated as an existing exact path.
- Implemented connection evidence to trace at Gate 1: the evidence recorder CLI/module, its record schema, redaction boundary and contract/smoke/cleanliness consumers. Exact symbols come from current files; this prompt does not infer names.
- Connections and boundaries: identify each local call, file/state boundary, network/service edge, authentication/authorization decision and retained resource. Explain local-to-AWS/EKS/production evolution only where this task records it.
TECHNICAL LEARNING
- Contract: pytest markers, fixtures, evidence recorder, PASS/FAIL/NOT RUN vocabulary and cleanliness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laboratory notebook whose measurements are reproducible and signed.
- What goes in / happens / comes out: approved Feature template and repo skeleton goes through Test and evidence framework;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tests detect behavior; evidence records what the owner actually executed.
ARCHITECTURE DECISIONS AND TRADE-OFFS
- Selected recorded direction: deterministic acceptance plus factual transcripts replaces subjective demonstrations.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test data is synthetic, secrets/content are redacted and evidence never fabricates PASS. Apply classification, PII handling, tenant isolation, authorization before provider/storage calls, secret exclusion, redacted evidence, residency, retention, provenance and least privilege where applicable.
- Failure/operations: a failing command stops; complete diagnosis precedes one remediation approval.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Test and evidence framework addresses make every acceptance criterion executable and auditable. It makes the result governed, testable and reversible, measured by each criterion has a runnable check and evidence location.
- Two-minute technical explanation: describe pytest markers, fixtures, evidence recorder, PASS/FAIL/NOT RUN vocabulary and cleanliness tests; trace acceptance criterion -&gt; automated test -&gt; owner execution -&gt; factual evidence -&gt; approval gate;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Test and evidence framework solve?
   Answer points: Connect Make every acceptance criterion executable and auditable. to each criterion has a runnable check and evidence location and identify owner, reviewers, auditors and future maintainers.
2. Q: Trace the end-to-end flow for W1-003.
   Answer points: Explain acceptance criterion -&gt; automated test -&gt; owner execution -&gt; factual evidence -&gt; approval gate; name upstream dependencies, downstream consumers, trust and state boundaries.
3. Q: Which design decision matters most and what alternative was rejected?
   Answer points: Discuss deterministic acceptance plus factual transcripts replaces subjective demonstrations; compare the adjacent alternative and when it could be preferable.
4. Q: How does this task fail safely and how is it recovered?
   Answer points: Use this scenario: a failing command stops; complete diagnosis precedes one remediation approval; distinguish retry, remediation, rollback, teardown and evidence.
5. Q: How are security, privacy and cost controlled?
   Answer points: Explain test data is synthetic, secrets/content are redacted and evidence never fabricates PASS; include least privilege, redaction/residency, bounded resources and owner-only access.
- Design trade-off: volume/latency increases tenfold; explain whether deterministic acceptance plus factual transcripts replaces subjective demonstrations still holds and what evidence/ADR/approval must change.
- Failure/remediation: a failing command stops; complete diagnosis precedes one remediation approval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Test and evidence framework. Task — establish the governed contract. Action — map consumers, work within gates, owner-test, diagnose completely and prove lifecycle. Result — report only accepted evidence and each criterion has a runnable check and evidence location.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W1-003.
</t>
  </si>
  <si>
    <t>READY FOR PRE-EDIT REVIEW — W1-003</t>
  </si>
  <si>
    <t>W1-06, W1-08</t>
  </si>
  <si>
    <t>COLUMN L — COMPLETE BOUNDED CODE EDIT APPROVAL — W1-003
APPROVED TASK CONTRACT
- Prompt and tracker steps: W1-003 / W1-06, W1-08
- Business purpose: Make every acceptance criterion executable and auditable.
- Architecture and design: Pytest markers, deterministic fixtures and the evidence recorder separate automated verification from owner-approved narrative evidence.
- Exact interfaces, functions and connections: record_test_evidence accepts sanitized status metadata and emits the approved record schema; pytest marker configuration selects offline, integration, paid and cloud boundaries explicitly.
- Exact inputs, outputs, errors and invariants: Inputs are limited to Feature template and repo skeleton.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Evidence records contain status, command, result, timestamp and redacted metadata; secret-like values and raw enterprise content are rejected or redacted.
- Exact dependency and runtime API rules: Repository-configured pytest only; cacheprovider remains disabled and ordinary tests require no network or external service.
- Exact security, privacy, concurrency and operational controls: Evidence cannot claim unexecuted tests; sensitive values are redacted; output paths remain owner-approved documentation paths and are not written during Column L.
- Exact automated-test behavior: Contract tests validate evidence fields; marker tests validate opt-in behavior; security tests prove redaction; smoke tests cover CLI parsing; cleanliness tests reject caches and generated residue.
- Accepted baseline: The inspected repository contains every UPDATE path and does not contain every CREATE path. Historical results remain unchanged; future execution must revalidate content and patch anchors.
EXACT APPROVED PATH MANIFEST
CREATE:
- None
UPDATE:
- pyproject.toml
- tests/conftest.py
- tools/record_test_evidence.py
- tests/contract/test_evidence_record_contract.py
- tests/integration/test_opt_in_markers.py
- tests/security/test_evidence_redaction.py
- tests/smoke/test_evidence_recorder_cli.py
- tests/teardown/test_repository_cleanliness.py
DELETE:
- None
VERIFIED IMPLEMENTED PRODUCERS / UNCHANGED CONSUMERS:
- docs/test-evidence/README.md
- feature-matrix.yaml
- src/enterprise_ai_platform/config.py
- tests/fakes/__init__.py
- tests/unit/test_evidence_recorder.py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every acceptance criterion executable and auditable. and measurable acceptance.
2. Architecture position: acceptance criterion -&gt; automated test -&gt; owner execution -&gt; factual evidence -&gt; approval gate,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laboratory notebook whose measurements are reproducible and signed; what goes in, happens and comes out.
7. Decisions/trade-offs: deterministic acceptance plus factual transcripts replaces subjective demonstrations, alternatives, pros/cons, conditions to differ and consequences.
8. Security/privacy/reliability/cost: test data is synthetic, secrets/content are redacted and evidence never fabricates PASS, failure isolation, retained resources and accepted access/cost.
9. Failure/remediation/rollback/teardown: a failing command stops; complete diagnosis precedes one remediation approval;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W1-003.</t>
  </si>
  <si>
    <t xml:space="preserve">COLUMN N — FINAL APPROVAL AND COMPLETE DOCUMENTATION CLOSURE — W1-003
This gate authorizes documentation closure only after owner review; it is not a code, test, deployment or tracker-edit approval.
OWNER MUST SUPPLY — DO NOT INVENT
- Prompt ID: W1-003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W1-003.
</t>
  </si>
  <si>
    <t xml:space="preserve">FOUR APPROVAL GATES PLUS OWNER TESTING AND WEEKLY LEARNING — TRACKER v1.3.4
MAIN PROMPT — W1-004
TASK IDENTITY
- Week: Week 1
- Feature/outcome: Lifecycle controller and cleanup-verifier skeleton
- Business purpose: Treat deployability and reversibility as platform features.
- Covered tracker steps: W1-09, W1-10, W1-11
- Required inputs: Required tag schema; sandbox-only scope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W1-09 — Separate infra/bootstrap from infra/environments/sandbox and document state removal last.
  Business reason: A platform cannot fully disappear if its state backend is embedded in the same lifecycle.
  Acceptance: Two roots validate as skeletons and dependency order is documented.
  Dependency: W1-03
  Owner verification reference: terraform -chdir=infra/bootstrap fmt -check &amp;&amp; terraform -chdir=infra/environments/sandbox fmt -check
  Expected result: No resource apply; backend/platform boundaries are explicit.
  Canonical evidence: docs/test-evidence/W1-09-roots.txt
  Rollback/teardown: Revert Terraform skeleton; no state exists yet.
  Current tracker status (read-only historical/current fact): Done
  Separate Task Context: Week 1 Terraform lifecycle task in the end-to-end architecture. After Code Edit Approval, Codex writes only the approved code/configuration/test code for “Separate infra/bootstrap from infra/environments/sandbox and document state removal last.”; you run the verification/deployment commands and return the results. Business value: A platform cannot fully disappear if its state backend is embedded in the same lifecycle. Interview focus: explain where this component sits, how it fails safely and how it is rolled back.
- W1-10 — Create platformctl command contracts with dry-run and approvals.
  Business reason: Deploy, rollback and teardown need distinct safe semantics.
  Acceptance: CLI help and unit tests prove confirmation/approval gates.
  Dependency: W1-09
  Owner verification reference: python -m tools.platformctl --help &amp;&amp; pytest tests/unit/test_platformctl.py -q
  Expected result: No command mutates by default; missing approval fails closed.
  Canonical evidence: docs/test-evidence/W1-10-platformctl.txt
  Rollback/teardown: Revert CLI commit; no cloud mutation is allowed.
  Current tracker status (read-only historical/current fact): Done
  Separate Task Context: Week 1 Reversibility task in the end-to-end architecture. After Code Edit Approval, Codex writes only the approved code/configuration/test code for “Create platformctl command contracts with dry-run and approvals.”; you run the verification/deployment commands and return the results. Business value: Deploy, rollback and teardown need distinct safe semantics. Interview focus: explain where this component sits, how it fails safely and how it is rolled back.
- W1-11 — Implement mocked tag and service-specific residual checks.
  Business reason: Tag-only discovery misses some resources; native checks close the gap.
  Acceptance: Mock orphan makes verify-clean fail; PendingDeletion key is documented exception.
  Dependency: W1-10
  Owner verification reference: pytest tests/teardown -q
  Expected result: Expected pass/fail matrix is recorded.
  Canonical evidence: docs/test-evidence/W1-11-cleanup.json
  Rollback/teardown: Revert verifier implementation; keep the control requirement.
  Current tracker status (read-only historical/current fact): Done
  Separate Task Context: Week 1 Cleanup verification task in the end-to-end architecture. After Code Edit Approval, Codex writes only the approved code/configuration/test code for “Implement mocked tag and service-specific residual checks.”; you run the verification/deployment commands and return the results. Business value: Tag-only discovery misses some resources; native checks close the gap. Interview focus: explain where this component sits, how it fails safely and how it is rolled back.
Downstream tracker steps identified from recorded dependencies: W1-10, W1-11, W1-12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Python tools/platformctl CLI with commands bootstrap, plan, deploy, validate, rollback, destroy and verify-clean. All mutating commands must require an explicit environment, saved plan or immutable release, typed confirmation, owner approval record and dry-run by default. Implement interfaces for AWS Resource Groups Tagging API plus service-specific checks, with mocked unit tests. Define destroy-safe and purge-sandbox modes, the KMS PendingDeletion exception, and exit nonzero when an unmanaged residual exists. Do not call AWS in unit tests and do not perform any mutation.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Treat deployability and reversibility as platform features. The primary beneficiaries are platform owner, SRE, finance and security.
- Process and risk: This task supports typed owner intent -&gt; plan -&gt; explicit confirmation -&gt; apply/rollback/teardown adapter -&gt; residue scan. Without it, the platform can produce an unauditable, insecure or non-reproducible result at this exact layer.
- Measurable outcome: dry-run correctness and zero unmanaged residue. It contributes to the MVP by making Lifecycle controller and cleanup-verifier skeleton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END-TO-END ARCHITECTURE LEARNING
- Position and flow: typed owner intent -&gt; plan -&gt; explicit confirmation -&gt; apply/rollback/teardown adapter -&gt; residue scan.
- Upstream/dependency boundary: W1-03, W1-09, W1-10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platformctl lifecycle state machine, tag schema, dry-run plan, confirmations and cleanup verifier. Gate-1 path evidence must come from the current repository tree and bounded manifest; a path absent from the inspected baseline must be labelled PROPOSED, never stated as an existing exact path.
- Implemented connection evidence to trace at Gate 1: tools.platformctl CLI dispatch, contracts, lifecycle adapters, validator and unit/contract/security/teardown consumers. Exact symbols come from current files; this prompt does not infer names.
- Connections and boundaries: identify each local call, file/state boundary, network/service edge, authentication/authorization decision and retained resource. Explain local-to-AWS/EKS/production evolution only where this task records it.
TECHNICAL LEARNING
- Contract: platformctl lifecycle state machine, tag schema, dry-run plan, confirmations and cleanup verifier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circuit breaker and checkout list for creating and removing resources.
- What goes in / happens / comes out: approved Required tag schema; sandbox-only scope goes through Lifecycle controller and cleanup-verifier skeleton;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deployment creates a release; lifecycle control governs safe creation, reversal and removal.
ARCHITECTURE DECISIONS AND TRADE-OFFS
- Selected recorded direction: plan-before-mutate, typed confirmation and dependency-ordered cleanup replace automatic remediation.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least privilege, mandatory tags and sandbox scope constrain blast radius. Apply classification, PII handling, tenant isolation, authorization before provider/storage calls, secret exclusion, redacted evidence, residency, retention, provenance and least privilege where applicable.
- Failure/operations: partial failure stays visible; rollback/teardown and native plus tag scans prove residue.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Lifecycle controller and cleanup-verifier skeleton addresses treat deployability and reversibility as platform features. It makes the result governed, testable and reversible, measured by dry-run correctness and zero unmanaged residue.
- Two-minute technical explanation: describe platformctl lifecycle state machine, tag schema, dry-run plan, confirmations and cleanup verifier; trace typed owner intent -&gt; plan -&gt; explicit confirmation -&gt; apply/rollback/teardown adapter -&gt; residue scan;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Lifecycle controller and cleanup-verifier skeleton solve?
   Answer points: Connect Treat deployability and reversibility as platform features. to dry-run correctness and zero unmanaged residue and identify platform owner, SRE, finance and security.
2. Q: Trace the end-to-end flow for W1-004.
   Answer points: Explain typed owner intent -&gt; plan -&gt; explicit confirmation -&gt; apply/rollback/teardown adapter -&gt; residue scan; name upstream dependencies, downstream consumers, trust and state boundaries.
3. Q: Which design decision matters most and what alternative was rejected?
   Answer points: Discuss plan-before-mutate, typed confirmation and dependency-ordered cleanup replace automatic remediation; compare the adjacent alternative and when it could be preferable.
4. Q: How does this task fail safely and how is it recovered?
   Answer points: Use this scenario: partial failure stays visible; rollback/teardown and native plus tag scans prove residue; distinguish retry, remediation, rollback, teardown and evidence.
5. Q: How are security, privacy and cost controlled?
   Answer points: Explain least privilege, mandatory tags and sandbox scope constrain blast radius; include least privilege, redaction/residency, bounded resources and owner-only access.
- Design trade-off: volume/latency increases tenfold; explain whether plan-before-mutate, typed confirmation and dependency-ordered cleanup replace automatic remediation still holds and what evidence/ADR/approval must change.
- Failure/remediation: partial failure stays visible; rollback/teardown and native plus tag scans prove residue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Lifecycle controller and cleanup-verifier skeleton. Task — establish the governed contract. Action — map consumers, work within gates, owner-test, diagnose completely and prove lifecycle. Result — report only accepted evidence and dry-run correctness and zero unmanaged residue.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W1-004.
</t>
  </si>
  <si>
    <t>READY FOR PRE-EDIT REVIEW — W1-004</t>
  </si>
  <si>
    <t>W1-09, W1-10, W1-11</t>
  </si>
  <si>
    <t>COLUMN L — COMPLETE BOUNDED CODE EDIT APPROVAL — W1-004
APPROVED TASK CONTRACT
- Prompt and tracker steps: W1-004 / W1-09, W1-10, W1-11
- Business purpose: Treat deployability and reversibility as platform features.
- Architecture and design: platformctl is a dry-run-first lifecycle controller with typed plans, explicit approval tokens and provider fakes; mutation remains owner executed.
- Exact interfaces, functions and connections: CLI commands bootstrap, plan, deploy, rollback, destroy and verify-clean return normalized exit codes; inventory adapters return project-scoped resource records.
- Exact inputs, outputs, errors and invariants: Inputs are limited to Required tag schema; sandbox-only scope.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Lifecycle requests carry project, environment, action, plan identity and approval state; inventory fixtures carry resource ID, type, region, tags and lifecycle status.
- Exact dependency and runtime API rules: Python standard CLI boundaries and fake providers are default; AWS APIs are not contacted by ordinary tests or Column L work.
- Exact security, privacy, concurrency and operational controls: Typed confirmation, allowlisted project identity, least-privilege inventory and native plus tag-based cleanup checks prevent broad mutation.
- Exact automated-test behavior: Unit and contract tests cover command parsing and exit codes; dry-run integration tests prove no provider mutation; security tests reject missing approvals; teardown tests detect residual project resources.
- Accepted baseline: The inspected repository contains every UPDATE path and does not contain every CREATE path. Historical results remain unchanged; future execution must revalidate content and patch anchors.
EXACT APPROVED PATH MANIFEST
CREATE:
- None
UPDATE:
- tools/platformctl/__init__.py
- tools/platformctl/__main__.py
- tools/platformctl/cli.py
- tools/platformctl/contracts.py
- tools/platformctl/bootstrap.py
- tools/platformctl/plan.py
- tools/platformctl/deploy.py
- tools/platformctl/rollback.py
- tools/platformctl/destroy.py
- tools/platformctl/verify_clean.py
- tools/platformctl/aws_inventory.py
- tools/platformctl/validate.py
- tests/fakes/aws_inventory.py
- tests/fakes/providers.py
- tests/unit/test_platformctl.py
- tests/unit/test_platformctl_lifecycle.py
- tests/unit/test_platformctl_verify_clean.py
- tests/contract/test_platformctl_cli_contract.py
- tests/integration/test_platformctl_dry_run.py
- tests/security/test_platformctl_approval_gates.py
- tests/teardown/test_platformctl_cleanup.py
- tests/smoke/test_platformctl_help.py
DELETE:
- None
VERIFIED IMPLEMENTED PRODUCERS / UNCHANGED CONSUMERS:
- infra/bootstrap/main.tf
- infra/environments/sandbox/main.tf
- Makefile
- tests/fakes/__init__.py
- tests/feature/test_feature_matrix.py
- tests/feature/test_mvp_001_platformctl.py
- tests/integration/test_repository_layout.py
- tests/feature/test_w2_002_embedder_contract.py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Treat deployability and reversibility as platform features. and measurable acceptance.
2. Architecture position: typed owner intent -&gt; plan -&gt; explicit confirmation -&gt; apply/rollback/teardown adapter -&gt; residue scan,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circuit breaker and checkout list for creating and removing resources; what goes in, happens and comes out.
7. Decisions/trade-offs: plan-before-mutate, typed confirmation and dependency-ordered cleanup replace automatic remediation, alternatives, pros/cons, conditions to differ and consequences.
8. Security/privacy/reliability/cost: least privilege, mandatory tags and sandbox scope constrain blast radius, failure isolation, retained resources and accepted access/cost.
9. Failure/remediation/rollback/teardown: partial failure stays visible; rollback/teardown and native plus tag scans prove residue;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W1-004.</t>
  </si>
  <si>
    <t xml:space="preserve">COLUMN N — FINAL APPROVAL AND COMPLETE DOCUMENTATION CLOSURE — W1-004
This gate authorizes documentation closure only after owner review; it is not a code, test, deployment or tracker-edit approval.
OWNER MUST SUPPLY — DO NOT INVENT
- Prompt ID: W1-004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W1-004.
</t>
  </si>
  <si>
    <t>Local Qdrant foundation, domain models and pluggable vector adapters</t>
  </si>
  <si>
    <t>Establish the pinned local prerequisite and prevent vendor/security leakage into retrieval logic.</t>
  </si>
  <si>
    <t>W1 sign-off; DATA-002, DATA-003, EMB-001, SEC-001; Docker 24+; approved Qdrant digests</t>
  </si>
  <si>
    <t xml:space="preserve">FOUR APPROVAL GATES PLUS OWNER TESTING AND WEEKLY LEARNING — TRACKER v1.3.4
MAIN PROMPT — W2-001
TASK IDENTITY
- Week: Week 2
- Feature/outcome: Local Qdrant foundation, domain models and pluggable vector adapters
- Business purpose: Establish the pinned local prerequisite and prevent vendor/security leakage into retrieval logic.
- Covered tracker steps: W2-03, W2-01, W2-02, W2-04, W2-08
- Required inputs: W1 sign-off; DATA-002, DATA-003, EMB-001, SEC-001; Docker 24+; approved Qdrant digests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W2-01 — Implement provider-neutral document, chunk, query, answer and citation models.
  Business reason: Stable domain types make vector and LLM backends replaceable.
  Acceptance: Models validate required identity/classification metadata.
  Dependency: W1-13
  Owner verification reference: pytest tests/unit/test_models.py -q
  Expected result: Invalid tenant/classification input fails.
  Canonical evidence: docs/test-evidence/W2-01-models.txt
  Rollback/teardown: Revert model commit; no stored vectors affected.
  Current tracker status (read-only historical/current fact): Done
  Separate Task Context: Week 2 Data contracts task in the end-to-end architecture. After Code Edit Approval, Codex writes only the approved code/configuration/test code for “Implement provider-neutral document, chunk, query, answer and citation models.”; you run the verification/deployment commands and return the results. Business value: Stable domain types make vector and LLM backends replaceable. Interview focus: explain where this component sits, how it fails safely and how it is rolled back.
- W2-02 — Define VectorStore protocol and in-memory fake with contract tests.
  Business reason: Business logic must not depend on Qdrant/OpenSearch SDK objects.
  Acceptance: Fake passes all contract tests.
  Dependency: W2-01
  Owner verification reference: pytest tests/contract/test_vector_store.py -q
  Expected result: Protocol behavior and normalized errors are stable.
  Canonical evidence: docs/test-evidence/W2-02-vector-contract.txt
  Rollback/teardown: Revert interface only before downstream adapters merge.
  Current tracker status (read-only historical/current fact): Done
  Separate Task Context: Week 2 Vector interface task in the end-to-end architecture. After Code Edit Approval, Codex writes only the approved code/configuration/test code for “Define VectorStore protocol and in-memory fake with contract tests.”; you run the verification/deployment commands and return the results. Business value: Business logic must not depend on Qdrant/OpenSearch SDK objects. Interview focus: explain where this component sits, how it fails safely and how it is rolled back.
- W2-03 — Start pinned Qdrant through Docker Compose with healthcheck.
  Business reason: A real client/server vector store gives useful local integration evidence.
  Acceptance: Qdrant becomes healthy without an embedded credential.
  Dependency: W1-12
  Owner verification reference: docker compose up -d qdrant &amp;&amp; docker compose ps
  Expected result: Service is healthy; image version is pinned.
  Canonical evidence: docs/test-evidence/W2-03-qdrant.txt
  Rollback/teardown: docker compose down -v; verify no project volume/network.
  Current tracker status (read-only historical/current fact): Done
  Separate Task Context: Week 2 Local platform task in the end-to-end architecture. After Code Edit Approval, Codex writes only the approved code/configuration/test code for “Start pinned Qdrant through Docker Compose with healthcheck.”; you run the verification/deployment commands and return the results. Business value: A real client/server vector store gives useful local integration evidence. Interview focus: explain where this component sits, how it fails safely and how it is rolled back.
- W2-04 — Implement Qdrant adapter and OpenSearch adapter boundary.
  Business reason: Local and AWS retrieval must satisfy the same contract.
  Acceptance: Fake/Qdrant tests pass; AWS tests remain marked/skipped.
  Dependency: W2-02,W2-03
  Owner verification reference: pytest tests/contract tests/integration/test_qdrant.py -q
  Expected result: No vendor object leaks; timeouts and filters are applied.
  Canonical evidence: docs/test-evidence/W2-04-adapters.txt
  Rollback/teardown: Delete test collection and restore previous adapter version.
  Current tracker status (read-only historical/current fact): Done
  Separate Task Context: Week 2 Vector adapters task in the end-to-end architecture. After Code Edit Approval, Codex writes only the approved code/configuration/test code for “Implement Qdrant adapter and OpenSearch adapter boundary.”; you run the verification/deployment commands and return the results. Business value: Local and AWS retrieval must satisfy the same contract. Interview focus: explain where this component sits, how it fails safely and how it is rolled back.
- W2-08 — Enforce tenant/classification filters before vector search.
  Business reason: The model cannot be trusted to enforce access control.
  Acceptance: Cross-tenant query returns zero unauthorized chunks.
  Dependency: W2-04
  Owner verification reference: pytest tests/security/test_tenant_isolation.py -q
  Expected result: 100% isolation test passes.
  Canonical evidence: docs/test-evidence/W2-08-isolation.txt
  Rollback/teardown: Disable retrieval endpoint and restore last-known-good filter implementation.
  Current tracker status (read-only historical/current fact): Done
  Separate Task Context: Week 2 Authorization task in the end-to-end architecture. After Code Edit Approval, Codex writes only the approved code/configuration/test code for “Enforce tenant/classification filters before vector search.”; you run the verification/deployment commands and return the results. Business value: The model cannot be trusted to enforce access control. Interview focus: explain where this component sits, how it fails safely and how it is rolled back.
Downstream tracker steps identified from recorded dependencies: W2-02, W2-04, W2-05, W2-06, W2-08, W2-09, W2-12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Implement typed Document, Chunk, RetrievedChunk, Citation, Query and Answer models. Define an async VectorStore Protocol with create_or_validate_collection, upsert_chunks, search, delete_by_document_id and healthcheck. Implement QdrantVectorStore, OpenSearchVectorStore and an in-memory fake. Use deterministic chunk IDs, tenant/security filters, idempotent upserts, timeouts and normalized errors. Do not expose vendor SDK objects. Run fake contract tests always and mark Docker/AWS tests as integration.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Define the exact repository-evidenced owner-run commands; Codex does not execute them.
6. Confirm no ignored or Git-invisible residue remains.
TASK-SPECIFIC AMENDMENT — W2-03 PREREQUISITE, SECURITY CONTRACT AND LOCAL LIFECYCLE
PROMPT-ROUTING CORRECTION: W2-03 is now the first internal phase of W2-001. W2-004 covers only W2-09 and W2-10. This changes prompt sequencing only; the W2-03 tracker task, acceptance, evidence and architecture remain unchanged. Do not create W2-004A or W2-004B prompt IDs.
MANDATORY ORDER AND PREREQUISITES
1. Execute W2-03 → W2-01 → W2-02 → W2-04 → W2-08. Do not start an adapter before its model, protocol and local-service prerequisite exists.
2. Require committed Week 1 sign-off, the latest independently passed Week 1 governance state, a clean baseline and no unapproved active path.
3. Require owner-approved DATA-002, DATA-003, EMB-001 and SEC-001. If their repository records or tracker status disagree with the approved decision, report the mismatch; never invent or silently reconcile it.
4. ADR-002 must exist. Create ADR-003, ADR-006, docs/architecture/data-classification.md and docs/architecture/authorization.md only when absent and included in the exact approved boundary; record existing decisions only.
W2-03 LOCAL QDRANT FOUNDATION
- Use exactly qdrant/qdrant:v1.19.0-unprivileged@sha256:a0e04fe623cb064502cd869cefc1dc7ce359d8edd481063b5bd351c0a0a2c91e on linux/amd64.
- Verify index digest sha256:a0e04fe623cb064502cd869cefc1dc7ce359d8edd481063b5bd351c0a0a2c91e and Linux/AMD64 manifest digest sha256:80fb7b20ee4b49d57443b51aabdfb8514b910f333d3c4862e106fd02d1d66fa7 before startup.
- Publish no Qdrant host port. Qdrant and the one-shot runner reference only portable logical qdrant_internal, whose definition retains internal: true; Compose may derive the runtime project network name from the owner-selected project.
- Require Linux-container mode, working Docker configuration/daemon access, free loopback port, bounded health checks, no credentials, no privilege escalation, compatible capability drops and bounded CPU/memory/PIDs. Never alter owner Docker configuration, permissions, context or daemon settings.
- Registry inspection/pull and Docker lifecycle are networked/locally mutating and must be listed explicitly in the matching pre-edit approval. Stop before startup on any digest, platform, daemon, port or permission failure. Create no collection and ingest no data in the W2-03 phase. Preserve and disclose an immutable shared image cache; remove the project container, volume, network and orphans and verify zero labelled residue.
DATA/AUTHORIZATION CONTRACT
- Required document metadata: tenant_id, document_id, document_version, classification, allowed_roles, allowed_groups, data_owner, content_hash, pii_status and ingestion_status. chunk_id is required only for Chunk and RetrievedChunk.
- Classifications: PUBLIC &lt; INTERNAL &lt; CONFIDENTIAL &lt; RESTRICTED. Roles: reader, ingestor, reviewer, admin.
- AuthContext required fields: subject_id, trusted tenant_id, roles and clearance; optional groups, issuer, audience, expires_at and request_id. AuthContext is supplied separately from untrusted Query input.
- Retrieval requires exact tenant, valid non-expired claims, sufficient clearance and at least one matching allowed role or group. Empty ACLs deny. PUBLIC remains tenant-bound. Admin remains tenant-bound and does not bypass ACL or clearance. Pre-query filters and post-result revalidation are both mandatory.
- pii_status: NOT_SCANNED, CLEAR, REDACTED, QUARANTINED, APPROVED_EXCEPTION. ingestion_status: RECEIVED, VALIDATED, QUARANTINED, INDEXED, FAILED. Only CLEAR, REDACTED or a currently valid APPROVED_EXCEPTION may be indexed; an exception requires owner, rationale and expiry.
- ingestor may upsert/delete-reindex only within its trusted tenant through ingestion; tenant-bound admin may delete only within its tenant; reader/reviewer cannot mutate vectors; reviewer is limited to PII/quarantine review. All cross-tenant mutation fails closed.
- Use synthetic tenant-a/tenant-b. Reject obsolete demo, learning, project_owner and internal_learning values.
EMB-001 COLLECTION CONTRACT
Carry model sentence-transformers/all-MiniLM-L6-v2, revision 1110a243fdf4706b3f48f1d95db1a4f5529b4d41, dimension 384, Apache-2.0, normalized=true and cosine in every collection specification. W2-001 does not download or execute the real model. Reject any model/revision/dimension/normalization/metric mismatch before query or mutation.
DESIGN, TESTS AND EVIDENCE
- Implement strict provider-neutral Pydantic models, stable normalized errors, async VectorStore, deterministic fake, deterministic chunk IDs, idempotent upserts, bounded deadlines, injected clients and no SDK leakage.
- Run model, fake-contract, Qdrant-contract/integration, injected OpenSearch boundary, authorization, failure-propagation, rollback and teardown tests. Live OpenSearch/AWS tests remain marked integration+aws and skipped; no AWS credential, endpoint or NET-001 input is required.
- Canonical evidence: docs/test-evidence/W2-03-qdrant.txt, W2-01-models.txt, W2-02-vector-contract.txt, W2-04-adapters.txt and W2-08-isolation.txt. Aggregate Test Evidence Register files may summarize but must not contradict these step-level records.
- Run normal documented commands in the complete environment, exact-staged hooks in a disposable copy when approved, diff/boundary checks and Git-visible/Git-invisible cleanliness. Remove test collections and local project resources. No tracker edit, stage, commit, push, model download, ingestion, AWS, paid service, Terraform or W2 sign-off.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Establish the pinned local prerequisite and prevent vendor/security leakage into retrieval logic. The primary beneficiaries are knowledge workers, data owners, application teams and security.
- Process and risk: This task supports authorized Query -&gt; provider-neutral VectorStore -&gt; fake/Qdrant/OpenSearch adapter -&gt; filtered results -&gt; post-result authorization. Without it, the platform can produce an unauditable, insecure or non-reproducible result at this exact layer.
- Measurable outcome: identical contract behavior across fake and approved local adapter with zero cross-tenant leakage. It contributes to the MVP by making Local Qdrant foundation, domain models and pluggable vector adapters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W2-01 (Done): Implement provider-neutral document, chunk, query, answer and citation models. Why: Stable domain types make vector and LLM backends replaceable. Acceptance: Models validate required identity/classification metadata. Dependency: W1-13. Owner verification: follow 02 Master Plan!M19 through TEST-001 one command at a time. Expected: Invalid tenant/classification input fails. Evidence: docs/test-evidence/W2-01-models.txt Rollback/teardown: Revert model commit; no stored vectors affected.
- W2-02 (Done): Define VectorStore protocol and in-memory fake with contract tests. Why: Business logic must not depend on Qdrant/OpenSearch SDK objects. Acceptance: Fake passes all contract tests. Dependency: W2-01. Owner verification: follow 02 Master Plan!M20 through TEST-001 one command at a time. Expected: Protocol behavior and normalized errors are stable. Evidence: docs/test-evidence/W2-02-vector-contract.txt Rollback/teardown: Revert interface only before downstream adapters merge.
- W2-03 (Done): Start pinned Qdrant through Docker Compose with healthcheck. Why: A real client/server vector store gives useful local integration evidence. Acceptance: Qdrant becomes healthy without an embedded credential. Dependency: W1-12. Owner verification: follow 02 Master Plan!M21 through TEST-001 one command at a time. Expected: Service is healthy; image version is pinned. Evidence: docs/test-evidence/W2-03-qdrant.txt Rollback/teardown: docker compose down -v; verify no project volume/network.
- W2-04 (Done): Implement Qdrant adapter and OpenSearch adapter boundary. Why: Local and AWS retrieval must satisfy the same contract. Acceptance: Fake/Qdrant tests pass; AWS tests remain marked/skipped. Dependency: W2-02,W2-03. Owner verification: follow 02 Master Plan!M22 through TEST-001 one command at a time. Expected: No vendor object leaks; timeouts and filters are applied. Evidence: docs/test-evidence/W2-04-adapters.txt Rollback/teardown: Delete test collection and restore previous adapter version.
- W2-08 (Done): Enforce tenant/classification filters before vector search. Why: The model cannot be trusted to enforce access control. Acceptance: Cross-tenant query returns zero unauthorized chunks. Dependency: W2-04. Owner verification: follow 02 Master Plan!M26 through TEST-001 one command at a time. Expected: 100% isolation test passes. Evidence: docs/test-evidence/W2-08-isolation.txt Rollback/teardown: Disable retrieval endpoint and restore last-known-good filter implementation.
END-TO-END ARCHITECTURE LEARNING
- Position and flow: authorized Query -&gt; provider-neutral VectorStore -&gt; fake/Qdrant/OpenSearch adapter -&gt; filtered results -&gt; post-result authorization.
- Upstream/dependency boundary: W1-13, W2-01, W1-12, W2-02,W2-03, W2-04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Pydantic retrieval models, AuthContext, VectorStore protocol, deterministic fake, Qdrant and OpenSearch adapters, internal Compose network. Gate-1 path evidence must come from the current repository tree and bounded manifest; a path absent from the inspected baseline must be labelled PROPOSED, never stated as an existing exact path.
- Implemented symbols to trace at Gate 1: Document, Chunk, RetrievedChunk, Citation, Query, Answer, AuthContext, VectorStore, FakeVectorStore, QdrantVectorStore and OpenSearchVectorStore, including constructors, adapter calls, authorization boundaries and test consumers.
- Connections and boundaries: identify each local call, file/state boundary, network/service edge, authentication/authorization decision and retained resource. Explain local-to-AWS/EKS/production evolution only where this task records it.
TECHNICAL LEARNING
- Explain the Pydantic model/AuthContext/VectorStore interfaces, deterministic IDs and serialization; trace every constructor, adapter, validator, fixture and negative test.
- Verify pinned Qdrant/runtime APIs, lazy or injected dependencies, no implicit network, and the configured Ruff/MyPy/Pytest scopes.
- Map async calls, deadlines, retries, cancellation, idempotent upsert/delete and cleanup. Reject contract, tenant, ACL, clearance, dimension, normalization or metric mismatch before provider mutation.
- Separate deterministic fake/contract tests, internal Qdrant integration and injected OpenSearch tests from NOT RUN live AWS behavior; prove positive retrieval, negative isolation, rollback and zero residue.
LAYMAN EXPLANATION
- Analogy: a secure library catalogue whose index can be swapped without changing lending rules.
- What goes in / happens / comes out: approved W1 sign-off; DATA-002, DATA-003, EMB-001, SEC-001; Docker 24+; approved Qdrant digests goes through Local Qdrant foundation, domain models and pluggable vector adapters;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an embedder creates vectors; a vector store persists and searches them under authorization.
ARCHITECTURE DECISIONS AND TRADE-OFFS
- Recorded direction: provider-neutral adapters, immutable internal-only Qdrant, normalized MiniLM/cosine contract and authorization both before query and after results.
- Compare vendor SDK leakage versus protocols, host publication versus internal runner, and local/fake versus real OpenSearch. A different choice needs evidence for scale, latency, residency, operations or cost plus an ADR/owner decision; all consumers inherit the contract.
SECURITY, PRIVACY, GOVERNANCE, RELIABILITY AND OPERATIONS
- Security/privacy: tenant, clearance and ACL checks precede provider calls; Qdrant has no host publication and the runner has least privilege. Apply classification, PII handling, tenant isolation, authorization before provider/storage calls, secret exclusion, redacted evidence, residency, retention, provenance and least privilege where applicable.
- Failure/operations: contract mismatch or provider failure stops before mutation; test collections and Compose resources are removed.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 paths and runs nothing. The owner runs one cache-safe command at a time, returns full output, captures evidence and performs Docker/network/rollback/teardown.
- Before approval, the owner explains business value, Query/AuthContext/VectorStore flow, adapter trade-off, tenant/privacy/cost controls, failure tests and zero-residue outcome; the owner alone records evidence and updates Excel.
INTERVIEW PREPARATION
- 30 seconds: W2-001 creates a secure, replaceable vector-search boundary so enterprise knowledge can be retrieved without vendor leakage or cross-tenant access.
- Two minutes: trace Query plus trusted AuthContext through authorization, VectorStore and fake/Qdrant/OpenSearch adapters; explain deterministic IDs, normalized 384-d cosine contract, deadlines, post-result revalidation and cleanup.
- Five minutes: cover business risk; models/protocols; internal Qdrant runner; data/control/trust flow; adapter and network choices; tenant/classification/ACL security; failure/retry/cancellation; fake versus real tests; rollback/teardown; cost and later ingestion/RAG consumers.
- Terms: vector embedding, cosine similarity, collection contract, tenant filter, ACL, fail closed, adapter, idempotency, immutable digest and residue.
1. Q: Why a VectorStore protocol? Answer points: provider portability, test fakes and no SDK objects in domain contracts.
2. Q: Why both pre-query filters and post-result checks? Answer points: defense in depth against provider/filter defects; tenant, clearance and ACL still fail closed.
3. Q: Why internal-only Qdrant? Answer points: no host exposure; the least-privilege one-shot runner tests on the Compose network.
4. Q: What fails before mutation? Answer points: invalid auth, identity, dimension, normalization, metric or deadline contract.
5. Q: What proves cleanup? Answer points: collection deletion in finally, Compose teardown and container/volume/network/image residue scans.
- Design: at tenfold scale, compare local Qdrant, managed OpenSearch and another vector service using latency, isolation, operations, residency and cost; preserve the protocol.
- Failure: a provider returns a cross-tenant result; post-check rejects it, evidence stays redacted, work stops and one complete consumer audit precedes remediation.
- Security: a tenant-bound admin lacks an ACL match; deny—admin does not bypass tenant, clearance or ACL.
- Cost: distinguish zero-paid-service fake tests from local CPU/disk/bandwidth and separately approved managed-service cost.
- STAR: Situation—secure local retrieval was needed. Task—define portable authorized contracts. Action—implement models/adapters/internal runner and owner-test failure/cleanup. Result—accepted evidence shows contract behavior and zero project residue.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W2-001.
</t>
  </si>
  <si>
    <t>READY FOR PRE-EDIT REVIEW — W2-001</t>
  </si>
  <si>
    <t>W2-03, W2-01, W2-02, W2-04, W2-08</t>
  </si>
  <si>
    <t>COLUMN L — COMPLETE BOUNDED CODE EDIT APPROVAL — W2-001
APPROVED TASK CONTRACT
- Prompt and tracker steps: W2-001 / W2-03, W2-01, W2-02, W2-04, W2-08
- Business purpose: Establish the pinned local prerequisite and prevent vendor/security leakage into retrieval logic.
- Architecture and design: Provider-neutral retrieval models and VectorStore protocol connect fake, Qdrant and OpenSearch adapters; Qdrant stays on the internal Compose network and the one-shot test runner is the only integration client.
- Exact interfaces, functions and connections: VectorStore upsert, query and delete operations accept typed tenant-aware models and return domain results or normalized retrieval errors; authorization filters are applied before any adapter query.
- Exact inputs, outputs, errors and invariants: Inputs are limited to W1 sign-off; DATA-002, DATA-003, EMB-001, SEC-001; Docker 24+; approved Qdrant digests.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Documents, chunks, queries, answers and citations require deterministic IDs, tenant, classification, source and version metadata; serialization must not expose SDK objects.
- Exact dependency and runtime API rules: Pinned Qdrant index digest, approved Linux AMD64 manifests, bounded HTTP timeouts and injected OpenSearch clients apply; no host port or live AWS call is permitted by default.
- Exact security, privacy, concurrency and operational controls: Tenant and classification isolation fail closed; runner is non-root, read-only, capability-dropped, resource-bounded and credential-free; collection cleanup occurs in finally.
- Exact automated-test behavior: Model tests reject missing identity; shared contract tests cover fake behavior; Qdrant integration covers internal connectivity and cleanup; OpenSearch tests use injected clients; security tests prove cross-tenant denial; lifecycle tests prove no host publication and no residue.
- Accepted baseline: The inspected repository contains every UPDATE path and does not contain every CREATE path. Historical results remain unchanged; future execution must revalidate content and patch anchors.
EXACT APPROVED PATH MANIFEST
CREATE:
- None
UPDATE:
- requirements.txt
- docker-compose.yml
- docker/qdrant-test-runner.Dockerfile
- docker/qdrant-test-runner.Dockerfile.dockerignore
- docker/qdrant-test-runner.requirements.txt
- src/enterprise_ai_platform/retrieval/__init__.py
- src/enterprise_ai_platform/retrieval/models.py
- src/enterprise_ai_platform/retrieval/errors.py
- src/enterprise_ai_platform/retrieval/vector_store.py
- src/enterprise_ai_platform/retrieval/authorization.py
- src/enterprise_ai_platform/retrieval/adapters/__init__.py
- src/enterprise_ai_platform/retrieval/adapters/fake.py
- src/enterprise_ai_platform/retrieval/adapters/qdrant.py
- src/enterprise_ai_platform/retrieval/adapters/opensearch.py
- tests/unit/test_models.py
- tests/contract/test_vector_store.py
- tests/integration/test_qdrant.py
- tests/integration/test_opensearch.py
- tests/security/test_tenant_isolation.py
- tests/feature/test_w2_001_retrieval_contract.py
- tests/teardown/test_w2_001_qdrant_lifecycle.py
- feature-matrix.yaml
- tools/platformctl/validate.py
- tests/feature/test_feature_matrix.py
- tests/unit/test_platformctl.py
DELETE:
- None
VERIFIED IMPLEMENTED PRODUCERS / UNCHANGED CONSUMERS:
- src/enterprise_ai_platform/config.py
- src/enterprise_ai_platform/embeddings/fake.py
- src/enterprise_ai_platform/embeddings/sentence_transformer.py
- requirements-dev.txt
- tests/integration/test_dependency_contract.py
- tools/platformctl/cli.py
- Makefile
- tests/integration/test_repository_layout.py
- tests/feature/test_mvp_001_mapping.py
- tests/feature/test_mvp_001_platformctl.py
- tests/feature/test_w2_002_embedder_contract.py
- tests/security/test_repository_security.py
- README.md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Establish the pinned local prerequisite and prevent vendor/security leakage into retrieval logic. and measurable acceptance.
2. Architecture position: authorized Query -&gt; provider-neutral VectorStore -&gt; fake/Qdrant/OpenSearch adapter -&gt; filtered results -&gt; post-result authorization,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secure library catalogue whose index can be swapped without changing lending rules; what goes in, happens and comes out.
7. Decisions/trade-offs: pluggable adapters, immutable Qdrant identity, normalized 384-d cosine vectors and pre/post authorization avoid vendor leakage, alternatives, pros/cons, conditions to differ and consequences.
8. Security/privacy/reliability/cost: tenant, clearance and ACL checks precede provider calls; Qdrant has no host publication and the runner has least privilege, failure isolation, retained resources and accepted access/cost.
9. Failure/remediation/rollback/teardown: contract mismatch or provider failure stops before mutation; test collections and Compose resources are removed;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W2-001.</t>
  </si>
  <si>
    <t xml:space="preserve">COLUMN M — EXACT DOCUMENT WRITING APPROVAL — W2-001
This is a separate owner approval after the bounded edit and owner testing or content review. Classify every path under one—and only one—of the CREATE and UPDATE headings after read-only preflight inspection.
EXACT DOCUMENTATION BOUNDARY
CREATE:
- None
UPDATE:
- docs/test-evidence/README.md
- docs/test-evidence/W2-001.md
- docs/adr/ADR-003-vector-stores.md
- docs/adr/ADR-006-authorization.md
- docs/architecture/data-classification.md
- docs/architecture/authorization.md
- docs/test-evidence/W2-01-models.txt
- docs/test-evidence/W2-02-vector-contract.txt
- docs/test-evidence/W2-03-qdrant.txt
- docs/test-evidence/W2-04-adapters.txt
- docs/test-evidence/W2-08-isolation.txt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W2-001.
</t>
  </si>
  <si>
    <t xml:space="preserve">COLUMN N — FINAL APPROVAL AND COMPLETE DOCUMENTATION CLOSURE — W2-001
This gate authorizes documentation closure only after owner review; it is not a code, test, deployment or tracker-edit approval.
OWNER MUST SUPPLY — DO NOT INVENT
- Prompt ID: W2-001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W2-001.
</t>
  </si>
  <si>
    <t xml:space="preserve">FOUR APPROVAL GATES PLUS OWNER TESTING AND WEEKLY LEARNING — TRACKER v1.3.4
MAIN PROMPT — W2-002
TASK IDENTITY
- Week: Week 2
- Feature/outcome: Embedder contract and local adapter
- Business purpose: Support local and future provider embeddings through one boundary.
- Covered tracker steps: W2-05
- Required inputs: EMBEDDING_MODEL_ID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W2-05 — Implement sentence-transformer and deterministic fake embedders.
  Business reason: Local CPU embeddings avoid a paid dependency while preserving provider exit.
  Acceptance: Batch, normalization and dimension mismatch tests pass.
  Dependency: W2-01
  Owner verification reference: pytest tests/unit/test_embedder.py -q
  Expected result: Unit tests make no model download; integration model is explicit.
  Canonical evidence: docs/test-evidence/W2-05-embedder.txt
  Rollback/teardown: Restore previous model configuration and recreate collection if dimension changed.
  Current tracker status (read-only historical/current fact): Not Started
  Separate Task Context: Week 2 Embeddings task in the end-to-end architecture. After Code Edit Approval, Codex writes only the approved code/configuration/test code for “Implement sentence-transformer and deterministic fake embedders.”; you run the verification/deployment commands and return the results. Business value: Local CPU embeddings avoid a paid dependency while preserving provider exit. Interview focus: explain where this component sits, how it fails safely and how it is rolled back.
Downstream tracker steps identified from recorded dependencies: W2-06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async Embedder Protocol exposing model_id, dimension, embed_documents and embed_query. Implement a CPU-safe SentenceTransformerEmbedder with batching, normalized vectors, input length validation and metrics. Add deterministic fake embeddings for unit tests. Reject collection/model dimension mismatch and do not download a model during unit tests. Test batching, empty input, normalization and mismatch behavior.
TASK-SPECIFIC AMENDMENT — IMMUTABLE EMBEDDER AND EXTERNAL CACHE
1. Do not start until W2-001 has an independent PASS and final owner approval, W2-01 through W2-04 and W2-08 are complete, Qdrant cleanup is proven and EMB-001 is recorded.
2. Use sentence-transformers/all-MiniLM-L6-v2 at immutable revision 1110a243fdf4706b3f48f1d95db1a4f5529b4d41, 384 dimensions, Apache-2.0, normalized vectors and cosine. Expose model_id, model_revision, dimension, normalized, embed_documents and embed_query.
3. Unit/contract tests use FakeEmbeddingProvider only. The fake must be deterministic, exactly 384-dimensional and controllable for success/failure; it must not import, load or download sentence-transformers and does not prove semantic quality.
4. Before any real-model integration, the pre-edit plan must identify dependency versions, download source/size, a task-owned cache outside the repository, resolved-revision verification, offline reload, retention/removal policy and exact network commands. Download is prohibited unless explicitly approved. Never fall back to main/latest or another revision.
5. Add bounded batching, empty/invalid input behavior, input-length handling, normalization tolerance, item-count/duration metrics without text, stable errors and collection/model/revision/dimension/normalization mismatch rejection. No vendor object may escape the adapter.
6. Canonical evidence is docs/test-evidence/W2-05-embedder.txt; aggregate W2-embedder evidence must reconcile to it. Run fake unit/contract, controlled real-model integration only when approved, offline reload, cache disposition, rollback and cleanliness tests plus normal developer commands. No Qdrant mutation, ingestion, AWS, paid API, repository-local model/cache,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Model/embedding: Verify immutable model identity, artifact allowlist, dimension/normalization, offline cache and CPU/GPU policy before any opt-in owner test.
- Concurrency/cancellation: Define bounded concurrency, deadlines, retries, cancellation propagation and no further mutation after cancellation.
- Data/privacy: Classify data, minimize content, prohibit secrets/PII in logs and evidence, and state residency, retention and deletion effects.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Support local and future provider embeddings through one boundary. The primary beneficiaries are retrieval users, ingestion pipeline, developers and security.
- Process and risk: This task supports approved text -&gt; Embedder protocol -&gt; bounded offline CPU adapter -&gt; normalized 384-d vector -&gt; retrieval or ingestion consumer. Without it, the platform can produce an unauditable, insecure or non-reproducible result at this exact layer.
- Measurable outcome: deterministic contract tests plus verified opt-in real-model vector. It contributes to the MVP by making Embedder contract and local adapter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W2-05 (Not Started): Implement sentence-transformer and deterministic fake embedders. Why: Local CPU embeddings avoid a paid dependency while preserving provider exit. Acceptance: Batch, normalization and dimension mismatch tests pass. Dependency: W2-01. Owner verification: follow 02 Master Plan!M23 through TEST-001 one command at a time. Expected: Unit tests make no model download; integration model is explicit. Evidence: docs/test-evidence/W2-05-embedder.txt Rollback/teardown: Restore previous model configuration and recreate collection if dimension changed.
END-TO-END ARCHITECTURE LEARNING
- Position and flow: approved text -&gt; Embedder protocol -&gt; bounded offline CPU adapter -&gt; normalized 384-d vector -&gt; retrieval or ingestion consumer.
- Upstream/dependency boundary: W2-01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EmbeddingContract, FakeEmbeddingProvider, SentenceTransformer adapter, immutable snapshot and external cache. Gate-1 path evidence must come from the current repository tree and bounded manifest; a path absent from the inspected baseline must be labelled PROPOSED, never stated as an existing exact path.
- Implemented symbols to trace at Gate 1: EmbeddingContract, Embedder, assert_embedding_contract, FakeEmbeddingProvider and SentenceTransformerEmbedder, including the offline loader, encode lock, runtime API and fake/real-model test consumers.
- Connections and boundaries: identify each local call, file/state boundary, network/service edge, authentication/authorization decision and retained resource. Explain local-to-AWS/EKS/production evolution only where this task records it.
TECHNICAL LEARNING
- Contract: EmbeddingContract, FakeEmbeddingProvider, SentenceTransformer adapter, immutable snapshot and external cache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calibrated translator that turns sentences into comparable coordinates.
- What goes in / happens / comes out: approved EMBEDDING_MODEL_ID goes through Embedder contract and local adapter;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tokenization splits model inputs; embedding maps them into semantic vector space.
ARCHITECTURE DECISIONS AND TRADE-OFFS
- Selected recorded direction: pinned MiniLM revision, CPU-only offline loading and fake-by-default tests balance reproducibility and cost.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token, remote code, input text in errors or repository-local model cache. Apply classification, PII handling, tenant isolation, authorization before provider/storage calls, secret exclusion, redacted evidence, residency, retention, provenance and least privilege where applicable.
- Failure/operations: identity/dimension/normalization mismatch fails before vector use; cancellation prevents later work.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Embedder contract and local adapter addresses support local and future provider embeddings through one boundary. It makes the result governed, testable and reversible, measured by deterministic contract tests plus verified opt-in real-model vector.
- Two-minute technical explanation: describe EmbeddingContract, FakeEmbeddingProvider, SentenceTransformer adapter, immutable snapshot and external cache; trace approved text -&gt; Embedder protocol -&gt; bounded offline CPU adapter -&gt; normalized 384-d vector -&gt; retrieval or ingestion consumer;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Embedder contract and local adapter solve?
   Answer points: Connect Support local and future provider embeddings through one boundary. to deterministic contract tests plus verified opt-in real-model vector and identify retrieval users, ingestion pipeline, developers and security.
2. Q: Trace the end-to-end flow for W2-002.
   Answer points: Explain approved text -&gt; Embedder protocol -&gt; bounded offline CPU adapter -&gt; normalized 384-d vector -&gt; retrieval or ingestion consumer; name upstream dependencies, downstream consumers, trust and state boundaries.
3. Q: Which design decision matters most and what alternative was rejected?
   Answer points: Discuss pinned MiniLM revision, CPU-only offline loading and fake-by-default tests balance reproducibility and cost; compare the adjacent alternative and when it could be preferable.
4. Q: How does this task fail safely and how is it recovered?
   Answer points: Use this scenario: identity/dimension/normalization mismatch fails before vector use; cancellation prevents later work; distinguish retry, remediation, rollback, teardown and evidence.
5. Q: How are security, privacy and cost controlled?
   Answer points: Explain no token, remote code, input text in errors or repository-local model cache; include least privilege, redaction/residency, bounded resources and owner-only access.
- Design trade-off: volume/latency increases tenfold; explain whether pinned MiniLM revision, CPU-only offline loading and fake-by-default tests balance reproducibility and cost still holds and what evidence/ADR/approval must change.
- Failure/remediation: identity/dimension/normalization mismatch fails before vector use; cancellation prevents later work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Embedder contract and local adapter. Task — establish the governed contract. Action — map consumers, work within gates, owner-test, diagnose completely and prove lifecycle. Result — report only accepted evidence and deterministic contract tests plus verified opt-in real-model vector.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W2-002 implementation and owner-test closure evidence remain factual. OWNER DECISION REQUIRED — owner-managed tracker/ADR wording reconciliation is required before W2-003 relies on it; do not rewrite history.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W2-002.
</t>
  </si>
  <si>
    <t>READY FOR PRE-EDIT REVIEW — W2-002</t>
  </si>
  <si>
    <t>COLUMN L — COMPLETE BOUNDED CODE EDIT APPROVAL — W2-002
APPROVED TASK CONTRACT
- Prompt and tracker steps: W2-002 / W2-05
- Business purpose: Support local and future provider embeddings through one boundary.
- Architecture and design: Embedder protocol isolates deterministic FakeEmbeddingProvider from the pinned offline SentenceTransformer provider; all ordinary tests use the fake.
- Exact interfaces, functions and connections: embed_documents and embed_query accept bounded text sequences and return normalized 384-dimensional float vectors; contract mismatch and provider failure use typed redacted errors.
- Exact inputs, outputs, errors and invariants: Inputs are limited to EMBEDDING_MODEL_ID.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EmbeddingContract fixes model ID, immutable revision, dimension 384, normalized true and cosine metric; inputs over 256 wordpieces are rejected rather than truncated.
- Exact dependency and runtime API rules: Sentence Transformers loads only an approved external snapshot with local_files_only true, trust_remote_code false, token none, CPU device and no automatic device detection.
- Exact security, privacy, concurrency and operational controls: One process-wide encode lock, batch maximum 128, call maximum 1024 and asyncio.to_thread keep CPU work outside the event loop; errors and metrics exclude input text.
- Exact automated-test behavior: Unit and contract tests cover fake determinism, normalization and mismatches; security tests inspect offline controls and redaction; opt-in integration uses the verified snapshot; cleanliness tests reject repository model caches.
- Accepted baseline: The inspected repository contains every UPDATE path and does not contain every CREATE path. Historical results remain unchanged; future execution must revalidate content and patch anchors.
EXACT APPROVED PATH MANIFEST
CREATE:
- None
UPDATE:
- requirements.txt
- src/enterprise_ai_platform/embeddings/__init__.py
- src/enterprise_ai_platform/embeddings/base.py
- src/enterprise_ai_platform/embeddings/errors.py
- src/enterprise_ai_platform/embeddings/fake.py
- src/enterprise_ai_platform/embeddings/sentence_transformer.py
- src/enterprise_ai_platform/config.py
- tests/unit/test_embedder.py
- tests/contract/test_embedder.py
- tests/integration/test_sentence_transformer_embedder.py
- tests/feature/test_w2_002_embedder_contract.py
- tests/security/test_embedder_security.py
- tests/teardown/test_w2_002_embedder_cleanliness.py
- feature-matrix.yaml
- tools/platformctl/validate.py
- tests/feature/test_feature_matrix.py
- tests/unit/test_platformctl.py
DELETE:
- None
VERIFIED IMPLEMENTED PRODUCERS / UNCHANGED CONSUMERS:
- src/enterprise_ai_platform/retrieval/models.py
- src/enterprise_ai_platform/retrieval/vector_store.py
- src/enterprise_ai_platform/app.py
- docker-compose.yml
- requirements-dev.txt
- tests/conftest.py
- tests/unit/test_config.py
- tests/unit/test_app.py
- tests/contract/test_health_contract.py
- tests/security/test_configuration_security.py
- tests/integration/test_dependency_contract.py
- tools/platformctl/cli.py
- tests/integration/test_repository_layout.py
- tests/feature/test_mvp_001_mapping.py
- tests/feature/test_mvp_001_platformctl.py
- tests/security/test_repository_security.py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Support local and future provider embeddings through one boundary. and measurable acceptance.
2. Architecture position: approved text -&gt; Embedder protocol -&gt; bounded offline CPU adapter -&gt; normalized 384-d vector -&gt; retrieval or ingestion consumer,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calibrated translator that turns sentences into comparable coordinates; what goes in, happens and comes out.
7. Decisions/trade-offs: pinned MiniLM revision, CPU-only offline loading and fake-by-default tests balance reproducibility and cost, alternatives, pros/cons, conditions to differ and consequences.
8. Security/privacy/reliability/cost: no token, remote code, input text in errors or repository-local model cache, failure isolation, retained resources and accepted access/cost.
9. Failure/remediation/rollback/teardown: identity/dimension/normalization mismatch fails before vector use; cancellation prevents later work;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W2-002.</t>
  </si>
  <si>
    <t xml:space="preserve">COLUMN M — EXACT DOCUMENT WRITING APPROVAL — W2-002
This is a separate owner approval after the bounded edit and owner testing or content review. Classify every path under one—and only one—of the CREATE and UPDATE headings after read-only preflight inspection.
EXACT DOCUMENTATION BOUNDARY
CREATE:
- None
UPDATE:
- docs/test-evidence/W2-002.md
- docs/test-evidence/W2-05-embedder.txt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W2-002.
</t>
  </si>
  <si>
    <t xml:space="preserve">COLUMN N — FINAL APPROVAL AND COMPLETE DOCUMENTATION CLOSURE — W2-002
This gate authorizes documentation closure only after owner review; it is not a code, test, deployment or tracker-edit approval.
OWNER MUST SUPPLY — DO NOT INVENT
- Prompt ID: W2-002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W2-002.
</t>
  </si>
  <si>
    <t xml:space="preserve">FOUR APPROVAL GATES PLUS OWNER TESTING AND WEEKLY LEARNING — TRACKER v1.3.4
MAIN PROMPT — W2-003
TASK IDENTITY
- Week: Week 2
- Feature/outcome: Secure ingestion pipeline
- Business purpose: Turn approved files into versioned, authorized chunks.
- Covered tracker steps: W2-06, W2-07
- Required inputs: Approved local sample path; tenant/classification rules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W2-06 — Implement validation, hashing, normalization and deterministic token chunking.
  Business reason: Reproducible chunk IDs/versioning make re-index and deletion safe.
  Acceptance: Same input produces same IDs; changed version is distinguishable.
  Dependency: W2-01,W2-05
  Owner verification reference: pytest tests/unit/test_chunking.py tests/unit/test_ingestion.py -q
  Expected result: Size/type failures quarantine; no raw content in logs.
  Canonical evidence: docs/test-evidence/W2-06-ingestion.txt
  Rollback/teardown: Delete affected document version and re-ingest last approved manifest.
  Current tracker status (read-only historical/current fact): Not Started
  Separate Task Context: Week 2 Ingestion task in the end-to-end architecture. After Code Edit Approval, Codex writes only the approved code/configuration/test code for “Implement validation, hashing, normalization and deterministic token chunking.”; you run the verification/deployment commands and return the results. Business value: Reproducible chunk IDs/versioning make re-index and deletion safe. Interview focus: explain where this component sits, how it fails safely and how it is rolled back.
- W2-07 — Add replaceable Presidio PII detection/redaction hook.
  Business reason: PII handling belongs before indexing and telemetry.
  Acceptance: Configured PII is redacted/quarantined and never appears in evidence logs.
  Dependency: W2-06
  Owner verification reference: pytest tests/security/test_pii.py -q
  Expected result: Synthetic PII fixture is handled as policy states.
  Canonical evidence: docs/test-evidence/W2-07-pii.txt
  Rollback/teardown: Delete derived chunks; restore approved unredacted source only in controlled location.
  Current tracker status (read-only historical/current fact): Not Started
  Separate Task Context: Week 2 Privacy task in the end-to-end architecture. After Code Edit Approval, Codex writes only the approved code/configuration/test code for “Add replaceable Presidio PII detection/redaction hook.”; you run the verification/deployment commands and return the results. Business value: PII handling belongs before indexing and telemetry. Interview focus: explain where this component sits, how it fails safely and how it is rolled back.
Downstream tracker steps identified from recorded dependencies: W2-07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Build an ingestion pipeline for .txt, .md and small text PDFs. Validate MIME/type and size, calculate SHA-256, normalize text, detect/redact configured PII through a replaceable Presidio adapter, chunk by tokens with overlap, attach source/document/version/tenant/classification metadata, embed in batches and idempotently upsert through VectorStore. Emit a manifest with counts, rejections, hashes, model/version and timing but no raw PII. Include quarantine, retry with jitter, deletion by document version, CLI commands and unit tests. The model role must never receive ingestion permissions.
TASK-SPECIFIC AMENDMENT — SECURE INGESTION, PII-BEFORE-CHUNKING AND SYNTHETIC DATA
1. Require independent PASS/final owner approval for W2-001 and W2-002; stable model, VectorStore and Embedder contracts; recorded DATA-001, DATA-002 and DATA-003; the approved MiniLM pin/cache policy; and the five Week 1 starter questions.
2. Reconcile the authoritative DATA-001 corpus before editing. Approved defaults are synthetic/non-sensitive enterprise-ai-learning-corpus-v1 under data/sample; .txt, .md and text-based .pdf; English; maximum 5 MiB/file; initial 200 tokenizer-token chunks with 25-token overlap; tenant-a/tenant-b; default INTERNAL. OCR, scanned/image-only and encrypted PDFs are excluded/quarantined. If DATA-001 differs, BLOCK.
3. Validate source containment, traversal/symlinks, extension+detected type, size and PDF characteristics; hash the original; normalize deterministically; then run PII inspection before chunking, embedding or upsert. Quarantined content must have zero downstream calls.
4. DATA-003: quarantine NRIC/FIN, passport, bank-account, payment-card, health, biometric and credential/secret-like identifiers; replace common names, email, telephone, address and IP values with typed placeholders; allow raw PII only through a valid owner/rationale/expiry APPROVED_EXCEPTION. Use synthetic fixtures and a Singapore NRIC/FIN recognizer. Never log matched PII, document text or secrets.
5. Use a replaceable Presidio adapter. Unit tests inject deterministic recognizers and download no NLP model. Any Presidio/spaCy model requires explicit package/version/source/size/external-cache/network/cleanup approval. Uncertain high-risk content fails closed to quarantine/manual review.
6. Implement deterministic document/version/chunk IDs, DATA-002 metadata, bounded classified transient retries, idempotent CLI/manifest, deletion by document ID+version and safe errors. Normal tests use fake Embedder/VectorStore; real model/Qdrant requires separate approval.
7. Create/update the approved Week 2 retrieval fixture from the five starter questions with question, tenant, expected_source_ids, authorization/classification context and safety tags; do not invent business facts. Full 25+ EVAL-001 remains W3-002.
8. Test file/MIME/size/path/PDF controls, hashing/ID/version/chunk/overlap stability, PII redaction/quarantine/exceptions, no downstream call after quarantine, tenant metadata, retry/failure propagation, deletion and fixture source validity. Canonical evidence: docs/test-evidence/W2-06-ingestion.txt and W2-07-pii.txt. No Qdrant start, AWS, paid API,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Model/embedding: Verify immutable model identity, artifact allowlist, dimension/normalization, offline cache and CPU/GPU policy before any opt-in owner test.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Turn approved files into versioned, authorized chunks. The primary beneficiaries are data owners, compliance, knowledge users and retrieval services.
- Process and risk: This task supports approved source bytes -&gt; containment/type/size validation -&gt; hashing and normalization -&gt; PII policy -&gt; tokenizer chunks -&gt; embedding -&gt; authorized VectorStore upsert -&gt; redacted manifest. Without it, the platform can produce an unauditable, insecure or non-reproducible result at this exact layer.
- Measurable outcome: deterministic re-runs, zero leaked PII and exact fixture/source coverage. It contributes to the MVP by making Secure ingestion pipeline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W2-06 (Not Started): Implement validation, hashing, normalization and deterministic token chunking. Why: Reproducible chunk IDs/versioning make re-index and deletion safe. Acceptance: Same input produces same IDs; changed version is distinguishable. Dependency: W2-01,W2-05. Owner verification: follow 02 Master Plan!M24 through TEST-001 one command at a time. Expected: Size/type failures quarantine; no raw content in logs. Evidence: docs/test-evidence/W2-06-ingestion.txt Rollback/teardown: Delete affected document version and re-ingest last approved manifest.
- W2-07 (Not Started): Add replaceable Presidio PII detection/redaction hook. Why: PII handling belongs before indexing and telemetry. Acceptance: Configured PII is redacted/quarantined and never appears in evidence logs. Dependency: W2-06. Owner verification: follow 02 Master Plan!M25 through TEST-001 one command at a time. Expected: Synthetic PII fixture is handled as policy states. Evidence: docs/test-evidence/W2-07-pii.txt Rollback/teardown: Delete derived chunks; restore approved unredacted source only in controlled location.
END-TO-END ARCHITECTURE LEARNING
- Position and flow: approved source bytes -&gt; containment/type/size validation -&gt; hashing and normalization -&gt; PII policy -&gt; tokenizer chunks -&gt; embedding -&gt; authorized VectorStore upsert -&gt; redacted manifest.
- Upstream/dependency boundary: W2-01,W2-05, W2-06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loaders, normalization, PII adapter, tokenizer protocol, chunker, embedding batches, ingestion pipeline, manifest and rollback tests.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loaders, normalization, PII adapter, tokenizer protocol, chunker, embedding batches, ingestion pipeline, manifest and rollback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secure mailroom that inspects, labels, redacts, splits and files documents.
- What goes in / happens / comes out: approved Approved local sample path; tenant/classification rules goes through Secure ingestion pipeline;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ingestion prepares governed knowledge; retrieval searches only indexed authorized chunks.
ARCHITECTURE DECISIONS AND TRADE-OFFS
- Selected recorded direction: PII-before-embedding, deterministic identities, bounded offline fakes and version-scoped compensation are required before indexing.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raw PII never reaches embeddings, logs or evidence; tenant/classification/ACL metadata stays attached and exceptions fail closed. Apply classification, PII handling, tenant isolation, authorization before provider/storage calls, secret exclusion, redacted evidence, residency, retention, provenance and least privilege where applicable.
- Failure/operations: quarantine has zero downstream calls; final upsert failure triggers version-only compensation and may end ROLLBACK_INDETERMINATE.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Secure ingestion pipeline addresses turn approved files into versioned, authorized chunks. It makes the result governed, testable and reversible, measured by deterministic re-runs, zero leaked PII and exact fixture/source coverage.
- Two-minute technical explanation: describe loaders, normalization, PII adapter, tokenizer protocol, chunker, embedding batches, ingestion pipeline, manifest and rollback tests; trace approved source bytes -&gt; containment/type/size validation -&gt; hashing and normalization -&gt; PII policy -&gt; tokenizer chunks -&gt; embedding -&gt; authorized VectorStore upsert -&gt; redacted manifest;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Secure ingestion pipeline solve?
   Answer points: Connect Turn approved files into versioned, authorized chunks. to deterministic re-runs, zero leaked PII and exact fixture/source coverage and identify data owners, compliance, knowledge users and retrieval services.
2. Q: Trace the end-to-end flow for W2-003.
   Answer points: Explain approved source bytes -&gt; containment/type/size validation -&gt; hashing and normalization -&gt; PII policy -&gt; tokenizer chunks -&gt; embedding -&gt; authorized VectorStore upsert -&gt; redacted manifest; name upstream dependencies, downstream consumers, trust and state boundaries.
3. Q: Which design decision matters most and what alternative was rejected?
   Answer points: Discuss PII-before-embedding, deterministic identities, bounded offline fakes and version-scoped compensation are required before indexing; compare the adjacent alternative and when it could be preferable.
4. Q: How does this task fail safely and how is it recovered?
   Answer points: Use this scenario: quarantine has zero downstream calls; final upsert failure triggers version-only compensation and may end ROLLBACK_INDETERMINATE; distinguish retry, remediation, rollback, teardown and evidence.
5. Q: How are security, privacy and cost controlled?
   Answer points: Explain raw PII never reaches embeddings, logs or evidence; tenant/classification/ACL metadata stays attached and exceptions fail closed; include least privilege, redaction/residency, bounded resources and owner-only access.
- Design trade-off: volume/latency increases tenfold; explain whether PII-before-embedding, deterministic identities, bounded offline fakes and version-scoped compensation are required before indexing still holds and what evidence/ADR/approval must change.
- Failure/remediation: quarantine has zero downstream calls; final upsert failure triggers version-only compensation and may end ROLLBACK_INDETERMINATE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Secure ingestion pipeline. Task — establish the governed contract. Action — map consumers, work within gates, owner-test, diagnose completely and prove lifecycle. Result — report only accepted evidence and deterministic re-runs, zero leaked PII and exact fixture/source coverage.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local sample path; tenant/classification rules.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MANDATORY W2-003 FIFTEEN-AREA DECISION RECONCILIATION
- 7.1 Baseline and workbook — OWNER DECISION REQUIRED BEFORE COLUMN L: Workbook closed and v1.3.4 lock absent are verified. Approve the clean committed W2-001/W2-002 baseline, dirty-working-tree treatment and every accepted path; record reproducibility/drift impact.
- 7.2 W2-002 prerequisite conflict — OWNER DECISION REQUIRED BEFORE COLUMN L: Reconcile W2-05 Not Started with W2-002 final evidence and stale ADR-003/ADR-006 pending wording; name the governing record and controlled owner-only correction. No silent reconciliation.
- 7.3 DATA-001 corpus — OWNER DECISION REQUIRED BEFORE COLUMN L: Approve five exact paths, facts limited to docs/features/MVP-001.md, one synthetic tenant-b document, and per-file source_id, tenant, classification, allowed roles/groups and data owner.
- 7.4 DATA-002 metadata extension — OWNER DECISION REQUIRED BEFORE COLUMN L: Choose required source_id/media_type in shared DocumentMetadata, Document and Chunk versus manifest-only; enumerate producers, consumers, serializers, validators, fixtures/tests and provenance trade-off.
- 7.5 Deterministic identity — OWNER DECISION REQUIRED BEFORE COLUMN L: Approve manifest source_id; length-prefixed SHA-256 document_id(tenant,source_id); content_hash of original bytes; length-prefixed document_version(document_id,content_hash); existing chunk ID; line-ending behavior and tests.
- 7.6 Normalization — OWNER DECISION REQUIRED BEFORE COLUMN L: Approve BOM removal, Unicode NFC, LF, trailing horizontal-whitespace removal and outer-blank-line stripping while preserving internal spaces/paragraphs; NFKC and whitespace collapse are not selected.
- 7.7 Tokenizer contract — OWNER DECISION REQUIRED BEFORE COLUMN L: Approve separate protocol, deterministic test tokenizer, lazy offline MiniLM tokenizer using tokenizer.json and tokenizers&gt;=0.22,&lt;1; ordinary tests download nothing; whitespace chunking is insufficient.
- 7.8 PDF parser — OWNER DECISION REQUIRED BEFORE COLUMN L: Approve pypdf&gt;=6,&lt;7 and local text extraction; malformed, encrypted and image-only PDFs quarantine; OCR is excluded. Deferral removes PDF acceptance rather than creating a silent stub.
- 7.9 PII taxonomy/placeholders — OWNER DECISION REQUIRED BEFORE COLUMN L: Quarantine SG_NRIC_FIN, PASSPORT_NUMBER, BANK_ACCOUNT, PAYMENT_CARD, HEALTH_INFORMATION, BIOMETRIC_IDENTIFIER and CREDENTIAL_SECRET. Redact PERSON, EMAIL_ADDRESS, PHONE_NUMBER, LOCATION and IP_ADDRESS to exact typed placeholders; checksum is confidence only; redact before embedding; log no raw PII.
- 7.10 Approved exceptions — OWNER DECISION REQUIRED BEFORE COLUMN L: Require future expiry, owner, rationale, matching data owner and AuthContext with INGESTOR plus ADMIN; CLI cannot self-approve. Compare REVIEWER plus INGESTOR, SEC-001 alignment, audit and fail-closed behavior.
- 7.11 Bounds/retry/cancellation/rollback — OWNER DECISION REQUIRED BEFORE COLUMN L: Approve one active document, 5 MiB/file, 100 files/run, 200-token chunks, 25 overlap, batch 32, two attempts, injected 100 ms base plus &lt;=50 ms jitter, 120-second provider cap, cancellation, version-only compensation and ROLLBACK_INDETERMINATE with tests.
- 7.12 CLI/manifest/quarantine — OWNER DECISION REQUIRED BEFORE COLUMN L: Approve enterprise_ai_platform.ingestion.pipeline; explicit fake selection; strict JSON stdout manifest; no repository-local manifest/quarantine; real model/Qdrant opt-in; exact exit codes, redacted errors and cleanup.
- 7.13 Five-question fixture — OWNER DECISION REQUIRED BEFORE COLUMN L: Approve configs/eval/w2-starter.jsonl, Q1-Q5 order, exact questions/source IDs from docs/features/MVP-001.md, tenant-a for all five and tenant-b only for isolation; reject order/duplicate/source/tenant drift.
- 7.14 Feature-matrix ownership — OWNER DECISION REQUIRED BEFORE COLUMN L: Preserve ordered MVP-001/RAG-001 with no new feature; append W2-003 paths and W2-06 then W2-07; make W2-002 tests validate a preserved subset; synchronize validator/fixtures/positive-negative tests and retain one JSON object.
- 7.15 Real integrations/retained cache — DEFERRED WITH OWNER/RISK/DATE plus OWNER DECISION REQUIRED: Ordinary tests use fakes; real tokenizer is offline opt-in; real model/Qdrant need separate approval or W2-004 deferral. Existing approval retains cache through W2-06/W2-07; owner must confirm W2-10 teardown mapping. No repository cache; fake/local PASS is not real-integration PASS.
End exactly: READY FOR PRE-EDIT REVIEW — W2-003.
</t>
  </si>
  <si>
    <t>READY FOR PRE-EDIT REVIEW — W2-003</t>
  </si>
  <si>
    <t>W2-06, W2-07</t>
  </si>
  <si>
    <t>COLUMN L — NOT AVAILABLE — W2-003
STATUS: BLOCKED — OWNER DECISIONS REQUIRED BEFORE COLUMN L.
This cell is not a Code Edit Approval and grants no authority. Gate 1 must resolve all fifteen Main Prompt decision areas, reconcile the W2-001/W2-002 baseline and every direct/indirect consumer, and return one exact CREATE/UPDATE/UNCHANGED/DEFERRED/EXCLUDED manifest. Only the owner may then issue a new consolidated Column L approval. No unresolved placeholder, recommendation or proposed path is approved.
POST-IMPLEMENTATION LEARNING DELIVERY
When a future owner-approved Column L exists, Codex returns—without running anything—the business case; secure-ingestion architecture; every loader/model/normalizer/PII/tokenizer/chunker/embedder/vector-store/manifest change; function/connection map; technical and layman explanations; decisions/alternatives; security/privacy/reliability/cost; quarantine/retry/cancellation/compensation/rollback/teardown; owner duties; interview Q&amp;A; and teach-back checklist. PASS/FAIL/NOT RUN/INDETERMINATE remain owner-evidence facts.
End exactly: BLOCKED — OWNER DECISIONS REQUIRED BEFORE COLUMN L — W2-003.</t>
  </si>
  <si>
    <t xml:space="preserve">COLUMN M — EXACT DOCUMENT WRITING APPROVAL — W2-003
This is a separate owner approval after the bounded edit and owner testing or content review. Classify every path under one—and only one—of the CREATE and UPDATE headings after read-only preflight inspection.
EXACT DOCUMENTATION BOUNDARY
CREATE:
- docs/test-evidence/W2-003.md
- docs/test-evidence/W2-06-ingestion.txt
- docs/test-evidence/W2-07-pii.txt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W2-003.
</t>
  </si>
  <si>
    <t xml:space="preserve">COLUMN N — FINAL APPROVAL AND COMPLETE DOCUMENTATION CLOSURE — W2-003
This gate authorizes documentation closure only after owner review; it is not a code, test, deployment or tracker-edit approval.
OWNER MUST SUPPLY — DO NOT INVENT
- Prompt ID: W2-003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W2-003.
</t>
  </si>
  <si>
    <t>Local retrieval proof, rollback and complete-removal drill</t>
  </si>
  <si>
    <t>Prove approved retrieval end-to-end using the existing W2-001 Qdrant foundation, then restore and remove it cleanly.</t>
  </si>
  <si>
    <t>Approved W2-001/W2-002/W2-003; Docker/model cache; approved corpus and retrieval fixture</t>
  </si>
  <si>
    <t xml:space="preserve">FOUR APPROVAL GATES PLUS OWNER TESTING AND WEEKLY LEARNING — TRACKER v1.3.4
MAIN PROMPT — W2-004
TASK IDENTITY
- Week: Week 2
- Feature/outcome: Local retrieval proof, rollback and complete-removal drill
- Business purpose: Prove approved retrieval end-to-end using the existing W2-001 Qdrant foundation, then restore and remove it cleanly.
- Covered tracker steps: W2-09, W2-10
- Required inputs: Approved W2-001/W2-002/W2-003; Docker/model cache; approved corpus and retrieval fixture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W2-09 — Ingest approved sample corpus and verify top-5 retrieval.
  Business reason: This is the first measurable RAG foundation outcome.
  Acceptance: Expected source appears in top 5 for representative questions.
  Dependency: W2-03:W2-08
  Owner verification reference: python -m enterprise_ai.ingestion.pipeline ingest --source data/sample --tenant demo &amp;&amp; pytest tests/feature/test_local_retrieval.py -q
  Expected result: Manifest, retrieval scores and source IDs are captured.
  Canonical evidence: docs/test-evidence/W2-09-retrieval.json
  Rollback/teardown: Delete test collection/volume and restore previous config.
  Current tracker status (read-only historical/current fact): Not Started
  Separate Task Context: Week 2 Feature proof task in the end-to-end architecture. After Code Edit Approval, Codex writes only the approved code/configuration/test code for “Ingest approved sample corpus and verify top-5 retrieval.”; you run the verification/deployment commands and return the results. Business value: This is the first measurable RAG foundation outcome. Interview focus: explain where this component sits, how it fails safely and how it is rolled back.
- W2-10 — Run local deploy, rollback and complete removal drill.
  Business reason: A working feature is incomplete until it can be removed cleanly.
  Acceptance: Previous configuration works after rollback; teardown leaves no local residue.
  Dependency: W2-09
  Owner verification reference: make rollback-local &amp;&amp; make destroy-local &amp;&amp; make verify-clean-local
  Expected result: No project container, volume or network remains.
  Canonical evidence: docs/rollback-records/W2-local.md
  Rollback/teardown: Recreate from pinned Compose/config and re-run feature test.
  Current tracker status (read-only historical/current fact): Not Started
  Separate Task Context: Week 2 Reversibility task in the end-to-end architecture. After Code Edit Approval, Codex writes only the approved code/configuration/test code for “Run local deploy, rollback and complete removal drill.”; you run the verification/deployment commands and return the results. Business value: A working feature is incomplete until it can be removed cleanly. Interview focus: explain where this component sits, how it fails safely and how it is rolled back.
Downstream tracker steps identified from recorded dependencies: W2-10, W2-11, W3-04, W3-06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minimal Docker Compose service for Qdrant with pinned image digest/version, healthcheck, named volume and isolated network. Add Make targets to start, wait, ingest sample data, run an authorized retrieval query, stop, restore a prior configuration and remove container/volume/network. Add integration tests using Qdrant and prove top-5 retrieval returns the expected source. Never store an API key in Compose.
TASK-SPECIFIC AMENDMENT — LOCAL RETRIEVAL PROOF AND COMPLETE REMOVAL ONLY
PROMPT-ROUTING CORRECTION: W2-03 is implemented and accepted under W2-001. W2-004 now covers only W2-09 and W2-10; do not recreate or redesign the Qdrant foundation.
1. Require independent PASS/final owner approval for W2-001, W2-002 and W2-003; completion of W2-01 through W2-08; exact approved Qdrant and MiniLM pins; approved external model-cache disposition; valid corpus manifest; at least five versioned retrieval cases; and expected source IDs that exist in the manifest.
2. The pre-edit approval must explicitly list registry/model access if needed, Docker start/stop, unique collection creation/deletion, ingestion and removal. Reverify both Qdrant digests, linux/amd64, Linux-container mode, daemon/configuration, port 127.0.0.1:6333, model revision/offline cache and repository hashes before mutation.
3. Start only enterprise-ai-w2-004a, wait boundedly, verify loopback-only exposure, create a uniquely named collection with the approved EMB-001 contract and reject incompatible existing collections.
4. Ingest only enterprise-ai-learning-corpus-v1, apply PII before chunking, use DATA-002/SEC-001, repeat ingestion to prove stable IDs/point counts, and run every approved case with top_k=5. Every expected source must appear in the top five. Unauthorized tenant/role/group/clearance returns zero protected chunks; quarantined content is absent.
5. Run a safe rollback drill: preserve passing configuration N; apply only an approved bounded test regression N+1; prove detection; restore N; revalidate health, idempotent ingestion, top-five retrieval, isolation and quarantine. Destroy is not rollback.
6. Complete removal deletes the unique collection/derived vectors, container, named volume, internal network, orphans and task-owned temporary data. Preserve only explicitly approved shared immutable image/model caches and disclose identity/path/size. Verify zero project resource, process, repository cache, bytecode, ignored residue or unexpected empty directory.
7. Canonical records: docs/test-evidence/W2-09-retrieval.json, docs/rollback-records/W2-local.md and docs/resource-cleanliness/W2-local.json. Run normal developer commands and record exact commands/exits/counts without raw content/PII. No AWS/OpenSearch live access, paid API, Terraform, Kubernetes, tracker edit, W2-signoff,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Model/embedding: Verify immutable model identity, artifact allowlist, dimension/normalization, offline cache and CPU/GPU policy before any opt-in owner test.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Prove approved retrieval end-to-end using the existing W2-001 Qdrant foundation, then restore and remove it cleanly. The primary beneficiaries are knowledge workers, data owners, application teams and security.
- Process and risk: This task supports authorized Query -&gt; provider-neutral VectorStore -&gt; fake/Qdrant/OpenSearch adapter -&gt; filtered results -&gt; post-result authorization. Without it, the platform can produce an unauditable, insecure or non-reproducible result at this exact layer.
- Measurable outcome: identical contract behavior across fake and approved local adapter with zero cross-tenant leakage. It contributes to the MVP by making Local retrieval proof, rollback and complete-removal drill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W2-09 (Not Started): Ingest approved sample corpus and verify top-5 retrieval. Why: This is the first measurable RAG foundation outcome. Acceptance: Expected source appears in top 5 for representative questions. Dependency: W2-03:W2-08. Owner verification: follow 02 Master Plan!M27 through TEST-001 one command at a time. Expected: Manifest, retrieval scores and source IDs are captured. Evidence: docs/test-evidence/W2-09-retrieval.json Rollback/teardown: Delete test collection/volume and restore previous config.
- W2-10 (Not Started): Run local deploy, rollback and complete removal drill. Why: A working feature is incomplete until it can be removed cleanly. Acceptance: Previous configuration works after rollback; teardown leaves no local residue. Dependency: W2-09. Owner verification: follow 02 Master Plan!M28 through TEST-001 one command at a time. Expected: No project container, volume or network remains. Evidence: docs/rollback-records/W2-local.md Rollback/teardown: Recreate from pinned Compose/config and re-run feature test.
END-TO-END ARCHITECTURE LEARNING
- Position and flow: authorized Query -&gt; provider-neutral VectorStore -&gt; fake/Qdrant/OpenSearch adapter -&gt; filtered results -&gt; post-result authorization.
- Upstream/dependency boundary: W2-03:W2-08, W2-09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Pydantic retrieval models, AuthContext, VectorStore protocol, deterministic fake, Qdrant and OpenSearch adapters, internal Compose network.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Pydantic retrieval models, AuthContext, VectorStore protocol, deterministic fake, Qdrant and OpenSearch adapters, internal Compose network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secure library catalogue whose index can be swapped without changing lending rules.
- What goes in / happens / comes out: approved Approved W2-001/W2-002/W2-003; Docker/model cache; approved corpus and retrieval fixture goes through Local retrieval proof, rollback and complete-removal drill;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an embedder creates vectors; a vector store persists and searches them under authorization.
ARCHITECTURE DECISIONS AND TRADE-OFFS
- Selected recorded direction: pluggable adapters, immutable Qdrant identity, normalized 384-d cosine vectors and pre/post authorization avoid vendor leakage.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tenant, clearance and ACL checks precede provider calls; Qdrant has no host publication and the runner has least privilege. Apply classification, PII handling, tenant isolation, authorization before provider/storage calls, secret exclusion, redacted evidence, residency, retention, provenance and least privilege where applicable.
- Failure/operations: contract mismatch or provider failure stops before mutation; test collections and Compose resources are removed.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Local retrieval proof, rollback and complete-removal drill addresses prove approved retrieval end-to-end using the existing w2-001 qdrant foundation, then restore and remove it cleanly. It makes the result governed, testable and reversible, measured by identical contract behavior across fake and approved local adapter with zero cross-tenant leakage.
- Two-minute technical explanation: describe Pydantic retrieval models, AuthContext, VectorStore protocol, deterministic fake, Qdrant and OpenSearch adapters, internal Compose network; trace authorized Query -&gt; provider-neutral VectorStore -&gt; fake/Qdrant/OpenSearch adapter -&gt; filtered results -&gt; post-result authorization;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Local retrieval proof, rollback and complete-removal drill solve?
   Answer points: Connect Prove approved retrieval end-to-end using the existing W2-001 Qdrant foundation, then restore and remove it cleanly. to identical contract behavior across fake and approved local adapter with zero cross-tenant leakage and identify knowledge workers, data owners, application teams and security.
2. Q: Trace the end-to-end flow for W2-004.
   Answer points: Explain authorized Query -&gt; provider-neutral VectorStore -&gt; fake/Qdrant/OpenSearch adapter -&gt; filtered results -&gt; post-result authorization; name upstream dependencies, downstream consumers, trust and state boundaries.
3. Q: Which design decision matters most and what alternative was rejected?
   Answer points: Discuss pluggable adapters, immutable Qdrant identity, normalized 384-d cosine vectors and pre/post authorization avoid vendor leakage; compare the adjacent alternative and when it could be preferable.
4. Q: How does this task fail safely and how is it recovered?
   Answer points: Use this scenario: contract mismatch or provider failure stops before mutation; test collections and Compose resources are removed; distinguish retry, remediation, rollback, teardown and evidence.
5. Q: How are security, privacy and cost controlled?
   Answer points: Explain tenant, clearance and ACL checks precede provider calls; Qdrant has no host publication and the runner has least privilege; include least privilege, redaction/residency, bounded resources and owner-only access.
- Design trade-off: volume/latency increases tenfold; explain whether pluggable adapters, immutable Qdrant identity, normalized 384-d cosine vectors and pre/post authorization avoid vendor leakage still holds and what evidence/ADR/approval must change.
- Failure/remediation: contract mismatch or provider failure stops before mutation; test collections and Compose resources are removed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Local retrieval proof, rollback and complete-removal drill. Task — establish the governed contract. Action — map consumers, work within gates, owner-test, diagnose completely and prove lifecycle. Result — report only accepted evidence and identical contract behavior across fake and approved local adapter with zero cross-tenant leakage.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W2-001/W2-002/W2-003; Docker/model cache; approved corpus and retrieval fixture.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W2-004.
</t>
  </si>
  <si>
    <t>READY FOR PRE-EDIT REVIEW — W2-004</t>
  </si>
  <si>
    <t>W2-09, W2-10</t>
  </si>
  <si>
    <t xml:space="preserve">COLUMN M — EXACT DOCUMENT WRITING APPROVAL — W2-004
This is a separate owner approval after the bounded edit and owner testing or content review. Classify every path under one—and only one—of the CREATE and UPDATE headings after read-only preflight inspection.
EXACT DOCUMENTATION BOUNDARY
CREATE:
- docs/test-evidence/W2-004.md
- docs/test-evidence/W2-09-retrieval.json
- docs/rollback-records/W2-local.md
- docs/resource-cleanliness/W2-local.json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W2-004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W2-004.
</t>
  </si>
  <si>
    <t xml:space="preserve">COLUMN N — FINAL APPROVAL AND COMPLETE DOCUMENTATION CLOSURE — W2-004
This gate authorizes documentation closure only after owner review; it is not a code, test, deployment or tracker-edit approval.
OWNER MUST SUPPLY — DO NOT INVENT
- Prompt ID: W2-004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W2-004.
</t>
  </si>
  <si>
    <t>Business/technical/layman explanation, decision review and interview practice only</t>
  </si>
  <si>
    <t>FOUR APPROVAL GATES PLUS OWNER TESTING AND WEEKLY LEARNING — TRACKER v1.3.4
MAIN PROMPT — W2-LEARN-001
TASK IDENTITY
- Week: Week 2
- Feature/outcome: Local retrieval architecture explanation
- Business purpose: Create an interview-ready explanation grounded in the implemented retrieval evidence.
- Covered tracker steps: W2-11
- Required inputs: Approved W2 ADRs, adapter/chunking configuration and W2 evidence
- Expected outputs: Business/technical/layman explanation, decision review and interview practice only
- Task type: learning
- Next approval position: owner learning/teach-back review; no Codex-authored code or content mutation is authorized; owner-written evidence is required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W2-11 — Explain embeddings, cosine similarity, chunk size/overlap and metadata filtering.
  Business reason: The workbook is also an interview/reference learning plan.
  Acceptance: Five-minute explanation uses current implementation evidence.
  Dependency: W2-09
  Owner verification reference: Owner records the five-minute teach-back notes in docs/architecture/local-retrieval.md
  Expected result: Explanation connects decisions to quality, security and cost.
  Canonical evidence: docs/architecture/local-retrieval.md, written and maintained by the owner for this learning-only task
  Rollback/teardown: Revise ADR/notes; do not change code without a feature cycle.
  Current tracker status (read-only historical/current fact): Not Started
  Separate Task Context: Week 2 owner decision/checkpoint in Learning checkpoint. You choose, approve or execute “Explain embeddings, cosine similarity, chunk size/overlap and metadata filtering.” because the decision affects downstream architecture and risk. Codex explains alternatives and may draft approved wording only under the proper approval stage. Business value: The workbook is also an interview/reference learning plan. Interview focus: explain the decision, trade-off and downstream consequence.
Downstream tracker steps identified from recorded dependencies: W2-12
RETAINED TASK-SPECIFIC TECHNICAL CONTRACT
Teach only from approved W2 evidence: immutable 384-dimensional normalized embeddings, fake-versus-real provider purpose, chunk and overlap trade-offs, tenant/classification filtering, Qdrant-to-OpenSearch migration, PII-before-embedding, cost, rollback and complete-removal outcomes. Codex must not create or edit a document. After the learning session, the owner records the five-minute teach-back notes in docs/architecture/local-retrieval.md; that owner-written note is the canonical evidence. Codex must not run a command, claim unexecuted AWS/OpenSearch or semantic-quality results, or mutate code, data, configuration, containers, caches, cloud resources or the tracker.
LEARNING-SPECIFIC READ-ONLY REVIEW — REQUIRED RESPONSE SECTIONS
1. Learning outcome
Prepare the five-minute local-retrieval explanation covering embeddings, similarity, chunking, metadata authorization, migration, privacy, cost and failure handling. State the business outcome, architecture position, expected teach-back duration, acceptance criteria and interview objective.
2. Authoritative evidence boundary
Use only approved implementation, decision and owner-executed evidence. Distinguish PASS, FAIL, NOT RUN, INDETERMINATE, accepted warnings, risks and evidence gaps. Never infer a completed test, deployment, rollback, teardown or approval.
3. Teaching and architecture flow
Explain the end-to-end business, data and control flow; component responsibilities; trust boundaries; security/privacy controls; reliability/cost implications; alternatives and trade-offs. Include a plain-language analogy and an interview-ready explanation.
4. Teach-back validation — no automated tests or commands
Provide five owner teach-back questions, answer points and one practical architect scenario. Evaluate conceptual accuracy and evidence traceability only. Do not propose test files, dependency analysis, runtime execution, TEST-001 commands or repository changes.
5. Owner-written evidence boundary
Codex must not create or edit a learning document. After the teach-back, the owner writes or updates only the applicable canonical evidence note:
- docs/architecture/local-retrieval.md
The owner records reviewer/approval facts without inventing results. A later Codex-authored document change requires a separate exact-path Column M approval.
6. Failure and correction
If evidence is missing or contradictory, stop and identify the exact gap. If the teach-back is incomplete, provide coaching and repeat the teach-back; do not remediate code, documentation, infrastructure or tracker state.
7. Security, privacy, cost and residual resources
Teach only the controls and outcomes supported by evidence. Exclude credentials, raw protected content and unsupported cost/residency claims. State retained resources and deferred work accurately.
8. Final learning review
Return the business story, technical importance, layman explanation, decisions and alternatives, security/privacy/reliability/cost trade-offs, failure/remediation/rollback/teardown story, five interview questions with answer points and a concise explanation the owner can speak aloud.
LEARNING CONTROL
This prompt authorizes read-only teaching only. The owner performs the teach-back and writes the exact evidence note. Codex runs no command, creates no test, edits no repository file and changes no Excel or Git state.
DETAILED TASK-SPECIFIC LEARNING FOCUS
BUSINESS LEARNING
- Problem and beneficiary: Create an interview-ready explanation grounded in the implemented retrieval evidence. The primary beneficiaries are owner, interviewer and future reviewers.
- Process and risk: This task supports approved W2 evidence -&gt; owner explanation of ingestion, embeddings, vector search and authorization -&gt; recorded teach-back. Without it, the platform can produce an unauditable, insecure or non-reproducible result at this exact layer.
- Measurable outcome: owner can deliver an accurate five-minute W2 architecture story. It contributes to the MVP by making Local retrieval architecture explanation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W2-11 (Not Started): Explain embeddings, cosine similarity, chunk size/overlap and metadata filtering. Why: The workbook is also an interview/reference learning plan. Acceptance: Five-minute explanation uses current implementation evidence. Dependency: W2-09. Owner verification: follow 02 Master Plan!M29 through TEST-001 one command at a time. Expected: Explanation connects decisions to quality, security and cost. Evidence: docs/architecture/local-retrieval.md Rollback/teardown: Revise ADR/notes; do not change code without a feature cycle.
END-TO-END ARCHITECTURE LEARNING
- Position and flow: approved W2 evidence -&gt; owner explanation of ingestion, embeddings, vector search and authorization -&gt; recorded teach-back.
- Upstream/dependency boundary: W2-09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W2 ADRs, embedder/vector/ingestion evidence, chunking choices and rollback results.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W2 ADRs, embedder/vector/ingestion evidence, chunking choices and rollback results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explaining how a private library becomes a secure searchable card catalogue.
- What goes in / happens / comes out: approved Approved W2 ADRs, adapter/chunking configuration and W2 evidence goes through Local retrieval architecture explanation; validation and controls run; the output is Business/technical/layman explanation, decision review and interview practice only or a clear, non-fabricated stop.
- Why the business cares: the process becomes explainable, safer and repeatable.
- Adjacent technology: embedding is representation; chunking is preparation; retrieval is authorized search.
ARCHITECTURE DECISIONS AND TRADE-OFFS
- Selected recorded direction: teach only evidence-backed choices and distinguish local/fake PASS from real integration.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explain PII-before-embedding, tenant filters and retained external cache without exposing content. Apply classification, PII handling, tenant isolation, authorization before provider/storage calls, secret exclusion, redacted evidence, residency, retention, provenance and least privilege where applicable.
- Failure/operations: an evidence gap becomes a learning gap; revise the explanation, never invent a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Local retrieval architecture explanation addresses create an interview-ready explanation grounded in the implemented retrieval evidence. It makes the result governed, testable and reversible, measured by owner can deliver an accurate five-minute W2 architecture story.
- Two-minute technical explanation: describe W2 ADRs, embedder/vector/ingestion evidence, chunking choices and rollback results; trace approved W2 evidence -&gt; owner explanation of ingestion, embeddings, vector search and authorization -&gt; recorded teach-back;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Local retrieval architecture explanation solve?
   Answer points: Connect Create an interview-ready explanation grounded in the implemented retrieval evidence. to owner can deliver an accurate five-minute W2 architecture story and identify owner, interviewer and future reviewers.
2. Q: Trace the end-to-end flow for W2-LEARN-001.
   Answer points: Explain approved W2 evidence -&gt; owner explanation of ingestion, embeddings, vector search and authorization -&gt; recorded teach-back; name upstream dependencies, downstream consumers, trust and state boundaries.
3. Q: Which design decision matters most and what alternative was rejected?
   Answer points: Discuss teach only evidence-backed choices and distinguish local/fake PASS from real integration; compare the adjacent alternative and when it could be preferable.
4. Q: How does this task fail safely and how is it recovered?
   Answer points: Use this scenario: an evidence gap becomes a learning gap; revise the explanation, never invent a PASS; distinguish retry, remediation, rollback, teardown and evidence.
5. Q: How are security, privacy and cost controlled?
   Answer points: Explain explain PII-before-embedding, tenant filters and retained external cache without exposing content; include least privilege, redaction/residency, bounded resources and owner-only access.
6. Q: Which facts may be claimed as PASS?
   Answer points: Only owner-executed evidence; preserve FAIL, NOT RUN, INDETERMINATE, warnings and gaps.
7. Q: How do the week's components connect?
   Answer points: Use the recorded step sequence and the flow: approved W2 evidence -&gt; owner explanation of ingestion, embeddings, vector search and authorization -&gt; recorded teach-back.
8. Q: What changes at production scale?
   Answer points: Revisit teach only evidence-backed choices and distinguish local/fake PASS from real integration under latency, availability, residency, support and cost.
9. Q: What is rollback versus teardown?
   Answer points: Rollback restores a known-good capability; teardown removes scoped resources and verifies residue.
10. Q: What must the owner teach back?
   Answer points: Business value, architecture, interfaces, decision, security, failure, testing, lifecycle and evidence.
- Design trade-off: volume/latency increases tenfold; explain whether teach only evidence-backed choices and distinguish local/fake PASS from real integration still holds and what evidence/ADR/approval must change.
- Failure/remediation: an evidence gap becomes a learning gap; revise the explanation, never invent a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Local retrieval architecture explanation. Task — establish the governed contract. Action — map consumers, work within gates, owner-test, diagnose completely and prove lifecycle. Result — report only accepted evidence and owner can deliver an accurate five-minute W2 architecture story.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 owner selects the completed evidence set, performs the teach-back and records the owner-written note. No code/content mutation decision applies.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no code, command, deployment or automated test applies to this learning-only gate
- Column L activation: no workbook text grants authority until the owner explicitly issues an exact bounded Code or Content Edit Approval after all edit-blocking decisions are resolved and patch contexts are re-read.
End exactly: READY FOR PRE-EDIT REVIEW — W2-LEARN-001.</t>
  </si>
  <si>
    <t>Read-only teaching plan → owner teach-back → owner writes the exact evidence note → final teach-back approval → owner tracker update</t>
  </si>
  <si>
    <t>Owner learning and teach-back review — W2-LEARN-001</t>
  </si>
  <si>
    <t>Owner teach-back required</t>
  </si>
  <si>
    <t>COLUMN M — DOCUMENT WRITING APPROVAL — W2-LEARN-001
NOT APPLICABLE BY DEFAULT. This learning prompt authorizes teaching and teach-back only. The owner—not Codex—writes the canonical evidence note at docs/architecture/local-retrieval.md. No Codex-authored repository document is authorized or inferred. A later Codex document request requires exact CREATE, UPDATE, VERIFIED UNCHANGED and EXCLUDED paths plus owner-supplied results.
End exactly: DOCUMENTATION NOT AUTHORIZED — W2-LEARN-001.</t>
  </si>
  <si>
    <t>READY FOR PRE-EDIT REVIEW — W3-001</t>
  </si>
  <si>
    <t>W3-01, W3-02, W3-03, W3-04</t>
  </si>
  <si>
    <t xml:space="preserve">COLUMN N — FINAL APPROVAL AND COMPLETE DOCUMENTATION CLOSURE — W3-001
This gate authorizes documentation closure only after owner review; it is not a code, test, deployment or tracker-edit approval.
OWNER MUST SUPPLY — DO NOT INVENT
- Prompt ID: W3-001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W3-001.
</t>
  </si>
  <si>
    <t>READY FOR PRE-EDIT REVIEW — W3-002</t>
  </si>
  <si>
    <t>W3-06, W3-07, W3-10</t>
  </si>
  <si>
    <t xml:space="preserve">COLUMN N — FINAL APPROVAL AND COMPLETE DOCUMENTATION CLOSURE — W3-002
This gate authorizes documentation closure only after owner review; it is not a code, test, deployment or tracker-edit approval.
OWNER MUST SUPPLY — DO NOT INVENT
- Prompt ID: W3-002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W3-002.
</t>
  </si>
  <si>
    <t xml:space="preserve">FOUR APPROVAL GATES PLUS OWNER TESTING AND WEEKLY LEARNING — TRACKER v1.3.4
MAIN PROMPT — W3-003
TASK IDENTITY
- Week: Week 3
- Feature/outcome: RAG guardrails and security regression suite
- Business purpose: Treat retrieved content as untrusted and enforce authorization outside the model.
- Covered tracker steps: W3-05, W3-08
- Required inputs: Classification/tenant rules; injection fixtures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W3-05 — Add deterministic input/output/citation safety checks.
  Business reason: Deterministic policy must surround probabilistic generation.
  Acceptance: Malformed, unauthorized and uncited outputs fail safely.
  Dependency: W3-04
  Owner verification reference: pytest tests/security tests/unit/test_guardrails.py -q
  Expected result: Security suite passes with redacted logs.
  Canonical evidence: docs/test-evidence/W3-05-guardrails.txt
  Rollback/teardown: Disable affected model route and return safe refusal.
  Current tracker status (read-only historical/current fact): Not Started
  Separate Task Context: Week 3 Guardrails task in the end-to-end architecture. After Code Edit Approval, Codex writes only the approved code/configuration/test code for “Add deterministic input/output/citation safety checks.”; you run the verification/deployment commands and return the results. Business value: Deterministic policy must surround probabilistic generation. Interview focus: explain where this component sits, how it fails safely and how it is rolled back.
- W3-08 — Test injection, cross-tenant retrieval, unsafe output and logging redaction.
  Business reason: RAG expands the attack surface through untrusted content.
  Acceptance: All adversarial fixtures fail safely.
  Dependency: W3-05
  Owner verification reference: pytest tests/security -q
  Expected result: No unauthorized chunk/action; no raw content in logs.
  Canonical evidence: docs/test-evidence/W3-08-security.txt
  Rollback/teardown: Disable affected path; purge/re-index poisoned test document.
  Current tracker status (read-only historical/current fact): Not Started
  Separate Task Context: Week 3 Security testing task in the end-to-end architecture. After Code Edit Approval, Codex writes only the approved code/configuration/test code for “Test injection, cross-tenant retrieval, unsafe output and logging redaction.”; you run the verification/deployment commands and return the results. Business value: RAG expands the attack surface through untrusted content. Interview focus: explain where this component sits, how it fails safely and how it is rolled back.
Downstream tracker steps identified from recorded dependencies: W3-08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Implement deterministic guardrails for request size, allowed content types, trusted metadata authorization, prompt-injection fixtures, citation validation, safe refusal and output schema validation. Keep authorization before retrieval and before action. Add a replaceable Guardrails AI or Bedrock Guardrails adapter interface without making either mandatory. Test cross-tenant isolation, malicious retrieved instructions, malformed model output, missing citations and redacted logging.
TASK-SPECIFIC AMENDMENT — FAIL-CLOSED RAG SECURITY
Require an independently approved W3-001 and execute before W3-002 establishes the release baseline. Authorization is trusted-code policy, never a prompt instruction. Test direct and retrieved prompt injection, malicious source instructions, cross-tenant/role/group/clearance denial, empty ACL, forged client tenant, malformed/oversized input, citation fabrication, unsafe/malformed output, log/evidence redaction, timeout and dependency failure. Pre-retrieval filters and post-result revalidation are mandatory; an unauthorized or unvalidated chunk must never reach the LLM. Adapter guardrails may supplement but cannot replace deterministic gates. Canonical evidence: docs/test-evidence/W3-05-guardrails.txt and W3-08-security.txt; reconcile aggregate W3-security.txt. Preserve poisoned-fixture cleanup and re-index procedure. No live guardrail/Bedrock call, real malicious data, cloud mutation,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Treat retrieved content as untrusted and enforce authorization outside the model. The primary beneficiaries are users, security operations, compliance and model governance.
- Process and risk: This task supports untrusted user/retrieved content -&gt; deterministic policy checks -&gt; authorized RAG -&gt; safe response or refusal. Without it, the platform can produce an unauditable, insecure or non-reproducible result at this exact layer.
- Measurable outcome: known attacks are rejected without reducing valid grounded answers. It contributes to the MVP by making RAG guardrails and security regression suite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W3-05 (Not Started): Add deterministic input/output/citation safety checks. Why: Deterministic policy must surround probabilistic generation. Acceptance: Malformed, unauthorized and uncited outputs fail safely. Dependency: W3-04. Owner verification: follow 02 Master Plan!M36 through TEST-001 one command at a time. Expected: Security suite passes with redacted logs. Evidence: docs/test-evidence/W3-05-guardrails.txt Rollback/teardown: Disable affected model route and return safe refusal.
- W3-08 (Not Started): Test injection, cross-tenant retrieval, unsafe output and logging redaction. Why: RAG expands the attack surface through untrusted content. Acceptance: All adversarial fixtures fail safely. Dependency: W3-05. Owner verification: follow 02 Master Plan!M39 through TEST-001 one command at a time. Expected: No unauthorized chunk/action; no raw content in logs. Evidence: docs/test-evidence/W3-08-security.txt Rollback/teardown: Disable affected path; purge/re-index poisoned test document.
END-TO-END ARCHITECTURE LEARNING
- Position and flow: untrusted user/retrieved content -&gt; deterministic policy checks -&gt; authorized RAG -&gt; safe response or refusal.
- Upstream/dependency boundary: W3-04, W3-05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prompt-injection fixtures, input/output policies, authorization gates and security regression tests.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prompt-injection fixtures, input/output policies, authorization gates and security regression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airport security that screens every bag even if the passenger says it is safe.
- What goes in / happens / comes out: approved Classification/tenant rules; injection fixtures goes through RAG guardrails and security regression suite;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guardrails constrain behavior; authorization determines access rights.
ARCHITECTURE DECISIONS AND TRADE-OFFS
- Selected recorded direction: deterministic external controls are selected over asking the model to police itself.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tenant and ACL enforcement stay outside the LLM; sensitive instructions/content are not logged. Apply classification, PII handling, tenant isolation, authorization before provider/storage calls, secret exclusion, redacted evidence, residency, retention, provenance and least privilege where applicable.
- Failure/operations: injection or authorization ambiguity fails closed and creates redacted evidence.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RAG guardrails and security regression suite addresses treat retrieved content as untrusted and enforce authorization outside the model. It makes the result governed, testable and reversible, measured by known attacks are rejected without reducing valid grounded answers.
- Two-minute technical explanation: describe prompt-injection fixtures, input/output policies, authorization gates and security regression tests; trace untrusted user/retrieved content -&gt; deterministic policy checks -&gt; authorized RAG -&gt; safe response or refusal;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RAG guardrails and security regression suite solve?
   Answer points: Connect Treat retrieved content as untrusted and enforce authorization outside the model. to known attacks are rejected without reducing valid grounded answers and identify users, security operations, compliance and model governance.
2. Q: Trace the end-to-end flow for W3-003.
   Answer points: Explain untrusted user/retrieved content -&gt; deterministic policy checks -&gt; authorized RAG -&gt; safe response or refusal; name upstream dependencies, downstream consumers, trust and state boundaries.
3. Q: Which design decision matters most and what alternative was rejected?
   Answer points: Discuss deterministic external controls are selected over asking the model to police itself; compare the adjacent alternative and when it could be preferable.
4. Q: How does this task fail safely and how is it recovered?
   Answer points: Use this scenario: injection or authorization ambiguity fails closed and creates redacted evidence; distinguish retry, remediation, rollback, teardown and evidence.
5. Q: How are security, privacy and cost controlled?
   Answer points: Explain tenant and ACL enforcement stay outside the LLM; sensitive instructions/content are not logged; include least privilege, redaction/residency, bounded resources and owner-only access.
- Design trade-off: volume/latency increases tenfold; explain whether deterministic external controls are selected over asking the model to police itself still holds and what evidence/ADR/approval must change.
- Failure/remediation: injection or authorization ambiguity fails closed and creates redacted evidence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RAG guardrails and security regression suite. Task — establish the governed contract. Action — map consumers, work within gates, owner-test, diagnose completely and prove lifecycle. Result — report only accepted evidence and known attacks are rejected without reducing valid grounded answers.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Classification/tenant rules; injection fixtures.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W3-003.
</t>
  </si>
  <si>
    <t>READY FOR PRE-EDIT REVIEW — W3-003</t>
  </si>
  <si>
    <t>W3-05, W3-08</t>
  </si>
  <si>
    <t xml:space="preserve">COLUMN M — EXACT DOCUMENT WRITING APPROVAL — W3-003
This is a separate owner approval after the bounded edit and owner testing or content review. Classify every path under one—and only one—of the CREATE and UPDATE headings after read-only preflight inspection.
EXACT DOCUMENTATION BOUNDARY
CREATE:
- docs/test-evidence/W3-003.md
- docs/test-evidence/W3-05-guardrails.txt
- docs/test-evidence/W3-08-security.txt
- docs/test-evidence/W3-security.txt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W3-003.
</t>
  </si>
  <si>
    <t xml:space="preserve">COLUMN N — FINAL APPROVAL AND COMPLETE DOCUMENTATION CLOSURE — W3-003
This gate authorizes documentation closure only after owner review; it is not a code, test, deployment or tracker-edit approval.
OWNER MUST SUPPLY — DO NOT INVENT
- Prompt ID: W3-003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W3-003.
</t>
  </si>
  <si>
    <t xml:space="preserve">FOUR APPROVAL GATES PLUS OWNER TESTING AND WEEKLY LEARNING — TRACKER v1.3.4
MAIN PROMPT — W3-ROLLBACK-001
TASK IDENTITY
- Week: Week 3
- Feature/outcome: Cited-RAG configuration rollback drill
- Business purpose: Prove prompt/model/retriever/index configuration can return to a known-good baseline.
- Covered tracker steps: W3-11
- Required inputs: Approved baseline and exact local configuration paths from the pre-edit plan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W3-11 — Restore prior prompt/model/retriever/index configuration and re-evaluate.
  Business reason: RAG changes can regress without application code changes.
  Acceptance: Last-known-good configuration returns baseline results.
  Dependency: W3-10
  Owner verification reference: make rollback-rag &amp;&amp; make evaluate
  Expected result: Rollback record identifies versions and post-rollback metrics.
  Canonical evidence: docs/rollback-records/W3-rag.md
  Rollback/teardown: Forward-fix only after a new feature cycle.
  Current tracker status (read-only historical/current fact): Not Started
  Separate Task Context: Week 3 Rollback drill task in the end-to-end architecture. After Code Edit Approval, Codex writes only the approved code/configuration/test code for “Restore prior prompt/model/retriever/index configuration and re-evaluate.”; you run the verification/deployment commands and return the results. Business value: RAG changes can regress without application code changes. Interview focus: explain where this component sits, how it fails safely and how it is rolled back.
Downstream tracker steps identified from recorded dependencies: W3-12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SCOPED TASK — W3-ROLLBACK-001
Use only the exact existing local prompt/model/retriever/index configuration files listed and approved in the pre-edit plan, plus docs/rollback-records/W3-rag.md. Plan owner-run TEST-001 to restore the prior known-good configuration, execute the exact rollback and evaluation commands, compare the checked-in baseline, and supply exact versions, results, elapsed time and residual risks for later Column M documentation. Do not hide regression, edit the golden truth set, mutate cloud resources or edit this tracker.
TASK-SPECIFIC AMENDMENT — SAFE CONFIGURATION ROLLBACK
Run only after W3-10 has a passing approved baseline and before W3-12. Freeze exact configuration N hashes and passing evidence; introduce only an owner-approved local test regression N+1; prove the gate detects it; restore N; rerun evaluation, citation/abstention, security/isolation and telemetry checks. Do not edit the golden truth set, lower thresholds, destroy shared data or use teardown as rollback. If Qdrant/model resources are needed, list their exact local lifecycle/cache boundary and clean or preserve them per approval. The rollback record must contain hashes, elapsed time, failure signal and restored results. Any mismatch or residual is FAIL.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Schema/serialization: Trace every producer, parser, serializer, fixture and validator; reject missing, duplicated, reordered, unknown or incompatible data deterministically.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Prove prompt/model/retriever/index configuration can return to a known-good baseline. The primary beneficiaries are release owner, SRE, support and risk managers.
- Process and risk: This task supports known-good baseline -&gt; bounded change -&gt; regression detection -&gt; owner rollback -&gt; verification and evidence. Without it, the platform can produce an unauditable, insecure or non-reproducible result at this exact layer.
- Measurable outcome: restored baseline passes exact regression and leaves no ambiguous active version. It contributes to the MVP by making Cited-RAG configuration rollback drill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W3-11 (Not Started): Restore prior prompt/model/retriever/index configuration and re-evaluate. Why: RAG changes can regress without application code changes. Acceptance: Last-known-good configuration returns baseline results. Dependency: W3-10. Owner verification: follow 02 Master Plan!M42 through TEST-001 one command at a time. Expected: Rollback record identifies versions and post-rollback metrics. Evidence: docs/rollback-records/W3-rag.md Rollback/teardown: Forward-fix only after a new feature cycle.
END-TO-END ARCHITECTURE LEARNING
- Position and flow: known-good baseline -&gt; bounded change -&gt; regression detection -&gt; owner rollback -&gt; verification and evidence.
- Upstream/dependency boundary: W3-10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immutable/versioned configuration or releases, activation pointer, regression check and cleanup plan.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immutable/versioned configuration or releases, activation pointer, regression check and cleanup plan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switching a railway signal back to a tested track.
- What goes in / happens / comes out: approved Approved baseline and exact local configuration paths from the pre-edit plan goes through Cited-RAG configuration rollback drill;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configuration rollback reverses behavior settings; infrastructure rollback reverses resources.
ARCHITECTURE DECISIONS AND TRADE-OFFS
- Selected recorded direction: rollback targets an exact known-good identity instead of editing forward under pressure.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owner approval, artifact integrity and redacted evidence prevent unauthorized rollback. Apply classification, PII handling, tenant isolation, authorization before provider/storage calls, secret exclusion, redacted evidence, residency, retention, provenance and least privilege where applicable.
- Failure/operations: failed rollback is explicit and escalated; never destroy the last known-good version.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Cited-RAG configuration rollback drill addresses prove prompt/model/retriever/index configuration can return to a known-good baseline. It makes the result governed, testable and reversible, measured by restored baseline passes exact regression and leaves no ambiguous active version.
- Two-minute technical explanation: describe immutable/versioned configuration or releases, activation pointer, regression check and cleanup plan; trace known-good baseline -&gt; bounded change -&gt; regression detection -&gt; owner rollback -&gt; verification and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Cited-RAG configuration rollback drill solve?
   Answer points: Connect Prove prompt/model/retriever/index configuration can return to a known-good baseline. to restored baseline passes exact regression and leaves no ambiguous active version and identify release owner, SRE, support and risk managers.
2. Q: Trace the end-to-end flow for W3-ROLLBACK-001.
   Answer points: Explain known-good baseline -&gt; bounded change -&gt; regression detection -&gt; owner rollback -&gt; verification and evidence; name upstream dependencies, downstream consumers, trust and state boundaries.
3. Q: Which design decision matters most and what alternative was rejected?
   Answer points: Discuss rollback targets an exact known-good identity instead of editing forward under pressure; compare the adjacent alternative and when it could be preferable.
4. Q: How does this task fail safely and how is it recovered?
   Answer points: Use this scenario: failed rollback is explicit and escalated; never destroy the last known-good version; distinguish retry, remediation, rollback, teardown and evidence.
5. Q: How are security, privacy and cost controlled?
   Answer points: Explain owner approval, artifact integrity and redacted evidence prevent unauthorized rollback; include least privilege, redaction/residency, bounded resources and owner-only access.
- Design trade-off: volume/latency increases tenfold; explain whether rollback targets an exact known-good identity instead of editing forward under pressure still holds and what evidence/ADR/approval must change.
- Failure/remediation: failed rollback is explicit and escalated; never destroy the last known-good version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Cited-RAG configuration rollback drill. Task — establish the governed contract. Action — map consumers, work within gates, owner-test, diagnose completely and prove lifecycle. Result — report only accepted evidence and restored baseline passes exact regression and leaves no ambiguous active version.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baseline and exact local configuration paths from the pre-edit plan.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W3-ROLLBACK-001.
</t>
  </si>
  <si>
    <t>READY FOR PRE-EDIT REVIEW — W3-ROLLBACK-001</t>
  </si>
  <si>
    <t xml:space="preserve">COLUMN M — EXACT DOCUMENT WRITING APPROVAL — W3-ROLLBACK-001
This is a separate owner approval after the bounded edit and owner testing or content review. Classify every path under one—and only one—of the CREATE and UPDATE headings after read-only preflight inspection.
EXACT DOCUMENTATION BOUNDARY
CREATE:
- docs/test-evidence/W3-ROLLBACK-001.md
- docs/rollback-records/W3-rag.md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W3-ROLLBACK-001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W3-ROLLBACK-001.
</t>
  </si>
  <si>
    <t xml:space="preserve">COLUMN N — FINAL APPROVAL AND COMPLETE DOCUMENTATION CLOSURE — W3-ROLLBACK-001
This gate authorizes documentation closure only after owner review; it is not a code, test, deployment or tracker-edit approval.
OWNER MUST SUPPLY — DO NOT INVENT
- Prompt ID: W3-ROLLBACK-001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W3-ROLLBACK-001`.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W3-ROLLBACK-001.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W3-ROLLBACK-001.
</t>
  </si>
  <si>
    <t xml:space="preserve">FOUR APPROVAL GATES PLUS OWNER TESTING AND WEEKLY LEARNING — TRACKER v1.3.4
MAIN PROMPT — W4-001
TASK IDENTITY
- Week: Week 4
- Feature/outcome: FastAPI service boundary
- Business purpose: Expose production-shaped, testable endpoints.
- Covered tracker steps: W4-01, W4-02, W4-10
- Required inputs: Fake providers by default; auth interface choice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W4-01 — Implement health, query and agent endpoints using dependency interfaces.
  Business reason: A thin typed boundary isolates clients from implementation details.
  Acceptance: Endpoints return normalized schemas and request IDs.
  Dependency: W3-13
  Owner verification reference: pytest tests/unit/test_api.py -q
  Expected result: Health and fake query tests pass; no internal prompt/error leak.
  Canonical evidence: docs/test-evidence/W4-01-api.txt
  Rollback/teardown: Roll back image/config and disable new route.
  Current tracker status (read-only historical/current fact): Not Started
  Separate Task Context: Week 4 API task in the end-to-end architecture. After Code Edit Approval, Codex writes only the approved code/configuration/test code for “Implement health, query and agent endpoints using dependency interfaces.”; you run the verification/deployment commands and return the results. Business value: A thin typed boundary isolates clients from implementation details. Interview focus: explain where this component sits, how it fails safely and how it is rolled back.
- W4-02 — Implement auth context interface and deny before retrieval/action.
  Business reason: Identity and authorization are deterministic platform controls.
  Acceptance: Unauthorized query never invokes retriever or tool.
  Dependency: W4-01
  Owner verification reference: pytest tests/security/test_api_authorization.py -q
  Expected result: Mock call assertions prove deny-before-retrieve.
  Canonical evidence: docs/test-evidence/W4-02-auth.txt
  Rollback/teardown: Disable endpoint or restore previous auth dependency.
  Current tracker status (read-only historical/current fact): Not Started
  Separate Task Context: Week 4 Authorization task in the end-to-end architecture. After Code Edit Approval, Codex writes only the approved code/configuration/test code for “Implement auth context interface and deny before retrieval/action.”; you run the verification/deployment commands and return the results. Business value: Identity and authorization are deterministic platform controls. Interview focus: explain where this component sits, how it fails safely and how it is rolled back.
- W4-10 — Run bounded local smoke/load test with fake/approved model.
  Business reason: Concurrency and timeouts must fail predictably before EKS.
  Acceptance: No unbounded queue; p95/p99 baseline is recorded.
  Dependency: W4-01,W4-06
  Owner verification reference: pytest tests/feature/test_api_load_smoke.py -q
  Expected result: Latency/error/concurrency report is redacted.
  Canonical evidence: docs/test-evidence/W4-10-load.json
  Rollback/teardown: Reduce traffic; revert concurrency settings.
  Current tracker status (read-only historical/current fact): Not Started
  Separate Task Context: Week 4 Performance task in the end-to-end architecture. After Code Edit Approval, Codex writes only the approved code/configuration/test code for “Run bounded local smoke/load test with fake/approved model.”; you run the verification/deployment commands and return the results. Business value: Concurrency and timeouts must fail predictably before EKS. Interview focus: explain where this component sits, how it fails safely and how it is rolled back.
Downstream tracker steps identified from recorded dependencies: W4-02, W4-03, W4-08, W4-10, W4-11, W4-12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Build FastAPI endpoints /health/live, /health/ready, /v1/query and /v1/agent. Use Pydantic schemas, correlation IDs, request-size limits, authentication/authorization interfaces, deadlines, concurrency limiting and normalized errors. Readiness checks dependencies with short timeouts. Return citations, model/retriever versions and request ID; never expose prompts, chain-of-thought, secrets or raw exceptions. Add JSON logging with redaction and OpenTelemetry spans.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Define the exact repository-evidenced owner-run commands; Codex does not execute them.
6. Confirm no ignored or Git-invisible residue remains.
TASK-SPECIFIC AMENDMENT — TRUSTED API BOUNDARY
Require W3-12 sign-off plus SEC-001 and COST-001. The authentication dependency—not request JSON—constructs trusted AuthContext; deny before retriever or agent invocation. Keep /v1/agent disabled until W4-002 is approved. Validate request/body/content-type limits, correlation/request IDs, deadlines, bounded concurrency/backpressure, cancellation and normalized status/error mapping. Trust forwarded headers only from an explicitly configured proxy boundary. Readiness uses short dependency timeouts and differs from liveness. Never return prompts, context, chain-of-thought, secrets, PII, internal endpoints or raw exceptions. Load smoke must be bounded, local/fake by default, record p95/p99 and leave no process/cache residue. Canonical evidence: W4-01-api.txt, W4-02-auth.txt and W4-10-load.json; aggregate W4-api.txt must reconcile. Test auth short-circuit, size/type/rate/deadline/concurrency, dependency failure, schema/redaction and shutdown cleanup.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Network: Enumerate every permitted and denied flow, bind only approved interfaces and prevent implicit public or host exposure.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Expose production-shaped, testable endpoints. The primary beneficiaries are client teams, knowledge users, operations and security.
- Process and risk: This task supports authenticated HTTP request -&gt; FastAPI validation/auth -&gt; application service -&gt; fake or approved providers -&gt; typed response/error. Without it, the platform can produce an unauditable, insecure or non-reproducible result at this exact layer.
- Measurable outcome: stable contract, correct status codes and bounded latency under approved tests. It contributes to the MVP by making FastAPI service boundary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W4-01 (Not Started): Implement health, query and agent endpoints using dependency interfaces. Why: A thin typed boundary isolates clients from implementation details. Acceptance: Endpoints return normalized schemas and request IDs. Dependency: W3-13. Owner verification: follow 02 Master Plan!M45 through TEST-001 one command at a time. Expected: Health and fake query tests pass; no internal prompt/error leak. Evidence: docs/test-evidence/W4-01-api.txt Rollback/teardown: Roll back image/config and disable new route.
- W4-02 (Not Started): Implement auth context interface and deny before retrieval/action. Why: Identity and authorization are deterministic platform controls. Acceptance: Unauthorized query never invokes retriever or tool. Dependency: W4-01. Owner verification: follow 02 Master Plan!M46 through TEST-001 one command at a time. Expected: Mock call assertions prove deny-before-retrieve. Evidence: docs/test-evidence/W4-02-auth.txt Rollback/teardown: Disable endpoint or restore previous auth dependency.
- W4-10 (Not Started): Run bounded local smoke/load test with fake/approved model. Why: Concurrency and timeouts must fail predictably before EKS. Acceptance: No unbounded queue; p95/p99 baseline is recorded. Dependency: W4-01,W4-06. Owner verification: follow 02 Master Plan!M54 through TEST-001 one command at a time. Expected: Latency/error/concurrency report is redacted. Evidence: docs/test-evidence/W4-10-load.json Rollback/teardown: Reduce traffic; revert concurrency settings.
END-TO-END ARCHITECTURE LEARNING
- Position and flow: authenticated HTTP request -&gt; FastAPI validation/auth -&gt; application service -&gt; fake or approved providers -&gt; typed response/error.
- Upstream/dependency boundary: W3-13, W4-01, W4-01,W4-06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FastAPI routes, request/response schemas, dependency injection, auth interface, health/readiness and API tests.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FastAPI routes, request/response schemas, dependency injection, auth interface, health/readiness and API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guarded reception desk that checks forms and identity before sending work inside.
- What goes in / happens / comes out: approved Fake providers by default; auth interface choice goes through FastAPI service boundary;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API exposes the capability; the service layer owns business rules.
ARCHITECTURE DECISIONS AND TRADE-OFFS
- Selected recorded direction: a thin transport boundary with injected providers and typed errors is selected over business logic in routes.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authentication, tenant context, limits and redaction happen before provider access. Apply classification, PII handling, tenant isolation, authorization before provider/storage calls, secret exclusion, redacted evidence, residency, retention, provenance and least privilege where applicable.
- Failure/operations: bad input/auth/provider timeout maps to stable status without content leakage; rollback restores the last API release.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FastAPI service boundary addresses expose production-shaped, testable endpoints. It makes the result governed, testable and reversible, measured by stable contract, correct status codes and bounded latency under approved tests.
- Two-minute technical explanation: describe FastAPI routes, request/response schemas, dependency injection, auth interface, health/readiness and API tests; trace authenticated HTTP request -&gt; FastAPI validation/auth -&gt; application service -&gt; fake or approved providers -&gt; typed response/error;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FastAPI service boundary solve?
   Answer points: Connect Expose production-shaped, testable endpoints. to stable contract, correct status codes and bounded latency under approved tests and identify client teams, knowledge users, operations and security.
2. Q: Trace the end-to-end flow for W4-001.
   Answer points: Explain authenticated HTTP request -&gt; FastAPI validation/auth -&gt; application service -&gt; fake or approved providers -&gt; typed response/error; name upstream dependencies, downstream consumers, trust and state boundaries.
3. Q: Which design decision matters most and what alternative was rejected?
   Answer points: Discuss a thin transport boundary with injected providers and typed errors is selected over business logic in routes; compare the adjacent alternative and when it could be preferable.
4. Q: How does this task fail safely and how is it recovered?
   Answer points: Use this scenario: bad input/auth/provider timeout maps to stable status without content leakage; rollback restores the last API release; distinguish retry, remediation, rollback, teardown and evidence.
5. Q: How are security, privacy and cost controlled?
   Answer points: Explain authentication, tenant context, limits and redaction happen before provider access; include least privilege, redaction/residency, bounded resources and owner-only access.
- Design trade-off: volume/latency increases tenfold; explain whether a thin transport boundary with injected providers and typed errors is selected over business logic in routes still holds and what evidence/ADR/approval must change.
- Failure/remediation: bad input/auth/provider timeout maps to stable status without content leakage; rollback restores the last API release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FastAPI service boundary. Task — establish the governed contract. Action — map consumers, work within gates, owner-test, diagnose completely and prove lifecycle. Result — report only accepted evidence and stable contract, correct status codes and bounded latency under approved tests.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Fake providers by default; auth interface choice.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W4-001.
</t>
  </si>
  <si>
    <t>READY FOR PRE-EDIT REVIEW — W4-001</t>
  </si>
  <si>
    <t>W4-01, W4-02, W4-10</t>
  </si>
  <si>
    <t xml:space="preserve">COLUMN N — FINAL APPROVAL AND COMPLETE DOCUMENTATION CLOSURE — W4-001
This gate authorizes documentation closure only after owner review; it is not a code, test, deployment or tracker-edit approval.
OWNER MUST SUPPLY — DO NOT INVENT
- Prompt ID: W4-001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W4-001.
</t>
  </si>
  <si>
    <t xml:space="preserve">FOUR APPROVAL GATES PLUS OWNER TESTING AND WEEKLY LEARNING — TRACKER v1.3.4
MAIN PROMPT — W4-002
TASK IDENTITY
- Week: Week 4
- Feature/outcome: Bounded LangGraph agent controller
- Business purpose: Add controlled agent behavior without uncontrolled autonomy.
- Covered tracker steps: W4-03, W4-04, W4-05, W4-06, W4-07, W4-09
- Required inputs: Step/tool/time budgets; approval-store decision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W4-03 — Define typed LangGraph state, explicit nodes and terminal outcomes.
  Business reason: Agents are bounded workflows, not autonomous black boxes.
  Acceptance: Every path reaches answer, denied, rejected, timed-out or safe-terminal.
  Dependency: W4-02
  Owner verification reference: pytest tests/unit/test_agent_graph.py -q
  Expected result: Graph routing tests pass; Mermaid matches implementation.
  Canonical evidence: docs/test-evidence/W4-03-graph.txt
  Rollback/teardown: Feature flag disables graph; query endpoint remains read-only.
  Current tracker status (read-only historical/current fact): Not Started
  Separate Task Context: Week 4 Agent state task in the end-to-end architecture. After Code Edit Approval, Codex writes only the approved code/configuration/test code for “Define typed LangGraph state, explicit nodes and terminal outcomes.”; you run the verification/deployment commands and return the results. Business value: Agents are bounded workflows, not autonomous black boxes. Interview focus: explain where this component sits, how it fails safely and how it is rolled back.
- W4-04 — Add one read-only status tool with narrow schema.
  Business reason: Read-only tool proves integration at low consequence.
  Acceptance: Allowlist and JSON schema reject malformed calls.
  Dependency: W4-03
  Owner verification reference: pytest tests/unit/test_agent_tools.py -q
  Expected result: Only allowlisted tool executes; output is normalized/redacted.
  Canonical evidence: docs/test-evidence/W4-04-read-tool.txt
  Rollback/teardown: Remove tool registration and restore prior graph.
  Current tracker status (read-only historical/current fact): Not Started
  Separate Task Context: Week 4 Tools task in the end-to-end architecture. After Code Edit Approval, Codex writes only the approved code/configuration/test code for “Add one read-only status tool with narrow schema.”; you run the verification/deployment commands and return the results. Business value: Read-only tool proves integration at low consequence. Interview focus: explain where this component sits, how it fails safely and how it is rolled back.
- W4-05 — Add mocked write tool that requires durable approval.
  Business reason: Consequential actions cannot rely on model intent.
  Acceptance: No approval/rejection/expired approval prevents execution.
  Dependency: W4-03,W4-04
  Owner verification reference: pytest tests/security/test_agent_approval.py -q
  Expected result: 100% write executions have valid approval and idempotency key.
  Canonical evidence: docs/test-evidence/W4-05-approval.txt
  Rollback/teardown: Disable write-tool feature flag and invalidate pending approvals.
  Current tracker status (read-only historical/current fact): Not Started
  Separate Task Context: Week 4 Human approval task in the end-to-end architecture. After Code Edit Approval, Codex writes only the approved code/configuration/test code for “Add mocked write tool that requires durable approval.”; you run the verification/deployment commands and return the results. Business value: Consequential actions cannot rely on model intent. Interview focus: explain where this component sits, how it fails safely and how it is rolled back.
- W4-06 — Enforce step, tool-call, token/time deadline and retry limits.
  Business reason: Bounds prevent loops, retry storms and unplanned model spend.
  Acceptance: Budget-exceeded paths stop safely and record reason.
  Dependency: W4-03
  Owner verification reference: pytest tests/unit/test_agent_budgets.py -q
  Expected result: No repeated tool execution; timeouts are bounded.
  Canonical evidence: docs/test-evidence/W4-06-budgets.txt
  Rollback/teardown: Reduce limits or disable agent route.
  Current tracker status (read-only historical/current fact): Not Started
  Separate Task Context: Week 4 Budgets task in the end-to-end architecture. After Code Edit Approval, Codex writes only the approved code/configuration/test code for “Enforce step, tool-call, token/time deadline and retry limits.”; you run the verification/deployment commands and return the results. Business value: Bounds prevent loops, retry storms and unplanned model spend. Interview focus: explain where this component sits, how it fails safely and how it is rolled back.
- W4-07 — Persist only redacted agent state and audit decisions.
  Business reason: Checkpoints must not become a secret/PII store.
  Acceptance: State fixture contains IDs/outcomes but no content/secrets.
  Dependency: W4-05
  Owner verification reference: pytest tests/security/test_agent_state_redaction.py -q
  Expected result: Redaction assertion passes.
  Canonical evidence: docs/test-evidence/W4-07-state.txt
  Rollback/teardown: Purge test checkpoints and restore safe serializer.
  Current tracker status (read-only historical/current fact): Not Started
  Separate Task Context: Week 4 State security task in the end-to-end architecture. After Code Edit Approval, Codex writes only the approved code/configuration/test code for “Persist only redacted agent state and audit decisions.”; you run the verification/deployment commands and return the results. Business value: Checkpoints must not become a secret/PII store. Interview focus: explain where this component sits, how it fails safely and how it is rolled back.
- W4-09 — Exercise denial, malformed args, injection, timeout, loop and rejection.
  Business reason: Agent safety is proven through negative paths.
  Acceptance: All failure modes terminate without write side effects.
  Dependency: W4-05:W4-08
  Owner verification reference: pytest tests/security/test_agent_* tests/feature/test_agent_failures.py -q
  Expected result: Audit records show safe terminal reason.
  Canonical evidence: docs/test-evidence/W4-09-failures.txt
  Rollback/teardown: Disable agent endpoint and preserve evidence.
  Current tracker status (read-only historical/current fact): Not Started
  Separate Task Context: Week 4 Failure testing task in the end-to-end architecture. After Code Edit Approval, Codex writes only the approved code/configuration/test code for “Exercise denial, malformed args, injection, timeout, loop and rejection.”; you run the verification/deployment commands and return the results. Business value: Agent safety is proven through negative paths. Interview focus: explain where this component sits, how it fails safely and how it is rolled back.
Downstream tracker steps identified from recorded dependencies: W4-04, W4-05, W4-06, W4-07, W4-08, W4-09, W4-10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LangGraph StateGraph with typed state and nodes validate_input, authorize, retrieve, grade_evidence, answer, propose_tool, await_human_approval, execute_tool and safe_terminal. Keep routing deterministic except evidence grading/answer generation. Enforce max steps, max tool calls, deadline, allowlists, JSON-schema arguments and idempotency keys. Include one read-only status tool and one mocked write tool that cannot execute without durable approval. Persist only redacted state. Test denial, timeout, repeated calls, malformed args, injection, approval rejection and approved execution.
TASK-SPECIFIC AMENDMENT — BOUNDED GRAPH, DURABLE APPROVAL AND REPLAY SAFETY
Require W4-001, APP-001, COST-001 and RET-001. Do not invent the approval store, approver role, TTL, rejection or retention rules. Bind approval to tenant, subject/approver, exact tool, normalized arguments, idempotency key, request, expiry and one-time decision; expired/rejected/replayed/altered approvals deny. The Week 4 write tool is mocked and produces no external side effect. Keep read-only and write permissions separate; admin has no implicit cross-tenant authority. Cap steps, tool calls, tokens, wall time, retries, state size and concurrency; every path reaches an explicit safe terminal. Persist only allowlisted redacted fields with retention/purge tests. Test all graph branches, malformed/extra args, injection, denial, timeout, loop/retry exhaustion, duplicate/replayed calls, approval races and failure before/after mocked execution. Canonical evidence: W4-03-graph.txt through W4-07-state.txt and W4-09-failures.txt; reconcile W4 aggregate records. No real write tool, external approval service, cloud mutation or paid call.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Security/authorization: Enforce least privilege and tenant/classification controls before provider calls; fail closed and redact errors.
- Concurrency/cancellation: Define bounded concurrency, deadlines, retries, cancellation propagation and no further mutation after cancellation.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Add controlled agent behavior without uncontrolled autonomy. The primary beneficiaries are operators, approvers, application users and risk teams.
- Process and risk: This task supports authorized request -&gt; bounded state graph -&gt; permitted tool node -&gt; human approval when required -&gt; final response/audit. Without it, the platform can produce an unauditable, insecure or non-reproducible result at this exact layer.
- Measurable outcome: no unapproved tool call and deterministic state transitions. It contributes to the MVP by making Bounded LangGraph agent controller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W4-03 (Not Started): Define typed LangGraph state, explicit nodes and terminal outcomes. Why: Agents are bounded workflows, not autonomous black boxes. Acceptance: Every path reaches answer, denied, rejected, timed-out or safe-terminal. Dependency: W4-02. Owner verification: follow 02 Master Plan!M47 through TEST-001 one command at a time. Expected: Graph routing tests pass; Mermaid matches implementation. Evidence: docs/test-evidence/W4-03-graph.txt Rollback/teardown: Feature flag disables graph; query endpoint remains read-only.
- W4-04 (Not Started): Add one read-only status tool with narrow schema. Why: Read-only tool proves integration at low consequence. Acceptance: Allowlist and JSON schema reject malformed calls. Dependency: W4-03. Owner verification: follow 02 Master Plan!M48 through TEST-001 one command at a time. Expected: Only allowlisted tool executes; output is normalized/redacted. Evidence: docs/test-evidence/W4-04-read-tool.txt Rollback/teardown: Remove tool registration and restore prior graph.
- W4-05 (Not Started): Add mocked write tool that requires durable approval. Why: Consequential actions cannot rely on model intent. Acceptance: No approval/rejection/expired approval prevents execution. Dependency: W4-03,W4-04. Owner verification: follow 02 Master Plan!M49 through TEST-001 one command at a time. Expected: 100% write executions have valid approval and idempotency key. Evidence: docs/test-evidence/W4-05-approval.txt Rollback/teardown: Disable write-tool feature flag and invalidate pending approvals.
- W4-06 (Not Started): Enforce step, tool-call, token/time deadline and retry limits. Why: Bounds prevent loops, retry storms and unplanned model spend. Acceptance: Budget-exceeded paths stop safely and record reason. Dependency: W4-03. Owner verification: follow 02 Master Plan!M50 through TEST-001 one command at a time. Expected: No repeated tool execution; timeouts are bounded. Evidence: docs/test-evidence/W4-06-budgets.txt Rollback/teardown: Reduce limits or disable agent route.
- W4-07 (Not Started): Persist only redacted agent state and audit decisions. Why: Checkpoints must not become a secret/PII store. Acceptance: State fixture contains IDs/outcomes but no content/secrets. Dependency: W4-05. Owner verification: follow 02 Master Plan!M51 through TEST-001 one command at a time. Expected: Redaction assertion passes. Evidence: docs/test-evidence/W4-07-state.txt Rollback/teardown: Purge test checkpoints and restore safe serializer.
- W4-09 (Not Started): Exercise denial, malformed args, injection, timeout, loop and rejection. Why: Agent safety is proven through negative paths. Acceptance: All failure modes terminate without write side effects. Dependency: W4-05:W4-08. Owner verification: follow 02 Master Plan!M53 through TEST-001 one command at a time. Expected: Audit records show safe terminal reason. Evidence: docs/test-evidence/W4-09-failures.txt Rollback/teardown: Disable agent endpoint and preserve evidence.
END-TO-END ARCHITECTURE LEARNING
- Position and flow: authorized request -&gt; bounded state graph -&gt; permitted tool node -&gt; human approval when required -&gt; final response/audit.
- Upstream/dependency boundary: W4-02, W4-03, W4-03,W4-04, W4-03, W4-05, W4-05:W4-08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LangGraph state, node/edge contracts, tool registry, budgets, approval store and deterministic tests.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LangGraph state, node/edge contracts, tool registry, budgets, approval store and deterministic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supervised checklist where each step and tool needs the right stamp.
- What goes in / happens / comes out: approved Step/tool/time budgets; approval-store decision goes through Bounded LangGraph agent controller;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RAG answers from evidence; an agent chooses among bounded actions and tools.
ARCHITECTURE DECISIONS AND TRADE-OFFS
- Selected recorded direction: explicit graph, step/tool/time budgets and human gates are selected over open-ended autonomy.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tool authorization and approval happen before side effects; state/logs redact content and credentials. Apply classification, PII handling, tenant isolation, authorization before provider/storage calls, secret exclusion, redacted evidence, residency, retention, provenance and least privilege where applicable.
- Failure/operations: budget exhaustion, denial, timeout or cancellation stops the graph without a later tool call.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Bounded LangGraph agent controller addresses add controlled agent behavior without uncontrolled autonomy. It makes the result governed, testable and reversible, measured by no unapproved tool call and deterministic state transitions.
- Two-minute technical explanation: describe LangGraph state, node/edge contracts, tool registry, budgets, approval store and deterministic tests; trace authorized request -&gt; bounded state graph -&gt; permitted tool node -&gt; human approval when required -&gt; final response/audit;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Bounded LangGraph agent controller solve?
   Answer points: Connect Add controlled agent behavior without uncontrolled autonomy. to no unapproved tool call and deterministic state transitions and identify operators, approvers, application users and risk teams.
2. Q: Trace the end-to-end flow for W4-002.
   Answer points: Explain authorized request -&gt; bounded state graph -&gt; permitted tool node -&gt; human approval when required -&gt; final response/audit; name upstream dependencies, downstream consumers, trust and state boundaries.
3. Q: Which design decision matters most and what alternative was rejected?
   Answer points: Discuss explicit graph, step/tool/time budgets and human gates are selected over open-ended autonomy; compare the adjacent alternative and when it could be preferable.
4. Q: How does this task fail safely and how is it recovered?
   Answer points: Use this scenario: budget exhaustion, denial, timeout or cancellation stops the graph without a later tool call; distinguish retry, remediation, rollback, teardown and evidence.
5. Q: How are security, privacy and cost controlled?
   Answer points: Explain tool authorization and approval happen before side effects; state/logs redact content and credentials; include least privilege, redaction/residency, bounded resources and owner-only access.
- Design trade-off: volume/latency increases tenfold; explain whether explicit graph, step/tool/time budgets and human gates are selected over open-ended autonomy still holds and what evidence/ADR/approval must change.
- Failure/remediation: budget exhaustion, denial, timeout or cancellation stops the graph without a later tool call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Bounded LangGraph agent controller. Task — establish the governed contract. Action — map consumers, work within gates, owner-test, diagnose completely and prove lifecycle. Result — report only accepted evidence and no unapproved tool call and deterministic state transitions.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Step/tool/time budgets; approval-store decision.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W4-002.
</t>
  </si>
  <si>
    <t>READY FOR PRE-EDIT REVIEW — W4-002</t>
  </si>
  <si>
    <t>W4-03, W4-04, W4-05, W4-06, W4-07, W4-09</t>
  </si>
  <si>
    <t xml:space="preserve">COLUMN N — FINAL APPROVAL AND COMPLETE DOCUMENTATION CLOSURE — W4-002
This gate authorizes documentation closure only after owner review; it is not a code, test, deployment or tracker-edit approval.
OWNER MUST SUPPLY — DO NOT INVENT
- Prompt ID: W4-002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W4-002.
</t>
  </si>
  <si>
    <t xml:space="preserve">FOUR APPROVAL GATES PLUS OWNER TESTING AND WEEKLY LEARNING — TRACKER v1.3.4
MAIN PROMPT — W4-003
TASK IDENTITY
- Week: Week 4
- Feature/outcome: Application telemetry and redacted audit trail
- Business purpose: Make each RAG and agent stage explainable operationally.
- Covered tracker steps: W3-09, W4-08
- Required inputs: OTEL exporter endpoint; no content export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W3-09 — Record retrieval/model/token/guardrail metrics without content.
  Business reason: Stage-level data explains latency, errors and cost.
  Acceptance: Metrics include versions/outcomes and exclude prompt/document text.
  Dependency: W3-04
  Owner verification reference: pytest tests/unit/test_telemetry.py -q
  Expected result: Redaction tests pass; metrics names are documented.
  Canonical evidence: docs/test-evidence/W3-09-telemetry.txt
  Rollback/teardown: Disable exporter or revert instrumentation, not core answer path.
  Current tracker status (read-only historical/current fact): Not Started
  Separate Task Context: Week 3 Telemetry task in the end-to-end architecture. After Code Edit Approval, Codex writes only the approved code/configuration/test code for “Record retrieval/model/token/guardrail metrics without content.”; you run the verification/deployment commands and return the results. Business value: Stage-level data explains latency, errors and cost. Interview focus: explain where this component sits, how it fails safely and how it is rolled back.
- W4-08 — Trace API to retrieval, LLM, guardrail, approval and tool.
  Business reason: Correlated traces make probabilistic workflows diagnosable.
  Acceptance: One local trace contains all stages and safe attributes.
  Dependency: W4-01:W4-07
  Owner verification reference: pytest tests/feature/test_trace_correlation.py -q
  Expected result: Trace ID links JSON logs and spans; content is redacted.
  Canonical evidence: docs/test-evidence/W4-08-trace.json
  Rollback/teardown: Disable exporter; preserve local logs and core service.
  Current tracker status (read-only historical/current fact): Not Started
  Separate Task Context: Week 4 Observability task in the end-to-end architecture. After Code Edit Approval, Codex writes only the approved code/configuration/test code for “Trace API to retrieval, LLM, guardrail, approval and tool.”; you run the verification/deployment commands and return the results. Business value: Correlated traces make probabilistic workflows diagnosable. Interview focus: explain where this component sits, how it fails safely and how it is rolled back.
Downstream tracker steps identified from recorded dependencies: W4-09, W6-06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Instrument FastAPI, retrieval, embedding, LLM, guardrail and tool stages with OpenTelemetry. Emit safe attributes for request ID, stage, duration, outcome, model/retriever version, token counts and error class; never emit raw prompts, documents, secrets, PII or chain-of-thought. Add JSON logs with correlation IDs and a local collector/Jaeger path. Test that one trace links API to retrieval and model, and add redaction tests.
TASK-SPECIFIC AMENDMENT — TWO SEPARATE CONTROLLED CYCLES TO REMOVE THE CROSS-WEEK DEPENDENCY
This prompt is executed twice under the same Prompt ID; never combine the phases or reuse approval/evidence between them.
PHASE A — WEEK 3 / W3-09
- Run after W3-001 and before W3-12. Require OBS-001 or report the early blocking dependency explicitly.
- Implement safe metric/log/trace contracts for retrieval, model, token/usage and guardrail stages with bounded low-cardinality attributes, content/PII/secret exclusion and exporter-failure isolation.
- Canonical evidence: docs/test-evidence/W3-09-telemetry.txt. Obtain its own pre-edit approval, independent TEST-001 and final owner approval.
PHASE B — WEEK 4 / W4-08
- Run only after W4-001 and W4-002 are independently approved.
- Extend correlation across API, authorization, retrieval, embedding, LLM, guardrail, approval and tool stages; prove one local trace and redacted JSON logs. Canonical evidence: docs/test-evidence/W4-08-trace.json; reconcile aggregate W4-trace.json.
- Any local collector/Jaeger container requires an immutable pin, external cache, explicit local-mutation approval and complete teardown. AWS exporters remain disabled until separately approved.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Network: Enumerate every permitted and denied flow, bind only approved interfaces and prevent implicit public or host exposure.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each RAG and agent stage explainable operationally. The primary beneficiaries are SRE, security operations, developers and auditors.
- Process and risk: This task supports RAG/agent/API events -&gt; redaction and correlation -&gt; OpenTelemetry -&gt; approved local/export destination -&gt; alerts/evidence. Without it, the platform can produce an unauditable, insecure or non-reproducible result at this exact layer.
- Measurable outcome: diagnosable stage latency/errors with zero protected-content export. It contributes to the MVP by making Application telemetry and redacted audit trail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W3-09 (Not Started): Record retrieval/model/token/guardrail metrics without content. Why: Stage-level data explains latency, errors and cost. Acceptance: Metrics include versions/outcomes and exclude prompt/document text. Dependency: W3-04. Owner verification: follow 02 Master Plan!M40 through TEST-001 one command at a time. Expected: Redaction tests pass; metrics names are documented. Evidence: docs/test-evidence/W3-09-telemetry.txt Rollback/teardown: Disable exporter or revert instrumentation, not core answer path.
- W4-08 (Not Started): Trace API to retrieval, LLM, guardrail, approval and tool. Why: Correlated traces make probabilistic workflows diagnosable. Acceptance: One local trace contains all stages and safe attributes. Dependency: W4-01:W4-07. Owner verification: follow 02 Master Plan!M52 through TEST-001 one command at a time. Expected: Trace ID links JSON logs and spans; content is redacted. Evidence: docs/test-evidence/W4-08-trace.json Rollback/teardown: Disable exporter; preserve local logs and core service.
END-TO-END ARCHITECTURE LEARNING
- Position and flow: RAG/agent/API events -&gt; redaction and correlation -&gt; OpenTelemetry -&gt; approved local/export destination -&gt; alerts/evidence.
- Upstream/dependency boundary: W3-04, W4-01:W4-07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traces, metrics, structured logs, correlation IDs, redaction processor and exporter boundary.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traces, metrics, structured logs, correlation IDs, redaction processor and exporter boundary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flight recorder that stores instrument readings, not passengers' conversations.
- What goes in / happens / comes out: approved OTEL exporter endpoint; no content export goes through Application telemetry and redacted audit trail;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application logs explain events; traces connect stages; metrics summarize behavior.
ARCHITECTURE DECISIONS AND TRADE-OFFS
- Selected recorded direction: stage-level observability without prompt/document export balances diagnosis and privacy.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raw content, PII, secrets or credentials leave process; exporter is explicit. Apply classification, PII handling, tenant isolation, authorization before provider/storage calls, secret exclusion, redacted evidence, residency, retention, provenance and least privilege where applicable.
- Failure/operations: export failure must not expose data or corrupt user flow; buffering/retry is bounded.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Application telemetry and redacted audit trail addresses make each rag and agent stage explainable operationally. It makes the result governed, testable and reversible, measured by diagnosable stage latency/errors with zero protected-content export.
- Two-minute technical explanation: describe traces, metrics, structured logs, correlation IDs, redaction processor and exporter boundary; trace RAG/agent/API events -&gt; redaction and correlation -&gt; OpenTelemetry -&gt; approved local/export destination -&gt; alerts/evidence;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Application telemetry and redacted audit trail solve?
   Answer points: Connect Make each RAG and agent stage explainable operationally. to diagnosable stage latency/errors with zero protected-content export and identify SRE, security operations, developers and auditors.
2. Q: Trace the end-to-end flow for W4-003.
   Answer points: Explain RAG/agent/API events -&gt; redaction and correlation -&gt; OpenTelemetry -&gt; approved local/export destination -&gt; alerts/evidence; name upstream dependencies, downstream consumers, trust and state boundaries.
3. Q: Which design decision matters most and what alternative was rejected?
   Answer points: Discuss stage-level observability without prompt/document export balances diagnosis and privacy; compare the adjacent alternative and when it could be preferable.
4. Q: How does this task fail safely and how is it recovered?
   Answer points: Use this scenario: export failure must not expose data or corrupt user flow; buffering/retry is bounded; distinguish retry, remediation, rollback, teardown and evidence.
5. Q: How are security, privacy and cost controlled?
   Answer points: Explain no raw content, PII, secrets or credentials leave process; exporter is explicit; include least privilege, redaction/residency, bounded resources and owner-only access.
- Design trade-off: volume/latency increases tenfold; explain whether stage-level observability without prompt/document export balances diagnosis and privacy still holds and what evidence/ADR/approval must change.
- Failure/remediation: export failure must not expose data or corrupt user flow; buffering/retry is bounded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Application telemetry and redacted audit trail. Task — establish the governed contract. Action — map consumers, work within gates, owner-test, diagnose completely and prove lifecycle. Result — report only accepted evidence and diagnosable stage latency/errors with zero protected-content export.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OTEL exporter endpoint; no content export.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W4-003.
</t>
  </si>
  <si>
    <t>READY FOR PRE-EDIT REVIEW — W4-003</t>
  </si>
  <si>
    <t>W3-09, W4-08</t>
  </si>
  <si>
    <t xml:space="preserve">COLUMN N — FINAL APPROVAL AND COMPLETE DOCUMENTATION CLOSURE — W4-003
This gate authorizes documentation closure only after owner review; it is not a code, test, deployment or tracker-edit approval.
OWNER MUST SUPPLY — DO NOT INVENT
- Prompt ID: W4-003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W4-003.
</t>
  </si>
  <si>
    <t xml:space="preserve">FOUR APPROVAL GATES PLUS OWNER TESTING AND WEEKLY LEARNING — TRACKER v1.3.4
MAIN PROMPT — W4-ROLLBACK-001
TASK IDENTITY
- Week: Week 4
- Feature/outcome: Local immutable release rollback drill
- Business purpose: Prove release rollback separately from infrastructure rollback.
- Covered tracker steps: W4-11
- Required inputs: Approved local immutable releases N and N+1 and safe regression method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W4-11 — Deploy local immutable version N+1, force regression and restore N.
  Business reason: Release rollback is separate from infrastructure rollback.
  Acceptance: N becomes healthy and passes feature tests after rollback.
  Dependency: W4-01:W4-10
  Owner verification reference: make rollback-release &amp;&amp; make smoke
  Expected result: Rollback duration and health evidence recorded.
  Canonical evidence: docs/rollback-records/W4-release.md
  Rollback/teardown: Keep agent route disabled until the failure is fixed.
  Current tracker status (read-only historical/current fact): Not Started
  Separate Task Context: Week 4 Release rollback task in the end-to-end architecture. After Code Edit Approval, Codex writes only the approved code/configuration/test code for “Deploy local immutable version N+1, force regression and restore N.”; you run the verification/deployment commands and return the results. Business value: Release rollback is separate from infrastructure rollback. Interview focus: explain where this component sits, how it fails safely and how it is rolled back.
Downstream tracker steps identified from recorded dependencies: W4-12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SCOPED TASK — W4-ROLLBACK-001
Using only local immutable release artifacts and files explicitly listed in the approved pre-edit plan, design owner-run TEST-001 steps to deploy local version N+1, introduce the approved safe regression, restore N, and execute the rollback and smoke commands. The owner supplies versions, digests, results, duration and risks for later Column M documentation in docs/rollback-records/W4-release.md. Do not push images, mutate Kubernetes/cloud resources or edit this tracker.
TASK-SPECIFIC AMENDMENT — IMMUTABLE LOCAL RELEASE ROLLBACK
Require completion of W4-01 through W4-10 and an approved safe regression. Capture immutable release N and N+1 digests/config hashes, health/evaluation baseline and exact local resources. Prove N+1 failure, restore N without changing infrastructure or shared data, then rerun liveness/readiness, API/auth, agent safety, smoke, telemetry and cleanup checks. Do not build or pull an unapproved image, use a mutable tag as authority, push an image, mutate Kubernetes/cloud or treat teardown as rollback. Record rollback time, failure signal, restored digest and residuals at docs/rollback-records/W4-release.md; remove task-owned local containers/networks/volumes/caches according to approval.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Container: Preserve immutable image identity, non-root/read-only controls, capability drop, bounded resources, internal networking and complete owner-led cleanup.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Prove release rollback separately from infrastructure rollback. The primary beneficiaries are release owner, SRE, support and risk managers.
- Process and risk: This task supports known-good baseline -&gt; bounded change -&gt; regression detection -&gt; owner rollback -&gt; verification and evidence. Without it, the platform can produce an unauditable, insecure or non-reproducible result at this exact layer.
- Measurable outcome: restored baseline passes exact regression and leaves no ambiguous active version. It contributes to the MVP by making Local immutable release rollback drill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W4-11 (Not Started): Deploy local immutable version N+1, force regression and restore N. Why: Release rollback is separate from infrastructure rollback. Acceptance: N becomes healthy and passes feature tests after rollback. Dependency: W4-01:W4-10. Owner verification: follow 02 Master Plan!M55 through TEST-001 one command at a time. Expected: Rollback duration and health evidence recorded. Evidence: docs/rollback-records/W4-release.md Rollback/teardown: Keep agent route disabled until the failure is fixed.
END-TO-END ARCHITECTURE LEARNING
- Position and flow: known-good baseline -&gt; bounded change -&gt; regression detection -&gt; owner rollback -&gt; verification and evidence.
- Upstream/dependency boundary: W4-01:W4-10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immutable/versioned configuration or releases, activation pointer, regression check and cleanup plan.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immutable/versioned configuration or releases, activation pointer, regression check and cleanup plan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switching a railway signal back to a tested track.
- What goes in / happens / comes out: approved Approved local immutable releases N and N+1 and safe regression method goes through Local immutable release rollback drill;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configuration rollback reverses behavior settings; infrastructure rollback reverses resources.
ARCHITECTURE DECISIONS AND TRADE-OFFS
- Selected recorded direction: rollback targets an exact known-good identity instead of editing forward under pressure.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owner approval, artifact integrity and redacted evidence prevent unauthorized rollback. Apply classification, PII handling, tenant isolation, authorization before provider/storage calls, secret exclusion, redacted evidence, residency, retention, provenance and least privilege where applicable.
- Failure/operations: failed rollback is explicit and escalated; never destroy the last known-good version.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Local immutable release rollback drill addresses prove release rollback separately from infrastructure rollback. It makes the result governed, testable and reversible, measured by restored baseline passes exact regression and leaves no ambiguous active version.
- Two-minute technical explanation: describe immutable/versioned configuration or releases, activation pointer, regression check and cleanup plan; trace known-good baseline -&gt; bounded change -&gt; regression detection -&gt; owner rollback -&gt; verification and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Local immutable release rollback drill solve?
   Answer points: Connect Prove release rollback separately from infrastructure rollback. to restored baseline passes exact regression and leaves no ambiguous active version and identify release owner, SRE, support and risk managers.
2. Q: Trace the end-to-end flow for W4-ROLLBACK-001.
   Answer points: Explain known-good baseline -&gt; bounded change -&gt; regression detection -&gt; owner rollback -&gt; verification and evidence; name upstream dependencies, downstream consumers, trust and state boundaries.
3. Q: Which design decision matters most and what alternative was rejected?
   Answer points: Discuss rollback targets an exact known-good identity instead of editing forward under pressure; compare the adjacent alternative and when it could be preferable.
4. Q: How does this task fail safely and how is it recovered?
   Answer points: Use this scenario: failed rollback is explicit and escalated; never destroy the last known-good version; distinguish retry, remediation, rollback, teardown and evidence.
5. Q: How are security, privacy and cost controlled?
   Answer points: Explain owner approval, artifact integrity and redacted evidence prevent unauthorized rollback; include least privilege, redaction/residency, bounded resources and owner-only access.
- Design trade-off: volume/latency increases tenfold; explain whether rollback targets an exact known-good identity instead of editing forward under pressure still holds and what evidence/ADR/approval must change.
- Failure/remediation: failed rollback is explicit and escalated; never destroy the last known-good version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Local immutable release rollback drill. Task — establish the governed contract. Action — map consumers, work within gates, owner-test, diagnose completely and prove lifecycle. Result — report only accepted evidence and restored baseline passes exact regression and leaves no ambiguous active version.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local immutable releases N and N+1 and safe regression method.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W4-ROLLBACK-001.
</t>
  </si>
  <si>
    <t>READY FOR PRE-EDIT REVIEW — W4-ROLLBACK-001</t>
  </si>
  <si>
    <t xml:space="preserve">COLUMN M — EXACT DOCUMENT WRITING APPROVAL — W4-ROLLBACK-001
This is a separate owner approval after the bounded edit and owner testing or content review. Classify every path under one—and only one—of the CREATE and UPDATE headings after read-only preflight inspection.
EXACT DOCUMENTATION BOUNDARY
CREATE:
- docs/test-evidence/W4-ROLLBACK-001.md
- docs/rollback-records/W4-release.md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W4-ROLLBACK-001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W4-ROLLBACK-001.
</t>
  </si>
  <si>
    <t xml:space="preserve">COLUMN N — FINAL APPROVAL AND COMPLETE DOCUMENTATION CLOSURE — W4-ROLLBACK-001
This gate authorizes documentation closure only after owner review; it is not a code, test, deployment or tracker-edit approval.
OWNER MUST SUPPLY — DO NOT INVENT
- Prompt ID: W4-ROLLBACK-001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W4-ROLLBACK-001`.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W4-ROLLBACK-001.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W4-ROLLBACK-001.
</t>
  </si>
  <si>
    <t>FOUR APPROVAL GATES PLUS OWNER TESTING AND WEEKLY LEARNING — TRACKER v1.3.4
MAIN PROMPT — W5-INPUTS-001
TASK IDENTITY
- Week: Week 5
- Feature/outcome: AWS sandbox input approval
- Business purpose: Capture all non-secret AWS, network, tagging, residency and budget choices before Terraform work.
- Covered tracker steps: W5-01
- Required inputs: AWS-001, AWS-002, NET-001, TAG-001, COST-001 and PRIV-001; no credentials
- Expected outputs: Approved business-first documentation/decision record only; no code or command execution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W5-01 — Confirm sandbox account, region, network, tags, data residency and budget ceiling.
  Business reason: Terraform cannot be safely reviewed with ambiguous ownership or cost.
  Acceptance: All variables are non-secret and approved.
  Dependency: W4-13
  Owner verification reference: Review infra/environments/sandbox/terraform.tfvars.example
  Expected result: No credential/secret value is requested.
  Canonical evidence: docs/cost-estimates/W5-inputs.md
  Rollback/teardown: Do not initialize/apply until inputs are approved.
  Current tracker status (read-only historical/current fact): Not Started
  Separate Task Context: Week 5 business/decision documentation task in AWS inputs. The owner provides or approves the facts; after Document Writing Approval, Codex may draft only the approved business-first documentation. No code or command execution is permitted. Business value: Terraform cannot be safely reviewed with ambiguous ownership or cost. Interview focus: explain the decision, its alternatives and downstream impact.
Downstream tracker steps identified from recorded dependencies: W5-02, W5-03, W5-04, W5-13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SCOPED TASK — W5-INPUTS-001
The planned Column L content boundary is create only infra/environments/sandbox/terraform.tfvars.example and docs/cost-estimates/W5-inputs.md; their approved parent structure exists. Use TODO placeholders for sandbox account ID, approved region, VPC/subnets, mandatory tags, data-residency/privacy constraints, expiry and monthly budget. Never request, store or display credentials, secret values or live tokens. Do not run terraform init/plan/apply/destroy and do not access AWS. Leave the approval record READY FOR OWNER REVIEW.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Record which later owner-run Terraform/AWS actions remain prohibited until a separate approval; do not provide or execute those actions in this task.
6. Confirm no ignored or Git-invisible residue remains.
TASK-SPECIFIC AMENDMENT — COMPLETE NON-SECRET AWS INPUT GATE
Do not start Terraform design until W4-12 is signed off. Reconcile and obtain owner decisions for AWS-001, AWS-002, NET-001, TAG-001, COST-001, PRIV-001, KMS-001, GHA-001 and BED-001; also identify EKS-001, OBS-001 and SLO-001 as required before W5-13/Week 6. Record account ID, region/service availability, existing-vs-owned VPC/subnets/CIDRs/DNS/egress/endpoints, data residency, mandatory tags/expiry, monthly/daily/paid-evaluation ceilings, KMS deletion window/follow-up owner, GitHub repository/environment/OIDC naming and Bedrock model/quota/fallback—never credentials, role sessions, secret values or live tokens. Validate ownership boundaries so shared networking/EKS resources can never be destroyed. Modify only the two scoped input documents, leave status READY FOR OWNER REVIEW, run no Terraform/AWS/network command and do not infer approval from placeholders.
CONTENT-SPECIFIC READ-ONLY REVIEW — REQUIRED RESPONSE SECTIONS
1. Business and document outcome
Explain the non-secret sandbox variable example and cost/input decision record; Terraform and AWS execution remain outside this task.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infra/environments/sandbox/terraform.tfvars.example
- docs/cost-estimates/W5-inputs.md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Capture all non-secret AWS, network, tagging, residency and budget choices before Terraform work. The primary beneficiaries are cloud owner, security, finance, networking and platform teams.
- Process and risk: This task supports owner-approved non-secret account/network/tag/residency/budget choices -&gt; decision record -&gt; Terraform inputs. Without it, the platform can produce an unauditable, insecure or non-reproducible result at this exact layer.
- Measurable outcome: complete non-secret input record with zero unresolved code-blocking values. It contributes to the MVP by making AWS sandbox input approval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W5-01 (Not Started): Confirm sandbox account, region, network, tags, data residency and budget ceiling. Why: Terraform cannot be safely reviewed with ambiguous ownership or cost. Acceptance: All variables are non-secret and approved. Dependency: W4-13. Owner verification: follow 02 Master Plan!M58 through TEST-001 one command at a time. Expected: No credential/secret value is requested. Evidence: docs/cost-estimates/W5-inputs.md Rollback/teardown: Do not initialize/apply until inputs are approved.
END-TO-END ARCHITECTURE LEARNING
- Position and flow: owner-approved non-secret account/network/tag/residency/budget choices -&gt; decision record -&gt; Terraform inputs.
- Upstream/dependency boundary: W4-13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AWS account/region, VPC/subnets, tags, GitHub OIDC, Bedrock IDs, residency and cost ceiling.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AWS account/region, VPC/subnets, tags, GitHub OIDC, Bedrock IDs, residency and cost ceiling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signed travel authorization before booking anything.
- What goes in / happens / comes out: approved AWS-001, AWS-002, NET-001, TAG-001, COST-001 and PRIV-001; no credentials goes through AWS sandbox input approval; validation and controls run; the output is Approved business-first documentation/decision record only; no code or command execution or a clear, non-fabricated stop.
- Why the business cares: the process becomes explainable, safer and repeatable.
- Adjacent technology: input approval chooses constraints; Terraform later implements them.
ARCHITECTURE DECISIONS AND TRADE-OFFS
- Selected recorded direction: record every cloud boundary before IaC so placeholders cannot become accidental production values.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credentials in workbook/repository; least privilege, residency and budget are explicit. Apply classification, PII handling, tenant isolation, authorization before provider/storage calls, secret exclusion, redacted evidence, residency, retention, provenance and least privilege where applicable.
- Failure/operations: missing or conflicting input blocks Terraform approval.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AWS sandbox input approval addresses capture all non-secret aws, network, tagging, residency and budget choices before terraform work. It makes the result governed, testable and reversible, measured by complete non-secret input record with zero unresolved code-blocking values.
- Two-minute technical explanation: describe AWS account/region, VPC/subnets, tags, GitHub OIDC, Bedrock IDs, residency and cost ceiling; trace owner-approved non-secret account/network/tag/residency/budget choices -&gt; decision record -&gt; Terraform inputs;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AWS sandbox input approval solve?
   Answer points: Connect Capture all non-secret AWS, network, tagging, residency and budget choices before Terraform work. to complete non-secret input record with zero unresolved code-blocking values and identify cloud owner, security, finance, networking and platform teams.
2. Q: Trace the end-to-end flow for W5-INPUTS-001.
   Answer points: Explain owner-approved non-secret account/network/tag/residency/budget choices -&gt; decision record -&gt; Terraform inputs; name upstream dependencies, downstream consumers, trust and state boundaries.
3. Q: Which design decision matters most and what alternative was rejected?
   Answer points: Discuss record every cloud boundary before IaC so placeholders cannot become accidental production values; compare the adjacent alternative and when it could be preferable.
4. Q: How does this task fail safely and how is it recovered?
   Answer points: Use this scenario: missing or conflicting input blocks Terraform approval; distinguish retry, remediation, rollback, teardown and evidence.
5. Q: How are security, privacy and cost controlled?
   Answer points: Explain no credentials in workbook/repository; least privilege, residency and budget are explicit; include least privilege, redaction/residency, bounded resources and owner-only access.
- Design trade-off: volume/latency increases tenfold; explain whether record every cloud boundary before IaC so placeholders cannot become accidental production values still holds and what evidence/ADR/approval must change.
- Failure/remediation: missing or conflicting input blocks Terraform approval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AWS sandbox input approval. Task — establish the governed contract. Action — map consumers, work within gates, owner-test, diagnose completely and prove lifecycle. Result — report only accepted evidence and complete non-secret input record with zero unresolved code-blocking values.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AWS-001, AWS-002, NET-001, TAG-001, COST-001 and PRIV-001; no credentials.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resource creation and provider/API execution do not apply to this document gate
- Column L activation: no workbook text grants authority until the owner explicitly issues an exact bounded Code or Content Edit Approval after all edit-blocking decisions are resolved and patch contexts are re-read.
End exactly: READY FOR PRE-EDIT REVIEW — W5-INPUTS-001.</t>
  </si>
  <si>
    <t>READY FOR PRE-EDIT REVIEW — W5-INPUTS-001</t>
  </si>
  <si>
    <t xml:space="preserve">COLUMN M — EXACT DOCUMENT WRITING APPROVAL — W5-INPUTS-001
This is a separate owner approval after the bounded edit and owner testing or content review. Classify every path under one—and only one—of the CREATE and UPDATE headings after read-only preflight inspection.
EXACT DOCUMENTATION BOUNDARY
CREATE:
- infra/environments/sandbox/terraform.tfvars.example
- docs/cost-estimates/W5-inputs.md
UPDATE:
- None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W5-INPUTS-001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W5-INPUTS-001.
</t>
  </si>
  <si>
    <t xml:space="preserve">COLUMN N — FINAL APPROVAL AND COMPLETE DOCUMENTATION CLOSURE — W5-INPUTS-001
This gate authorizes documentation closure only after owner review; it is not a code, test, deployment or tracker-edit approval.
OWNER MUST SUPPLY — DO NOT INVENT
- Prompt ID: W5-INPUTS-001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W5-INPUTS-001`.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W5-INPUTS-001.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W5-INPUTS-001.
</t>
  </si>
  <si>
    <t xml:space="preserve">FOUR APPROVAL GATES PLUS OWNER TESTING AND WEEKLY LEARNING — TRACKER v1.3.4
MAIN PROMPT — W5-001
TASK IDENTITY
- Week: Week 5
- Feature/outcome: Terraform AWS sandbox modules
- Business purpose: Produce reviewable infrastructure without secret material.
- Covered tracker steps: W5-02, W5-03, W5-04, W5-05
- Required inputs: TODO account, region, VPC/subnets, GitHub repo, tags, Bedrock models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W5-02 — Build isolated encrypted/versioned S3 state and Terraform 1.5 DynamoDB locking stack.
  Business reason: State must survive platform rollback and be removed last during full teardown.
  Acceptance: fmt/validate/Checkov pass; apply remains manual.
  Dependency: W5-01
  Owner verification reference: terraform -chdir=infra/bootstrap fmt -check &amp;&amp; terraform -chdir=infra/bootstrap validate
  Expected result: Bootstrap plan contains only expected resources.
  Canonical evidence: docs/test-evidence/W5-02-bootstrap.txt
  Rollback/teardown: Destroy platform first; bootstrap destroy is separately reviewed.
  Current tracker status (read-only historical/current fact): Not Started
  Separate Task Context: Week 5 State bootstrap task in the end-to-end architecture. After Code Edit Approval, Codex writes only the approved code/configuration/test code for “Build isolated encrypted/versioned S3 state and Terraform 1.5 DynamoDB locking stack.”; you run the verification/deployment commands and return the results. Business value: State must survive platform rollback and be removed last during full teardown. Interview focus: explain where this component sits, how it fails safely and how it is rolled back.
- W5-03 — Create KMS, private/versioned S3 and secret-metadata modules.
  Business reason: Encryption and secret separation are foundational controls.
  Acceptance: No public access or secret value resource exists.
  Dependency: W5-01,W5-02
  Owner verification reference: terraform -chdir=infra/environments/sandbox validate &amp;&amp; checkov -d infra/modules
  Expected result: Security controls pass; deletion settings are explicit.
  Canonical evidence: docs/test-evidence/W5-03-security.txt
  Rollback/teardown: Apply prior Terraform version; use purge only for disposable sandbox.
  Current tracker status (read-only historical/current fact): Not Started
  Separate Task Context: Week 5 Security foundation task in the end-to-end architecture. After Code Edit Approval, Codex writes only the approved code/configuration/test code for “Create KMS, private/versioned S3 and secret-metadata modules.”; you run the verification/deployment commands and return the results. Business value: Encryption and secret separation are foundational controls. Interview focus: explain where this component sits, how it fails safely and how it is rolled back.
- W5-04 — Create least-privilege runtime, ingestion and GitHub OIDC roles.
  Business reason: Workloads need short-lived, separated permissions.
  Acceptance: No wildcard action/resource without reviewed exception.
  Dependency: W5-01
  Owner verification reference: checkov -d infra &amp;&amp; opa test policies/opa -v
  Expected result: Trust policies bind approved repo/environment and workload identity.
  Canonical evidence: docs/test-evidence/W5-04-iam.txt
  Rollback/teardown: Disable role session/restore prior policy; do not store keys.
  Current tracker status (read-only historical/current fact): Not Started
  Separate Task Context: Week 5 IAM task in the end-to-end architecture. After Code Edit Approval, Codex writes only the approved code/configuration/test code for “Create least-privilege runtime, ingestion and GitHub OIDC roles.”; you run the verification/deployment commands and return the results. Business value: Workloads need short-lived, separated permissions. Interview focus: explain where this component sits, how it fails safely and how it is rolled back.
- W5-05 — Create private encrypted OpenSearch and ECR modules.
  Business reason: OpenSearch is the AWS vector target; ECR stores immutable images.
  Acceptance: Private network, TLS, encryption, logs and access controls are planned.
  Dependency: W5-03,W5-04
  Owner verification reference: terraform -chdir=infra/environments/sandbox plan -out=tfplan
  Expected result: Plan summary shows only expected resources and estimated baseline cost.
  Canonical evidence: docs/test-evidence/W5-05-platform-plan.txt
  Rollback/teardown: Apply reviewed previous Terraform version or destroy disposable resources in order.
  Current tracker status (read-only historical/current fact): Not Started
  Separate Task Context: Week 5 AWS retrieval task in the end-to-end architecture. After Code Edit Approval, Codex writes only the approved code/configuration/test code for “Create private encrypted OpenSearch and ECR modules.”; you run the verification/deployment commands and return the results. Business value: OpenSearch is the AWS vector target; ECR stores immutable images. Interview focus: explain where this component sits, how it fails safely and how it is rolled back.
Downstream tracker steps identified from recorded dependencies: W5-03, W5-05, W5-06, W5-07, W5-09, W6-03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Terraform &gt;=1.5 modules and sandbox composition for KMS, private versioned S3, Secrets Manager metadata only, least-privilege runtime/ingestion roles, ECR and a private VPC OpenSearch domain with encryption, HTTPS, fine-grained access, logs and security groups. Isolate an encrypted/versioned S3 state plus DynamoDB-locking bootstrap for Terraform 1.5 and document newer S3 lockfiles. Never create secret versions or accept secret values. Validate inputs, apply mandatory tags, gate deletion protection and document every suppression with owner/reason/expiry. Plan only.
TASK-SPECIFIC AMENDMENT — TERRAFORM STATIC FOUNDATION AND BOOTSTRAP DEPENDENCY
1. Require W5-INPUTS-001 final approval and exact non-secret inputs. Pin Terraform/provider/module versions; owner-run reviewed initialization may generate exact dependency lock files for a separately reviewed repository update, but Codex does not initialize, stage or commit them. Use external TF_DATA_DIR/plugin caches; repository .terraform, plan binaries, state and credentials are prohibited.
2. Separate bootstrap and platform roots. Static work here creates/validates code only. Use terraform init -backend=false for offline/static checks unless an exact read-only network initialization is separately approved. A real plan requires approved short-lived AWS identity/account/region and is not an offline test.
3. The remote backend must physically exist before the W5-09 platform saved plan. Therefore W5-004 must perform a separately approved bootstrap saved-plan/apply cycle when the backend is absent; W5-001 must not claim that platform planning can use an unapplied backend.
4. No secret value/resource version, public endpoint, wildcard IAM or unbounded cost default. OpenSearch must be private, encrypted in transit/at rest, access-controlled, logged and deletion/cost guarded. ECR uses immutable scanning settings. Tags apply to every supported resource; exceptions require owner/rationale/expiry.
5. Test variables, outputs, fmt/validate/tflint/Checkov/OPA, plan redaction, secret-in-state prevention, provider-lock integrity, bootstrap/platform dependency and destroy ordering. Canonical evidence: W5-02-bootstrap.txt, W5-03-security.txt, W5-04-iam.txt and W5-05-platform-plan.txt; reconcile aggregate W5-terraform.txt. No apply/destroy, live AWS mutation,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Terraform: Keep roots and modules explicit, providers constrained, state isolated and saved-plan/apply/destroy commands owner-only.
- AWS/cloud: Use explicit account, region, role and service boundaries, short-lived identity, least privilege, cost limits and owner-only API execution.
- Network: Enumerate every permitted and denied flow, bind only approved interfaces and prevent implicit public or host exposure.
- Data/privacy: Classify data, minimize content, prohibit secrets/PII in logs and evidence, and state residency, retention and deletion effects.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Produce reviewable infrastructure without secret material. The primary beneficiaries are platform, security, networking, finance and SRE.
- Process and risk: This task supports approved cloud inputs -&gt; Terraform modules -&gt; static/policy validation -&gt; saved plan -&gt; owner review -&gt; later apply. Without it, the platform can produce an unauditable, insecure or non-reproducible result at this exact layer.
- Measurable outcome: reproducible plan with zero critical policy findings and bounded cost. It contributes to the MVP by making Terraform AWS sandbox modules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W5-02 (Not Started): Build isolated encrypted/versioned S3 state and Terraform 1.5 DynamoDB locking stack. Why: State must survive platform rollback and be removed last during full teardown. Acceptance: fmt/validate/Checkov pass; apply remains manual. Dependency: W5-01. Owner verification: follow 02 Master Plan!M59 through TEST-001 one command at a time. Expected: Bootstrap plan contains only expected resources. Evidence: docs/test-evidence/W5-02-bootstrap.txt Rollback/teardown: Destroy platform first; bootstrap destroy is separately reviewed.
- W5-03 (Not Started): Create KMS, private/versioned S3 and secret-metadata modules. Why: Encryption and secret separation are foundational controls. Acceptance: No public access or secret value resource exists. Dependency: W5-01,W5-02. Owner verification: follow 02 Master Plan!M60 through TEST-001 one command at a time. Expected: Security controls pass; deletion settings are explicit. Evidence: docs/test-evidence/W5-03-security.txt Rollback/teardown: Apply prior Terraform version; use purge only for disposable sandbox.
- W5-04 (Not Started): Create least-privilege runtime, ingestion and GitHub OIDC roles. Why: Workloads need short-lived, separated permissions. Acceptance: No wildcard action/resource without reviewed exception. Dependency: W5-01. Owner verification: follow 02 Master Plan!M61 through TEST-001 one command at a time. Expected: Trust policies bind approved repo/environment and workload identity. Evidence: docs/test-evidence/W5-04-iam.txt Rollback/teardown: Disable role session/restore prior policy; do not store keys.
- W5-05 (Not Started): Create private encrypted OpenSearch and ECR modules. Why: OpenSearch is the AWS vector target; ECR stores immutable images. Acceptance: Private network, TLS, encryption, logs and access controls are planned. Dependency: W5-03,W5-04. Owner verification: follow 02 Master Plan!M62 through TEST-001 one command at a time. Expected: Plan summary shows only expected resources and estimated baseline cost. Evidence: docs/test-evidence/W5-05-platform-plan.txt Rollback/teardown: Apply reviewed previous Terraform version or destroy disposable resources in order.
END-TO-END ARCHITECTURE LEARNING
- Position and flow: approved cloud inputs -&gt; Terraform modules -&gt; static/policy validation -&gt; saved plan -&gt; owner review -&gt; later apply.
- Upstream/dependency boundary: W5-01, W5-01,W5-02, W5-01, W5-03,W5-04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providers, state/bootstrap boundary, network, IAM, KMS, storage/search/compute modules, variables and outputs.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providers, state/bootstrap boundary, network, IAM, KMS, storage/search/compute modules, variables and outputs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an engineering blueprint that can be reviewed before machinery builds anything.
- What goes in / happens / comes out: approved TODO account, region, VPC/subnets, GitHub repo, tags, Bedrock models goes through Terraform AWS sandbox modules;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Terraform declares infrastructure; deployment applies an approved plan.
ARCHITECTURE DECISIONS AND TRADE-OFFS
- Selected recorded direction: modular IaC, reviewed plans and immutable inputs are selected over console changes.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least privilege, encryption, private networking, mandatory tags and no secrets in state/code. Apply classification, PII handling, tenant isolation, authorization before provider/storage calls, secret exclusion, redacted evidence, residency, retention, provenance and least privilege where applicable.
- Failure/operations: plan or policy failure blocks apply; rollback uses reviewed prior configuration; teardown is dependency ordered.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Terraform AWS sandbox modules addresses produce reviewable infrastructure without secret material. It makes the result governed, testable and reversible, measured by reproducible plan with zero critical policy findings and bounded cost.
- Two-minute technical explanation: describe providers, state/bootstrap boundary, network, IAM, KMS, storage/search/compute modules, variables and outputs; trace approved cloud inputs -&gt; Terraform modules -&gt; static/policy validation -&gt; saved plan -&gt; owner review -&gt; later apply;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Terraform AWS sandbox modules solve?
   Answer points: Connect Produce reviewable infrastructure without secret material. to reproducible plan with zero critical policy findings and bounded cost and identify platform, security, networking, finance and SRE.
2. Q: Trace the end-to-end flow for W5-001.
   Answer points: Explain approved cloud inputs -&gt; Terraform modules -&gt; static/policy validation -&gt; saved plan -&gt; owner review -&gt; later apply; name upstream dependencies, downstream consumers, trust and state boundaries.
3. Q: Which design decision matters most and what alternative was rejected?
   Answer points: Discuss modular IaC, reviewed plans and immutable inputs are selected over console changes; compare the adjacent alternative and when it could be preferable.
4. Q: How does this task fail safely and how is it recovered?
   Answer points: Use this scenario: plan or policy failure blocks apply; rollback uses reviewed prior configuration; teardown is dependency ordered; distinguish retry, remediation, rollback, teardown and evidence.
5. Q: How are security, privacy and cost controlled?
   Answer points: Explain least privilege, encryption, private networking, mandatory tags and no secrets in state/code; include least privilege, redaction/residency, bounded resources and owner-only access.
- Design trade-off: volume/latency increases tenfold; explain whether modular IaC, reviewed plans and immutable inputs are selected over console changes still holds and what evidence/ADR/approval must change.
- Failure/remediation: plan or policy failure blocks apply; rollback uses reviewed prior configuration; teardown is dependency ordered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Terraform AWS sandbox modules. Task — establish the governed contract. Action — map consumers, work within gates, owner-test, diagnose completely and prove lifecycle. Result — report only accepted evidence and reproducible plan with zero critical policy findings and bounded cost.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TODO account, region, VPC/subnets, GitHub repo, tags, Bedrock models.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W5-001.
</t>
  </si>
  <si>
    <t>READY FOR PRE-EDIT REVIEW — W5-001</t>
  </si>
  <si>
    <t>W5-02, W5-03, W5-04, W5-05</t>
  </si>
  <si>
    <t xml:space="preserve">COLUMN N — FINAL APPROVAL AND COMPLETE DOCUMENTATION CLOSURE — W5-001
This gate authorizes documentation closure only after owner review; it is not a code, test, deployment or tracker-edit approval.
OWNER MUST SUPPLY — DO NOT INVENT
- Prompt ID: W5-001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W5-001.
</t>
  </si>
  <si>
    <t xml:space="preserve">FOUR APPROVAL GATES PLUS OWNER TESTING AND WEEKLY LEARNING — TRACKER v1.3.4
MAIN PROMPT — W5-002
TASK IDENTITY
- Week: Week 5
- Feature/outcome: GitHub Actions DevSecOps pipeline
- Business purpose: Enforce quality, IaC and supply-chain gates with short-lived identity.
- Covered tracker steps: W5-07, W5-08, W6-01
- Required inputs: GitHub environment, OIDC role ARN, sandbox variables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W5-07 — Create PR CI and Terraform-plan workflow using GitHub OIDC.
  Business reason: Automated gates and short-lived identity reduce change and credential risk.
  Acceptance: All required checks run; apply/destroy are owner-gated.
  Dependency: W5-04,W5-06
  Owner verification reference: Review .github/workflows and run actionlint if available
  Expected result: No access-key secret; immutable action pins are TODO/approved.
  Canonical evidence: docs/test-evidence/W5-07-ci.txt
  Rollback/teardown: Disable workflow; revoke OIDC trust; keep last good release.
  Current tracker status (read-only historical/current fact): Not Started
  Separate Task Context: Week 5 CI/CD task in the end-to-end architecture. After Code Edit Approval, Codex writes only the approved code/configuration/test code for “Create PR CI and Terraform-plan workflow using GitHub OIDC.”; you run the verification/deployment commands and return the results. Business value: Automated gates and short-lived identity reduce change and credential risk. Interview focus: explain where this component sits, how it fails safely and how it is rolled back.
- W5-08 — Build image, scan with Trivy/Grype and generate Syft SBOM.
  Business reason: Deployment must use a known, scanned immutable artifact.
  Acceptance: Critical findings fail per policy and SBOM is retained.
  Dependency: W5-07
  Owner verification reference: docker build -t enterprise-ai:test . &amp;&amp; trivy image enterprise-ai:test
  Expected result: Redacted scan reports and SPDX/CycloneDX SBOM exist.
  Canonical evidence: docs/test-evidence/W5-08-supply-chain.txt
  Rollback/teardown: Do not publish vulnerable digest; restore prior approved digest.
  Current tracker status (read-only historical/current fact): Not Started
  Separate Task Context: Week 5 Supply chain task in the end-to-end architecture. After Code Edit Approval, Codex writes only the approved code/configuration/test code for “Build image, scan with Trivy/Grype and generate Syft SBOM.”; you run the verification/deployment commands and return the results. Business value: Deployment must use a known, scanned immutable artifact. Interview focus: explain where this component sits, how it fails safely and how it is rolled back.
- W6-01 — Publish scanned image to ECR by immutable digest.
  Business reason: Rollback and provenance require immutable deployment identity.
  Acceptance: Digest matches the scanned/SBOM artifact.
  Dependency: W5-14
  Owner verification reference: docker inspect --format='{{index .RepoDigests 0}}' enterprise-ai:test
  Expected result: Digest, scan and SBOM are linked in deployment record.
  Canonical evidence: docs/deployment-records/W6-image.md
  Rollback/teardown: Restore prior approved digest; never reuse a mutable tag as authority.
  Current tracker status (read-only historical/current fact): Not Started
  Separate Task Context: Week 6 Artifact promotion task in the end-to-end architecture. After Code Edit Approval, Codex writes only the approved code/configuration/test code for “Publish scanned image to ECR by immutable digest.”; you run the verification/deployment commands and return the results. Business value: Rollback and provenance require immutable deployment identity. Interview focus: explain where this component sits, how it fails safely and how it is rolled back.
Downstream tracker steps identified from recorded dependencies: W5-08, W5-09, W6-02, W6-10, W6-13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least-privilege GitHub Actions workflows. On PR run Python 3.11 cache/install, Ruff, mypy, pytest, secret scan, terraform fmt/validate/tflint, Checkov, plan JSON through OPA, Docker build, Trivy filesystem/image scan, Syft SPDX/CycloneDX SBOM, Grype scan and a RAG smoke evaluation. Use Qdrant service container if useful. Upload only redacted reports and do not upload sensitive plans. Use GitHub OIDC, immutable image digest, protected environment approval and explicit timeouts. Pin actions to immutable SHAs with TODOs. Never use AWS access-key secrets or auto-run apply/destroy.
TASK-SPECIFIC AMENDMENT — TWO SEPARATE CI/SUPPLY-CHAIN AND PROMOTION CYCLES
This prompt is executed in two separately approved cycles; W6-01 cannot be completed before W5-13.
PHASE A — WEEK 5 / W5-07 AND W5-08
- Require W5-001/W5-003 and GHA-001. Pin every GitHub Action to an immutable commit SHA, base/service images to approved digests and tools/dependencies to reviewed versions. Use least-privilege OIDC with exact repository/ref/environment trust and no access-key secret.
- Build locally/CI without push, scan the exact image with Trivy/Grype, generate Syft SPDX/CycloneDX SBOM, enforce policy thresholds and preserve redacted provenance. Do not upload sensitive Terraform plans, logs, environment dumps or source data. A workflow/PR run is an external action and requires explicit approval.
- Canonical evidence: W5-07-ci.txt and W5-08-supply-chain.txt; reconcile W5-oidc.txt/W5-supply-chain.txt.
PHASE B — WEEK 6 / W6-01
- Run only after W5-13, W5-004 Week-6 environment recreation and a passing Phase A. Require the exact scanned image digest, SBOM/provenance, ECR target and separate push authorization.
- Push/promote only the approved digest; verify the ECR digest matches the scanned artifact. Mutable tags may be convenience labels but never deployment authority. Record docs/deployment-records/W6-image.md and leave no unapproved local builder/cache residue.
Each phase requires its own pre-edit approval, independent TEST-001 and final owner approval. No apply/destroy, Kubernetes mutation or automatic deployment.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CI/CD: Pin actions and artifacts, use least permissions and protected approvals, and keep deployment/rollback jobs owner-authorized.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Enforce quality, IaC and supply-chain gates with short-lived identity. The primary beneficiaries are developers, release managers, security and auditors.
- Process and risk: This task supports Git change -&gt; CI quality/security/IaC gates -&gt; OIDC token -&gt; approved artifact/plan -&gt; environment approval. Without it, the platform can produce an unauditable, insecure or non-reproducible result at this exact layer.
- Measurable outcome: all configured gates pass and no long-lived credential exists. It contributes to the MVP by making GitHub Actions DevSecOps pipeline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W5-07 (Not Started): Create PR CI and Terraform-plan workflow using GitHub OIDC. Why: Automated gates and short-lived identity reduce change and credential risk. Acceptance: All required checks run; apply/destroy are owner-gated. Dependency: W5-04,W5-06. Owner verification: follow 02 Master Plan!M64 through TEST-001 one command at a time. Expected: No access-key secret; immutable action pins are TODO/approved. Evidence: docs/test-evidence/W5-07-ci.txt Rollback/teardown: Disable workflow; revoke OIDC trust; keep last good release.
- W5-08 (Not Started): Build image, scan with Trivy/Grype and generate Syft SBOM. Why: Deployment must use a known, scanned immutable artifact. Acceptance: Critical findings fail per policy and SBOM is retained. Dependency: W5-07. Owner verification: follow 02 Master Plan!M65 through TEST-001 one command at a time. Expected: Redacted scan reports and SPDX/CycloneDX SBOM exist. Evidence: docs/test-evidence/W5-08-supply-chain.txt Rollback/teardown: Do not publish vulnerable digest; restore prior approved digest.
- W6-01 (Not Started): Publish scanned image to ECR by immutable digest. Why: Rollback and provenance require immutable deployment identity. Acceptance: Digest matches the scanned/SBOM artifact. Dependency: W5-14. Owner verification: follow 02 Master Plan!M72 through TEST-001 one command at a time. Expected: Digest, scan and SBOM are linked in deployment record. Evidence: docs/deployment-records/W6-image.md Rollback/teardown: Restore prior approved digest; never reuse a mutable tag as authority.
END-TO-END ARCHITECTURE LEARNING
- Position and flow: Git change -&gt; CI quality/security/IaC gates -&gt; OIDC token -&gt; approved artifact/plan -&gt; environment approval.
- Upstream/dependency boundary: W5-04,W5-06, W5-07, W5-14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GitHub workflow, job permissions, OIDC role, pinned actions, quality/security stages and artifact provenance.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GitHub workflow, job permissions, OIDC role, pinned actions, quality/security stages and artifact provenance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an automated border checkpoint that verifies every package and temporary pass.
- What goes in / happens / comes out: approved GitHub environment, OIDC role ARN, sandbox variables goes through GitHub Actions DevSecOps pipeline;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CI validates changes; CD promotes an approved immutable artifact.
ARCHITECTURE DECISIONS AND TRADE-OFFS
- Selected recorded direction: short-lived OIDC and pinned actions replace stored cloud keys and floating supply-chain dependencies.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minimum job permissions, environment approvals and no secret output. Apply classification, PII handling, tenant isolation, authorization before provider/storage calls, secret exclusion, redacted evidence, residency, retention, provenance and least privilege where applicable.
- Failure/operations: failed gate prevents promotion; compromised/unverified artifact is rejected.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GitHub Actions DevSecOps pipeline addresses enforce quality, iac and supply-chain gates with short-lived identity. It makes the result governed, testable and reversible, measured by all configured gates pass and no long-lived credential exists.
- Two-minute technical explanation: describe GitHub workflow, job permissions, OIDC role, pinned actions, quality/security stages and artifact provenance; trace Git change -&gt; CI quality/security/IaC gates -&gt; OIDC token -&gt; approved artifact/plan -&gt; environment approval;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GitHub Actions DevSecOps pipeline solve?
   Answer points: Connect Enforce quality, IaC and supply-chain gates with short-lived identity. to all configured gates pass and no long-lived credential exists and identify developers, release managers, security and auditors.
2. Q: Trace the end-to-end flow for W5-002.
   Answer points: Explain Git change -&gt; CI quality/security/IaC gates -&gt; OIDC token -&gt; approved artifact/plan -&gt; environment approval; name upstream dependencies, downstream consumers, trust and state boundaries.
3. Q: Which design decision matters most and what alternative was rejected?
   Answer points: Discuss short-lived OIDC and pinned actions replace stored cloud keys and floating supply-chain dependencies; compare the adjacent alternative and when it could be preferable.
4. Q: How does this task fail safely and how is it recovered?
   Answer points: Use this scenario: failed gate prevents promotion; compromised/unverified artifact is rejected; distinguish retry, remediation, rollback, teardown and evidence.
5. Q: How are security, privacy and cost controlled?
   Answer points: Explain minimum job permissions, environment approvals and no secret output; include least privilege, redaction/residency, bounded resources and owner-only access.
- Design trade-off: volume/latency increases tenfold; explain whether short-lived OIDC and pinned actions replace stored cloud keys and floating supply-chain dependencies still holds and what evidence/ADR/approval must change.
- Failure/remediation: failed gate prevents promotion; compromised/unverified artifact is rejected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GitHub Actions DevSecOps pipeline. Task — establish the governed contract. Action — map consumers, work within gates, owner-test, diagnose completely and prove lifecycle. Result — report only accepted evidence and all configured gates pass and no long-lived credential exists.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GitHub environment, OIDC role ARN, sandbox variables.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W5-002.
</t>
  </si>
  <si>
    <t>READY FOR PRE-EDIT REVIEW — W5-002</t>
  </si>
  <si>
    <t>W5-07, W5-08, W6-01</t>
  </si>
  <si>
    <t xml:space="preserve">COLUMN N — FINAL APPROVAL AND COMPLETE DOCUMENTATION CLOSURE — W5-002
This gate authorizes documentation closure only after owner review; it is not a code, test, deployment or tracker-edit approval.
OWNER MUST SUPPLY — DO NOT INVENT
- Prompt ID: W5-002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W5-002.
</t>
  </si>
  <si>
    <t xml:space="preserve">FOUR APPROVAL GATES PLUS OWNER TESTING AND WEEKLY LEARNING — TRACKER v1.3.4
MAIN PROMPT — W5-003
TASK IDENTITY
- Week: Week 5
- Feature/outcome: OPA and Checkov policy pack
- Business purpose: Make critical cloud controls executable before apply.
- Covered tracker steps: W5-06
- Required inputs: Approved regions, encryption/tag rules, exception process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W5-06 — Implement OPA and Checkov security/tagging policies with fixtures.
  Business reason: Policy gates make critical architecture decisions executable.
  Acceptance: Insecure fixtures fail; secure fixtures pass.
  Dependency: W5-03:W5-05
  Owner verification reference: opa test policies/opa -v &amp;&amp; checkov -d infra
  Expected result: Failures identify resource/rule/remediation.
  Canonical evidence: docs/test-evidence/W5-06-policy.txt
  Rollback/teardown: Revert candidate policy only through reviewed exception/ADR.
  Current tracker status (read-only historical/current fact): Not Started
  Separate Task Context: Week 5 Policy as code task in the end-to-end architecture. After Code Edit Approval, Codex writes only the approved code/configuration/test code for “Implement OPA and Checkov security/tagging policies with fixtures.”; you run the verification/deployment commands and return the results. Business value: Policy gates make critical architecture decisions executable. Interview focus: explain where this component sits, how it fails safely and how it is rolled back.
Downstream tracker steps identified from recorded dependencies: W5-07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OPA/Rego tests over Terraform plan JSON to deny public S3, missing KMS encryption, unrestricted security groups, unapproved regions, missing mandatory tags and IAM wildcard actions unless an explicit time-bound exception is approved. Add equivalent focused Checkov custom policies where appropriate, secure/insecure fixtures and CI commands. Policy failures must show resource address, violated rule and remediation without exposing sensitive values.
TASK-SPECIFIC AMENDMENT — POLICY TESTING AND NARROW EXCEPTIONS
Require W5-001 design and approved region/tag/encryption/IAM rules. Test deny and allow cases for public S3, encryption/KMS, unrestricted ingress/egress, unapproved regions, mandatory tags, IAM wildcard actions/resources, public OpenSearch, mutable images and missing deletion/cost guards. Parse Terraform plan JSON without exposing sensitive values. Every denial identifies resource address, rule and remediation. Secure fixtures pass; each insecure fixture fails for the intended rule; tests must detect a policy accidentally disabled or not evaluated. Exceptions are resource/rule scoped and require owner, rationale, expires_at and evidence; expired/malformed/broad directory/file/type bypasses deny. Rego and Checkov controls must not contradict. Canonical evidence: docs/test-evidence/W5-06-policy.txt; reconcile aggregate W5-policy.txt. No live AWS, Terraform mutation or CI execution.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Terraform: Keep roots and modules explicit, providers constrained, state isolated and saved-plan/apply/destroy commands owner-only.
- AWS/cloud: Use explicit account, region, role and service boundaries, short-lived identity, least privilege, cost limits and owner-only API execution.
- Security/authorization: Enforce least privilege and tenant/classification controls before provider calls; fail closed and redact errors.
- CI/CD: Pin actions and artifacts, use least permissions and protected approvals, and keep deployment/rollback jobs owner-authorized.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critical cloud controls executable before apply. The primary beneficiaries are security, compliance, platform and auditors.
- Process and risk: This task supports Terraform/configuration -&gt; policy checks -&gt; deny findings or approved exception -&gt; release gate. Without it, the platform can produce an unauditable, insecure or non-reproducible result at this exact layer.
- Measurable outcome: critical misconfiguration fixtures are denied and valid fixtures pass. It contributes to the MVP by making OPA and Checkov policy pack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W5-06 (Not Started): Implement OPA and Checkov security/tagging policies with fixtures. Why: Policy gates make critical architecture decisions executable. Acceptance: Insecure fixtures fail; secure fixtures pass. Dependency: W5-03:W5-05. Owner verification: follow 02 Master Plan!M63 through TEST-001 one command at a time. Expected: Failures identify resource/rule/remediation. Evidence: docs/test-evidence/W5-06-policy.txt Rollback/teardown: Revert candidate policy only through reviewed exception/ADR.
END-TO-END ARCHITECTURE LEARNING
- Position and flow: Terraform/configuration -&gt; policy checks -&gt; deny findings or approved exception -&gt; release gate.
- Upstream/dependency boundary: W5-03:W5-05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OPA/Rego policies, Checkov configuration, fixtures, exception schema and CI consumer.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OPA/Rego policies, Checkov configuration, fixtures, exception schema and CI consumer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building inspector applying the same checklist to every blueprint.
- What goes in / happens / comes out: approved Approved regions, encryption/tag rules, exception process goes through OPA and Checkov policy pack;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Terraform describes resources; policy code decides whether a plan is allowed.
ARCHITECTURE DECISIONS AND TRADE-OFFS
- Selected recorded direction: policy-as-code and default deny make cloud controls repeatable.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reject public access, missing encryption/tags, wildcard IAM and unapproved regions. Apply classification, PII handling, tenant isolation, authorization before provider/storage calls, secret exclusion, redacted evidence, residency, retention, provenance and least privilege where applicable.
- Failure/operations: policy errors or expired exceptions fail the gate; rollback restores the last passing policy pack.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OPA and Checkov policy pack addresses make critical cloud controls executable before apply. It makes the result governed, testable and reversible, measured by critical misconfiguration fixtures are denied and valid fixtures pass.
- Two-minute technical explanation: describe OPA/Rego policies, Checkov configuration, fixtures, exception schema and CI consumer; trace Terraform/configuration -&gt; policy checks -&gt; deny findings or approved exception -&gt; release gate;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OPA and Checkov policy pack solve?
   Answer points: Connect Make critical cloud controls executable before apply. to critical misconfiguration fixtures are denied and valid fixtures pass and identify security, compliance, platform and auditors.
2. Q: Trace the end-to-end flow for W5-003.
   Answer points: Explain Terraform/configuration -&gt; policy checks -&gt; deny findings or approved exception -&gt; release gate; name upstream dependencies, downstream consumers, trust and state boundaries.
3. Q: Which design decision matters most and what alternative was rejected?
   Answer points: Discuss policy-as-code and default deny make cloud controls repeatable; compare the adjacent alternative and when it could be preferable.
4. Q: How does this task fail safely and how is it recovered?
   Answer points: Use this scenario: policy errors or expired exceptions fail the gate; rollback restores the last passing policy pack; distinguish retry, remediation, rollback, teardown and evidence.
5. Q: How are security, privacy and cost controlled?
   Answer points: Explain reject public access, missing encryption/tags, wildcard IAM and unapproved regions; include least privilege, redaction/residency, bounded resources and owner-only access.
- Design trade-off: volume/latency increases tenfold; explain whether policy-as-code and default deny make cloud controls repeatable still holds and what evidence/ADR/approval must change.
- Failure/remediation: policy errors or expired exceptions fail the gate; rollback restores the last passing policy pack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OPA and Checkov policy pack. Task — establish the governed contract. Action — map consumers, work within gates, owner-test, diagnose completely and prove lifecycle. Result — report only accepted evidence and critical misconfiguration fixtures are denied and valid fixtures pass.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regions, encryption/tag rules, exception process.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W5-003.
</t>
  </si>
  <si>
    <t>READY FOR PRE-EDIT REVIEW — W5-003</t>
  </si>
  <si>
    <t xml:space="preserve">COLUMN M — EXACT DOCUMENT WRITING APPROVAL — W5-003
This is a separate owner approval after the bounded edit and owner testing or content review. Classify every path under one—and only one—of the CREATE and UPDATE headings after read-only preflight inspection.
EXACT DOCUMENTATION BOUNDARY
CREATE:
- docs/test-evidence/W5-003.md
- docs/test-evidence/W5-06-policy.txt
- docs/test-evidence/W5-policy.txt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W5-003.
</t>
  </si>
  <si>
    <t xml:space="preserve">COLUMN N — FINAL APPROVAL AND COMPLETE DOCUMENTATION CLOSURE — W5-003
This gate authorizes documentation closure only after owner review; it is not a code, test, deployment or tracker-edit approval.
OWNER MUST SUPPLY — DO NOT INVENT
- Prompt ID: W5-003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W5-003.
</t>
  </si>
  <si>
    <t xml:space="preserve">FOUR APPROVAL GATES PLUS OWNER TESTING AND WEEKLY LEARNING — TRACKER v1.3.4
MAIN PROMPT — W5-004
TASK IDENTITY
- Week: Week 5
- Feature/outcome: Reviewed deploy, rollback, teardown and orphan scan
- Business purpose: Prove the AWS lifecycle without leaving unmanaged resources.
- Covered tracker steps: W5-09, W5-10, W5-11, W5-12, W6-12
- Required inputs: Approved saved plan; budget ceiling; typed owner confirmations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W5-09 — Generate saved Terraform plan, JSON policy result and human-readable summary.
  Business reason: Applying the reviewed bytes prevents unseen infrastructure change.
  Acceptance: Plan, policy and cost review are approved before any apply.
  Dependency: W5-02:W5-08
  Owner verification reference: make plan-sandbox
  Expected result: Summary lists creates/updates/deletes, costs and residual risks.
  Canonical evidence: docs/deployment-records/W5-plan-review.md
  Rollback/teardown: Discard saved plan on code/input drift and regenerate.
  Current tracker status (read-only historical/current fact): Not Started
  Separate Task Context: Week 5 Plan review task in the end-to-end architecture. After Code Edit Approval, Codex writes only the approved code/configuration/test code for “Generate saved Terraform plan, JSON policy result and human-readable summary.”; you run the verification/deployment commands and return the results. Business value: Applying the reviewed bytes prevents unseen infrastructure change. Interview focus: explain where this component sits, how it fails safely and how it is rolled back.
- W5-10 — After explicit approval, deploy/validate/rollback/destroy in controlled sequence.
  Business reason: Capability must be proven, but Codex must never self-approve mutations.
  Acceptance: Reviewed plan applies; validation passes; rollback path is recorded.
  Dependency: W5-09
  Owner verification reference: make deploy-sandbox  # owner-approved only
  Expected result: Deployment record contains plan hash, approver, resources and health.
  Canonical evidence: docs/deployment-records/W5-sandbox.md
  Rollback/teardown: Use last-known-good Terraform version; destroy is not ordinary rollback.
  Current tracker status (read-only historical/current fact): Not Started
  Separate Task Context: Week 5 owner decision/checkpoint in Sandbox lifecycle. You choose, approve or execute “After explicit approval, deploy/validate/rollback/destroy in controlled sequence.” because the decision affects downstream architecture and risk. Codex explains alternatives and may draft approved wording only under the proper approval stage. Business value: Capability must be proven, but Codex must never self-approve mutations. Interview focus: explain the decision, trade-off and downstream consequence.
- W5-11 — Create and review platform destroy plan; preserve bootstrap until platform is gone.
  Business reason: Deletion order prevents dependency residue and loss of auditability.
  Acceptance: Destroy plan targets only approved sandbox resources.
  Dependency: W5-10
  Owner verification reference: make plan-destroy-sandbox
  Expected result: Plan and deletion order approved; KMS window noted.
  Canonical evidence: docs/deployment-records/W5-destroy-plan.md
  Rollback/teardown: Cancel before apply if any unexpected target appears.
  Current tracker status (read-only historical/current fact): Not Started
  Separate Task Context: Week 5 Teardown plan task in the end-to-end architecture. After Code Edit Approval, Codex writes only the approved code/configuration/test code for “Create and review platform destroy plan; preserve bootstrap until platform is gone.”; you run the verification/deployment commands and return the results. Business value: Deletion order prevents dependency residue and loss of auditability. Interview focus: explain where this component sits, how it fails safely and how it is rolled back.
- W5-12 — Run verify-clean using required tags and native service APIs after approved teardown.
  Business reason: A successful Terraform destroy is not proof of zero residual resources.
  Acceptance: No active unmanaged resource remains; exception is documented PendingDeletion KMS key.
  Dependency: W5-11
  Owner verification reference: make destroy-sandbox &amp;&amp; make verify-clean  # owner-approved only
  Expected result: Resource-cleanliness report is complete and signed.
  Canonical evidence: docs/resource-cleanliness/W5-report.json
  Rollback/teardown: Remove residuals in dependency order; do not delete bootstrap until clean.
  Current tracker status (read-only historical/current fact): Not Started
  Separate Task Context: Week 5 Cleanliness proof task in the end-to-end architecture. After Code Edit Approval, Codex writes only the approved code/configuration/test code for “Run verify-clean using required tags and native service APIs after approved teardown.”; you run the verification/deployment commands and return the results. Business value: A successful Terraform destroy is not proof of zero residual resources. Interview focus: explain where this component sits, how it fails safely and how it is rolled back.
- W6-12 — Run approved destroy sequence, remove bootstrap last and verify cleanliness.
  Business reason: Learning-project cost and residue must stop after use.
  Acceptance: No active project resource remains; KMS exception is PendingDeletion only.
  Dependency: W6-11
  Owner verification reference: make plan-destroy-sandbox; owner approve; make destroy-sandbox; make verify-clean
  Expected result: Signed cleanup report and deletion record exist.
  Canonical evidence: docs/resource-cleanliness/W6-final.json
  Rollback/teardown: Remove residuals in dependency order; never broadly target unverified resources.
  Current tracker status (read-only historical/current fact): Not Started
  Separate Task Context: Week 6 owner decision/checkpoint in Full teardown. You choose, approve or execute “Run approved destroy sequence, remove bootstrap last and verify cleanliness.” because the decision affects downstream architecture and risk. Codex explains alternatives and may draft approved wording only under the proper approval stage. Business value: Learning-project cost and residue must stop after use. Interview focus: explain the decision, trade-off and downstream consequence.
Downstream tracker steps identified from recorded dependencies: W5-10, W5-11, W5-12, W5-13, W6-13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Complete platformctl for reviewed saved-plan deployment, post-deploy validation, release rollback, last-known-good Terraform rollback, destroy-safe, purge-sandbox and verify-clean. Resolve targets only by approved environment and required tags, add service-specific checks for S3 versions/multipart uploads, ECR images, OpenSearch, EKS/load balancers, IAM, Secrets Manager, logs and KMS. The remote-state bootstrap is removed last. Mutations require owner approval and explicit typed confirmation; unit/integration tests use moto/LocalStack where valid and never auto-apply or destroy.
TASK-SPECIFIC AMENDMENT — THREE SEPARATE OWNER-GATED AWS LIFECYCLE CYCLES
Never combine these cycles. Each requires a fresh read-only pre-edit plan, exact saved-plan/input/code hashes, typed owner command approval, independent validation and final owner approval. Terraform plan may read AWS; apply/destroy mutate AWS and are never implied by Column L.
CYCLE A — WEEK 5 / W5-09 TO W5-12
1. If the remote backend is absent, create a bootstrap saved plan, review policy/cost/targets, obtain explicit apply approval, apply those exact bytes and validate the backend before the platform plan.
2. Generate the platform saved plan, redacted JSON/policy/cost summaries and plan hash. Invalidate/regenerate on any code/input/lock/provider/state drift.
3. After separate apply approval, deploy exact reviewed bytes, validate, run release and infrastructure rollback controls separately, create/review the destroy plan, obtain separate destroy approval, destroy platform then bootstrap last, and run tag plus native service cleanup. Complete W5 with no active project resource except documented KMS PendingDeletion.
CYCLE B — AFTER W5-13 / BEFORE W6-01
Recreate the approved Week 6 sandbox from new bootstrap and platform saved plans with separate review/apply approvals. Validate ECR/EKS/network/identity/observability prerequisites. This is a new controlled deployment, never reuse stale Week 5 plan bytes.
CYCLE C — AFTER W6-11 / W6-12 FINAL TEARDOWN
Generate/review the final destroy plan, remove traffic/triggers and platform resources in dependency order, remove bootstrap/state last, schedule KMS deletion and prove zero active project residuals. Shared VPC/EKS or owner resources are never targets.
Across all cycles: resolve exact account/region/environment/tags; enforce budget; use short-lived identity; never log secrets/plan-sensitive values; distinguish release rollback, infrastructure rollback and teardown; verify S3 versions/delete markers/multipart uploads, ECR, OpenSearch, EKS/LBs/ENIs, IAM, Secrets Manager, logs/alarms and KMS natively. Canonical Week 5 records: W5-plan-review.md, W5-sandbox.md, W5-destroy-plan.md and W5-report.json; final Week 6 cleanliness: W6-final.json. Any unexpected target/residual, missing approval or hash drift stops execution.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Terraform: Keep roots and modules explicit, providers constrained, state isolated and saved-plan/apply/destroy commands owner-only.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Prove the AWS lifecycle without leaving unmanaged resources. The primary beneficiaries are owner, SRE, security, finance and reviewers.
- Process and risk: This task supports approved saved plan/artifact -&gt; typed owner confirmation -&gt; deploy -&gt; verification -&gt; rollback/teardown -&gt; orphan and cost scan. Without it, the platform can produce an unauditable, insecure or non-reproducible result at this exact layer.
- Measurable outcome: verified service plus complete removal and zero unexplained spend/residue. It contributes to the MVP by making Reviewed deploy, rollback, teardown and orphan scan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W5-09 (Not Started): Generate saved Terraform plan, JSON policy result and human-readable summary. Why: Applying the reviewed bytes prevents unseen infrastructure change. Acceptance: Plan, policy and cost review are approved before any apply. Dependency: W5-02:W5-08. Owner verification: follow 02 Master Plan!M66 through TEST-001 one command at a time. Expected: Summary lists creates/updates/deletes, costs and residual risks. Evidence: docs/deployment-records/W5-plan-review.md Rollback/teardown: Discard saved plan on code/input drift and regenerate.
- W5-10 (Not Started): After explicit approval, deploy/validate/rollback/destroy in controlled sequence. Why: Capability must be proven, but Codex must never self-approve mutations. Acceptance: Reviewed plan applies; validation passes; rollback path is recorded. Dependency: W5-09. Owner verification: follow 02 Master Plan!M67 through TEST-001 one command at a time. Expected: Deployment record contains plan hash, approver, resources and health. Evidence: docs/deployment-records/W5-sandbox.md Rollback/teardown: Use last-known-good Terraform version; destroy is not ordinary rollback.
- W5-11 (Not Started): Create and review platform destroy plan; preserve bootstrap until platform is gone. Why: Deletion order prevents dependency residue and loss of auditability. Acceptance: Destroy plan targets only approved sandbox resources. Dependency: W5-10. Owner verification: follow 02 Master Plan!M68 through TEST-001 one command at a time. Expected: Plan and deletion order approved; KMS window noted. Evidence: docs/deployment-records/W5-destroy-plan.md Rollback/teardown: Cancel before apply if any unexpected target appears.
- W5-12 (Not Started): Run verify-clean using required tags and native service APIs after approved teardown. Why: A successful Terraform destroy is not proof of zero residual resources. Acceptance: No active unmanaged resource remains; exception is documented PendingDeletion KMS key. Dependency: W5-11. Owner verification: follow 02 Master Plan!M69 through TEST-001 one command at a time. Expected: Resource-cleanliness report is complete and signed. Evidence: docs/resource-cleanliness/W5-report.json Rollback/teardown: Remove residuals in dependency order; do not delete bootstrap until clean.
- W6-12 (Not Started): Run approved destroy sequence, remove bootstrap last and verify cleanliness. Why: Learning-project cost and residue must stop after use. Acceptance: No active project resource remains; KMS exception is PendingDeletion only. Dependency: W6-11. Owner verification: follow 02 Master Plan!M83 through TEST-001 one command at a time. Expected: Signed cleanup report and deletion record exist. Evidence: docs/resource-cleanliness/W6-final.json Rollback/teardown: Remove residuals in dependency order; never broadly target unverified resources.
END-TO-END ARCHITECTURE LEARNING
- Position and flow: approved saved plan/artifact -&gt; typed owner confirmation -&gt; deploy -&gt; verification -&gt; rollback/teardown -&gt; orphan and cost scan.
- Upstream/dependency boundary: W5-02:W5-08, W5-09, W5-10, W5-11, W6-11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deployment checklist, saved plan, evidence, rollback target, destroy plan, tag/native scans and budget review.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deployment checklist, saved plan, evidence, rollback target, destroy plan, tag/native scans and budget review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launching and recovering a spacecraft using signed go/no-go checklists.
- What goes in / happens / comes out: approved Approved saved plan; budget ceiling; typed owner confirmations goes through Reviewed deploy, rollback, teardown and orphan scan;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deployment activates resources; rollback restores service; teardown removes the sandbox.
ARCHITECTURE DECISIONS AND TRADE-OFFS
- Selected recorded direction: reviewed immutable inputs and explicit lifecycle checkpoints constrain cloud blast radius.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owner credentials stay outside Codex; tags, region, residency and least privilege are verified. Apply classification, PII handling, tenant isolation, authorization before provider/storage calls, secret exclusion, redacted evidence, residency, retention, provenance and least privilege where applicable.
- Failure/operations: partial deployment stops; rollback or teardown preserves dependencies and reports residuals.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Reviewed deploy, rollback, teardown and orphan scan addresses prove the aws lifecycle without leaving unmanaged resources. It makes the result governed, testable and reversible, measured by verified service plus complete removal and zero unexplained spend/residue.
- Two-minute technical explanation: describe deployment checklist, saved plan, evidence, rollback target, destroy plan, tag/native scans and budget review; trace approved saved plan/artifact -&gt; typed owner confirmation -&gt; deploy -&gt; verification -&gt; rollback/teardown -&gt; orphan and cost scan;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Reviewed deploy, rollback, teardown and orphan scan solve?
   Answer points: Connect Prove the AWS lifecycle without leaving unmanaged resources. to verified service plus complete removal and zero unexplained spend/residue and identify owner, SRE, security, finance and reviewers.
2. Q: Trace the end-to-end flow for W5-004.
   Answer points: Explain approved saved plan/artifact -&gt; typed owner confirmation -&gt; deploy -&gt; verification -&gt; rollback/teardown -&gt; orphan and cost scan; name upstream dependencies, downstream consumers, trust and state boundaries.
3. Q: Which design decision matters most and what alternative was rejected?
   Answer points: Discuss reviewed immutable inputs and explicit lifecycle checkpoints constrain cloud blast radius; compare the adjacent alternative and when it could be preferable.
4. Q: How does this task fail safely and how is it recovered?
   Answer points: Use this scenario: partial deployment stops; rollback or teardown preserves dependencies and reports residuals; distinguish retry, remediation, rollback, teardown and evidence.
5. Q: How are security, privacy and cost controlled?
   Answer points: Explain owner credentials stay outside Codex; tags, region, residency and least privilege are verified; include least privilege, redaction/residency, bounded resources and owner-only access.
- Design trade-off: volume/latency increases tenfold; explain whether reviewed immutable inputs and explicit lifecycle checkpoints constrain cloud blast radius still holds and what evidence/ADR/approval must change.
- Failure/remediation: partial deployment stops; rollback or teardown preserves dependencies and reports residuals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Reviewed deploy, rollback, teardown and orphan scan. Task — establish the governed contract. Action — map consumers, work within gates, owner-test, diagnose completely and prove lifecycle. Result — report only accepted evidence and verified service plus complete removal and zero unexplained spend/residue.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saved plan; budget ceiling; typed owner confirmations.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W5-004.
</t>
  </si>
  <si>
    <t>READY FOR PRE-EDIT REVIEW — W5-004</t>
  </si>
  <si>
    <t>W5-09, W5-10, W5-11, W5-12, W6-12</t>
  </si>
  <si>
    <t xml:space="preserve">COLUMN N — FINAL APPROVAL AND COMPLETE DOCUMENTATION CLOSURE — W5-004
This gate authorizes documentation closure only after owner review; it is not a code, test, deployment or tracker-edit approval.
OWNER MUST SUPPLY — DO NOT INVENT
- Prompt ID: W5-004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W5-004.
</t>
  </si>
  <si>
    <t xml:space="preserve">FOUR APPROVAL GATES PLUS OWNER TESTING AND WEEKLY LEARNING — TRACKER v1.3.4
MAIN PROMPT — W6-001
TASK IDENTITY
- Week: Week 6
- Feature/outcome: Immutable EKS application deployment
- Business purpose: Deploy the verified service with workload identity and safe rollout controls.
- Covered tracker steps: W6-02, W6-03, W6-04, W6-05
- Required inputs: EKS cluster/namespace, ECR digest, domain/cert, pod identity choice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W6-02 — Create EKS deployment/Service with non-root/read-only settings and probes.
  Business reason: Production-shaped runtime boundaries reduce container and availability risk.
  Acceptance: Server dry-run and policy validation pass.
  Dependency: W6-01
  Owner verification reference: kubectl apply --dry-run=server -f deploy/k8s
  Expected result: Manifests use immutable digest and no secret literal.
  Canonical evidence: docs/test-evidence/W6-02-k8s.txt
  Rollback/teardown: kubectl rollout undo or redeploy previous digest.
  Current tracker status (read-only historical/current fact): Not Started
  Separate Task Context: Week 6 Kubernetes task in the end-to-end architecture. After Code Edit Approval, Codex writes only the approved code/configuration/test code for “Create EKS deployment/Service with non-root/read-only settings and probes.”; you run the verification/deployment commands and return the results. Business value: Production-shaped runtime boundaries reduce container and availability risk. Interview focus: explain where this component sits, how it fails safely and how it is rolled back.
- W6-03 — Configure EKS Pod Identity/IRSA, RBAC and least-privilege service account.
  Business reason: Pods must never contain static AWS credentials.
  Acceptance: Pod accesses only required AWS APIs and env has no static key.
  Dependency: W5-04,W6-02
  Owner verification reference: kubectl exec deploy/enterprise-ai-api -- env | grep AWS_ACCESS_KEY_ID; test $? -ne 0
  Expected result: No static credential; role session is short-lived and scoped.
  Canonical evidence: docs/test-evidence/W6-03-identity.txt
  Rollback/teardown: Remove service-account binding and restore prior role policy.
  Current tracker status (read-only historical/current fact): Not Started
  Separate Task Context: Week 6 Workload identity task in the end-to-end architecture. After Code Edit Approval, Codex writes only the approved code/configuration/test code for “Configure EKS Pod Identity/IRSA, RBAC and least-privilege service account.”; you run the verification/deployment commands and return the results. Business value: Pods must never contain static AWS credentials. Interview focus: explain where this component sits, how it fails safely and how it is rolled back.
- W6-04 — Apply NetworkPolicy and approved ingress/egress boundaries.
  Business reason: Retrieval/model paths should be explicit and least privilege.
  Acceptance: Denied destination test fails; approved dependencies remain reachable.
  Dependency: W6-03
  Owner verification reference: kubectl apply --dry-run=server -f deploy/k8s/networkpolicy.yaml
  Expected result: Network test evidence documents permitted flows.
  Canonical evidence: docs/test-evidence/W6-04-network.txt
  Rollback/teardown: Restore last-known-good policy; scale down if isolation is uncertain.
  Current tracker status (read-only historical/current fact): Not Started
  Separate Task Context: Week 6 Network security task in the end-to-end architecture. After Code Edit Approval, Codex writes only the approved code/configuration/test code for “Apply NetworkPolicy and approved ingress/egress boundaries.”; you run the verification/deployment commands and return the results. Business value: Retrieval/model paths should be explicit and least privilege. Interview focus: explain where this component sits, how it fails safely and how it is rolled back.
- W6-05 — Configure requests/limits, HPA, PDB and rolling update settings.
  Business reason: Availability and autoscaling must be defined before load/chaos tests.
  Acceptance: Schema/policy checks pass and settings have rationale.
  Dependency: W6-02
  Owner verification reference: kubectl apply --dry-run=server -f deploy/k8s
  Expected result: PDB/HPA do not conflict at minimum replicas.
  Canonical evidence: docs/test-evidence/W6-05-resilience.txt
  Rollback/teardown: Rollback manifests and return to last safe replica/settings.
  Current tracker status (read-only historical/current fact): Not Started
  Separate Task Context: Week 6 Resilience task in the end-to-end architecture. After Code Edit Approval, Codex writes only the approved code/configuration/test code for “Configure requests/limits, HPA, PDB and rolling update settings.”; you run the verification/deployment commands and return the results. Business value: Availability and autoscaling must be defined before load/chaos tests. Interview focus: explain where this component sits, how it fails safely and how it is rolled back.
Downstream tracker steps identified from recorded dependencies: W6-03, W6-04, W6-05, W6-06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deployment manifests or a Helm chart for the FastAPI service using immutable ECR image digest, non-root/read-only container settings, resource requests/limits, readiness/liveness/startup probes, Service, NetworkPolicy, PodDisruptionBudget and HPA. Use EKS Pod Identity or IRSA with least privilege and no static keys. Add rolling deployment settings, revision history and a documented rollback to the last-known-good digest. Keep organization values as TODOs. Add manifest/schema and policy tests.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Define the exact repository-evidenced owner-run commands; Codex does not execute them.
6. Confirm no ignored or Git-invisible residue remains.
TASK-SPECIFIC AMENDMENT — OWNER-GATED IMMUTABLE EKS ROLLOUT
Require W5-13, successful W5-004 Cycle B, W5-002 Phase B, EKS-001/NET-001/SLO-001 and an immutable ECR digest with matching scan/SBOM. Confirm whether EKS/VPC are project-owned or shared; shared resources are never teardown targets.
1. Static manifest/Helm/schema/Gatekeeper checks are offline. Server dry-run, cluster inspection and rollout are networked; apply/rollout/rollback are Kubernetes mutations requiring separate exact namespace/context/digest command approval beyond Column L.
2. Use non-root, read-only root filesystem, seccomp RuntimeDefault, dropped capabilities, no privilege escalation, explicit service account, least-privilege Pod Identity/IRSA, namespace RBAC and no static AWS key. Do not dump the full pod environment; test only targeted key-name absence and expected caller identity without exposing credentials.
3. NetworkPolicy is default-deny with explicit DNS, Bedrock/OpenSearch/OTel and approved ingress/egress paths; validate dependencies before enforcement. Probes have distinct startup/liveness/readiness semantics and bounded timeouts. Configure justified requests/limits, HPA min/max/metrics, PDB and rolling maxSurge/maxUnavailable with termination grace and revision history.
4. Test immutable digest, schema/policy, RBAC/service-account binding, forbidden secret literals, denied/allowed network paths, probe failures, scheduling/resources, HPA/PDB interaction, rollout timeout and rollback to prior digest. Canonical evidence: W6-02-k8s.txt, W6-03-identity.txt, W6-04-network.txt and W6-05-resilience.txt; reconcile aggregate W6-k8s/W6-identity records. No mutation without exact approval and cleanup/rollback plan.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Kubernetes: Require immutable digests, namespace scope, workload identity, probes, resource bounds, rollout safety and owner-only cluster commands.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Deploy the verified service with workload identity and safe rollout controls. The primary beneficiaries are platform, application, security and SRE teams.
- Process and risk: This task supports verified image digest -&gt; manifests/Helm -&gt; EKS admission -&gt; workload identity -&gt; service/ingress -&gt; rollout evidence. Without it, the platform can produce an unauditable, insecure or non-reproducible result at this exact layer.
- Measurable outcome: healthy rollout on approved digest with rollback proven. It contributes to the MVP by making Immutable EKS application deployment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W6-02 (Not Started): Create EKS deployment/Service with non-root/read-only settings and probes. Why: Production-shaped runtime boundaries reduce container and availability risk. Acceptance: Server dry-run and policy validation pass. Dependency: W6-01. Owner verification: follow 02 Master Plan!M73 through TEST-001 one command at a time. Expected: Manifests use immutable digest and no secret literal. Evidence: docs/test-evidence/W6-02-k8s.txt Rollback/teardown: kubectl rollout undo or redeploy previous digest.
- W6-03 (Not Started): Configure EKS Pod Identity/IRSA, RBAC and least-privilege service account. Why: Pods must never contain static AWS credentials. Acceptance: Pod accesses only required AWS APIs and env has no static key. Dependency: W5-04,W6-02. Owner verification: follow 02 Master Plan!M74 through TEST-001 one command at a time. Expected: No static credential; role session is short-lived and scoped. Evidence: docs/test-evidence/W6-03-identity.txt Rollback/teardown: Remove service-account binding and restore prior role policy.
- W6-04 (Not Started): Apply NetworkPolicy and approved ingress/egress boundaries. Why: Retrieval/model paths should be explicit and least privilege. Acceptance: Denied destination test fails; approved dependencies remain reachable. Dependency: W6-03. Owner verification: follow 02 Master Plan!M75 through TEST-001 one command at a time. Expected: Network test evidence documents permitted flows. Evidence: docs/test-evidence/W6-04-network.txt Rollback/teardown: Restore last-known-good policy; scale down if isolation is uncertain.
- W6-05 (Not Started): Configure requests/limits, HPA, PDB and rolling update settings. Why: Availability and autoscaling must be defined before load/chaos tests. Acceptance: Schema/policy checks pass and settings have rationale. Dependency: W6-02. Owner verification: follow 02 Master Plan!M76 through TEST-001 one command at a time. Expected: PDB/HPA do not conflict at minimum replicas. Evidence: docs/test-evidence/W6-05-resilience.txt Rollback/teardown: Rollback manifests and return to last safe replica/settings.
END-TO-END ARCHITECTURE LEARNING
- Position and flow: verified image digest -&gt; manifests/Helm -&gt; EKS admission -&gt; workload identity -&gt; service/ingress -&gt; rollout evidence.
- Upstream/dependency boundary: W6-01, W5-04,W6-02, W6-03, W6-02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Kubernetes workload, Service, ingress, probes, resources, security context, Pod Identity/IRSA and immutable image.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Kubernetes workload, Service, ingress, probes, resources, security context, Pod Identity/IRSA and immutable image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sealed cargo container admitted to a controlled port with its own badge.
- What goes in / happens / comes out: approved EKS cluster/namespace, ECR digest, domain/cert, pod identity choice goes through Immutable EKS application deployment;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ECR stores images; Kubernetes schedules workloads; ingress exposes approved traffic.
ARCHITECTURE DECISIONS AND TRADE-OFFS
- Selected recorded direction: digest pinning, least-privilege identity and controlled rollout replace mutable tags and node credentials.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non-root/read-only pod, network/secret boundaries and namespace RBAC constrain access. Apply classification, PII handling, tenant isolation, authorization before provider/storage calls, secret exclusion, redacted evidence, residency, retention, provenance and least privilege where applicable.
- Failure/operations: failed readiness/regression triggers rollout undo to the prior digest; namespace resources are inventoried for teardown.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Immutable EKS application deployment addresses deploy the verified service with workload identity and safe rollout controls. It makes the result governed, testable and reversible, measured by healthy rollout on approved digest with rollback proven.
- Two-minute technical explanation: describe Kubernetes workload, Service, ingress, probes, resources, security context, Pod Identity/IRSA and immutable image; trace verified image digest -&gt; manifests/Helm -&gt; EKS admission -&gt; workload identity -&gt; service/ingress -&gt; rollout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Immutable EKS application deployment solve?
   Answer points: Connect Deploy the verified service with workload identity and safe rollout controls. to healthy rollout on approved digest with rollback proven and identify platform, application, security and SRE teams.
2. Q: Trace the end-to-end flow for W6-001.
   Answer points: Explain verified image digest -&gt; manifests/Helm -&gt; EKS admission -&gt; workload identity -&gt; service/ingress -&gt; rollout evidence; name upstream dependencies, downstream consumers, trust and state boundaries.
3. Q: Which design decision matters most and what alternative was rejected?
   Answer points: Discuss digest pinning, least-privilege identity and controlled rollout replace mutable tags and node credentials; compare the adjacent alternative and when it could be preferable.
4. Q: How does this task fail safely and how is it recovered?
   Answer points: Use this scenario: failed readiness/regression triggers rollout undo to the prior digest; namespace resources are inventoried for teardown; distinguish retry, remediation, rollback, teardown and evidence.
5. Q: How are security, privacy and cost controlled?
   Answer points: Explain non-root/read-only pod, network/secret boundaries and namespace RBAC constrain access; include least privilege, redaction/residency, bounded resources and owner-only access.
- Design trade-off: volume/latency increases tenfold; explain whether digest pinning, least-privilege identity and controlled rollout replace mutable tags and node credentials still holds and what evidence/ADR/approval must change.
- Failure/remediation: failed readiness/regression triggers rollout undo to the prior digest; namespace resources are inventoried for teardown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Immutable EKS application deployment. Task — establish the governed contract. Action — map consumers, work within gates, owner-test, diagnose completely and prove lifecycle. Result — report only accepted evidence and healthy rollout on approved digest with rollback proven.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EKS cluster/namespace, ECR digest, domain/cert, pod identity choice.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W6-001.
</t>
  </si>
  <si>
    <t>READY FOR PRE-EDIT REVIEW — W6-001</t>
  </si>
  <si>
    <t>W6-02, W6-03, W6-04, W6-05</t>
  </si>
  <si>
    <t xml:space="preserve">COLUMN N — FINAL APPROVAL AND COMPLETE DOCUMENTATION CLOSURE — W6-001
This gate authorizes documentation closure only after owner review; it is not a code, test, deployment or tracker-edit approval.
OWNER MUST SUPPLY — DO NOT INVENT
- Prompt ID: W6-001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W6-001.
</t>
  </si>
  <si>
    <t xml:space="preserve">FOUR APPROVAL GATES PLUS OWNER TESTING AND WEEKLY LEARNING — TRACKER v1.3.4
MAIN PROMPT — W6-002
TASK IDENTITY
- Week: Week 6
- Feature/outcome: SRE observability, alerts, runbook and chaos plan
- Business purpose: Make the platform supportable and measurable.
- Covered tracker steps: W6-06, W6-07, W6-08, W6-09
- Required inputs: SLO approval; alert destination; pre-production chaos approval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W6-06 — Deploy OTel path to CloudWatch/X-Ray plus Prometheus/Grafana/Jaeger option.
  Business reason: Vendor-neutral telemetry supports both AWS and open-source operations.
  Acceptance: One request trace links API, retrieval and LLM spans.
  Dependency: W4-08,W6-02
  Owner verification reference: pytest tests/feature/test_trace_correlation.py -q
  Expected result: Trace/log/metric IDs correlate without sensitive content.
  Canonical evidence: docs/test-evidence/W6-06-observability.json
  Rollback/teardown: Disable broken exporter; preserve local telemetry path.
  Current tracker status (read-only historical/current fact): Not Started
  Separate Task Context: Week 6 Observability platform task in the end-to-end architecture. After Code Edit Approval, Codex writes only the approved code/configuration/test code for “Deploy OTel path to CloudWatch/X-Ray plus Prometheus/Grafana/Jaeger option.”; you run the verification/deployment commands and return the results. Business value: Vendor-neutral telemetry supports both AWS and open-source operations. Interview focus: explain where this component sits, how it fails safely and how it is rolled back.
- W6-07 — Approve SLIs/SLOs, error-budget policy and burn alerts.
  Business reason: Reliability targets must reflect user pain and govern releases.
  Acceptance: Availability 99.9%, p95&lt;4s, p99&lt;10s, retrieval p99&lt;750ms, grounded&gt;=95%, isolation/safety=100% are reviewed.
  Dependency: W6-06
  Owner verification reference: promtool check rules observability/alerts.yml
  Expected result: Rules validate and map to an owner/runbook.
  Canonical evidence: docs/architecture/slo.md
  Rollback/teardown: Disable noisy alert only through reviewed threshold/runbook update.
  Current tracker status (read-only historical/current fact): Not Started
  Separate Task Context: Week 6 SRE objectives task in the end-to-end architecture. After Code Edit Approval, Codex writes only the approved code/configuration/test code for “Approve SLIs/SLOs, error-budget policy and burn alerts.”; you run the verification/deployment commands and return the results. Business value: Reliability targets must reflect user pain and govern releases. Interview focus: explain where this component sits, how it fails safely and how it is rolled back.
- W6-08 — Create and rehearse inference-latency-spike runbook.
  Business reason: An alert is useful only if it drives a safe action.
  Acceptance: Runbook covers impact, stabilize, stage isolation, rollback and evidence.
  Dependency: W6-06,W6-07
  Owner verification reference: Run tabletop and record timeline
  Expected result: Owner can distinguish retrieval, model, queue and dependency latency.
  Canonical evidence: runbooks/inference-latency.md
  Rollback/teardown: Rollback release/config; use safe refusal/fallback if approved.
  Current tracker status (read-only historical/current fact): Not Started
  Separate Task Context: Week 6 Runbook task in the end-to-end architecture. After Code Edit Approval, Codex writes only the approved code/configuration/test code for “Create and rehearse inference-latency-spike runbook.”; you run the verification/deployment commands and return the results. Business value: An alert is useful only if it drives a safe action. Interview focus: explain where this component sits, how it fails safely and how it is rolled back.
- W6-09 — Stop Qdrant/inject LLM timeout locally; prepare FIS plan without executing it.
  Business reason: Controlled failure proves readiness, bounded retries and alert/runbook quality.
  Acceptance: Readiness fails, no retry storm, alert/runbook activates; FIS has tag targets/stop alarms.
  Dependency: W6-07,W6-08
  Owner verification reference: pytest tests/feature/test_failure_modes.py -q
  Expected result: RTO and alert evidence recorded; no production target.
  Canonical evidence: docs/test-evidence/W6-09-chaos.txt
  Rollback/teardown: Stop experiment, restore dependency, rollback configuration.
  Current tracker status (read-only historical/current fact): Not Started
  Separate Task Context: Week 6 Failure/chaos task in the end-to-end architecture. After Code Edit Approval, Codex writes only the approved code/configuration/test code for “Stop Qdrant/inject LLM timeout locally; prepare FIS plan without executing it.”; you run the verification/deployment commands and return the results. Business value: Controlled failure proves readiness, bounded retries and alert/runbook quality. Interview focus: explain where this component sits, how it fails safely and how it is rolled back.
Downstream tracker steps identified from recorded dependencies: W6-07, W6-08, W6-09, W6-10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OpenTelemetry Collector configuration, Prometheus scrape config, Grafana dashboard JSON, CloudWatch/X-Ray export path and alert rules for availability, p95/p99 end-to-end latency, retrieval latency, errors, throttles, token/cost rate and agent-policy failures. Define SLIs/SLOs and burn-rate alerts. Write the inference-latency-spike runbook with impact, triage, stabilization, investigation, rollback and evidence steps. Add local Qdrant-stop/LLM-timeout tests and a pre-production AWS FIS experiment plan with tag targets and alarm stop conditions; do not execute FIS.
TASK-SPECIFIC AMENDMENT — OBSERVABILITY, SLO AND SAFE FAILURE EXERCISES
Require independently approved W6-001 plus OBS-001, SLO-001 and FIS-001 decisions. Record alert destination/on-call, telemetry retention/redaction, SLI windows/exclusions, error-budget/burn policy and FIS owner/targets/stop alarms; never invent them.
1. Keep telemetry low-cardinality and content-free. Correlate API, auth, retrieval, embedding, LLM, guardrail, approval and tool stages. Exporter failure/backpressure must be bounded and must not break the core answer path. CloudWatch/X-Ray/collector deployment is networked/Kubernetes/cloud mutation and separately authorized; local configs/tests come first.
2. Define measurable availability, p95/p99, retrieval latency, grounded/citation/safe-abstention and isolation/safety SLIs with denominators, windows and exclusions. Validate burn-rate rules against synthetic firing/non-firing series and link every alert to owner/runbook.
3. Rehearse the inference-latency runbook with impact → stabilize → isolate stage → mitigate/rollback → recover → learn, evidence and escalation. Local Qdrant stop/LLM timeout is a bounded local mutation requiring exact target, duration, restoration and cleanup approval.
4. FIS is plan-only: tag-scoped targets, blast-radius caps, IAM, stop alarms, abort/recovery and cost estimate. Do not create or execute an FIS experiment.
5. Test redaction/cardinality/correlation, alert rules, exporter outage, readiness, retry-storm prevention, timeout/fallback/refusal and full restoration. Canonical evidence: W6-06-observability.json, docs/architecture/slo.md, runbooks/inference-latency.md and W6-09-chaos.txt; reconcile aggregate W6-alerts/W6-chaos evidence.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AWS/cloud: Use explicit account, region, role and service boundaries, short-lived identity, least privilege, cost limits and owner-only API execution.
- Kubernetes: Require immutable digests, namespace scope, workload identity, probes, resource bounds, rollout safety and owner-only cluster commands.
- Network: Enumerate every permitted and denied flow, bind only approved interfaces and prevent implicit public or host exposure.
- Data/privacy: Classify data, minimize content, prohibit secrets/PII in logs and evidence, and state residency, retention and deletion effects.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the platform supportable and measurable. The primary beneficiaries are users, on-call SRE, product owner and security.
- Process and risk: This task supports service signals -&gt; SLI calculations -&gt; SLO/error budget -&gt; alerts -&gt; runbook/chaos exercise -&gt; remediation evidence. Without it, the platform can produce an unauditable, insecure or non-reproducible result at this exact layer.
- Measurable outcome: alerts detect real SLO risk and the runbook restores service within bounds. It contributes to the MVP by making SRE observability, alerts, runbook and chaos plan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W6-06 (Not Started): Deploy OTel path to CloudWatch/X-Ray plus Prometheus/Grafana/Jaeger option. Why: Vendor-neutral telemetry supports both AWS and open-source operations. Acceptance: One request trace links API, retrieval and LLM spans. Dependency: W4-08,W6-02. Owner verification: follow 02 Master Plan!M77 through TEST-001 one command at a time. Expected: Trace/log/metric IDs correlate without sensitive content. Evidence: docs/test-evidence/W6-06-observability.json Rollback/teardown: Disable broken exporter; preserve local telemetry path.
- W6-07 (Not Started): Approve SLIs/SLOs, error-budget policy and burn alerts. Why: Reliability targets must reflect user pain and govern releases. Acceptance: Availability 99.9%, p95&lt;4s, p99&lt;10s, retrieval p99&lt;750ms, grounded&gt;=95%, isolation/safety=100% are reviewed. Dependency: W6-06. Owner verification: follow 02 Master Plan!M78 through TEST-001 one command at a time. Expected: Rules validate and map to an owner/runbook. Evidence: docs/architecture/slo.md Rollback/teardown: Disable noisy alert only through reviewed threshold/runbook update.
- W6-08 (Not Started): Create and rehearse inference-latency-spike runbook. Why: An alert is useful only if it drives a safe action. Acceptance: Runbook covers impact, stabilize, stage isolation, rollback and evidence. Dependency: W6-06,W6-07. Owner verification: follow 02 Master Plan!M79 through TEST-001 one command at a time. Expected: Owner can distinguish retrieval, model, queue and dependency latency. Evidence: runbooks/inference-latency.md Rollback/teardown: Rollback release/config; use safe refusal/fallback if approved.
- W6-09 (Not Started): Stop Qdrant/inject LLM timeout locally; prepare FIS plan without executing it. Why: Controlled failure proves readiness, bounded retries and alert/runbook quality. Acceptance: Readiness fails, no retry storm, alert/runbook activates; FIS has tag targets/stop alarms. Dependency: W6-07,W6-08. Owner verification: follow 02 Master Plan!M80 through TEST-001 one command at a time. Expected: RTO and alert evidence recorded; no production target. Evidence: docs/test-evidence/W6-09-chaos.txt Rollback/teardown: Stop experiment, restore dependency, rollback configuration.
END-TO-END ARCHITECTURE LEARNING
- Position and flow: service signals -&gt; SLI calculations -&gt; SLO/error budget -&gt; alerts -&gt; runbook/chaos exercise -&gt; remediation evidence.
- Upstream/dependency boundary: W4-08,W6-02, W6-06, W6-06,W6-07, W6-07,W6-08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metrics/traces/logs, dashboards, alert rules, SLOs, runbook and bounded chaos scenarios.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metrics/traces/logs, dashboards, alert rules, SLOs, runbook and bounded chaos scenarios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smoke alarm plus evacuation drill, not just a thermometer.
- What goes in / happens / comes out: approved SLO approval; alert destination; pre-production chaos approval goes through SRE observability, alerts, runbook and chaos plan;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observability supplies signals; SRE turns them into objectives and response.
ARCHITECTURE DECISIONS AND TRADE-OFFS
- Selected recorded direction: user-centered SLOs and actionable alerts are selected over raw infrastructure noise.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telemetry is redacted/access-controlled; chaos uses pre-production approval. Apply classification, PII handling, tenant isolation, authorization before provider/storage calls, secret exclusion, redacted evidence, residency, retention, provenance and least privilege where applicable.
- Failure/operations: alert/runbook gaps are found in bounded exercises; stop and restore steady state.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SRE observability, alerts, runbook and chaos plan addresses make the platform supportable and measurable. It makes the result governed, testable and reversible, measured by alerts detect real SLO risk and the runbook restores service within bounds.
- Two-minute technical explanation: describe metrics/traces/logs, dashboards, alert rules, SLOs, runbook and bounded chaos scenarios; trace service signals -&gt; SLI calculations -&gt; SLO/error budget -&gt; alerts -&gt; runbook/chaos exercise -&gt; remediation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SRE observability, alerts, runbook and chaos plan solve?
   Answer points: Connect Make the platform supportable and measurable. to alerts detect real SLO risk and the runbook restores service within bounds and identify users, on-call SRE, product owner and security.
2. Q: Trace the end-to-end flow for W6-002.
   Answer points: Explain service signals -&gt; SLI calculations -&gt; SLO/error budget -&gt; alerts -&gt; runbook/chaos exercise -&gt; remediation evidence; name upstream dependencies, downstream consumers, trust and state boundaries.
3. Q: Which design decision matters most and what alternative was rejected?
   Answer points: Discuss user-centered SLOs and actionable alerts are selected over raw infrastructure noise; compare the adjacent alternative and when it could be preferable.
4. Q: How does this task fail safely and how is it recovered?
   Answer points: Use this scenario: alert/runbook gaps are found in bounded exercises; stop and restore steady state; distinguish retry, remediation, rollback, teardown and evidence.
5. Q: How are security, privacy and cost controlled?
   Answer points: Explain telemetry is redacted/access-controlled; chaos uses pre-production approval; include least privilege, redaction/residency, bounded resources and owner-only access.
- Design trade-off: volume/latency increases tenfold; explain whether user-centered SLOs and actionable alerts are selected over raw infrastructure noise still holds and what evidence/ADR/approval must change.
- Failure/remediation: alert/runbook gaps are found in bounded exercises; stop and restore steady state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SRE observability, alerts, runbook and chaos plan. Task — establish the governed contract. Action — map consumers, work within gates, owner-test, diagnose completely and prove lifecycle. Result — report only accepted evidence and alerts detect real SLO risk and the runbook restores service within bounds.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SLO approval; alert destination; pre-production chaos approval.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W6-002.
</t>
  </si>
  <si>
    <t>READY FOR PRE-EDIT REVIEW — W6-002</t>
  </si>
  <si>
    <t>W6-06, W6-07, W6-08, W6-09</t>
  </si>
  <si>
    <t xml:space="preserve">COLUMN M — EXACT DOCUMENT WRITING APPROVAL — W6-002
This is a separate owner approval after the bounded edit and owner testing or content review. Classify every path under one—and only one—of the CREATE and UPDATE headings after read-only preflight inspection.
EXACT DOCUMENTATION BOUNDARY
CREATE:
- docs/test-evidence/W6-002.md
- docs/architecture/slo.md
- docs/test-evidence/W6-06-observability.json
- docs/test-evidence/W6-09-chaos.txt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W6-002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W6-002.
</t>
  </si>
  <si>
    <t xml:space="preserve">COLUMN N — FINAL APPROVAL AND COMPLETE DOCUMENTATION CLOSURE — W6-002
This gate authorizes documentation closure only after owner review; it is not a code, test, deployment or tracker-edit approval.
OWNER MUST SUPPLY — DO NOT INVENT
- Prompt ID: W6-002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W6-002.
</t>
  </si>
  <si>
    <t xml:space="preserve">FOUR APPROVAL GATES PLUS OWNER TESTING AND WEEKLY LEARNING — TRACKER v1.3.4
MAIN PROMPT — W6-003
TASK IDENTITY
- Week: Week 6
- Feature/outcome: Final end-to-end proof and handover
- Business purpose: Demonstrate architecture, quality, safety, rollback and clean teardown together.
- Covered tracker steps: W6-10, W6-11, W6-13
- Required inputs: Approved sandbox window and evidence locations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W6-10 — Run local and sandbox cited query plus golden evaluation/security suite.
  Business reason: Final proof must combine functionality, quality, security and observability.
  Acceptance: No material regression; sandbox query has citations and trace ID.
  Dependency: W6-01:W6-09
  Owner verification reference: make final-proof
  Expected result: Evidence index links tests, eval, scans, traces and decisions.
  Canonical evidence: docs/test-evidence/W6-final-index.md
  Rollback/teardown: Block promotion and restore last-known-good release/config.
  Current tracker status (read-only historical/current fact): Not Started
  Separate Task Context: Week 6 End-to-end validation task in the end-to-end architecture. After Code Edit Approval, Codex writes only the approved code/configuration/test code for “Run local and sandbox cited query plus golden evaluation/security suite.”; you run the verification/deployment commands and return the results. Business value: Final proof must combine functionality, quality, security and observability. Interview focus: explain where this component sits, how it fails safely and how it is rolled back.
- W6-11 — Force a safe sandbox regression and restore previous image/configuration.
  Business reason: Rollback must be timed and revalidated before handover.
  Acceptance: Last-known-good release passes health, smoke and evaluation gates.
  Dependency: W6-10
  Owner verification reference: make rollback-release &amp;&amp; make validate-sandbox
  Expected result: Rollback record includes trigger, approver, duration and post-checks.
  Canonical evidence: docs/rollback-records/W6-release.md
  Rollback/teardown: Keep failed digest blocked; open defect with evidence.
  Current tracker status (read-only historical/current fact): Not Started
  Separate Task Context: Week 6 owner decision/checkpoint in Release rollback drill. You choose, approve or execute “Force a safe sandbox regression and restore previous image/configuration.” because the decision affects downstream architecture and risk. Codex explains alternatives and may draft approved wording only under the proper approval stage. Business value: Rollback must be timed and revalidated before handover. Interview focus: explain the decision, trade-off and downstream consequence.
- W6-13 — Update ADRs with actual outcomes and deliver a 10-minute architecture explanation.
  Business reason: The engineer must understand and defend every decision, not just run generated code.
  Acceptance: Explain objective, flows, security, evaluation, agent controls, SLOs and reversibility.
  Dependency: W6-01:W6-12
  Owner verification reference: Owner presentation rehearsal and final workbook review
  Expected result: All TODOs/deferrals are visible; source-of-truth and workbook agree.
  Canonical evidence: docs/architecture/final-review.md
  Rollback/teardown: Any future change starts a new controlled feature cycle.
  Current tracker status (read-only historical/current fact): Not Started
  Separate Task Context: Week 6 owner decision/checkpoint in Handover and learning. You choose, approve or execute “Update ADRs with actual outcomes and deliver a 10-minute architecture explanation.” because the decision affects downstream architecture and risk. Codex explains alternatives and may draft approved wording only under the proper approval stage. Business value: The engineer must understand and defend every decision, not just run generated code. Interview focus: explain the decision, trade-off and downstream consequence.
Downstream tracker steps identified from recorded dependencies: W6-11, W6-12, W6-14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final verification command that installs dependencies, starts Qdrant, runs unit/contract/integration/security tests, ingests sample data, executes a cited query, runs the golden evaluation, validates Terraform and policies, verifies container/SBOM scans, checks EKS health when available, performs an approved release rollback drill, generates a destroy plan and runs verify-clean after owner-approved teardown. Produce a redacted evidence index and update ADRs with actual results and variances. Never auto-approve or conceal failures.
TASK-SPECIFIC AMENDMENT — TWO-PHASE FINAL PROOF, ROLLBACK, TEARDOWN DEPENDENCY AND HANDOVER
This prompt is executed in two separately approved phases. make final-proof must be a fail-closed orchestrator that classifies offline, networked, paid and mutating subcommands; it must never hide or auto-authorize Docker, AWS, Kubernetes, apply/destroy or paid judge calls.
PHASE A — W6-10 AND W6-11
- Require W6-01 through W6-09, an approved sandbox window, exact implementation/release hashes and complete evidence inventory.
- Run local and sandbox cited-query, golden evaluation, authorization/security, telemetry and platform checks only under their approvals. Distinguish NOT RUN, expected policy denial and PASS. Prove a safe release regression, restore the prior immutable digest/configuration and revalidate health, query, evaluation, isolation and traces. Do not destroy infrastructure as rollback.
- Canonical evidence: docs/test-evidence/W6-final-index.md and docs/rollback-records/W6-release.md.
- Stop after W6-11 and require W5-004 Cycle C to complete W6-12 final teardown independently.
PHASE B — W6-13 HANDOVER
- Start only after W5-004 Cycle C independently proves docs/resource-cleanliness/W6-final.json with zero active project resources except the documented KMS PendingDeletion state and follow-up date.
- Reconcile every Week 1–6 MUST acceptance, decision, evidence path, failure/skip, cost/privacy result, release rollback, infrastructure rollback and teardown. Update ADR outcomes/variances without rewriting history. Produce the final architecture explanation/demo checklist and identify residual risks/TODOs.
Each phase has its own pre-edit approval, TEST-001 and owner approval. Do not pre-claim final acceptance, edit Excel, stage, commit or push. Any regression, missing evidence, unapproved mutation, active residual or inconsistent report blocks handover.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CI/CD: Pin actions and artifacts, use least permissions and protected approvals, and keep deployment/rollback jobs owner-authorized.
- AWS/cloud: Use explicit account, region, role and service boundaries, short-lived identity, least privilege, cost limits and owner-only API execution.
- Kubernetes: Require immutable digests, namespace scope, workload identity, probes, resource bounds, rollout safety and owner-only cluster commands.
- Security/authorization: Enforce least privilege and tenant/classification controls before provider calls; fail closed and redact errors.
- Documentation/governance: Trace every decision to its authority; separate historical facts, owner-approved values, proposals and unresolved owner inputs without rewriting history.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Demonstrate architecture, quality, safety, rollback and clean teardown together. The primary beneficiaries are business owner, architecture board, operations, security and interviewers.
- Process and risk: This task supports business scenario -&gt; deployed API/RAG/agent -&gt; security and quality evidence -&gt; rollback -&gt; teardown -&gt; handover. Without it, the platform can produce an unauditable, insecure or non-reproducible result at this exact layer.
- Measurable outcome: business flow, SLO, security, rollback and zero-residue acceptance reconciled. It contributes to the MVP by making Final end-to-end proof and handover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W6-10 (Not Started): Run local and sandbox cited query plus golden evaluation/security suite. Why: Final proof must combine functionality, quality, security and observability. Acceptance: No material regression; sandbox query has citations and trace ID. Dependency: W6-01:W6-09. Owner verification: follow 02 Master Plan!M81 through TEST-001 one command at a time. Expected: Evidence index links tests, eval, scans, traces and decisions. Evidence: docs/test-evidence/W6-final-index.md Rollback/teardown: Block promotion and restore last-known-good release/config.
- W6-11 (Not Started): Force a safe sandbox regression and restore previous image/configuration. Why: Rollback must be timed and revalidated before handover. Acceptance: Last-known-good release passes health, smoke and evaluation gates. Dependency: W6-10. Owner verification: follow 02 Master Plan!M82 through TEST-001 one command at a time. Expected: Rollback record includes trigger, approver, duration and post-checks. Evidence: docs/rollback-records/W6-release.md Rollback/teardown: Keep failed digest blocked; open defect with evidence.
- W6-13 (Not Started): Update ADRs with actual outcomes and deliver a 10-minute architecture explanation. Why: The engineer must understand and defend every decision, not just run generated code. Acceptance: Explain objective, flows, security, evaluation, agent controls, SLOs and reversibility. Dependency: W6-01:W6-12. Owner verification: follow 02 Master Plan!M84 through TEST-001 one command at a time. Expected: All TODOs/deferrals are visible; source-of-truth and workbook agree. Evidence: docs/architecture/final-review.md Rollback/teardown: Any future change starts a new controlled feature cycle.
END-TO-END ARCHITECTURE LEARNING
- Position and flow: business scenario -&gt; deployed API/RAG/agent -&gt; security and quality evidence -&gt; rollback -&gt; teardown -&gt; handover.
- Upstream/dependency boundary: W6-01:W6-09, W6-10, W6-01:W6-12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all approved application, retrieval, cloud, EKS, CI/policy, observability and evidence components.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all approved application, retrieval, cloud, EKS, CI/policy, observability and evidence components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final building inspection, fire drill and handover pack.
- What goes in / happens / comes out: approved Approved sandbox window and evidence locations goes through Final end-to-end proof and handover;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component PASS proves parts; end-to-end proof shows the governed operating system.
ARCHITECTURE DECISIONS AND TRADE-OFFS
- Selected recorded direction: one evidence-backed lifecycle demonstration proves integration without erasing NOT RUN gaps.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authorization, privacy, provenance, least privilege and audit evidence are reconciled end to end. Apply classification, PII handling, tenant isolation, authorization before provider/storage calls, secret exclusion, redacted evidence, residency, retention, provenance and least privilege where applicable.
- Failure/operations: failure invokes the correct layer rollback; teardown and residue/cost scans close the sandbox.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Final end-to-end proof and handover addresses demonstrate architecture, quality, safety, rollback and clean teardown together. It makes the result governed, testable and reversible, measured by business flow, SLO, security, rollback and zero-residue acceptance reconciled.
- Two-minute technical explanation: describe all approved application, retrieval, cloud, EKS, CI/policy, observability and evidence components; trace business scenario -&gt; deployed API/RAG/agent -&gt; security and quality evidence -&gt; rollback -&gt; teardown -&gt;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Final end-to-end proof and handover solve?
   Answer points: Connect Demonstrate architecture, quality, safety, rollback and clean teardown together. to business flow, SLO, security, rollback and zero-residue acceptance reconciled and identify business owner, architecture board, operations, security and interviewers.
2. Q: Trace the end-to-end flow for W6-003.
   Answer points: Explain business scenario -&gt; deployed API/RAG/agent -&gt; security and quality evidence -&gt; rollback -&gt; teardown -&gt; handover; name upstream dependencies, downstream consumers, trust and state boundaries.
3. Q: Which design decision matters most and what alternative was rejected?
   Answer points: Discuss one evidence-backed lifecycle demonstration proves integration without erasing NOT RUN gaps; compare the adjacent alternative and when it could be preferable.
4. Q: How does this task fail safely and how is it recovered?
   Answer points: Use this scenario: failure invokes the correct layer rollback; teardown and residue/cost scans close the sandbox; distinguish retry, remediation, rollback, teardown and evidence.
5. Q: How are security, privacy and cost controlled?
   Answer points: Explain authorization, privacy, provenance, least privilege and audit evidence are reconciled end to end; include least privilege, redaction/residency, bounded resources and owner-only access.
- Design trade-off: volume/latency increases tenfold; explain whether one evidence-backed lifecycle demonstration proves integration without erasing NOT RUN gaps still holds and what evidence/ADR/approval must change.
- Failure/remediation: failure invokes the correct layer rollback; teardown and residue/cost scans close the sandbox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Final end-to-end proof and handover. Task — establish the governed contract. Action — map consumers, work within gates, owner-test, diagnose completely and prove lifecycle. Result — report only accepted evidence and business flow, SLO, security, rollback and zero-residue acceptance reconciled.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sandbox window and evidence locations.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W6-003.
</t>
  </si>
  <si>
    <t>READY FOR PRE-EDIT REVIEW — W6-003</t>
  </si>
  <si>
    <t>W6-10, W6-11, W6-13</t>
  </si>
  <si>
    <t xml:space="preserve">COLUMN N — FINAL APPROVAL AND COMPLETE DOCUMENTATION CLOSURE — W6-003
This gate authorizes documentation closure only after owner review; it is not a code, test, deployment or tracker-edit approval.
OWNER MUST SUPPLY — DO NOT INVENT
- Prompt ID: W6-003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W6-003.
</t>
  </si>
  <si>
    <t>Week 1 review and sign-off</t>
  </si>
  <si>
    <t>Close Week 1 only after tracker-to-repository-to-evidence reconciliation and independent owner validation.</t>
  </si>
  <si>
    <t>Week 1 sheet, owner-executed results, evidence register, ADRs, TODOs, rollback, teardown and cleanliness outcomes</t>
  </si>
  <si>
    <t>Approved business-first weekly evidence, sign-off and evidence-index update only; no code or command execution</t>
  </si>
  <si>
    <t>FOUR APPROVAL GATES PLUS OWNER TESTING AND WEEKLY LEARNING — TRACKER v1.3.4
MAIN PROMPT — W1-REVIEW-001
TASK IDENTITY
- Week: Week 1
- Feature/outcome: Week 1 review and sign-off
- Business purpose: Close Week 1 only after tracker-to-repository-to-evidence reconciliation and independent owner validation.
- Covered tracker steps: W1-12
- Required inputs: Week 1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W1-12 — Review diffs, architecture decisions, test evidence and Week 2 readiness.
  Business reason: Owner approval is the stop point between features/weeks.
  Acceptance: Every MUST step is Done; no blocker or unapproved scope remains.
  Dependency: W1-01:W1-11
  Owner verification reference: make preflight &amp;&amp; make test
  Expected result: Owner sign-off recorded with outstanding items explicitly deferred.
  Canonical evidence: docs/deployment-records/W1-signoff.md
  Rollback/teardown: No Week 2 prompt is used until gaps are resolved.
  Current tracker status (read-only historical/current fact): Done
  Separate Task Context: Week 1 business/decision documentation task in Checkpoint. The owner provides or approves the facts; after Document Writing Approval, Codex may draft only the approved business-first documentation. No code or command execution is permitted. Business value: Owner approval is the stop point between features/weeks. Interview focus: explain the decision, its alternatives and downstream impact.
Downstream tracker steps identified from recorded dependencies: W1-13, W2-03
RETAINED TASK-SPECIFIC TECHNICAL CONTRACT
Reconcile only Week 1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1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docs/test-evidence/W1-REVIEW-001.md
- docs/deployment-records/W1-signoff.md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1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1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 W1-12 (Done): Review diffs, architecture decisions, test evidence and Week 2 readiness. Why: Owner approval is the stop point between features/weeks. Acceptance: Every MUST step is Done; no blocker or unapproved scope remains. Dependency: W1-01:W1-11. Owner verification: follow 02 Master Plan!M17 through TEST-001 one command at a time. Expected: Owner sign-off recorded with outstanding items explicitly deferred. Evidence: docs/deployment-records/W1-signoff.md Rollback/teardown: No Week 2 prompt is used until gaps are resolved.
- W1-13 (Done): Complete the Week 1 business, architecture and interview teach-back. Why: Turns governance, repository, test and lifecycle controls into an explainable architecture story. Acceptance: Owner explains the Week 1 business outcome, control flow, decisions, failure boundaries and three interview answers without reading code. Dependency: W1-12. Owner verification: follow 02 Master Plan!M18 through TEST-001 one command at a time. Expected: Business summary, technical deep-dive, layman analogy, decision recap and interview Q&amp;A completed. Evidence: docs/learning/W1-learning-review.md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None, W1-01, W1-02, W1-03, W1-03, W1-04,W1-05, W1-03, W1-05, W1-03, W1-09, W1-10, W1-01:W1-11, W1-12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1 sheet, owner-executed results, evidence register, ADRs, TODOs, rollback, teardown and cleanliness outcomes goes through Week 1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1 review and sign-off addresses close week 1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1 review and sign-off solve?
   Answer points: Connect Close Week 1 only after tracker-to-repository-to-evidence reconciliation and independent owner validation. to all weekly facts reconcile with explicit residual risks and next-task prerequisites and identify owner, reviewers, auditors and next-week implementers.
2. Q: Trace the end-to-end flow for W1-REVIEW-001.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1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W1-REVIEW-001.</t>
  </si>
  <si>
    <t>READY FOR PRE-EDIT REVIEW — W1-REVIEW-001</t>
  </si>
  <si>
    <t xml:space="preserve">COLUMN M — EXACT DOCUMENT WRITING APPROVAL — W1-REVIEW-001
This is a separate owner approval after the bounded edit and owner testing or content review. Classify every path under one—and only one—of the CREATE and UPDATE headings after read-only preflight inspection.
EXACT DOCUMENTATION BOUNDARY
CREATE:
- docs/test-evidence/W1-REVIEW-001.md
UPDATE:
- docs/deployment-records/W1-signoff.md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W1-REVIEW-001.
</t>
  </si>
  <si>
    <t xml:space="preserve">COLUMN N — FINAL APPROVAL AND COMPLETE DOCUMENTATION CLOSURE — W1-REVIEW-001
This gate authorizes documentation closure only after owner review; it is not a code, test, deployment or tracker-edit approval.
OWNER MUST SUPPLY — DO NOT INVENT
- Prompt ID: W1-REVIEW-001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W1-REVIEW-001.
</t>
  </si>
  <si>
    <t>Week 2 review and sign-off</t>
  </si>
  <si>
    <t>Close Week 2 only after tracker-to-repository-to-evidence reconciliation and independent owner validation.</t>
  </si>
  <si>
    <t>Week 2 sheet, owner-executed results, evidence register, ADRs, TODOs, rollback, teardown and cleanliness outcomes</t>
  </si>
  <si>
    <t>FOUR APPROVAL GATES PLUS OWNER TESTING AND WEEKLY LEARNING — TRACKER v1.3.4
MAIN PROMPT — W2-REVIEW-001
TASK IDENTITY
- Week: Week 2
- Feature/outcome: Week 2 review and sign-off
- Business purpose: Close Week 2 only after tracker-to-repository-to-evidence reconciliation and independent owner validation.
- Covered tracker steps: W2-12
- Required inputs: Week 2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W2-12 — Approve local retrieval gate and Week 3 inputs.
  Business reason: Prevents LLM work from hiding retrieval defects.
  Acceptance: All MUST tests and cleanup evidence pass.
  Dependency: W2-01:W2-11
  Owner verification reference: make test &amp;&amp; make verify-clean-local
  Expected result: Owner sign-off; Bedrock/evaluation TODOs resolved or explicitly mocked.
  Canonical evidence: docs/deployment-records/W2-signoff.md
  Rollback/teardown: Remain on local retrieval until the gate passes.
  Current tracker status (read-only historical/current fact): Not Started
  Separate Task Context: Week 2 business/decision documentation task in Checkpoint. The owner provides or approves the facts; after Document Writing Approval, Codex may draft only the approved business-first documentation. No code or command execution is permitted. Business value: Prevents LLM work from hiding retrieval defects. Interview focus: explain the decision, its alternatives and downstream impact.
Downstream tracker steps identified from recorded dependencies: W2-13
RETAINED TASK-SPECIFIC TECHNICAL CONTRACT
Reconcile only Week 2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2 retrieval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docs/test-evidence/W2-REVIEW-001.md
- docs/deployment-records/W2-signoff.md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2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2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W2-01 (Done): Implement provider-neutral document, chunk, query, answer and citation models. Why: Stable domain types make vector and LLM backends replaceable. Acceptance: Models validate required identity/classification metadata. Dependency: W1-13. Owner verification: follow 02 Master Plan!M19 through TEST-001 one command at a time. Expected: Invalid tenant/classification input fails. Evidence: docs/test-evidence/W2-01-models.txt Rollback/teardown: Revert model commit; no stored vectors affected.
- W2-02 (Done): Define VectorStore protocol and in-memory fake with contract tests. Why: Business logic must not depend on Qdrant/OpenSearch SDK objects. Acceptance: Fake passes all contract tests. Dependency: W2-01. Owner verification: follow 02 Master Plan!M20 through TEST-001 one command at a time. Expected: Protocol behavior and normalized errors are stable. Evidence: docs/test-evidence/W2-02-vector-contract.txt Rollback/teardown: Revert interface only before downstream adapters merge.
- W2-03 (Done): Start pinned Qdrant through Docker Compose with healthcheck. Why: A real client/server vector store gives useful local integration evidence. Acceptance: Qdrant becomes healthy without an embedded credential. Dependency: W1-12. Owner verification: follow 02 Master Plan!M21 through TEST-001 one command at a time. Expected: Service is healthy; image version is pinned. Evidence: docs/test-evidence/W2-03-qdrant.txt Rollback/teardown: docker compose down -v; verify no project volume/network.
- W2-04 (Done): Implement Qdrant adapter and OpenSearch adapter boundary. Why: Local and AWS retrieval must satisfy the same contract. Acceptance: Fake/Qdrant tests pass; AWS tests remain marked/skipped. Dependency: W2-02,W2-03. Owner verification: follow 02 Master Plan!M22 through TEST-001 one command at a time. Expected: No vendor object leaks; timeouts and filters are applied. Evidence: docs/test-evidence/W2-04-adapters.txt Rollback/teardown: Delete test collection and restore previous adapter version.
- W2-05 (Not Started): Implement sentence-transformer and deterministic fake embedders. Why: Local CPU embeddings avoid a paid dependency while preserving provider exit. Acceptance: Batch, normalization and dimension mismatch tests pass. Dependency: W2-01. Owner verification: follow 02 Master Plan!M23 through TEST-001 one command at a time. Expected: Unit tests make no model download; integration model is explicit. Evidence: docs/test-evidence/W2-05-embedder.txt Rollback/teardown: Restore previous model configuration and recreate collection if dimension changed.
- W2-06 (Not Started): Implement validation, hashing, normalization and deterministic token chunking. Why: Reproducible chunk IDs/versioning make re-index and deletion safe. Acceptance: Same input produces same IDs; changed version is distinguishable. Dependency: W2-01,W2-05. Owner verification: follow 02 Master Plan!M24 through TEST-001 one command at a time. Expected: Size/type failures quarantine; no raw content in logs. Evidence: docs/test-evidence/W2-06-ingestion.txt Rollback/teardown: Delete affected document version and re-ingest last approved manifest.
- W2-07 (Not Started): Add replaceable Presidio PII detection/redaction hook. Why: PII handling belongs before indexing and telemetry. Acceptance: Configured PII is redacted/quarantined and never appears in evidence logs. Dependency: W2-06. Owner verification: follow 02 Master Plan!M25 through TEST-001 one command at a time. Expected: Synthetic PII fixture is handled as policy states. Evidence: docs/test-evidence/W2-07-pii.txt Rollback/teardown: Delete derived chunks; restore approved unredacted source only in controlled location.
- W2-08 (Done): Enforce tenant/classification filters before vector search. Why: The model cannot be trusted to enforce access control. Acceptance: Cross-tenant query returns zero unauthorized chunks. Dependency: W2-04. Owner verification: follow 02 Master Plan!M26 through TEST-001 one command at a time. Expected: 100% isolation test passes. Evidence: docs/test-evidence/W2-08-isolation.txt Rollback/teardown: Disable retrieval endpoint and restore last-known-good filter implementation.
- W2-09 (Not Started): Ingest approved sample corpus and verify top-5 retrieval. Why: This is the first measurable RAG foundation outcome. Acceptance: Expected source appears in top 5 for representative questions. Dependency: W2-03:W2-08. Owner verification: follow 02 Master Plan!M27 through TEST-001 one command at a time. Expected: Manifest, retrieval scores and source IDs are captured. Evidence: docs/test-evidence/W2-09-retrieval.json Rollback/teardown: Delete test collection/volume and restore previous config.
- W2-10 (Not Started): Run local deploy, rollback and complete removal drill. Why: A working feature is incomplete until it can be removed cleanly. Acceptance: Previous configuration works after rollback; teardown leaves no local residue. Dependency: W2-09. Owner verification: follow 02 Master Plan!M28 through TEST-001 one command at a time. Expected: No project container, volume or network remains. Evidence: docs/rollback-records/W2-local.md Rollback/teardown: Recreate from pinned Compose/config and re-run feature test.
- W2-11 (Not Started): Explain embeddings, cosine similarity, chunk size/overlap and metadata filtering. Why: The workbook is also an interview/reference learning plan. Acceptance: Five-minute explanation uses current implementation evidence. Dependency: W2-09. Owner verification: follow 02 Master Plan!M29 through TEST-001 one command at a time. Expected: Explanation connects decisions to quality, security and cost. Evidence: docs/architecture/local-retrieval.md Rollback/teardown: Revise ADR/notes; do not change code without a feature cycle.
- W2-12 (Not Started): Approve local retrieval gate and Week 3 inputs. Why: Prevents LLM work from hiding retrieval defects. Acceptance: All MUST tests and cleanup evidence pass. Dependency: W2-01:W2-11. Owner verification: follow 02 Master Plan!M30 through TEST-001 one command at a time. Expected: Owner sign-off; Bedrock/evaluation TODOs resolved or explicitly mocked. Evidence: docs/deployment-records/W2-signoff.md Rollback/teardown: Remain on local retrieval until the gate passes.
- W2-13 (Not Started): Complete the Week 2 local retrieval business, architecture and interview teach-back. Why: Converts vector retrieval, ingestion, privacy and authorization work into an end-to-end business explanation. Acceptance: Owner explains document-to-vector-to-authorized-retrieval flow, Qdrant role, failure handling and three interview answers. Dependency: W2-12. Owner verification: follow 02 Master Plan!M31 through TEST-001 one command at a time. Expected: Business summary, technical deep-dive, layman analogy, decision recap and interview Q&amp;A completed. Evidence: docs/learning/W2-learning-review.md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W1-13, W2-01, W1-12, W2-02,W2-03, W2-01, W2-01,W2-05, W2-06, W2-04, W2-03:W2-08, W2-09, W2-09, W2-01:W2-11, W2-12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2 sheet, owner-executed results, evidence register, ADRs, TODOs, rollback, teardown and cleanliness outcomes goes through Week 2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2 review and sign-off addresses close week 2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2 review and sign-off solve?
   Answer points: Connect Close Week 2 only after tracker-to-repository-to-evidence reconciliation and independent owner validation. to all weekly facts reconcile with explicit residual risks and next-task prerequisites and identify owner, reviewers, auditors and next-week implementers.
2. Q: Trace the end-to-end flow for W2-REVIEW-001.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2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2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W2-REVIEW-001.</t>
  </si>
  <si>
    <t>READY FOR PRE-EDIT REVIEW — W2-REVIEW-001</t>
  </si>
  <si>
    <t xml:space="preserve">COLUMN M — EXACT DOCUMENT WRITING APPROVAL — W2-REVIEW-001
This is a separate owner approval after the bounded edit and owner testing or content review. Classify every path under one—and only one—of the CREATE and UPDATE headings after read-only preflight inspection.
EXACT DOCUMENTATION BOUNDARY
CREATE:
- docs/test-evidence/W2-REVIEW-001.md
- docs/deployment-records/W2-signoff.md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W2-REVIEW-001.
</t>
  </si>
  <si>
    <t xml:space="preserve">COLUMN N — FINAL APPROVAL AND COMPLETE DOCUMENTATION CLOSURE — W2-REVIEW-001
This gate authorizes documentation closure only after owner review; it is not a code, test, deployment or tracker-edit approval.
OWNER MUST SUPPLY — DO NOT INVENT
- Prompt ID: W2-REVIEW-001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W2-REVIEW-001.
</t>
  </si>
  <si>
    <t>Week 3 review and sign-off</t>
  </si>
  <si>
    <t>Close Week 3 only after tracker-to-repository-to-evidence reconciliation and independent owner validation.</t>
  </si>
  <si>
    <t>Week 3 sheet, owner-executed results, evidence register, ADRs, TODOs, rollback, teardown and cleanliness outcomes</t>
  </si>
  <si>
    <t>FOUR APPROVAL GATES PLUS OWNER TESTING AND WEEKLY LEARNING — TRACKER v1.3.4
MAIN PROMPT — W3-REVIEW-001
TASK IDENTITY
- Week: Week 3
- Feature/outcome: Week 3 review and sign-off
- Business purpose: Close Week 3 only after tracker-to-repository-to-evidence reconciliation and independent owner validation.
- Covered tracker steps: W3-12
- Required inputs: Week 3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W3-12 — Approve cited RAG and quality gate before adding agent behavior.
  Business reason: Agent tools should not be added to an ungrounded answer system.
  Acceptance: Grounded answer or abstention works; security/regression/rollback tests pass.
  Dependency: W3-01:W3-11
  Owner verification reference: make test &amp;&amp; make evaluate
  Expected result: Owner sign-off and unresolved metrics documented.
  Canonical evidence: docs/deployment-records/W3-signoff.md
  Rollback/teardown: Keep agent endpoints disabled until approved.
  Current tracker status (read-only historical/current fact): Not Started
  Separate Task Context: Week 3 business/decision documentation task in Checkpoint. The owner provides or approves the facts; after Document Writing Approval, Codex may draft only the approved business-first documentation. No code or command execution is permitted. Business value: Agent tools should not be added to an ungrounded answer system. Interview focus: explain the decision, its alternatives and downstream impact.
Downstream tracker steps identified from recorded dependencies: W3-13
RETAINED TASK-SPECIFIC TECHNICAL CONTRACT
Reconcile only Week 3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3 cited-RAG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docs/test-evidence/W3-REVIEW-001.md
- docs/deployment-records/W3-signoff.md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3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3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W3-01 (Not Started): Create provider-neutral chat/tool/usage types and fake provider. Why: RAG logic should not depend on Bedrock response formats. Acceptance: Fake tests cover success, timeout and malformed response. Dependency: W2-13. Owner verification: follow 02 Master Plan!M32 through TEST-001 one command at a time. Expected: Normalized errors and usage fields are stable. Evidence: docs/test-evidence/W3-01-llm-contract.txt Rollback/teardown: Switch configuration back to fake provider.
- W3-02 (Not Started): Implement Bedrock adapter behind marked integration tests. Why: Bedrock is the primary AWS model boundary without GPU operations. Acceptance: Adapter has deadlines/retry caps and no hard-coded model ID. Dependency: W3-01. Owner verification: follow 02 Master Plan!M33 through TEST-001 one command at a time. Expected: Offline tests pass; live test is skipped unless explicitly enabled. Evidence: docs/test-evidence/W3-02-bedrock.txt Rollback/teardown: Set LLM_PROVIDER=fake; revoke test session if created.
- W3-03 (Not Started): Create versioned evidence-bound prompt template. Why: Retrieved documents are data, never instructions. Acceptance: Prompt clearly delimits evidence and demands citations/abstention. Dependency: W3-01. Owner verification: follow 02 Master Plan!M34 through TEST-001 one command at a time. Expected: Injection fixture cannot override system policy. Evidence: docs/test-evidence/W3-03-prompt.txt Rollback/teardown: Restore previous approved prompt version.
- W3-04 (Not Started): Authorize, retrieve, grade, generate and validate citations. Why: This is the core safe-answer path. Acceptance: Structured Answer contains only supplied source IDs. Dependency: W3-01:W3-03,W2-09. Owner verification: follow 02 Master Plan!M35 through TEST-001 one command at a time. Expected: Good evidence answers; low evidence abstains. Evidence: docs/test-evidence/W3-04-rag.txt Rollback/teardown: Switch to last-known-good prompt/model/retriever configuration.
- W3-05 (Not Started): Add deterministic input/output/citation safety checks. Why: Deterministic policy must surround probabilistic generation. Acceptance: Malformed, unauthorized and uncited outputs fail safely. Dependency: W3-04. Owner verification: follow 02 Master Plan!M36 through TEST-001 one command at a time. Expected: Security suite passes with redacted logs. Evidence: docs/test-evidence/W3-05-guardrails.txt Rollback/teardown: Disable affected model route and return safe refusal.
- W3-06 (Not Started): Create 25+ golden cases with sources, facts, tenant and safety tags. Why: Quality thresholds require versioned, representative truth data. Acceptance: Dataset passes schema and privacy review. Dependency: W2-09. Owner verification: follow 02 Master Plan!M37 through TEST-001 one command at a time. Expected: 25+ valid cases; no prohibited data. Evidence: docs/test-evidence/W3-06-golden.txt Rollback/teardown: Revert dataset version; never silently edit expected answers.
- W3-07 (Not Started): Measure retrieval, citations, abstention, latency and cost. Why: Promotion must rely on repeatable evidence, not a demo. Acceptance: Baseline report and nonzero regression exit behavior exist. Dependency: W3-04,W3-06. Owner verification: follow 02 Master Plan!M38 through TEST-001 one command at a time. Expected: Recall@5, citation precision, groundedness, latency and estimated cost recorded. Evidence: reports/eval.json Rollback/teardown: Restore last approved baseline; block release on unresolved regression.
- W3-08 (Not Started): Test injection, cross-tenant retrieval, unsafe output and logging redaction. Why: RAG expands the attack surface through untrusted content. Acceptance: All adversarial fixtures fail safely. Dependency: W3-05. Owner verification: follow 02 Master Plan!M39 through TEST-001 one command at a time. Expected: No unauthorized chunk/action; no raw content in logs. Evidence: docs/test-evidence/W3-08-security.txt Rollback/teardown: Disable affected path; purge/re-index poisoned test document.
- W3-09 (Not Started): Record retrieval/model/token/guardrail metrics without content. Why: Stage-level data explains latency, errors and cost. Acceptance: Metrics include versions/outcomes and exclude prompt/document text. Dependency: W3-04. Owner verification: follow 02 Master Plan!M40 through TEST-001 one command at a time. Expected: Redaction tests pass; metrics names are documented. Evidence: docs/test-evidence/W3-09-telemetry.txt Rollback/teardown: Disable exporter or revert instrumentation, not core answer path.
- W3-10 (Not Started): Set initial thresholds: Recall@5 &gt;=0.85 and citation-valid/safe-abstain &gt;=95%. Why: Thresholds convert evaluation into a release decision. Acceptance: CI-style command fails on a material regression. Dependency: W3-07. Owner verification: follow 02 Master Plan!M41 through TEST-001 one command at a time. Expected: Baseline passes; synthetic regression fails. Evidence: docs/test-evidence/W3-10-gate.txt Rollback/teardown: Revert candidate prompt/model/index and preserve failing evidence.
- W3-11 (Not Started): Restore prior prompt/model/retriever/index configuration and re-evaluate. Why: RAG changes can regress without application code changes. Acceptance: Last-known-good configuration returns baseline results. Dependency: W3-10. Owner verification: follow 02 Master Plan!M42 through TEST-001 one command at a time. Expected: Rollback record identifies versions and post-rollback metrics. Evidence: docs/rollback-records/W3-rag.md Rollback/teardown: Forward-fix only after a new feature cycle.
- W3-12 (Not Started): Approve cited RAG and quality gate before adding agent behavior. Why: Agent tools should not be added to an ungrounded answer system. Acceptance: Grounded answer or abstention works; security/regression/rollback tests pass. Dependency: W3-01:W3-11. Owner verification: follow 02 Master Plan!M43 through TEST-001 one command at a time. Expected: Owner sign-off and unresolved metrics documented. Evidence: docs/deployment-records/W3-signoff.md Rollback/teardown: Keep agent endpoints disabled until approved.
- W3-13 (Not Started): Complete the Week 3 cited-RAG business, architecture and interview teach-back. Why: Builds confidence explaining grounded answers, abstention, evaluation and model-provider boundaries. Acceptance: Owner explains cited RAG, guardrails, evaluation thresholds, rollback and three interview answers. Dependency: W3-12. Owner verification: follow 02 Master Plan!M44 through TEST-001 one command at a time. Expected: Business summary, technical deep-dive, layman analogy, decision recap and interview Q&amp;A completed. Evidence: docs/learning/W3-learning-review.md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W2-13, W3-01, W3-01, W3-01:W3-03,W2-09, W3-04, W2-09, W3-04,W3-06, W3-05, W3-04, W3-07, W3-10, W3-01:W3-11, W3-12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3 sheet, owner-executed results, evidence register, ADRs, TODOs, rollback, teardown and cleanliness outcomes goes through Week 3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3 review and sign-off addresses close week 3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3 review and sign-off solve?
   Answer points: Connect Close Week 3 only after tracker-to-repository-to-evidence reconciliation and independent owner validation. to all weekly facts reconcile with explicit residual risks and next-task prerequisites and identify owner, reviewers, auditors and next-week implementers.
2. Q: Trace the end-to-end flow for W3-REVIEW-001.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3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3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W3-REVIEW-001.</t>
  </si>
  <si>
    <t>READY FOR PRE-EDIT REVIEW — W3-REVIEW-001</t>
  </si>
  <si>
    <t xml:space="preserve">COLUMN M — EXACT DOCUMENT WRITING APPROVAL — W3-REVIEW-001
This is a separate owner approval after the bounded edit and owner testing or content review. Classify every path under one—and only one—of the CREATE and UPDATE headings after read-only preflight inspection.
EXACT DOCUMENTATION BOUNDARY
CREATE:
- docs/test-evidence/W3-REVIEW-001.md
- docs/deployment-records/W3-signoff.md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W3-REVIEW-001.
</t>
  </si>
  <si>
    <t xml:space="preserve">COLUMN N — FINAL APPROVAL AND COMPLETE DOCUMENTATION CLOSURE — W3-REVIEW-001
This gate authorizes documentation closure only after owner review; it is not a code, test, deployment or tracker-edit approval.
OWNER MUST SUPPLY — DO NOT INVENT
- Prompt ID: W3-REVIEW-001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W3-REVIEW-001.
</t>
  </si>
  <si>
    <t>Week 4 review and sign-off</t>
  </si>
  <si>
    <t>Close Week 4 only after tracker-to-repository-to-evidence reconciliation and independent owner validation.</t>
  </si>
  <si>
    <t>Week 4 sheet, owner-executed results, evidence register, ADRs, TODOs, rollback, teardown and cleanliness outcomes</t>
  </si>
  <si>
    <t>FOUR APPROVAL GATES PLUS OWNER TESTING AND WEEKLY LEARNING — TRACKER v1.3.4
MAIN PROMPT — W4-REVIEW-001
TASK IDENTITY
- Week: Week 4
- Feature/outcome: Week 4 review and sign-off
- Business purpose: Close Week 4 only after tracker-to-repository-to-evidence reconciliation and independent owner validation.
- Covered tracker steps: W4-12
- Required inputs: Week 4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W4-12 — Approve controlled API/agent and Week 5 AWS inputs.
  Business reason: Cloud infrastructure should not be planned for an unsafe runtime.
  Acceptance: All consequential actions are policy-valid and approved.
  Dependency: W4-01:W4-11
  Owner verification reference: make test &amp;&amp; make security-scan
  Expected result: Owner signs graph, API, evidence and rollback record.
  Canonical evidence: docs/deployment-records/W4-signoff.md
  Rollback/teardown: Do not begin Terraform plan until inputs and cost ceiling are approved.
  Current tracker status (read-only historical/current fact): Not Started
  Separate Task Context: Week 4 business/decision documentation task in Checkpoint. The owner provides or approves the facts; after Document Writing Approval, Codex may draft only the approved business-first documentation. No code or command execution is permitted. Business value: Cloud infrastructure should not be planned for an unsafe runtime. Interview focus: explain the decision, its alternatives and downstream impact.
Downstream tracker steps identified from recorded dependencies: W4-13
RETAINED TASK-SPECIFIC TECHNICAL CONTRACT
Reconcile only Week 4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4 API/agent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docs/test-evidence/W4-REVIEW-001.md
- docs/deployment-records/W4-signoff.md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4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4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W4-01 (Not Started): Implement health, query and agent endpoints using dependency interfaces. Why: A thin typed boundary isolates clients from implementation details. Acceptance: Endpoints return normalized schemas and request IDs. Dependency: W3-13. Owner verification: follow 02 Master Plan!M45 through TEST-001 one command at a time. Expected: Health and fake query tests pass; no internal prompt/error leak. Evidence: docs/test-evidence/W4-01-api.txt Rollback/teardown: Roll back image/config and disable new route.
- W4-02 (Not Started): Implement auth context interface and deny before retrieval/action. Why: Identity and authorization are deterministic platform controls. Acceptance: Unauthorized query never invokes retriever or tool. Dependency: W4-01. Owner verification: follow 02 Master Plan!M46 through TEST-001 one command at a time. Expected: Mock call assertions prove deny-before-retrieve. Evidence: docs/test-evidence/W4-02-auth.txt Rollback/teardown: Disable endpoint or restore previous auth dependency.
- W4-03 (Not Started): Define typed LangGraph state, explicit nodes and terminal outcomes. Why: Agents are bounded workflows, not autonomous black boxes. Acceptance: Every path reaches answer, denied, rejected, timed-out or safe-terminal. Dependency: W4-02. Owner verification: follow 02 Master Plan!M47 through TEST-001 one command at a time. Expected: Graph routing tests pass; Mermaid matches implementation. Evidence: docs/test-evidence/W4-03-graph.txt Rollback/teardown: Feature flag disables graph; query endpoint remains read-only.
- W4-04 (Not Started): Add one read-only status tool with narrow schema. Why: Read-only tool proves integration at low consequence. Acceptance: Allowlist and JSON schema reject malformed calls. Dependency: W4-03. Owner verification: follow 02 Master Plan!M48 through TEST-001 one command at a time. Expected: Only allowlisted tool executes; output is normalized/redacted. Evidence: docs/test-evidence/W4-04-read-tool.txt Rollback/teardown: Remove tool registration and restore prior graph.
- W4-05 (Not Started): Add mocked write tool that requires durable approval. Why: Consequential actions cannot rely on model intent. Acceptance: No approval/rejection/expired approval prevents execution. Dependency: W4-03,W4-04. Owner verification: follow 02 Master Plan!M49 through TEST-001 one command at a time. Expected: 100% write executions have valid approval and idempotency key. Evidence: docs/test-evidence/W4-05-approval.txt Rollback/teardown: Disable write-tool feature flag and invalidate pending approvals.
- W4-06 (Not Started): Enforce step, tool-call, token/time deadline and retry limits. Why: Bounds prevent loops, retry storms and unplanned model spend. Acceptance: Budget-exceeded paths stop safely and record reason. Dependency: W4-03. Owner verification: follow 02 Master Plan!M50 through TEST-001 one command at a time. Expected: No repeated tool execution; timeouts are bounded. Evidence: docs/test-evidence/W4-06-budgets.txt Rollback/teardown: Reduce limits or disable agent route.
- W4-07 (Not Started): Persist only redacted agent state and audit decisions. Why: Checkpoints must not become a secret/PII store. Acceptance: State fixture contains IDs/outcomes but no content/secrets. Dependency: W4-05. Owner verification: follow 02 Master Plan!M51 through TEST-001 one command at a time. Expected: Redaction assertion passes. Evidence: docs/test-evidence/W4-07-state.txt Rollback/teardown: Purge test checkpoints and restore safe serializer.
- W4-08 (Not Started): Trace API to retrieval, LLM, guardrail, approval and tool. Why: Correlated traces make probabilistic workflows diagnosable. Acceptance: One local trace contains all stages and safe attributes. Dependency: W4-01:W4-07. Owner verification: follow 02 Master Plan!M52 through TEST-001 one command at a time. Expected: Trace ID links JSON logs and spans; content is redacted. Evidence: docs/test-evidence/W4-08-trace.json Rollback/teardown: Disable exporter; preserve local logs and core service.
- W4-09 (Not Started): Exercise denial, malformed args, injection, timeout, loop and rejection. Why: Agent safety is proven through negative paths. Acceptance: All failure modes terminate without write side effects. Dependency: W4-05:W4-08. Owner verification: follow 02 Master Plan!M53 through TEST-001 one command at a time. Expected: Audit records show safe terminal reason. Evidence: docs/test-evidence/W4-09-failures.txt Rollback/teardown: Disable agent endpoint and preserve evidence.
- W4-10 (Not Started): Run bounded local smoke/load test with fake/approved model. Why: Concurrency and timeouts must fail predictably before EKS. Acceptance: No unbounded queue; p95/p99 baseline is recorded. Dependency: W4-01,W4-06. Owner verification: follow 02 Master Plan!M54 through TEST-001 one command at a time. Expected: Latency/error/concurrency report is redacted. Evidence: docs/test-evidence/W4-10-load.json Rollback/teardown: Reduce traffic; revert concurrency settings.
- W4-11 (Not Started): Deploy local immutable version N+1, force regression and restore N. Why: Release rollback is separate from infrastructure rollback. Acceptance: N becomes healthy and passes feature tests after rollback. Dependency: W4-01:W4-10. Owner verification: follow 02 Master Plan!M55 through TEST-001 one command at a time. Expected: Rollback duration and health evidence recorded. Evidence: docs/rollback-records/W4-release.md Rollback/teardown: Keep agent route disabled until the failure is fixed.
- W4-12 (Not Started): Approve controlled API/agent and Week 5 AWS inputs. Why: Cloud infrastructure should not be planned for an unsafe runtime. Acceptance: All consequential actions are policy-valid and approved. Dependency: W4-01:W4-11. Owner verification: follow 02 Master Plan!M56 through TEST-001 one command at a time. Expected: Owner signs graph, API, evidence and rollback record. Evidence: docs/deployment-records/W4-signoff.md Rollback/teardown: Do not begin Terraform plan until inputs and cost ceiling are approved.
- W4-13 (Not Started): Complete the Week 4 API/agent business, architecture and interview teach-back. Why: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follow 02 Master Plan!M57 through TEST-001 one command at a time. Expected: Business summary, technical deep-dive, layman analogy, decision recap and interview Q&amp;A completed. Evidence: docs/learning/W4-learning-review.md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W3-13, W4-01, W4-02, W4-03, W4-03,W4-04, W4-03, W4-05, W4-01:W4-07, W4-05:W4-08, W4-01,W4-06, W4-01:W4-10, W4-01:W4-11, W4-12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4 sheet, owner-executed results, evidence register, ADRs, TODOs, rollback, teardown and cleanliness outcomes goes through Week 4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4 review and sign-off addresses close week 4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4 review and sign-off solve?
   Answer points: Connect Close Week 4 only after tracker-to-repository-to-evidence reconciliation and independent owner validation. to all weekly facts reconcile with explicit residual risks and next-task prerequisites and identify owner, reviewers, auditors and next-week implementers.
2. Q: Trace the end-to-end flow for W4-REVIEW-001.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4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4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W4-REVIEW-001.</t>
  </si>
  <si>
    <t>READY FOR PRE-EDIT REVIEW — W4-REVIEW-001</t>
  </si>
  <si>
    <t xml:space="preserve">COLUMN M — EXACT DOCUMENT WRITING APPROVAL — W4-REVIEW-001
This is a separate owner approval after the bounded edit and owner testing or content review. Classify every path under one—and only one—of the CREATE and UPDATE headings after read-only preflight inspection.
EXACT DOCUMENTATION BOUNDARY
CREATE:
- docs/test-evidence/W4-REVIEW-001.md
- docs/deployment-records/W4-signoff.md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W4-REVIEW-001.
</t>
  </si>
  <si>
    <t xml:space="preserve">COLUMN N — FINAL APPROVAL AND COMPLETE DOCUMENTATION CLOSURE — W4-REVIEW-001
This gate authorizes documentation closure only after owner review; it is not a code, test, deployment or tracker-edit approval.
OWNER MUST SUPPLY — DO NOT INVENT
- Prompt ID: W4-REVIEW-001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W4-REVIEW-001.
</t>
  </si>
  <si>
    <t>Week 5 review and sign-off</t>
  </si>
  <si>
    <t>Close Week 5 only after tracker-to-repository-to-evidence reconciliation and independent owner validation.</t>
  </si>
  <si>
    <t>Week 5 sheet, owner-executed results, evidence register, ADRs, TODOs, rollback, teardown and cleanliness outcomes</t>
  </si>
  <si>
    <t>FOUR APPROVAL GATES PLUS OWNER TESTING AND WEEKLY LEARNING — TRACKER v1.3.4
MAIN PROMPT — W5-REVIEW-001
TASK IDENTITY
- Week: Week 5
- Feature/outcome: Week 5 review and sign-off
- Business purpose: Close Week 5 only after tracker-to-repository-to-evidence reconciliation and independent owner validation.
- Covered tracker steps: W5-13
- Required inputs: Week 5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W5-13 — Approve AWS lifecycle evidence and Week 6 EKS deployment inputs.
  Business reason: Runtime deployment should use only reviewed, reconstructable platform components.
  Acceptance: Plans/policies/scans/lifecycle evidence pass; no plaintext secret or unmanaged resource.
  Dependency: W5-01:W5-12
  Owner verification reference: Review W5 evidence index
  Expected result: Owner sign-off and any deferred actual deployment clearly recorded.
  Canonical evidence: docs/deployment-records/W5-signoff.md
  Rollback/teardown: Do not deploy EKS app until the platform gate passes.
  Current tracker status (read-only historical/current fact): Not Started
  Separate Task Context: Week 5 business/decision documentation task in Checkpoint. The owner provides or approves the facts; after Document Writing Approval, Codex may draft only the approved business-first documentation. No code or command execution is permitted. Business value: Runtime deployment should use only reviewed, reconstructable platform components. Interview focus: explain the decision, its alternatives and downstream impact.
Downstream tracker steps identified from recorded dependencies: W5-14
RETAINED TASK-SPECIFIC TECHNICAL CONTRACT
Reconcile only Week 5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5 AWS lifecycle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docs/test-evidence/W5-REVIEW-001.md
- docs/deployment-records/W5-signoff.md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5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5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W5-01 (Not Started): Confirm sandbox account, region, network, tags, data residency and budget ceiling. Why: Terraform cannot be safely reviewed with ambiguous ownership or cost. Acceptance: All variables are non-secret and approved. Dependency: W4-13. Owner verification: follow 02 Master Plan!M58 through TEST-001 one command at a time. Expected: No credential/secret value is requested. Evidence: docs/cost-estimates/W5-inputs.md Rollback/teardown: Do not initialize/apply until inputs are approved.
- W5-02 (Not Started): Build isolated encrypted/versioned S3 state and Terraform 1.5 DynamoDB locking stack. Why: State must survive platform rollback and be removed last during full teardown. Acceptance: fmt/validate/Checkov pass; apply remains manual. Dependency: W5-01. Owner verification: follow 02 Master Plan!M59 through TEST-001 one command at a time. Expected: Bootstrap plan contains only expected resources. Evidence: docs/test-evidence/W5-02-bootstrap.txt Rollback/teardown: Destroy platform first; bootstrap destroy is separately reviewed.
- W5-03 (Not Started): Create KMS, private/versioned S3 and secret-metadata modules. Why: Encryption and secret separation are foundational controls. Acceptance: No public access or secret value resource exists. Dependency: W5-01,W5-02. Owner verification: follow 02 Master Plan!M60 through TEST-001 one command at a time. Expected: Security controls pass; deletion settings are explicit. Evidence: docs/test-evidence/W5-03-security.txt Rollback/teardown: Apply prior Terraform version; use purge only for disposable sandbox.
- W5-04 (Not Started): Create least-privilege runtime, ingestion and GitHub OIDC roles. Why: Workloads need short-lived, separated permissions. Acceptance: No wildcard action/resource without reviewed exception. Dependency: W5-01. Owner verification: follow 02 Master Plan!M61 through TEST-001 one command at a time. Expected: Trust policies bind approved repo/environment and workload identity. Evidence: docs/test-evidence/W5-04-iam.txt Rollback/teardown: Disable role session/restore prior policy; do not store keys.
- W5-05 (Not Started): Create private encrypted OpenSearch and ECR modules. Why: OpenSearch is the AWS vector target; ECR stores immutable images. Acceptance: Private network, TLS, encryption, logs and access controls are planned. Dependency: W5-03,W5-04. Owner verification: follow 02 Master Plan!M62 through TEST-001 one command at a time. Expected: Plan summary shows only expected resources and estimated baseline cost. Evidence: docs/test-evidence/W5-05-platform-plan.txt Rollback/teardown: Apply reviewed previous Terraform version or destroy disposable resources in order.
- W5-06 (Not Started): Implement OPA and Checkov security/tagging policies with fixtures. Why: Policy gates make critical architecture decisions executable. Acceptance: Insecure fixtures fail; secure fixtures pass. Dependency: W5-03:W5-05. Owner verification: follow 02 Master Plan!M63 through TEST-001 one command at a time. Expected: Failures identify resource/rule/remediation. Evidence: docs/test-evidence/W5-06-policy.txt Rollback/teardown: Revert candidate policy only through reviewed exception/ADR.
- W5-07 (Not Started): Create PR CI and Terraform-plan workflow using GitHub OIDC. Why: Automated gates and short-lived identity reduce change and credential risk. Acceptance: All required checks run; apply/destroy are owner-gated. Dependency: W5-04,W5-06. Owner verification: follow 02 Master Plan!M64 through TEST-001 one command at a time. Expected: No access-key secret; immutable action pins are TODO/approved. Evidence: docs/test-evidence/W5-07-ci.txt Rollback/teardown: Disable workflow; revoke OIDC trust; keep last good release.
- W5-08 (Not Started): Build image, scan with Trivy/Grype and generate Syft SBOM. Why: Deployment must use a known, scanned immutable artifact. Acceptance: Critical findings fail per policy and SBOM is retained. Dependency: W5-07. Owner verification: follow 02 Master Plan!M65 through TEST-001 one command at a time. Expected: Redacted scan reports and SPDX/CycloneDX SBOM exist. Evidence: docs/test-evidence/W5-08-supply-chain.txt Rollback/teardown: Do not publish vulnerable digest; restore prior approved digest.
- W5-09 (Not Started): Generate saved Terraform plan, JSON policy result and human-readable summary. Why: Applying the reviewed bytes prevents unseen infrastructure change. Acceptance: Plan, policy and cost review are approved before any apply. Dependency: W5-02:W5-08. Owner verification: follow 02 Master Plan!M66 through TEST-001 one command at a time. Expected: Summary lists creates/updates/deletes, costs and residual risks. Evidence: docs/deployment-records/W5-plan-review.md Rollback/teardown: Discard saved plan on code/input drift and regenerate.
- W5-10 (Not Started): After explicit approval, deploy/validate/rollback/destroy in controlled sequence. Why: Capability must be proven, but Codex must never self-approve mutations. Acceptance: Reviewed plan applies; validation passes; rollback path is recorded. Dependency: W5-09. Owner verification: follow 02 Master Plan!M67 through TEST-001 one command at a time. Expected: Deployment record contains plan hash, approver, resources and health. Evidence: docs/deployment-records/W5-sandbox.md Rollback/teardown: Use last-known-good Terraform version; destroy is not ordinary rollback.
- W5-11 (Not Started): Create and review platform destroy plan; preserve bootstrap until platform is gone. Why: Deletion order prevents dependency residue and loss of auditability. Acceptance: Destroy plan targets only approved sandbox resources. Dependency: W5-10. Owner verification: follow 02 Master Plan!M68 through TEST-001 one command at a time. Expected: Plan and deletion order approved; KMS window noted. Evidence: docs/deployment-records/W5-destroy-plan.md Rollback/teardown: Cancel before apply if any unexpected target appears.
- W5-12 (Not Started): Run verify-clean using required tags and native service APIs after approved teardown. Why: A successful Terraform destroy is not proof of zero residual resources. Acceptance: No active unmanaged resource remains; exception is documented PendingDeletion KMS key. Dependency: W5-11. Owner verification: follow 02 Master Plan!M69 through TEST-001 one command at a time. Expected: Resource-cleanliness report is complete and signed. Evidence: docs/resource-cleanliness/W5-report.json Rollback/teardown: Remove residuals in dependency order; do not delete bootstrap until clean.
- W5-13 (Not Started): Approve AWS lifecycle evidence and Week 6 EKS deployment inputs. Why: Runtime deployment should use only reviewed, reconstructable platform components. Acceptance: Plans/policies/scans/lifecycle evidence pass; no plaintext secret or unmanaged resource. Dependency: W5-01:W5-12. Owner verification: follow 02 Master Plan!M70 through TEST-001 one command at a time. Expected: Owner sign-off and any deferred actual deployment clearly recorded. Evidence: docs/deployment-records/W5-signoff.md Rollback/teardown: Do not deploy EKS app until the platform gate passes.
END-TO-END ARCHITECTURE LEARNING
- Position and flow: planned weekly rows -&gt; owner results/evidence -&gt; decision and risk reconciliation -&gt; sign-off -&gt; next-week handover.
- Upstream/dependency boundary: W4-13, W5-01, W5-01,W5-02, W5-01, W5-03,W5-04, W5-03:W5-05, W5-04,W5-06, W5-07, W5-02:W5-08, W5-09, W5-10, W5-11, W5-01:W5-12, W5-13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5 sheet, owner-executed results, evidence register, ADRs, TODOs, rollback, teardown and cleanliness outcomes goes through Week 5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5 review and sign-off addresses close week 5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5 review and sign-off solve?
   Answer points: Connect Close Week 5 only after tracker-to-repository-to-evidence reconciliation and independent owner validation. to all weekly facts reconcile with explicit residual risks and next-task prerequisites and identify owner, reviewers, auditors and next-week implementers.
2. Q: Trace the end-to-end flow for W5-REVIEW-001.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5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5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W5-REVIEW-001.</t>
  </si>
  <si>
    <t>READY FOR PRE-EDIT REVIEW — W5-REVIEW-001</t>
  </si>
  <si>
    <t xml:space="preserve">COLUMN M — EXACT DOCUMENT WRITING APPROVAL — W5-REVIEW-001
This is a separate owner approval after the bounded edit and owner testing or content review. Classify every path under one—and only one—of the CREATE and UPDATE headings after read-only preflight inspection.
EXACT DOCUMENTATION BOUNDARY
CREATE:
- docs/test-evidence/W5-REVIEW-001.md
- docs/deployment-records/W5-signoff.md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W5-REVIEW-001.
</t>
  </si>
  <si>
    <t xml:space="preserve">COLUMN N — FINAL APPROVAL AND COMPLETE DOCUMENTATION CLOSURE — W5-REVIEW-001
This gate authorizes documentation closure only after owner review; it is not a code, test, deployment or tracker-edit approval.
OWNER MUST SUPPLY — DO NOT INVENT
- Prompt ID: W5-REVIEW-001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W5-REVIEW-001.
</t>
  </si>
  <si>
    <t>ST-001</t>
  </si>
  <si>
    <t>PyTorch Lightning and PEFT/LoRA training lab</t>
  </si>
  <si>
    <t>Learn model development without making it an MVP dependency.</t>
  </si>
  <si>
    <t>Approved model/dataset IDs, license and GPU budget</t>
  </si>
  <si>
    <t xml:space="preserve">FOUR APPROVAL GATES PLUS OWNER TESTING AND WEEKLY LEARNING — TRACKER v1.3.4
MAIN PROMPT — ST-001
TASK IDENTITY
- Week: Post-MVP
- Feature/outcome: PyTorch Lightning and PEFT/LoRA training lab
- Business purpose: Learn model development without making it an MVP dependency.
- Covered tracker steps: Post-MVP
- Required inputs: Approved model/dataset IDs, license and GPU budget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OPTIONAL isolated Python 3.11 lab using Hugging Face Transformers, PyTorch Lightning and PEFT/LoRA. Do not add it to the default CPU image. Validate dataset schema/licensing, split deterministically, seed RNGs, support fast_dev_run on synthetic data, log metrics, save adapter weights only and generate a model card with provenance, evaluation, license, limits and intended use. Add SageMaker training/Registry hooks but no deployment and a no-network smoke test.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Model/embedding: Verify immutable model identity, artifact allowlist, dimension/normalization, offline cache and CPU/GPU policy before any opt-in owner test.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Learn model development without making it an MVP dependency. The primary beneficiaries are ML engineers, model risk, finance and architecture owner.
- Process and risk: This task supports approved dataset/model/license -&gt; isolated training lab -&gt; PEFT/LoRA run -&gt; evaluation -&gt; artifact/model card -&gt; cleanup. Without it, the platform can produce an unauditable, insecure or non-reproducible result at this exact layer.
- Measurable outcome: reproducible bounded lab results with licensed data and cost evidence. It contributes to the MVP by making PyTorch Lightning and PEFT/LoRA training lab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Post-MVP: use the exact task identity, technical contract, inputs and gates in this prompt; no Master Plan row exists for this post-MVP/consolidated prompt, so no tracker status is inferred.
END-TO-END ARCHITECTURE LEARNING
- Position and flow: approved dataset/model/license -&gt; isolated training lab -&gt; PEFT/LoRA run -&gt; evaluation -&gt; artifact/model card -&gt; cleanup.
- Upstream/dependency boundary: Use the exact prerequisites and Source-of-Truth precedence recorded above.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PyTorch Lightning loop, PEFT adapter configuration, dataset contract, checkpoints, metrics and GPU budget.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PyTorch Lightning loop, PEFT adapter configuration, dataset contract, checkpoints, metrics and GPU budget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adding removable specialist notes to a textbook instead of rewriting the whole book.
- What goes in / happens / comes out: approved Approved model/dataset IDs, license and GPU budget goes through PyTorch Lightning and PEFT/LoRA training lab;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embedding supports retrieval; fine-tuning changes model behavior and has different risk/cost.
ARCHITECTURE DECISIONS AND TRADE-OFFS
- Selected recorded direction: parameter-efficient adaptation is studied post-MVP rather than becoming a retrieval dependency.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licensed sanitized data, artifact provenance and external cache are mandatory. Apply classification, PII handling, tenant isolation, authorization before provider/storage calls, secret exclusion, redacted evidence, residency, retention, provenance and least privilege where applicable.
- Failure/operations: OOM, bad data or metric regression stops training; remove checkpoints/cache under approved teardown.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PyTorch Lightning and PEFT/LoRA training lab addresses learn model development without making it an mvp dependency. It makes the result governed, testable and reversible, measured by reproducible bounded lab results with licensed data and cost evidence.
- Two-minute technical explanation: describe PyTorch Lightning loop, PEFT adapter configuration, dataset contract, checkpoints, metrics and GPU budget; trace approved dataset/model/license -&gt; isolated training lab -&gt; PEFT/LoRA run -&gt; evaluation -&gt; artifact/model card -&gt; cleanup;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PyTorch Lightning and PEFT/LoRA training lab solve?
   Answer points: Connect Learn model development without making it an MVP dependency. to reproducible bounded lab results with licensed data and cost evidence and identify ML engineers, model risk, finance and architecture owner.
2. Q: Trace the end-to-end flow for ST-001.
   Answer points: Explain approved dataset/model/license -&gt; isolated training lab -&gt; PEFT/LoRA run -&gt; evaluation -&gt; artifact/model card -&gt; cleanup; name upstream dependencies, downstream consumers, trust and state boundaries.
3. Q: Which design decision matters most and what alternative was rejected?
   Answer points: Discuss parameter-efficient adaptation is studied post-MVP rather than becoming a retrieval dependency; compare the adjacent alternative and when it could be preferable.
4. Q: How does this task fail safely and how is it recovered?
   Answer points: Use this scenario: OOM, bad data or metric regression stops training; remove checkpoints/cache under approved teardown; distinguish retry, remediation, rollback, teardown and evidence.
5. Q: How are security, privacy and cost controlled?
   Answer points: Explain licensed sanitized data, artifact provenance and external cache are mandatory; include least privilege, redaction/residency, bounded resources and owner-only access.
- Design trade-off: volume/latency increases tenfold; explain whether parameter-efficient adaptation is studied post-MVP rather than becoming a retrieval dependency still holds and what evidence/ADR/approval must change.
- Failure/remediation: OOM, bad data or metric regression stops training; remove checkpoints/cache under approved teardown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PyTorch Lightning and PEFT/LoRA training lab. Task — establish the governed contract. Action — map consumers, work within gates, owner-test, diagnose completely and prove lifecycle. Result — report only accepted evidence and reproducible bounded lab results with licensed data and cost evidence.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model/dataset IDs, license and GPU budget.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ST-001.
</t>
  </si>
  <si>
    <t>READY FOR PRE-EDIT REVIEW — ST-001</t>
  </si>
  <si>
    <t xml:space="preserve">COLUMN M — EXACT DOCUMENT WRITING APPROVAL — ST-001
This is a separate owner approval after the bounded edit and owner testing or content review. Classify every path under one—and only one—of the CREATE and UPDATE headings after read-only preflight inspection.
EXACT DOCUMENTATION BOUNDARY
CREATE:
- docs/test-evidence/ST-001.md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ST-001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ST-001.
</t>
  </si>
  <si>
    <t xml:space="preserve">COLUMN N — FINAL APPROVAL AND COMPLETE DOCUMENTATION CLOSURE — ST-001
This gate authorizes documentation closure only after owner review; it is not a code, test, deployment or tracker-edit approval.
OWNER MUST SUPPLY — DO NOT INVENT
- Prompt ID: ST-001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ST-001`.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ST-001.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ST-001.
</t>
  </si>
  <si>
    <t>ST-002</t>
  </si>
  <si>
    <t>Optional Ansible operations runner</t>
  </si>
  <si>
    <t>Limit Ansible to valid VM/bootstrap cases.</t>
  </si>
  <si>
    <t>SSM dynamic inventory; no SSH keys</t>
  </si>
  <si>
    <t xml:space="preserve">FOUR APPROVAL GATES PLUS OWNER TESTING AND WEEKLY LEARNING — TRACKER v1.3.4
MAIN PROMPT — ST-002
TASK IDENTITY
- Week: Post-MVP
- Feature/outcome: Optional Ansible operations runner
- Business purpose: Limit Ansible to valid VM/bootstrap cases.
- Covered tracker steps: Post-MVP
- Required inputs: SSM dynamic inventory; no SSH keys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OPTIONAL Ansible role for an SSM-managed EC2 operations runner. Install pinned Docker/CLI/OTel packages, configure a non-root user, assume IMDSv2, JSON logging and patching. Read secrets at runtime from Secrets Manager with the instance role and no_log; never write them to templates or facts. Include handlers, check mode, ansible-lint and Molecule or syntax tests. State that immutable EKS containers are not configured with Ansible.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Limit Ansible to valid VM/bootstrap cases. The primary beneficiaries are operations, security and platform teams.
- Process and risk: This task supports approved VM/bootstrap need -&gt; SSM dynamic inventory -&gt; bounded Ansible playbook -&gt; idempotency check -&gt; rollback. Without it, the platform can produce an unauditable, insecure or non-reproducible result at this exact layer.
- Measurable outcome: second run makes zero unintended changes and leaves no keys. It contributes to the MVP by making Optional Ansible operations runner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Post-MVP: use the exact task identity, technical contract, inputs and gates in this prompt; no Master Plan row exists for this post-MVP/consolidated prompt, so no tracker status is inferred.
END-TO-END ARCHITECTURE LEARNING
- Position and flow: approved VM/bootstrap need -&gt; SSM dynamic inventory -&gt; bounded Ansible playbook -&gt; idempotency check -&gt; rollback.
- Upstream/dependency boundary: Use the exact prerequisites and Source-of-Truth precedence recorded above.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inventory plugin, playbook roles, variables, SSM connection and approved static/idempotency tests.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inventory plugin, playbook roles, variables, SSM connection and approved static/idempotency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maintenance checklist applied through a guarded service door.
- What goes in / happens / comes out: approved SSM dynamic inventory; no SSH keys goes through Optional Ansible operations runner;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Terraform creates infrastructure; Ansible configures justified mutable hosts.
ARCHITECTURE DECISIONS AND TRADE-OFFS
- Selected recorded direction: use Ansible only for mutable VM/bootstrap operations that IaC or Kubernetes do not own.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SSM avoids SSH keys; least privilege and no secret facts/logging. Apply classification, PII handling, tenant isolation, authorization before provider/storage calls, secret exclusion, redacted evidence, residency, retention, provenance and least privilege where applicable.
- Failure/operations: unreachable host or partial change is explicit; idempotent rerun or task rollback restores state.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Optional Ansible operations runner addresses limit ansible to valid vm/bootstrap cases. It makes the result governed, testable and reversible, measured by second run makes zero unintended changes and leaves no keys.
- Two-minute technical explanation: describe inventory plugin, playbook roles, variables, SSM connection and approved static/idempotency tests; trace approved VM/bootstrap need -&gt; SSM dynamic inventory -&gt; bounded Ansible playbook -&gt; idempotency check -&gt; rollback;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Optional Ansible operations runner solve?
   Answer points: Connect Limit Ansible to valid VM/bootstrap cases. to second run makes zero unintended changes and leaves no keys and identify operations, security and platform teams.
2. Q: Trace the end-to-end flow for ST-002.
   Answer points: Explain approved VM/bootstrap need -&gt; SSM dynamic inventory -&gt; bounded Ansible playbook -&gt; idempotency check -&gt; rollback; name upstream dependencies, downstream consumers, trust and state boundaries.
3. Q: Which design decision matters most and what alternative was rejected?
   Answer points: Discuss use Ansible only for mutable VM/bootstrap operations that IaC or Kubernetes do not own; compare the adjacent alternative and when it could be preferable.
4. Q: How does this task fail safely and how is it recovered?
   Answer points: Use this scenario: unreachable host or partial change is explicit; idempotent rerun or task rollback restores state; distinguish retry, remediation, rollback, teardown and evidence.
5. Q: How are security, privacy and cost controlled?
   Answer points: Explain SSM avoids SSH keys; least privilege and no secret facts/logging; include least privilege, redaction/residency, bounded resources and owner-only access.
- Design trade-off: volume/latency increases tenfold; explain whether use Ansible only for mutable VM/bootstrap operations that IaC or Kubernetes do not own still holds and what evidence/ADR/approval must change.
- Failure/remediation: unreachable host or partial change is explicit; idempotent rerun or task rollback restores state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Optional Ansible operations runner. Task — establish the governed contract. Action — map consumers, work within gates, owner-test, diagnose completely and prove lifecycle. Result — report only accepted evidence and second run makes zero unintended changes and leaves no keys.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SSM dynamic inventory; no SSH keys.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ST-002.
</t>
  </si>
  <si>
    <t>READY FOR PRE-EDIT REVIEW — ST-002</t>
  </si>
  <si>
    <t xml:space="preserve">COLUMN M — EXACT DOCUMENT WRITING APPROVAL — ST-002
This is a separate owner approval after the bounded edit and owner testing or content review. Classify every path under one—and only one—of the CREATE and UPDATE headings after read-only preflight inspection.
EXACT DOCUMENTATION BOUNDARY
CREATE:
- docs/test-evidence/ST-002.md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ST-002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ST-002.
</t>
  </si>
  <si>
    <t xml:space="preserve">COLUMN N — FINAL APPROVAL AND COMPLETE DOCUMENTATION CLOSURE — ST-002
This gate authorizes documentation closure only after owner review; it is not a code, test, deployment or tracker-edit approval.
OWNER MUST SUPPLY — DO NOT INVENT
- Prompt ID: ST-002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ST-002`.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ST-002.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ST-002.
</t>
  </si>
  <si>
    <t>W1-CONSOLIDATED-001</t>
  </si>
  <si>
    <t>Consolidated closure history and reusable regression gate</t>
  </si>
  <si>
    <t>Preserve every Week 1 correction, test transition and prevention control for future weeks.</t>
  </si>
  <si>
    <t>Week 1 commits, tracker rows W1-01:W1-12, evidence, ADRs, owner decisions and cleanliness records</t>
  </si>
  <si>
    <t>FOUR APPROVAL GATES PLUS OWNER TESTING AND WEEKLY LEARNING — TRACKER v1.3.4
MAIN PROMPT — W1-CONSOLIDATED-001
TASK IDENTITY
- Week: Week 1
- Feature/outcome: Consolidated closure history and reusable regression gate
- Business purpose: Preserve every Week 1 correction, test transition and prevention control for future weeks.
- Covered tracker steps: W1-01:W1-12
- Required inputs: Week 1 commits, tracker rows W1-01:W1-12, evidence, ADRs, owner decisions and cleanliness records
- Expected outputs: Business/technical/layman explanation, decision review and interview practice only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Preserve every Week 1 correction, test transition and prevention control for future weeks.
CONTENT-SPECIFIC READ-ONLY REVIEW — REQUIRED RESPONSE SECTIONS
1. Business and document outcome
Explain the consolidated Week 1 owner-learning narrative, using only approved Week 1 evidence and decisions.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docs/learning/W1-consolidated-review.md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Preserve every Week 1 correction, test transition and prevention control for future weeks. The primary beneficiaries are owner, future implementers, reviewers and interviewers.
- Process and risk: This task supports all Week 1 prompts/results/remediations -&gt; consolidated history -&gt; reusable regression gate -&gt; later-week prerequisite. Without it, the platform can produce an unauditable, insecure or non-reproducible result at this exact layer.
- Measurable outcome: complete W1 lineage with reusable regression checks. It contributes to the MVP by making Consolidated closure history and reusable regression gate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 W1-12 (Done): Review diffs, architecture decisions, test evidence and Week 2 readiness. Why: Owner approval is the stop point between features/weeks. Acceptance: Every MUST step is Done; no blocker or unapproved scope remains. Dependency: W1-01:W1-11. Owner verification: follow 02 Master Plan!M17 through TEST-001 one command at a time. Expected: Owner sign-off recorded with outstanding items explicitly deferred. Evidence: docs/deployment-records/W1-signoff.md Rollback/teardown: No Week 2 prompt is used until gaps are resolved.
END-TO-END ARCHITECTURE LEARNING
- Position and flow: all Week 1 prompts/results/remediations -&gt; consolidated history -&gt; reusable regression gate -&gt; later-week prerequisite.
- Upstream/dependency boundary: None, W1-01, W1-02, W1-03, W1-03, W1-04,W1-05, W1-03, W1-05, W1-03, W1-09, W1-10, W1-01:W1-11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 1 source records, repository/control contracts, evidence, ADRs, cleanliness and owner approvals.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 1 source records, repository/control contracts, evidence, ADRs, cleanliness and owner approvals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post-incident review plus a reusable pre-flight checklist.
- What goes in / happens / comes out: approved Week 1 commits, tracker rows W1-01:W1-12, evidence, ADRs, owner decisions and cleanliness records goes through Consolidated closure history and reusable regression gate; validation and controls run; the output is Business/technical/layman explanation, decision review and interview practice only or a clear, non-fabricated stop.
- Why the business cares: the process becomes explainable, safer and repeatable.
- Adjacent technology: weekly review signs off a week; consolidated closure preserves correction history and prevention.
ARCHITECTURE DECISIONS AND TRADE-OFFS
- Selected recorded direction: preserve chronological failures/fixes while extracting reusable prevention controls.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invented approvals or erased failures; source precedence and evidence traceability remain visible. Apply classification, PII handling, tenant isolation, authorization before provider/storage calls, secret exclusion, redacted evidence, residency, retention, provenance and least privilege where applicable.
- Failure/operations: a mismatch blocks consolidation and identifies the exact source to reconcile.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Consolidated closure history and reusable regression gate addresses preserve every week 1 correction, test transition and prevention control for future weeks. It makes the result governed, testable and reversible, measured by complete W1 lineage with reusable regression checks.
- Two-minute technical explanation: describe Week 1 source records, repository/control contracts, evidence, ADRs, cleanliness and owner approvals; trace all Week 1 prompts/results/remediations -&gt; consolidated history -&gt; reusable regression gate -&gt; later-week prerequisite;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Consolidated closure history and reusable regression gate solve?
   Answer points: Connect Preserve every Week 1 correction, test transition and prevention control for future weeks. to complete W1 lineage with reusable regression checks and identify owner, future implementers, reviewers and interviewers.
2. Q: Trace the end-to-end flow for W1-CONSOLIDATED-001.
   Answer points: Explain all Week 1 prompts/results/remediations -&gt; consolidated history -&gt; reusable regression gate -&gt; later-week prerequisite; name upstream dependencies, downstream consumers, trust and state boundaries.
3. Q: Which design decision matters most and what alternative was rejected?
   Answer points: Discuss preserve chronological failures/fixes while extracting reusable prevention controls; compare the adjacent alternative and when it could be preferable.
4. Q: How does this task fail safely and how is it recovered?
   Answer points: Use this scenario: a mismatch blocks consolidation and identifies the exact source to reconcile; distinguish retry, remediation, rollback, teardown and evidence.
5. Q: How are security, privacy and cost controlled?
   Answer points: Explain no invented approvals or erased failures; source precedence and evidence traceability remain visible; include least privilege, redaction/residency, bounded resources and owner-only access.
- Design trade-off: volume/latency increases tenfold; explain whether preserve chronological failures/fixes while extracting reusable prevention controls still holds and what evidence/ADR/approval must change.
- Failure/remediation: a mismatch blocks consolidation and identifies the exact source to reconcile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Consolidated closure history and reusable regression gate. Task — establish the governed contract. Action — map consumers, work within gates, owner-test, diagnose completely and prove lifecycle. Result — report only accepted evidence and complete W1 lineage with reusable regression checks.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W1-CONSOLIDATED-001.</t>
  </si>
  <si>
    <t>READY FOR PRE-EDIT REVIEW — W1-CONSOLIDATED-001</t>
  </si>
  <si>
    <t>W1-01:W1-12</t>
  </si>
  <si>
    <t xml:space="preserve">COLUMN M — EXACT DOCUMENT WRITING APPROVAL — W1-CONSOLIDATED-001
This is a separate owner approval after the bounded edit and owner testing or content review. Classify every path under one—and only one—of the CREATE and UPDATE headings after read-only preflight inspection.
EXACT DOCUMENTATION BOUNDARY
CREATE:
- docs/learning/W1-consolidated-review.md
UPDATE:
- None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W1-CONSOLIDATED-001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W1-CONSOLIDATED-001.
</t>
  </si>
  <si>
    <t xml:space="preserve">COLUMN N — FINAL APPROVAL AND COMPLETE DOCUMENTATION CLOSURE — W1-CONSOLIDATED-001
This gate authorizes documentation closure only after owner review; it is not a code, test, deployment or tracker-edit approval.
OWNER MUST SUPPLY — DO NOT INVENT
- Prompt ID: W1-CONSOLIDATED-001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W1-CONSOLIDATED-001`.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W1-CONSOLIDATED-001.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W1-CONSOLIDATED-001.
</t>
  </si>
  <si>
    <t>Weeks 1-6</t>
  </si>
  <si>
    <t>Weekly owner architecture and interview teach-back</t>
  </si>
  <si>
    <t>Teach the business use case, end-to-end flow, decisions and interview story after each week.</t>
  </si>
  <si>
    <t>Completed weekly rows, Task Context, owner-executed results, decisions and approved documentation</t>
  </si>
  <si>
    <t>Business summary, technical deep-dive, layman analogy, failure/rollback story, interview Q&amp;A and owner teach-back</t>
  </si>
  <si>
    <t>FOUR APPROVAL GATES PLUS OWNER TESTING AND WEEKLY LEARNING — TRACKER v1.3.4
MAIN PROMPT — WEEKLY-LEARN-001
TASK IDENTITY
- Week: Weeks 1-6
- Feature/outcome: Weekly owner architecture and interview teach-back
- Business purpose: Teach the business use case, end-to-end flow, decisions and interview story after each week.
- Covered tracker steps: W1-13, W2-13, W3-13, W4-13, W5-14, W6-14
- Required inputs: Completed weekly rows, Task Context, owner-executed results, decisions and approved documentation
- Expected outputs: Business summary, technical deep-dive, layman analogy, failure/rollback story, interview Q&amp;A and owner teach-back
- Task type: learning
- Next approval position: owner learning/teach-back review; no Codex-authored code or content mutation is authorized; owner-written evidence is required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W1-13 — Complete the Week 1 business, architecture and interview teach-back.
  Business reason: Turns governance, repository, test and lifecycle controls into an explainable architecture story.
  Acceptance: Owner explains the Week 1 business outcome, control flow, decisions, failure boundaries and three interview answers without reading code.
  Dependency: W1-12
  Owner verification reference: Owner completes the teach-back and records the exact canonical evidence note
  Expected result: Business summary, technical deep-dive, layman analogy, decision recap and interview Q&amp;A completed.
  Canonical evidence: docs/learning/W1-learning-review.md, written and maintained by the owner for this learning-only task
  Rollback/teardown: No runtime rollback; revise the learning note through document approval if inaccurate.
  Current tracker status (read-only historical/current fact): Done
  Separate Task Context: Week 1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W2-13 — Complete the Week 2 local retrieval business, architecture and interview teach-back.
  Business reason: Converts vector retrieval, ingestion, privacy and authorization work into an end-to-end business explanation.
  Acceptance: Owner explains document-to-vector-to-authorized-retrieval flow, Qdrant role, failure handling and three interview answers.
  Dependency: W2-12
  Owner verification reference: Owner completes the teach-back and records the exact canonical evidence note
  Expected result: Business summary, technical deep-dive, layman analogy, decision recap and interview Q&amp;A completed.
  Canonical evidence: docs/learning/W2-learning-review.md, written and maintained by the owner for this learning-only task
  Rollback/teardown: No runtime rollback; revise the learning note through document approval if inaccurate.
  Current tracker status (read-only historical/current fact): Not Started
  Separate Task Context: Week 2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W3-13 — Complete the Week 3 cited-RAG business, architecture and interview teach-back.
  Business reason: Builds confidence explaining grounded answers, abstention, evaluation and model-provider boundaries.
  Acceptance: Owner explains cited RAG, guardrails, evaluation thresholds, rollback and three interview answers.
  Dependency: W3-12
  Owner verification reference: Owner completes the teach-back and records the exact canonical evidence note
  Expected result: Business summary, technical deep-dive, layman analogy, decision recap and interview Q&amp;A completed.
  Canonical evidence: docs/learning/W3-learning-review.md, written and maintained by the owner for this learning-only task
  Rollback/teardown: No runtime rollback; revise the learning note through document approval if inaccurate.
  Current tracker status (read-only historical/current fact): Not Started
  Separate Task Context: Week 3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W4-13 — Complete the Week 4 API/agent business, architecture and interview teach-back.
  Business reason: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reference: Owner completes the teach-back and records the exact canonical evidence note
  Expected result: Business summary, technical deep-dive, layman analogy, decision recap and interview Q&amp;A completed.
  Canonical evidence: docs/learning/W4-learning-review.md, written and maintained by the owner for this learning-only task
  Rollback/teardown: No runtime rollback; revise the learning note through document approval if inaccurate.
  Current tracker status (read-only historical/current fact): Not Started
  Separate Task Context: Week 4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W5-14 — Complete the Week 5 AWS lifecycle business, architecture and interview teach-back.
  Business reason: Connects infrastructure-as-code, identity, policy, supply chain, cost and teardown into a controlled cloud story.
  Acceptance: Owner explains reviewed plans, OIDC, policy gates, immutable artifacts, rollback/teardown and three interview answers.
  Dependency: W5-13
  Owner verification reference: Owner completes the teach-back and records the exact canonical evidence note
  Expected result: Business summary, technical deep-dive, layman analogy, decision recap and interview Q&amp;A completed.
  Canonical evidence: docs/learning/W5-learning-review.md, written and maintained by the owner for this learning-only task
  Rollback/teardown: No runtime rollback; revise the learning note through document approval if inaccurate.
  Current tracker status (read-only historical/current fact): Not Started
  Separate Task Context: Week 5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W6-14 — Complete the Week 6 end-to-end architecture, deployment, SRE and interview teach-back.
  Business reason: Consolidates the full enterprise AI platform into a deployment, reliability, security and business-value narrative.
  Acceptance: Owner delivers a 10-minute end-to-end explanation plus failure, rollback, teardown and five interview answers.
  Dependency: W6-13
  Owner verification reference: Owner completes the teach-back and records the exact canonical evidence note
  Expected result: Final business case, architecture deep-dive, layman walkthrough, decision recap and interview Q&amp;A completed.
  Canonical evidence: docs/learning/W6-learning-review.md, written and maintained by the owner for this learning-only task
  Rollback/teardown: No runtime rollback; revise the learning note through document approval if inaccurate.
  Current tracker status (read-only historical/current fact): Not Started
  Separate Task Context: Week 6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Downstream tracker steps identified from recorded dependencies: W2-01, W3-01, W4-01, W5-01, W6-01
RETAINED TASK-SPECIFIC TECHNICAL CONTRACT
Only the retained technical scope below remains. Conflicting historical execution, automatic-remediation, evidence-writing, documentation-writing, Excel-edit and Git-mutation instructions have been removed; owner teach-back, owner-written evidence and final approval retain their separate authority.
Teach the business use case, end-to-end flow, decisions and interview story after each week.
LEARNING-SPECIFIC READ-ONLY REVIEW — REQUIRED RESPONSE SECTIONS
1. Learning outcome
Prepare six separate weekly teach-backs covering business outcomes, architecture flow, decisions, testing, failures, security, rollback, teardown and interview answers. State the business outcome, architecture position, expected teach-back duration, acceptance criteria and interview objective.
2. Authoritative evidence boundary
Use only approved implementation, decision and owner-executed evidence. Distinguish PASS, FAIL, NOT RUN, INDETERMINATE, accepted warnings, risks and evidence gaps. Never infer a completed test, deployment, rollback, teardown or approval.
3. Teaching and architecture flow
Explain the end-to-end business, data and control flow; component responsibilities; trust boundaries; security/privacy controls; reliability/cost implications; alternatives and trade-offs. Include a plain-language analogy and an interview-ready explanation.
4. Teach-back validation — no automated tests or commands
Provide five owner teach-back questions, answer points and one practical architect scenario. Evaluate conceptual accuracy and evidence traceability only. Do not propose test files, dependency analysis, runtime execution, TEST-001 commands or repository changes.
5. Owner-written evidence boundary
Codex must not create or edit a learning document. After the teach-back, the owner writes or updates only the applicable canonical evidence note:
- docs/learning/W1-learning-review.md
- docs/learning/W2-learning-review.md
- docs/learning/W3-learning-review.md
- docs/learning/W4-learning-review.md
- docs/learning/W5-learning-review.md
- docs/learning/W6-learning-review.md
The owner records reviewer/approval facts without inventing results. A later Codex-authored document change requires a separate exact-path Column M approval.
6. Failure and correction
If evidence is missing or contradictory, stop and identify the exact gap. If the teach-back is incomplete, provide coaching and repeat the teach-back; do not remediate code, documentation, infrastructure or tracker state.
7. Security, privacy, cost and residual resources
Teach only the controls and outcomes supported by evidence. Exclude credentials, raw protected content and unsupported cost/residency claims. State retained resources and deferred work accurately.
8. Final learning review
Return the business story, technical importance, layman explanation, decisions and alternatives, security/privacy/reliability/cost trade-offs, failure/remediation/rollback/teardown story, five interview questions with answer points and a concise explanation the owner can speak aloud.
LEARNING CONTROL
This prompt authorizes read-only teaching only. The owner performs the teach-back and writes the exact evidence note. Codex runs no command, creates no test, edits no repository file and changes no Excel or Git state.
DETAILED TASK-SPECIFIC LEARNING FOCUS
BUSINESS LEARNING
- Problem and beneficiary: Teach the business use case, end-to-end flow, decisions and interview story after each week. The primary beneficiaries are owner, interviewers, architecture reviewers and future collaborators.
- Process and risk: This task supports each completed week -&gt; evidence-backed business/architecture narrative -&gt; interview practice -&gt; owner teach-back note. Without it, the platform can produce an unauditable, insecure or non-reproducible result at this exact layer.
- Measurable outcome: six accepted teach-backs, including a ten-minute final architecture story. It contributes to the MVP by making Weekly owner architecture and interview teach-back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W1-13 (Done): Complete the Week 1 business, architecture and interview teach-back. Why: Turns governance, repository, test and lifecycle controls into an explainable architecture story. Acceptance: Owner explains the Week 1 business outcome, control flow, decisions, failure boundaries and three interview answers without reading code. Dependency: W1-12. Owner verification: follow 02 Master Plan!M18 through TEST-001 one command at a time. Expected: Business summary, technical deep-dive, layman analogy, decision recap and interview Q&amp;A completed. Evidence: docs/learning/W1-learning-review.md Rollback/teardown: No runtime rollback; revise the learning note through document approval if inaccurate.
- W2-13 (Not Started): Complete the Week 2 local retrieval business, architecture and interview teach-back. Why: Converts vector retrieval, ingestion, privacy and authorization work into an end-to-end business explanation. Acceptance: Owner explains document-to-vector-to-authorized-retrieval flow, Qdrant role, failure handling and three interview answers. Dependency: W2-12. Owner verification: follow 02 Master Plan!M31 through TEST-001 one command at a time. Expected: Business summary, technical deep-dive, layman analogy, decision recap and interview Q&amp;A completed. Evidence: docs/learning/W2-learning-review.md Rollback/teardown: No runtime rollback; revise the learning note through document approval if inaccurate.
- W3-13 (Not Started): Complete the Week 3 cited-RAG business, architecture and interview teach-back. Why: Builds confidence explaining grounded answers, abstention, evaluation and model-provider boundaries. Acceptance: Owner explains cited RAG, guardrails, evaluation thresholds, rollback and three interview answers. Dependency: W3-12. Owner verification: follow 02 Master Plan!M44 through TEST-001 one command at a time. Expected: Business summary, technical deep-dive, layman analogy, decision recap and interview Q&amp;A completed. Evidence: docs/learning/W3-learning-review.md Rollback/teardown: No runtime rollback; revise the learning note through document approval if inaccurate.
- W4-13 (Not Started): Complete the Week 4 API/agent business, architecture and interview teach-back. Why: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follow 02 Master Plan!M57 through TEST-001 one command at a time. Expected: Business summary, technical deep-dive, layman analogy, decision recap and interview Q&amp;A completed. Evidence: docs/learning/W4-learning-review.md Rollback/teardown: No runtime rollback; revise the learning note through document approval if inaccurate.
- W5-14 (Not Started): Complete the Week 5 AWS lifecycle business, architecture and interview teach-back. Why: Connects infrastructure-as-code, identity, policy, supply chain, cost and teardown into a controlled cloud story. Acceptance: Owner explains reviewed plans, OIDC, policy gates, immutable artifacts, rollback/teardown and three interview answers. Dependency: W5-13. Owner verification: follow 02 Master Plan!M71 through TEST-001 one command at a time. Expected: Business summary, technical deep-dive, layman analogy, decision recap and interview Q&amp;A completed. Evidence: docs/learning/W5-learning-review.md Rollback/teardown: No runtime rollback; revise the learning note through document approval if inaccurate.
- W6-14 (Not Started): Complete the Week 6 end-to-end architecture, deployment, SRE and interview teach-back. Why: Consolidates the full enterprise AI platform into a deployment, reliability, security and business-value narrative. Acceptance: Owner delivers a 10-minute end-to-end explanation plus failure, rollback, teardown and five interview answers. Dependency: W6-13. Owner verification: follow 02 Master Plan!M85 through TEST-001 one command at a time. Expected: Final business case, architecture deep-dive, layman walkthrough, decision recap and interview Q&amp;A completed. Evidence: docs/learning/W6-learning-review.md Rollback/teardown: No runtime rollback; revise the learning note through document approval if inaccurate.
END-TO-END ARCHITECTURE LEARNING
- Position and flow: each completed week -&gt; evidence-backed business/architecture narrative -&gt; interview practice -&gt; owner teach-back note.
- Upstream/dependency boundary: W1-12, W2-12, W3-12, W4-12, W5-13, W6-13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six weekly flows: control foundation, local retrieval, cited RAG, API/agent, AWS lifecycle, EKS/SRE.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six weekly flows: control foundation, local retrieval, cited RAG, API/agent, AWS lifecycle, EKS/SRE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explaining how six floors connect from foundation to operations.
- What goes in / happens / comes out: approved Completed weekly rows, Task Context, owner-executed results, decisions and approved documentation goes through Weekly owner architecture and interview teach-back; validation and controls run; the output is Business summary, technical deep-dive, layman analogy, failure/rollback story, interview Q&amp;A and owner teach-back or a clear, non-fabricated stop.
- Why the business cares: the process becomes explainable, safer and repeatable.
- Adjacent technology: weekly review verifies facts; weekly learning turns them into owner understanding.
ARCHITECTURE DECISIONS AND TRADE-OFFS
- Selected recorded direction: teach only the accepted weekly baseline and preserve gaps, risks and remediations.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privacy, authorization, provenance, cloud least privilege and residue connect across weeks. Apply classification, PII handling, tenant isolation, authorization before provider/storage calls, secret exclusion, redacted evidence, residency, retention, provenance and least privilege where applicable.
- Failure/operations: an unsupported explanation is coached and repeated; no code is silently remediated.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Weekly owner architecture and interview teach-back addresses teach the business use case, end-to-end flow, decisions and interview story after each week. It makes the result governed, testable and reversible, measured by six accepted teach-backs, including a ten-minute final architecture story.
- Two-minute technical explanation: describe six weekly flows: control foundation, local retrieval, cited RAG, API/agent, AWS lifecycle, EKS/SRE; trace each completed week -&gt; evidence-backed business/architecture narrative -&gt; interview practice -&gt; owner teach-back note;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Weekly owner architecture and interview teach-back solve?
   Answer points: Connect Teach the business use case, end-to-end flow, decisions and interview story after each week. to six accepted teach-backs, including a ten-minute final architecture story and identify owner, interviewers, architecture reviewers and future collaborators.
2. Q: Trace the end-to-end flow for WEEKLY-LEARN-001.
   Answer points: Explain each completed week -&gt; evidence-backed business/architecture narrative -&gt; interview practice -&gt; owner teach-back note; name upstream dependencies, downstream consumers, trust and state boundaries.
3. Q: Which design decision matters most and what alternative was rejected?
   Answer points: Discuss teach only the accepted weekly baseline and preserve gaps, risks and remediations; compare the adjacent alternative and when it could be preferable.
4. Q: How does this task fail safely and how is it recovered?
   Answer points: Use this scenario: an unsupported explanation is coached and repeated; no code is silently remediated; distinguish retry, remediation, rollback, teardown and evidence.
5. Q: How are security, privacy and cost controlled?
   Answer points: Explain privacy, authorization, provenance, cloud least privilege and residue connect across weeks; include least privilege, redaction/residency, bounded resources and owner-only access.
6. Q: Which facts may be claimed as PASS?
   Answer points: Only owner-executed evidence; preserve FAIL, NOT RUN, INDETERMINATE, warnings and gaps.
7. Q: How do the week's components connect?
   Answer points: Use the recorded step sequence and the flow: each completed week -&gt; evidence-backed business/architecture narrative -&gt; interview practice -&gt; owner teach-back note.
8. Q: What changes at production scale?
   Answer points: Revisit teach only the accepted weekly baseline and preserve gaps, risks and remediations under latency, availability, residency, support and cost.
9. Q: What is rollback versus teardown?
   Answer points: Rollback restores a known-good capability; teardown removes scoped resources and verifies residue.
10. Q: What must the owner teach back?
   Answer points: Business value, architecture, interfaces, decision, security, failure, testing, lifecycle and evidence.
- Design trade-off: volume/latency increases tenfold; explain whether teach only the accepted weekly baseline and preserve gaps, risks and remediations still holds and what evidence/ADR/approval must change.
- Failure/remediation: an unsupported explanation is coached and repeated; no code is silently remediated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Weekly owner architecture and interview teach-back. Task — establish the governed contract. Action — map consumers, work within gates, owner-test, diagnose completely and prove lifecycle. Result — report only accepted evidence and six accepted teach-backs, including a ten-minute final architecture story.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 owner selects the completed evidence set, performs the teach-back and records the owner-written note. No code/content mutation decision applies.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no code, command, cloud action or Codex-authored learning note applies
- Column L activation: no workbook text grants authority until the owner explicitly issues an exact bounded Code or Content Edit Approval after all edit-blocking decisions are resolved and patch contexts are re-read.
End exactly: READY FOR PRE-EDIT REVIEW — WEEKLY-LEARN-001.</t>
  </si>
  <si>
    <t>Owner learning and teach-back review — WEEKLY-LEARN-001</t>
  </si>
  <si>
    <t>W1-13, W2-13, W3-13, W4-13, W5-14, W6-14</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</si>
  <si>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destroy-local
2.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</si>
  <si>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fmt -check -recursive infra
2. terraform -chdir=infra/environments/sandbox validate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</si>
  <si>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tflint --recursive
2. checkov -d infra
3. opa test policies/opa -v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</si>
  <si>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container-scan
2. make sbom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</si>
  <si>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ROLLBACK AND TEARDOWN</t>
  </si>
  <si>
    <t>Return:</t>
  </si>
  <si>
    <t>End exactly:</t>
  </si>
  <si>
    <t>COLUMN L — CODE EDIT APPROVAL — W2-004 LOCAL RETRIEVAL, REGRESSION,
ROLLBACK AND TEARDOWN
The complete W2-004 repository-backed pre-edit plan, consolidated owner
decisions, producer-consumer analysis and final path manifest are approved.
APPROVED BASELINE
- Authoritative tracker:
  docs/governance/Enterprise_AI_Architecture_6_Week_Execution_Tracker_v1.3.4_repaired.xlsx
- Tracker SHA-256:
  9b14c04248da9801ca85a03a402a4440b6af259026a43961512fd21d3d0ce850
- Repository HEAD:
  827dbf0360f8f3dd6ef396f513d1201926810e94
- HEAD matches origin/main.
- Working tree is clean.
- Corresponding Excel lock file is absent.
- W2-01 through W2-08 are recorded as Done.
- Final W2-001, W2-002 and W2-003 evidence is authoritative for W2-004.
- Stale approval wording in ADR-003 and ADR-006 is accepted as a deferred
  documentation inconsistency and must not be edited under this approval.
EXACT APPROVED WRITE BOUNDARY
CREATE ONLY:
- docker-compose.w2-004.yml
- docker/local-retrieval-runner.Dockerfile
- docker/local-retrieval-runner.Dockerfile.dockerignore
- docker/local-retrieval-runner.requirements.txt
- src/enterprise_ai_platform/retrieval/service.py
- tools/verify_w2_004_local.py
- tests/unit/test_retrieval_service.py
- tests/unit/test_verify_w2_004_local.py
- tests/contract/test_retrieval_service.py
- tests/feature/test_local_retrieval.py
- tests/security/test_w2_004_retrieval_security.py
- tests/rollback/test_w2_004_local_rollback.py
- tests/teardown/test_w2_004_retrieval_cleanliness.py
UPDATE ONLY:
- Makefile
- src/enterprise_ai_platform/retrieval/__init__.py
- feature-matrix.yaml
- tools/platformctl/validate.py
- tests/feature/test_feature_matrix.py
- tests/feature/test_w2_003_ingestion_contract.py
- tests/unit/test_platformctl.py
No other path may be created, modified, renamed, moved or deleted.
APPROVED INTERNAL-ONLY ARCHITECTURE
Preserve the existing base docker-compose.yml and existing W2-001 Qdrant
runner unchanged.
Create a bounded W2-004 Compose override with:
- Service: local_retrieval_runner
- Profile: local-retrieval
- Compose project: enterprise-ai-w2-004a
- Logical network: qdrant_internal
- Qdrant endpoint: http://qdrant:6333
- Collection: w2_004_local_retrieval
- Platform: linux/amd64
- CPU limit: 2
- Memory limit: 2 GiB
- PID limit: 256
- Runtime user: 10001:10001
- Root filesystem: read-only
- Capabilities: drop ALL
- Security option: no-new-privileges:true
- Temporary storage: /tmp tmpfs limited to 64 MiB with mode 1777
- Persistent runner storage: none
- Host ports: none
- Host networking: prohibited
- Docker socket: prohibited
- Credentials and secrets: prohibited
- Runtime external network: prohibited
Both Qdrant and the runner must reference only the portable Compose logical
network qdrant_internal. Do not specify a global network name. Preserve
internal: true.
The runner must use depends_on with Qdrant’s healthy-service condition.
Do not add or restore 127.0.0.1:6333 publication.
APPROVED READ-ONLY RUNTIME INPUTS
Mount only these repository inputs read-only:
- configs/pii-policy.yaml
- configs/eval/w2-starter.jsonl
- data/sample/corpus-manifest.json
- data/sample/approved/source-of-truth-v1.1.md
- data/sample/approved/coaching-blueprint.md
- data/sample/restricted-fixtures/restricted-test.txt
Mount the owner-supplied W2_002_MODEL_SNAPSHOT_HOST read-only into the exact
container hierarchy:
/opt/model-cache/models--sentence-transformers--all-MiniLM-L6-v2/snapshots/1110a243fdf4706b3f48f1d95db1a4f5529b4d41
Do not mount a repository directory, virtual environment, Docker socket,
credential directory or writable host path.
APPROVED IMMUTABLE IMAGE CONTRACT
Python base image:
docker.io/library/python:3.13.7-slim-bookworm
Approved immutable multi-platform index:
sha256:adafcc17694d715c905b4c7bebd96907a1fd5cf183395f0ebc4d3428bd22d92d
Approved Linux/AMD64 runtime manifest to preserve in a provenance label and
automated contract test:
sha256:781449467ffb6f04218f09b1ecdcdc7d22b289ee5da9ec498b024e24ad7a6db7
Use the approved index digest as the Dockerfile image reference with an
explicit linux/amd64 platform constraint. Do not use an attestation manifest
as a runtime image.
Preserve the existing Qdrant image reference and approved digests unchanged:
- Index:
  sha256:a0e04fe623cb064502cd869cefc1dc7ce359d8edd481063b5bd351c0a0a2c91e
- Linux/AMD64 runtime manifest:
  sha256:80fb7b20ee4b49d57443b51aabdfb8514b910f333d3c4862e106fd02d1d66fa7
APPROVED RUNNER DEPENDENCIES
Use exact direct dependency pins:
- pytest==9.1.1
- pydantic==2.13.4
- PyYAML==6.0.3
- pypdf==6.16.2
- qdrant-client==1.19.0
- sentence-transformers==5.7.0
- transformers==5.15.1
- torch==2.13.0
- huggingface-hub==1.16.1
- safetensors==0.8.0
- tokenizers==0.22.2
Configure installation to use only the approved CPU-compatible PyTorch
source. Do not add a CUDA, GPU, ONNX, OpenVINO, TensorFlow, Rust, Presidio,
AWS, OpenSearch or unrelated dependency.
This is exact direct-dependency pinning, not a fully hashed transitive lock.
Do not represent it as complete supply-chain locking.
APPROVED RETRIEVAL SERVICE
Create a provider-neutral RetrievalService using only existing approved
contracts:
- Embedder
- EmbeddingContract
- assert_embedding_contract
- VectorStore
- CollectionSpec
- Query
- AuthContext
- RetrievedChunk
- require_active_context
- build_retrieval_policy
The service must:
1. Validate the embedder and collection contract during construction.
2. Validate the approved collection specification before provider access.
3. Require an active authorization context before query embedding.
4. Build the existing retrieval policy before vector search.
5. Embed the query through Embedder.embed_query.
6. Search through VectorStore.search.
7. Return tuple[RetrievedChunk, ...].
8. Preserve the requested top_k and existing result ordering.
9. Use the existing bounded vector timeout contract.
10. Translate failures through existing normalized exception boundaries.
11. Perform no collection creation, upsert, deletion or other mutation.
12. Expose no Qdrant or OpenSearch SDK type.
13. Log no query text, corpus text, embedding vector, credential or PII.
Export only the new approved public retrieval-service symbol from
src/enterprise_ai_platform/retrieval/__init__.py.
APPROVED REAL LOCAL FEATURE PROOF
The one-shot runner must use:
- SentenceTransformerEmbedder
- MiniLmTokenizer
- SyntheticPiiAnalyzer
- IngestionPipeline
- QdrantVectorStore
- RetrievalService
- The approved corpus manifest, PII policy and Q1–Q5 fixture
- CPU-only execution
- HF_HUB_OFFLINE=1
- TRANSFORMERS_OFFLINE=1
- HF_HUB_DISABLE_TELEMETRY=1
- CUDA_VISIBLE_DEVICES=-1
- No token
- No remote code
- No runtime download
Initial ingestion must fail closed if w2_004_local_retrieval already exists.
It must not reuse, overwrite or delete an unexpected pre-existing
collection.
The approved initial feature sequence must:
1. Prove the collection is absent.
2. Create or validate only the approved collection contract.
3. Ingest the three approved manifest sources.
4. Run ingestion a second time in the same approved feature flow.
5. Prove stable document, version, chunk and vector identities.
6. Prove the second ingestion creates no duplicate vectors.
7. Record exact point count without recording source text.
8. Verify the approved model, revision, dimension, normalization and cosine
   metric.
9. Run Q1 through Q5 in their approved order.
10. For Q1 through Q4, require the exact expected source within the top five
    authorized results.
11. Record only question ID, expected source ID, returned source ID, rank and
    score.
12. For Q5, record retrieval-only results and make no safe-abstention claim.
13. Prove unauthorized tenant, role, group and clearance combinations return
    zero chunks.
14. Inspect stored payload metadata and source identities to prove no
    quarantined document or chunk exists.
15. Record no raw corpus text, question text, PII or embedding vector.
Real Presidio remains NOT RUN. Do not modify the corpus or claim production
PII-detection quality.
APPROVED REGRESSION AND ROLLBACK
Implement a test-scoped environment or in-memory expected-source override.
The regression must:
- Apply only inside the W2-004 runner.
- Modify no tracked file, fixture, corpus, collection schema or production
  configuration.
- Deliberately make one Q1–Q4 expected-source assertion fail.
- Return a visible expected nonzero test result.
- Prove that the regression is detected.
- Perform no vector or collection mutation.
Rollback means removing the override and rerunning the known-good state.
After rollback, revalidate:
- Qdrant health.
- Exact collection contract.
- Stable and idempotent ingestion state.
- Q1–Q4 expected-source top-five retrieval.
- Tenant, role, group and clearance isolation.
- Quarantine absence.
Do not describe environment destruction as rollback.
APPROVED COLLECTION REMOVAL
After successful rollback verification, remove only:
w2_004_local_retrieval
Use the Qdrant client collection lifecycle API only in the approved removal
phase. Verify the collection is absent after deletion.
Do not delete, overwrite or recreate an unexpected collection.
APPROVED MAKEFILE TARGETS
Add one bounded owner action per target:
- local-retrieval-config
- local-retrieval-build
- local-retrieval-inspect
- local-retrieval-up
- local-retrieval-ingest
- local-retrieval-query
- local-retrieval-regression
- rollback-local
- local-retrieval-remove
- stop-local
- destroy-local
- verify-clean-local
Each target must perform one visible owner operation. It must not silently
combine build, start, test, rollback, removal or teardown.
The only approved exception is verify-clean-local, which may invoke the fixed
read-only cleanliness verifier and its multiple internal inventory reads.
Do not perform broad Docker cleanup or Docker system prune.
APPROVED READ-ONLY CLEANLINESS VERIFIER
tools/verify_w2_004_local.py must:
- Be read-only.
- Use fixed, non-shell-expanded command arguments.
- Perform no deletion, stop, removal, pruning or mutation.
- Inspect W2-004 project-labelled containers, networks and volumes.
- Inspect the exact task collection state where directly reachable.
- Inspect the local runner image.
- Inspect W2-004-related processes without outputting complete command lines.
- Inspect repository caches, bytecode and task-owned temporary paths.
- Inspect unexpected ignored files and empty task directories.
- Inspect the exact external W2-002 cache path.
- Record intentionally retained shared base images and BuildKit cache.
- Return nonzero for prohibited or indeterminate residue.
- Distinguish REMOVED, RETAINED, NOT RUN and INDETERMINATE.
- Emit redacted structured JSON suitable for later owner evidence.
- Never print environment secrets, document text, query text or embeddings.
The external Python virtual environment is an approved retained resource.
APPROVED FEATURE-MATRIX SYNCHRONIZATION
Preserve feature-matrix.yaml as one valid JSON object.
Preserve exact feature order:
1. MVP-001
2. RAG-001
Append only these tracker steps to RAG-001:
- W2-09
- W2-10
Do not add them to MVP-001 and do not create a new feature ID.
Append these new W2-004 implementation paths in this exact order:
1. docker-compose.w2-004.yml
2. docker/local-retrieval-runner.Dockerfile
3. docker/local-retrieval-runner.Dockerfile.dockerignore
4. docker/local-retrieval-runner.requirements.txt
5. Makefile
6. src/enterprise_ai_platform/retrieval/service.py
7. tools/verify_w2_004_local.py
8. tests/unit/test_retrieval_service.py
9. tests/unit/test_verify_w2_004_local.py
10. tests/contract/test_retrieval_service.py
11. tests/feature/test_local_retrieval.py
12. tests/security/test_w2_004_retrieval_security.py
13. tests/rollback/test_w2_004_local_rollback.py
14. tests/teardown/test_w2_004_retrieval_cleanliness.py
Do not duplicate src/enterprise_ai_platform/retrieval/__init__.py because it
already exists in the authoritative RAG-001 implementation-path list.
Synchronize the validator and automated fixtures with the same exact ordered
contract.
In tests/feature/test_w2_003_ingestion_contract.py, replace only the stale
assumption that W2-003 paths and steps are the final suffix. Continue proving
that the complete W2-003 path and tracker-step contracts remain present as
an exact ordered contiguous segment before the appended W2-004 contract.
Do not weaken rejection of malformed JSON, extra data, reordered, missing,
duplicate or unexpected paths, tracker steps or feature IDs.
APPROVED AUTOMATED TEST COVERAGE
Add or update automated tests for:
- RetrievalService construction and contract mismatch.
- Authorization rejection before query embedding.
- Successful provider-neutral fake retrieval.
- Query embedding and VectorStore.search connection.
- Timeout, cancellation and normalized failure behavior.
- No vendor-type leakage.
- No query text, document text, vector or PII in errors or reports.
- Internal-only Compose networking.
- No host ports, host networking, Docker socket or credentials.
- Exact image index and Linux/AMD64 provenance.
- Exact direct dependency pins.
- Read-only mounts and least privilege.
- Runner health dependency.
- Initial collection-absence fail-closed behavior.
- Idempotent real ingestion.
- Q1–Q4 expected-source top-five retrieval.
- Q5 retrieval-only treatment.
- Tenant, classification, role and group isolation.
- Quarantine absence.
- Deliberate regression detection.
- Non-mutating rollback.
- Exact collection deletion and absence.
- Read-only cleanliness verifier behavior.
- Task-specific Docker and repository residue checks.
- Feature-matrix and validator synchronization.
Normal unit, contract, feature, security and repository regression tests must
use fakes and must not load or download the real model.
Real W2-004 execution must remain explicit, owner-controlled and opt-in.
STRICT COLUMN L BOUNDARY
Codex may write only the exact CREATE and UPDATE paths listed above.
Codex must not:
- run tests, Ruff, MyPy or repository validation;
- install or update dependencies;
- build, inspect, start or remove an image or container;
- access Docker Hub, PyPI, Python-hosted files or PyTorch endpoints;
- load or download the model;
- start Qdrant or the runner;
- create, query, mutate or delete a collection;
- perform regression, rollback, teardown or cleanup;
- inspect or delete the external model cache;
- modify docker-compose.yml;
- modify requirements.txt, requirements-dev.txt or pyproject.toml;
- modify existing embedding, ingestion, authorization or adapter behavior;
- modify the approved corpus, PII policy or evaluation fixture;
- execute real Presidio;
- access AWS, OpenSearch, cloud or paid services;
- write documentation, evidence, ADRs or architecture records;
- edit any Excel workbook or tracker field;
- stage, commit or push;
- perform bulk formatting or automatic fixes;
- modify any unlisted path.
DEFERRED DOCUMENTATION — NOT AUTHORIZED BY COLUMN L
- docs/test-evidence/W2-09-retrieval.json
- docs/rollback-records/W2-local.md
- docs/resource-cleanliness/W2-local.json
- docs/adr/ADR-003-vector-stores.md
- docs/adr/ADR-006-authorization.md
These paths require separate approved documentation gates.
AFTER EDITING
Return:
1. The exact changed-path list classified CREATE or UPDATE.
2. A concise per-path diff summary.
3. Confirmation that no unlisted path changed.
4. Confirmation that Qdrant and the runner use only qdrant_internal.
5. Confirmation that neither service publishes a host port.
6. Confirmation of the Python index and Linux/AMD64 manifest usage.
7. Confirmation of all exact direct dependency pins.
8. Confirmation that runtime model access is offline and read-only.
9. Confirmation that the collection fails closed when unexpectedly present.
10. Confirmation that the feature matrix and all consumers use one identical
    ordered contract.
11. The complete owner testing, regression, rollback, removal and teardown
    guide without executing it.
12. The estimated build disk impact before the owner build command.
13. Business use case, architecture position, technical importance, layman
    explanation, decisions/trade-offs, failure/rollback story and interview
    talking points.
Do not show full code unless the owner asks SHOW FULL CODE.
End exactly:
CODE READY FOR OWNER TESTING — W2-004.</t>
  </si>
  <si>
    <t>In Progress</t>
  </si>
  <si>
    <t>This is the owner’s final bounded Code Edit Approval for W3-001.</t>
  </si>
  <si>
    <t>Codex may implement only the exact code, configuration, dependency declarations, schemas and automated test code authorized below.</t>
  </si>
  <si>
    <t>Codex must not run tests, linters, formatters, type checking, builds, package installation, Docker, services, AWS commands, Bedrock calls, deployment, rollback, teardown or remediation.</t>
  </si>
  <si>
    <t>1. Authoritative baseline</t>
  </si>
  <si>
    <t>Approved baseline:</t>
  </si>
  <si>
    <t>HEAD: 1d4bf76f6ea2a2fb2e7ac9178dc7837981a22a8c</t>
  </si>
  <si>
    <t>Working tree: CLEAN</t>
  </si>
  <si>
    <t>Excel processes: 0</t>
  </si>
  <si>
    <t>Workbook lock: ABSENT</t>
  </si>
  <si>
    <t>Before editing, verify the complete SHA and clean working tree using read-only inspection.</t>
  </si>
  <si>
    <t>If the SHA differs, the working tree is not clean, or an approved patch context has changed, do not edit anything. Return exactly:</t>
  </si>
  <si>
    <t>BLOCKED — BASELINE CHANGED — W3-001.</t>
  </si>
  <si>
    <t>2. Exact CREATE boundary — 27 paths</t>
  </si>
  <si>
    <t>src/enterprise_ai_platform/json_contracts.py</t>
  </si>
  <si>
    <t>src/enterprise_ai_platform/llm/__init__.py</t>
  </si>
  <si>
    <t>src/enterprise_ai_platform/llm/errors.py</t>
  </si>
  <si>
    <t>src/enterprise_ai_platform/llm/models.py</t>
  </si>
  <si>
    <t>src/enterprise_ai_platform/llm/provider.py</t>
  </si>
  <si>
    <t>src/enterprise_ai_platform/llm/fake.py</t>
  </si>
  <si>
    <t>src/enterprise_ai_platform/llm/bedrock.py</t>
  </si>
  <si>
    <t>src/enterprise_ai_platform/llm/factory.py</t>
  </si>
  <si>
    <t>src/enterprise_ai_platform/rag/__init__.py</t>
  </si>
  <si>
    <t>src/enterprise_ai_platform/rag/config.py</t>
  </si>
  <si>
    <t>src/enterprise_ai_platform/rag/errors.py</t>
  </si>
  <si>
    <t>src/enterprise_ai_platform/rag/models.py</t>
  </si>
  <si>
    <t>src/enterprise_ai_platform/rag/prompt.py</t>
  </si>
  <si>
    <t>src/enterprise_ai_platform/rag/service.py</t>
  </si>
  <si>
    <t>tests/unit/test_llm_provider.py</t>
  </si>
  <si>
    <t>tests/unit/test_bedrock_adapter.py</t>
  </si>
  <si>
    <t>tests/unit/test_prompt_template.py</t>
  </si>
  <si>
    <t>tests/unit/test_rag_pipeline.py</t>
  </si>
  <si>
    <t>tests/contract/test_llm_provider.py</t>
  </si>
  <si>
    <t>tests/contract/test_rag_config.py</t>
  </si>
  <si>
    <t>tests/contract/test_rag_result.py</t>
  </si>
  <si>
    <t>tests/integration/test_bedrock.py</t>
  </si>
  <si>
    <t>tests/feature/test_w3_001_cited_rag.py</t>
  </si>
  <si>
    <t>tests/security/test_w3_001_cited_rag_security.py</t>
  </si>
  <si>
    <t>tests/rollback/test_w3_001_rag_rollback.py</t>
  </si>
  <si>
    <t>tests/teardown/test_w3_001_rag_cleanliness.py</t>
  </si>
  <si>
    <t>3. Exact UPDATE boundary — 12 paths</t>
  </si>
  <si>
    <t>.env.example</t>
  </si>
  <si>
    <t>requirements.txt</t>
  </si>
  <si>
    <t>feature-matrix.yaml</t>
  </si>
  <si>
    <t>src/enterprise_ai_platform/config.py</t>
  </si>
  <si>
    <t>src/enterprise_ai_platform/retrieval/models.py</t>
  </si>
  <si>
    <t>tools/platformctl/validate.py</t>
  </si>
  <si>
    <t>tests/unit/test_config.py</t>
  </si>
  <si>
    <t>tests/unit/test_models.py</t>
  </si>
  <si>
    <t>tests/unit/test_platformctl.py</t>
  </si>
  <si>
    <t>tests/integration/test_dependency_contract.py</t>
  </si>
  <si>
    <t>tests/feature/test_feature_matrix.py</t>
  </si>
  <si>
    <t>tests/security/test_configuration_security.py</t>
  </si>
  <si>
    <t>4. DELETE boundary</t>
  </si>
  <si>
    <t>Do not create, modify, rename, move or delete any path outside the 39 paths above.</t>
  </si>
  <si>
    <t>5. Environment-variable contract</t>
  </si>
  <si>
    <t>Use only these canonical external names:</t>
  </si>
  <si>
    <t>ENTERPRISE_AI_LLM_PROVIDER</t>
  </si>
  <si>
    <t>ENTERPRISE_AI_LLM_MODEL_ID</t>
  </si>
  <si>
    <t>ENTERPRISE_AI_AWS_REGION</t>
  </si>
  <si>
    <t>Implement:</t>
  </si>
  <si>
    <t>llm_provider: Literal["fake", "bedrock"] = "fake"</t>
  </si>
  <si>
    <t>llm_model_id: str | None = None</t>
  </si>
  <si>
    <t>aws_region: str | None = None</t>
  </si>
  <si>
    <t>Required behavior:</t>
  </si>
  <si>
    <r>
      <t xml:space="preserve">Blank model ID and region normalize to </t>
    </r>
    <r>
      <rPr>
        <sz val="10"/>
        <rFont val="Arial Unicode MS"/>
      </rPr>
      <t>None</t>
    </r>
    <r>
      <rPr>
        <sz val="11"/>
        <rFont val="Carlito"/>
      </rPr>
      <t>.</t>
    </r>
  </si>
  <si>
    <r>
      <t>TODO_USER</t>
    </r>
    <r>
      <rPr>
        <sz val="11"/>
        <rFont val="Carlito"/>
      </rPr>
      <t xml:space="preserve"> remains invalid.</t>
    </r>
  </si>
  <si>
    <t>A supplied region must match the existing AWS-region pattern.</t>
  </si>
  <si>
    <t>Bedrock mode requires nonblank model ID and region.</t>
  </si>
  <si>
    <t>Fake mode permits blank model ID and region.</t>
  </si>
  <si>
    <t>Fake mode creates no AWS client and consults no credential chain.</t>
  </si>
  <si>
    <t>Existing nonblank configurations remain valid.</t>
  </si>
  <si>
    <t>Platformctl’s independent AWS-region contract remains unchanged.</t>
  </si>
  <si>
    <t>Unprefixed environment variables must not be consumed.</t>
  </si>
  <si>
    <r>
      <t>.env.example</t>
    </r>
    <r>
      <rPr>
        <sz val="11"/>
        <rFont val="Carlito"/>
      </rPr>
      <t xml:space="preserve"> must contain:</t>
    </r>
  </si>
  <si>
    <t>ENTERPRISE_AI_LLM_PROVIDER=fake</t>
  </si>
  <si>
    <t>ENTERPRISE_AI_LLM_MODEL_ID=</t>
  </si>
  <si>
    <t>ENTERPRISE_AI_AWS_REGION=</t>
  </si>
  <si>
    <t>6. RAG policy</t>
  </si>
  <si>
    <r>
      <t xml:space="preserve">Create </t>
    </r>
    <r>
      <rPr>
        <sz val="10"/>
        <rFont val="Arial Unicode MS"/>
      </rPr>
      <t>configs/rag.yaml</t>
    </r>
    <r>
      <rPr>
        <sz val="11"/>
        <rFont val="Carlito"/>
      </rPr>
      <t xml:space="preserve"> as one canonical JSON-compatible YAML mapping containing:</t>
    </r>
  </si>
  <si>
    <t>top_k = 5</t>
  </si>
  <si>
    <t>min_score = 0.50</t>
  </si>
  <si>
    <t>minimum_qualifying_chunks = 1</t>
  </si>
  <si>
    <t>max_context_characters = 12000</t>
  </si>
  <si>
    <t>max_output_tokens = 512</t>
  </si>
  <si>
    <t>prompt_version = "w3-001.v1"</t>
  </si>
  <si>
    <t>Validation must enforce:</t>
  </si>
  <si>
    <t>exact key set;</t>
  </si>
  <si>
    <t>no missing, unknown or duplicate keys;</t>
  </si>
  <si>
    <t>mapping order is not semantically significant;</t>
  </si>
  <si>
    <t>reordered valid input is accepted;</t>
  </si>
  <si>
    <t>strict numeric types;</t>
  </si>
  <si>
    <t>Boolean values rejected as numbers;</t>
  </si>
  <si>
    <t>numeric strings rejected;</t>
  </si>
  <si>
    <t>NaN and infinity rejected;</t>
  </si>
  <si>
    <t>zero, negative and above-bound values rejected;</t>
  </si>
  <si>
    <t>values differing from the approved policy rejected;</t>
  </si>
  <si>
    <t>immutable prompt version;</t>
  </si>
  <si>
    <t>frozen policy model.</t>
  </si>
  <si>
    <t>Do not require one textual key order during loading.</t>
  </si>
  <si>
    <t>7. Shared citation contract</t>
  </si>
  <si>
    <r>
      <t xml:space="preserve">Maintain one shared </t>
    </r>
    <r>
      <rPr>
        <sz val="10"/>
        <rFont val="Arial Unicode MS"/>
      </rPr>
      <t>Citation</t>
    </r>
    <r>
      <rPr>
        <sz val="11"/>
        <rFont val="Carlito"/>
      </rPr>
      <t xml:space="preserve"> model. Do not create a second W3-specific citation type.</t>
    </r>
  </si>
  <si>
    <t>Each citation requires:</t>
  </si>
  <si>
    <t>source_id</t>
  </si>
  <si>
    <t>document_id</t>
  </si>
  <si>
    <t>document_version</t>
  </si>
  <si>
    <t>chunk_id</t>
  </si>
  <si>
    <r>
      <t>label</t>
    </r>
    <r>
      <rPr>
        <sz val="11"/>
        <rFont val="Carlito"/>
      </rPr>
      <t xml:space="preserve"> remains optional display-only metadata.</t>
    </r>
  </si>
  <si>
    <t>Requirements:</t>
  </si>
  <si>
    <t>all four provenance identifiers are required;</t>
  </si>
  <si>
    <r>
      <t>chunk_id</t>
    </r>
    <r>
      <rPr>
        <sz val="11"/>
        <rFont val="Carlito"/>
      </rPr>
      <t xml:space="preserve"> uses the existing deterministic identifier contract;</t>
    </r>
  </si>
  <si>
    <t>unknown fields are forbidden;</t>
  </si>
  <si>
    <t>citations are reconstructed from trusted qualifying evidence;</t>
  </si>
  <si>
    <t>no raw provider citation or vendor object escapes;</t>
  </si>
  <si>
    <t>citation order is deterministic;</t>
  </si>
  <si>
    <t>every citation must exactly match one authorized evidence block supplied to the provider.</t>
  </si>
  <si>
    <r>
      <t xml:space="preserve">Preserve the public </t>
    </r>
    <r>
      <rPr>
        <sz val="10"/>
        <rFont val="Arial Unicode MS"/>
      </rPr>
      <t>Citation</t>
    </r>
    <r>
      <rPr>
        <sz val="11"/>
        <rFont val="Carlito"/>
      </rPr>
      <t xml:space="preserve"> and </t>
    </r>
    <r>
      <rPr>
        <sz val="10"/>
        <rFont val="Arial Unicode MS"/>
      </rPr>
      <t>Answer</t>
    </r>
    <r>
      <rPr>
        <sz val="11"/>
        <rFont val="Carlito"/>
      </rPr>
      <t xml:space="preserve"> names.</t>
    </r>
  </si>
  <si>
    <t>8. RAG public result contract</t>
  </si>
  <si>
    <t>async def answer(</t>
  </si>
  <si>
    <t xml:space="preserve">    self,</t>
  </si>
  <si>
    <t xml:space="preserve">    auth_context: AuthContext,</t>
  </si>
  <si>
    <t xml:space="preserve">    query: Query,</t>
  </si>
  <si>
    <t>) -&gt; RAGResult</t>
  </si>
  <si>
    <r>
      <t>RAGResult</t>
    </r>
    <r>
      <rPr>
        <sz val="11"/>
        <rFont val="Carlito"/>
      </rPr>
      <t xml:space="preserve"> must be the strict discriminated union:</t>
    </r>
  </si>
  <si>
    <t>CitedAnswerResult | AbstentionResult</t>
  </si>
  <si>
    <t>Both models must be frozen and forbid unknown fields.</t>
  </si>
  <si>
    <t>Allowed abstention codes are exactly:</t>
  </si>
  <si>
    <t>insufficient_evidence</t>
  </si>
  <si>
    <t>no_authorized_evidence</t>
  </si>
  <si>
    <t>conflicting_evidence</t>
  </si>
  <si>
    <t>malformed_evidence</t>
  </si>
  <si>
    <t>invalid_generated_citation</t>
  </si>
  <si>
    <t>Pre-provider abstentions</t>
  </si>
  <si>
    <r>
      <t xml:space="preserve">The following occur before provider invocation and always contain </t>
    </r>
    <r>
      <rPr>
        <sz val="10"/>
        <rFont val="Arial Unicode MS"/>
      </rPr>
      <t>usage: null</t>
    </r>
    <r>
      <rPr>
        <sz val="11"/>
        <rFont val="Carlito"/>
      </rPr>
      <t>:</t>
    </r>
  </si>
  <si>
    <t>insufficient qualifying evidence;</t>
  </si>
  <si>
    <t>no complete evidence block fitting the context budget;</t>
  </si>
  <si>
    <t>authorization removing all returned evidence;</t>
  </si>
  <si>
    <t>conflicting document versions;</t>
  </si>
  <si>
    <t>missing or invalid retrieved-evidence provenance.</t>
  </si>
  <si>
    <t>The provider must not be invoked for these outcomes.</t>
  </si>
  <si>
    <t>Post-provider citation abstention</t>
  </si>
  <si>
    <t>AbstentionResult(reason="invalid_generated_citation")</t>
  </si>
  <si>
    <t>when a generated citation:</t>
  </si>
  <si>
    <t>omits any required provenance identifier;</t>
  </si>
  <si>
    <t>contains an unknown or malformed citation field;</t>
  </si>
  <si>
    <t>references evidence not supplied to the provider;</t>
  </si>
  <si>
    <t>references unauthorized evidence;</t>
  </si>
  <si>
    <t>references another document version;</t>
  </si>
  <si>
    <t>cannot be matched exactly to one qualifying evidence block.</t>
  </si>
  <si>
    <t>Before returning this abstention, discard:</t>
  </si>
  <si>
    <t>generated answer text;</t>
  </si>
  <si>
    <t>all generated citations;</t>
  </si>
  <si>
    <t>raw provider content;</t>
  </si>
  <si>
    <t>prompt or evidence content;</t>
  </si>
  <si>
    <t>tool data;</t>
  </si>
  <si>
    <t>reasoning content.</t>
  </si>
  <si>
    <r>
      <t xml:space="preserve">Retain valid normalized provider usage when available. </t>
    </r>
    <r>
      <rPr>
        <sz val="10"/>
        <rFont val="Arial Unicode MS"/>
      </rPr>
      <t>estimated_cost_usd</t>
    </r>
    <r>
      <rPr>
        <sz val="11"/>
        <rFont val="Carlito"/>
      </rPr>
      <t xml:space="preserve"> remains nullable.</t>
    </r>
  </si>
  <si>
    <r>
      <t xml:space="preserve">Invalid or inconsistent provider usage must raise </t>
    </r>
    <r>
      <rPr>
        <sz val="10"/>
        <rFont val="Arial Unicode MS"/>
      </rPr>
      <t>LLMMalformedResponseError</t>
    </r>
    <r>
      <rPr>
        <sz val="11"/>
        <rFont val="Carlito"/>
      </rPr>
      <t>.</t>
    </r>
  </si>
  <si>
    <t>9. Failure classifications</t>
  </si>
  <si>
    <t>Preserve these exact classifications:</t>
  </si>
  <si>
    <r>
      <t xml:space="preserve">Invalid generated citation: </t>
    </r>
    <r>
      <rPr>
        <sz val="10"/>
        <rFont val="Arial Unicode MS"/>
      </rPr>
      <t>invalid_generated_citation</t>
    </r>
    <r>
      <rPr>
        <sz val="11"/>
        <rFont val="Carlito"/>
      </rPr>
      <t xml:space="preserve"> abstention.</t>
    </r>
  </si>
  <si>
    <r>
      <t xml:space="preserve">Unparseable generated JSON: </t>
    </r>
    <r>
      <rPr>
        <sz val="10"/>
        <rFont val="Arial Unicode MS"/>
      </rPr>
      <t>RAGOutputValidationError</t>
    </r>
    <r>
      <rPr>
        <sz val="11"/>
        <rFont val="Carlito"/>
      </rPr>
      <t>.</t>
    </r>
  </si>
  <si>
    <r>
      <t xml:space="preserve">Unexpected tool call: </t>
    </r>
    <r>
      <rPr>
        <sz val="10"/>
        <rFont val="Arial Unicode MS"/>
      </rPr>
      <t>RAGOutputValidationError</t>
    </r>
    <r>
      <rPr>
        <sz val="11"/>
        <rFont val="Carlito"/>
      </rPr>
      <t>; execute no tool.</t>
    </r>
  </si>
  <si>
    <r>
      <t xml:space="preserve">Malformed Converse envelope: </t>
    </r>
    <r>
      <rPr>
        <sz val="10"/>
        <rFont val="Arial Unicode MS"/>
      </rPr>
      <t>LLMMalformedResponseError</t>
    </r>
    <r>
      <rPr>
        <sz val="11"/>
        <rFont val="Carlito"/>
      </rPr>
      <t>.</t>
    </r>
  </si>
  <si>
    <r>
      <t xml:space="preserve">Invalid provider usage: </t>
    </r>
    <r>
      <rPr>
        <sz val="10"/>
        <rFont val="Arial Unicode MS"/>
      </rPr>
      <t>LLMMalformedResponseError</t>
    </r>
    <r>
      <rPr>
        <sz val="11"/>
        <rFont val="Carlito"/>
      </rPr>
      <t>.</t>
    </r>
  </si>
  <si>
    <r>
      <t xml:space="preserve">Missing or partial AWS credentials: </t>
    </r>
    <r>
      <rPr>
        <sz val="10"/>
        <rFont val="Arial Unicode MS"/>
      </rPr>
      <t>LLMAuthenticationError</t>
    </r>
    <r>
      <rPr>
        <sz val="11"/>
        <rFont val="Carlito"/>
      </rPr>
      <t>.</t>
    </r>
  </si>
  <si>
    <r>
      <t xml:space="preserve">Bedrock access denial: </t>
    </r>
    <r>
      <rPr>
        <sz val="10"/>
        <rFont val="Arial Unicode MS"/>
      </rPr>
      <t>LLMAuthorizationError</t>
    </r>
    <r>
      <rPr>
        <sz val="11"/>
        <rFont val="Carlito"/>
      </rPr>
      <t>.</t>
    </r>
  </si>
  <si>
    <r>
      <t xml:space="preserve">Provider or outer timeout: </t>
    </r>
    <r>
      <rPr>
        <sz val="10"/>
        <rFont val="Arial Unicode MS"/>
      </rPr>
      <t>LLMTimeoutError</t>
    </r>
    <r>
      <rPr>
        <sz val="11"/>
        <rFont val="Carlito"/>
      </rPr>
      <t>.</t>
    </r>
  </si>
  <si>
    <r>
      <t xml:space="preserve">Throttling after the application retry policy: </t>
    </r>
    <r>
      <rPr>
        <sz val="10"/>
        <rFont val="Arial Unicode MS"/>
      </rPr>
      <t>LLMThrottlingError</t>
    </r>
    <r>
      <rPr>
        <sz val="11"/>
        <rFont val="Carlito"/>
      </rPr>
      <t>.</t>
    </r>
  </si>
  <si>
    <r>
      <t xml:space="preserve">Provider unavailability: </t>
    </r>
    <r>
      <rPr>
        <sz val="10"/>
        <rFont val="Arial Unicode MS"/>
      </rPr>
      <t>LLMUnavailableError</t>
    </r>
    <r>
      <rPr>
        <sz val="11"/>
        <rFont val="Carlito"/>
      </rPr>
      <t>.</t>
    </r>
  </si>
  <si>
    <r>
      <t xml:space="preserve">Caller cancellation: propagate </t>
    </r>
    <r>
      <rPr>
        <sz val="10"/>
        <rFont val="Arial Unicode MS"/>
      </rPr>
      <t>asyncio.CancelledError</t>
    </r>
    <r>
      <rPr>
        <sz val="11"/>
        <rFont val="Carlito"/>
      </rPr>
      <t xml:space="preserve"> unchanged.</t>
    </r>
  </si>
  <si>
    <t>Existing retrieval authorization denial: preserve the existing normalized retrieval exception.</t>
  </si>
  <si>
    <t>Operational failures must never become abstentions or free-form answer text.</t>
  </si>
  <si>
    <t>10. Provider-neutral and Bedrock boundary</t>
  </si>
  <si>
    <r>
      <t xml:space="preserve">provider-neutral </t>
    </r>
    <r>
      <rPr>
        <sz val="10"/>
        <rFont val="Arial Unicode MS"/>
      </rPr>
      <t>LLMProvider</t>
    </r>
    <r>
      <rPr>
        <sz val="11"/>
        <rFont val="Carlito"/>
      </rPr>
      <t>;</t>
    </r>
  </si>
  <si>
    <r>
      <t xml:space="preserve">deterministic </t>
    </r>
    <r>
      <rPr>
        <sz val="10"/>
        <rFont val="Arial Unicode MS"/>
      </rPr>
      <t>FakeLLMProvider</t>
    </r>
    <r>
      <rPr>
        <sz val="11"/>
        <rFont val="Carlito"/>
      </rPr>
      <t>;</t>
    </r>
  </si>
  <si>
    <r>
      <t xml:space="preserve">lazy/injected </t>
    </r>
    <r>
      <rPr>
        <sz val="10"/>
        <rFont val="Arial Unicode MS"/>
      </rPr>
      <t>BedrockLLMProvider</t>
    </r>
    <r>
      <rPr>
        <sz val="11"/>
        <rFont val="Carlito"/>
      </rPr>
      <t>;</t>
    </r>
  </si>
  <si>
    <t>explicit provider factory;</t>
  </si>
  <si>
    <r>
      <t xml:space="preserve">Bedrock Runtime </t>
    </r>
    <r>
      <rPr>
        <sz val="10"/>
        <rFont val="Arial Unicode MS"/>
      </rPr>
      <t>Converse</t>
    </r>
    <r>
      <rPr>
        <sz val="11"/>
        <rFont val="Carlito"/>
      </rPr>
      <t xml:space="preserve"> only;</t>
    </r>
  </si>
  <si>
    <r>
      <t xml:space="preserve">no </t>
    </r>
    <r>
      <rPr>
        <sz val="10"/>
        <rFont val="Arial Unicode MS"/>
      </rPr>
      <t>InvokeModel</t>
    </r>
    <r>
      <rPr>
        <sz val="11"/>
        <rFont val="Carlito"/>
      </rPr>
      <t>;</t>
    </r>
  </si>
  <si>
    <t>no automatic provider fallback;</t>
  </si>
  <si>
    <t>no automatic fake fallback;</t>
  </si>
  <si>
    <t>no model fallback;</t>
  </si>
  <si>
    <t>no region fallback;</t>
  </si>
  <si>
    <t>no AWS client creation during import;</t>
  </si>
  <si>
    <t>no AWS client creation in fake mode;</t>
  </si>
  <si>
    <t>no vendor object exposed to callers;</t>
  </si>
  <si>
    <t>no chain-of-thought or reasoning field;</t>
  </si>
  <si>
    <t>typed tool specifications, calls and results;</t>
  </si>
  <si>
    <t>tool schemas only—no tool execution or agent loop.</t>
  </si>
  <si>
    <t>11. Concurrency and cancellation</t>
  </si>
  <si>
    <t>Implement the approved process-wide boundary:</t>
  </si>
  <si>
    <r>
      <t>ProviderCallGate</t>
    </r>
    <r>
      <rPr>
        <sz val="11"/>
        <rFont val="Carlito"/>
      </rPr>
      <t xml:space="preserve"> in </t>
    </r>
    <r>
      <rPr>
        <sz val="10"/>
        <rFont val="Arial Unicode MS"/>
      </rPr>
      <t>llm/provider.py</t>
    </r>
    <r>
      <rPr>
        <sz val="11"/>
        <rFont val="Carlito"/>
      </rPr>
      <t>;</t>
    </r>
  </si>
  <si>
    <r>
      <t xml:space="preserve">thread-safe </t>
    </r>
    <r>
      <rPr>
        <sz val="10"/>
        <rFont val="Arial Unicode MS"/>
      </rPr>
      <t>threading.Condition</t>
    </r>
    <r>
      <rPr>
        <sz val="11"/>
        <rFont val="Carlito"/>
      </rPr>
      <t>;</t>
    </r>
  </si>
  <si>
    <t>fixed limit of four actual provider calls;</t>
  </si>
  <si>
    <r>
      <t xml:space="preserve">module-level </t>
    </r>
    <r>
      <rPr>
        <sz val="10"/>
        <rFont val="Arial Unicode MS"/>
      </rPr>
      <t>PROCESS_WIDE_PROVIDER_CALL_GATE</t>
    </r>
    <r>
      <rPr>
        <sz val="11"/>
        <rFont val="Carlito"/>
      </rPr>
      <t>;</t>
    </r>
  </si>
  <si>
    <t>no thread or executor created during import;</t>
  </si>
  <si>
    <r>
      <t xml:space="preserve">one </t>
    </r>
    <r>
      <rPr>
        <sz val="10"/>
        <rFont val="Arial Unicode MS"/>
      </rPr>
      <t>threading.Event</t>
    </r>
    <r>
      <rPr>
        <sz val="11"/>
        <rFont val="Carlito"/>
      </rPr>
      <t xml:space="preserve"> cancellation token per submitted attempt;</t>
    </r>
  </si>
  <si>
    <r>
      <t xml:space="preserve">blocking calls executed through </t>
    </r>
    <r>
      <rPr>
        <sz val="10"/>
        <rFont val="Arial Unicode MS"/>
      </rPr>
      <t>asyncio.to_thread</t>
    </r>
    <r>
      <rPr>
        <sz val="11"/>
        <rFont val="Carlito"/>
      </rPr>
      <t>;</t>
    </r>
  </si>
  <si>
    <t>all production provider instances share the singleton gate;</t>
  </si>
  <si>
    <t>isolated gates may be injected into automated tests.</t>
  </si>
  <si>
    <t>Only the synchronous worker may increment or decrement the active-call count.</t>
  </si>
  <si>
    <r>
      <t xml:space="preserve">The worker must release its slot only after </t>
    </r>
    <r>
      <rPr>
        <sz val="10"/>
        <rFont val="Arial Unicode MS"/>
      </rPr>
      <t>converse</t>
    </r>
    <r>
      <rPr>
        <sz val="11"/>
        <rFont val="Carlito"/>
      </rPr>
      <t xml:space="preserve"> returns or raises.</t>
    </r>
  </si>
  <si>
    <t>Cancellation must:</t>
  </si>
  <si>
    <t>wake waiting workers;</t>
  </si>
  <si>
    <t>prevent a waiting or not-yet-started worker from calling Bedrock;</t>
  </si>
  <si>
    <r>
      <t xml:space="preserve">propagate </t>
    </r>
    <r>
      <rPr>
        <sz val="10"/>
        <rFont val="Arial Unicode MS"/>
      </rPr>
      <t>asyncio.CancelledError</t>
    </r>
    <r>
      <rPr>
        <sz val="11"/>
        <rFont val="Carlito"/>
      </rPr>
      <t>;</t>
    </r>
  </si>
  <si>
    <t>prevent retries;</t>
  </si>
  <si>
    <r>
      <t xml:space="preserve">retain the slot while an already-running </t>
    </r>
    <r>
      <rPr>
        <sz val="10"/>
        <rFont val="Arial Unicode MS"/>
      </rPr>
      <t>converse</t>
    </r>
    <r>
      <rPr>
        <sz val="11"/>
        <rFont val="Carlito"/>
      </rPr>
      <t xml:space="preserve"> call continues;</t>
    </r>
  </si>
  <si>
    <t>discard late output and exceptions;</t>
  </si>
  <si>
    <t>prevent late provider content from being logged or returned.</t>
  </si>
  <si>
    <r>
      <t xml:space="preserve">Do not use a loop-bound global </t>
    </r>
    <r>
      <rPr>
        <sz val="10"/>
        <rFont val="Arial Unicode MS"/>
      </rPr>
      <t>asyncio.Semaphore</t>
    </r>
    <r>
      <rPr>
        <sz val="11"/>
        <rFont val="Carlito"/>
      </rPr>
      <t>.</t>
    </r>
  </si>
  <si>
    <t>12. Timeouts and retries</t>
  </si>
  <si>
    <t>Use:</t>
  </si>
  <si>
    <t>connect timeout = 3 seconds</t>
  </si>
  <si>
    <t>read timeout = 20 seconds</t>
  </si>
  <si>
    <t>outer deadline = 30 seconds</t>
  </si>
  <si>
    <t>maximum application attempts = 2</t>
  </si>
  <si>
    <t>retry jitter = injected value from 100 to 250 milliseconds</t>
  </si>
  <si>
    <t>maximum real concurrent calls = 4</t>
  </si>
  <si>
    <t>The outer deadline includes:</t>
  </si>
  <si>
    <t>queue waiting;</t>
  </si>
  <si>
    <t>provider execution;</t>
  </si>
  <si>
    <t>response parsing;</t>
  </si>
  <si>
    <t>retry delay.</t>
  </si>
  <si>
    <t>Before every attempt, calculate the remaining deadline budget.</t>
  </si>
  <si>
    <t>The caller-visible attempt budget must be:</t>
  </si>
  <si>
    <t>min(20 seconds, remaining outer budget)</t>
  </si>
  <si>
    <t>Do not overlap a timed-out worker with a retry.</t>
  </si>
  <si>
    <t>Retry only completed, explicitly transient failures.</t>
  </si>
  <si>
    <t>Do not retry:</t>
  </si>
  <si>
    <t>authentication or authorization failures;</t>
  </si>
  <si>
    <t>missing credentials;</t>
  </si>
  <si>
    <t>validation failures;</t>
  </si>
  <si>
    <t>schema failures;</t>
  </si>
  <si>
    <t>RAG-policy failures;</t>
  </si>
  <si>
    <t>citation failures;</t>
  </si>
  <si>
    <t>cancellation;</t>
  </si>
  <si>
    <t>a caller-side timeout while its worker may still be running.</t>
  </si>
  <si>
    <r>
      <t xml:space="preserve">No execution path may submit a third worker or make a third </t>
    </r>
    <r>
      <rPr>
        <sz val="10"/>
        <rFont val="Arial Unicode MS"/>
      </rPr>
      <t>converse</t>
    </r>
    <r>
      <rPr>
        <sz val="11"/>
        <rFont val="Carlito"/>
      </rPr>
      <t xml:space="preserve"> call.</t>
    </r>
  </si>
  <si>
    <t>Configure Botocore exactly:</t>
  </si>
  <si>
    <t>Config(</t>
  </si>
  <si>
    <t xml:space="preserve">    connect_timeout=3,</t>
  </si>
  <si>
    <t xml:space="preserve">    read_timeout=20,</t>
  </si>
  <si>
    <t xml:space="preserve">    retries={</t>
  </si>
  <si>
    <t xml:space="preserve">        "mode": "standard",</t>
  </si>
  <si>
    <t xml:space="preserve">        "total_max_attempts": 1,</t>
  </si>
  <si>
    <t xml:space="preserve">    },</t>
  </si>
  <si>
    <t>)</t>
  </si>
  <si>
    <r>
      <t xml:space="preserve">Do not supply </t>
    </r>
    <r>
      <rPr>
        <sz val="10"/>
        <rFont val="Arial Unicode MS"/>
      </rPr>
      <t>max_attempts</t>
    </r>
    <r>
      <rPr>
        <sz val="11"/>
        <rFont val="Carlito"/>
      </rPr>
      <t>.</t>
    </r>
  </si>
  <si>
    <t>13. Dependencies</t>
  </si>
  <si>
    <t>Update only the existing declarations to:</t>
  </si>
  <si>
    <t>boto3&gt;=1.43.77,&lt;1.44</t>
  </si>
  <si>
    <t>botocore&gt;=1.43.77,&lt;1.44</t>
  </si>
  <si>
    <t>Do not add a lock file, install packages, access PyPI or alter development dependencies.</t>
  </si>
  <si>
    <t>14. Security and privacy controls</t>
  </si>
  <si>
    <t>The implementation must:</t>
  </si>
  <si>
    <t>authorize before retrieval and generation;</t>
  </si>
  <si>
    <t>allow only authorized evidence into prompts;</t>
  </si>
  <si>
    <t>delimit retrieved evidence as untrusted data;</t>
  </si>
  <si>
    <t>enforce the context limit before provider invocation;</t>
  </si>
  <si>
    <t>reject prompt-injection attempts through retrieved content;</t>
  </si>
  <si>
    <t>log no raw prompt, evidence, answer, citation, credential, endpoint or reasoning;</t>
  </si>
  <si>
    <t>expose no raw AWS exception message;</t>
  </si>
  <si>
    <t>use stable redacted error codes;</t>
  </si>
  <si>
    <t>create no credential, model, service or provider cache;</t>
  </si>
  <si>
    <t>access no AWS metadata or credential chain in fake mode;</t>
  </si>
  <si>
    <t>execute no tool;</t>
  </si>
  <si>
    <t>make no production, residency or live-provider claim.</t>
  </si>
  <si>
    <t>15. RAG-001 governance synchronization</t>
  </si>
  <si>
    <r>
      <t xml:space="preserve">Keep </t>
    </r>
    <r>
      <rPr>
        <sz val="10"/>
        <rFont val="Arial Unicode MS"/>
      </rPr>
      <t>RAG-001</t>
    </r>
    <r>
      <rPr>
        <sz val="11"/>
        <rFont val="Carlito"/>
      </rPr>
      <t xml:space="preserve"> status as </t>
    </r>
    <r>
      <rPr>
        <sz val="10"/>
        <rFont val="Arial Unicode MS"/>
      </rPr>
      <t>In Progress</t>
    </r>
    <r>
      <rPr>
        <sz val="11"/>
        <rFont val="Carlito"/>
      </rPr>
      <t>.</t>
    </r>
  </si>
  <si>
    <t>Its final linked tracker-step order must be:</t>
  </si>
  <si>
    <t>Preserve all existing implementation paths and append the following exact paths in this order without duplicates:</t>
  </si>
  <si>
    <r>
      <t>feature-matrix.yaml</t>
    </r>
    <r>
      <rPr>
        <sz val="11"/>
        <rFont val="Carlito"/>
      </rPr>
      <t xml:space="preserve"> is JSON-formatted despite its extension. Preserve it as one valid JSON object. Do not append YAML or trailing content after the closing JSON object.</t>
    </r>
  </si>
  <si>
    <t>Synchronize the validator and every approved fixture with the same exact ordered contract.</t>
  </si>
  <si>
    <t>16. Automated test code</t>
  </si>
  <si>
    <t>Write, but do not execute, tests covering:</t>
  </si>
  <si>
    <t>fake-provider determinism;</t>
  </si>
  <si>
    <t>provider protocol and schema;</t>
  </si>
  <si>
    <t>defensive-copy isolation;</t>
  </si>
  <si>
    <t>environment-variable validation;</t>
  </si>
  <si>
    <t>fake mode with blank region/model;</t>
  </si>
  <si>
    <t>Bedrock mode requiring region/model;</t>
  </si>
  <si>
    <t>lazy and injected client behavior;</t>
  </si>
  <si>
    <t>no import-time AWS activity;</t>
  </si>
  <si>
    <t>Converse-only request and response mapping;</t>
  </si>
  <si>
    <t>strict provider usage;</t>
  </si>
  <si>
    <t>exact Botocore configuration;</t>
  </si>
  <si>
    <t>exact two-attempt maximum;</t>
  </si>
  <si>
    <t>remaining-deadline arithmetic;</t>
  </si>
  <si>
    <t>no retry multiplication;</t>
  </si>
  <si>
    <t>deterministic jitter and virtual time;</t>
  </si>
  <si>
    <t>two provider instances sharing one gate;</t>
  </si>
  <si>
    <t>four running calls and a fifth waiting;</t>
  </si>
  <si>
    <t>cancellation before execution;</t>
  </si>
  <si>
    <t>waiting-call cancellation;</t>
  </si>
  <si>
    <t>running-call cancellation;</t>
  </si>
  <si>
    <t>slot retention until the underlying call finishes;</t>
  </si>
  <si>
    <t>event-loop responsiveness;</t>
  </si>
  <si>
    <t>authorization before retrieval/generation;</t>
  </si>
  <si>
    <t>evidence qualification;</t>
  </si>
  <si>
    <t>version-conflict abstention;</t>
  </si>
  <si>
    <t>malformed-evidence abstention;</t>
  </si>
  <si>
    <t>context-budget abstention;</t>
  </si>
  <si>
    <t>prompt-injection defense;</t>
  </si>
  <si>
    <t>exact citation traceability;</t>
  </si>
  <si>
    <t>malformed and fabricated citation abstention;</t>
  </si>
  <si>
    <t>post-provider usage retention;</t>
  </si>
  <si>
    <t>invalid-usage failure;</t>
  </si>
  <si>
    <t>unexpected-tool rejection;</t>
  </si>
  <si>
    <t>no tool execution;</t>
  </si>
  <si>
    <t>no raw-content leakage;</t>
  </si>
  <si>
    <t>rollback to fake provider;</t>
  </si>
  <si>
    <t>no AWS or repository residue;</t>
  </si>
  <si>
    <t>feature-matrix, validator and fixture synchronization.</t>
  </si>
  <si>
    <t>The Bedrock integration test must be marked:</t>
  </si>
  <si>
    <t>integration</t>
  </si>
  <si>
    <t>aws</t>
  </si>
  <si>
    <t>paid</t>
  </si>
  <si>
    <r>
      <t xml:space="preserve">It must be deselected by the ordinary test suite and remain </t>
    </r>
    <r>
      <rPr>
        <sz val="10"/>
        <rFont val="Arial Unicode MS"/>
      </rPr>
      <t>NOT RUN</t>
    </r>
    <r>
      <rPr>
        <sz val="11"/>
        <rFont val="Carlito"/>
      </rPr>
      <t xml:space="preserve"> until separately approved.</t>
    </r>
  </si>
  <si>
    <t>17. Explicit exclusions</t>
  </si>
  <si>
    <t>Do not modify:</t>
  </si>
  <si>
    <t>the Excel tracker;</t>
  </si>
  <si>
    <t>narrative documentation;</t>
  </si>
  <si>
    <t>ADRs;</t>
  </si>
  <si>
    <t>evidence records;</t>
  </si>
  <si>
    <t>deployment records;</t>
  </si>
  <si>
    <t>learning records;</t>
  </si>
  <si>
    <t>application endpoints;</t>
  </si>
  <si>
    <t>Docker or Qdrant files;</t>
  </si>
  <si>
    <t>infrastructure-as-code;</t>
  </si>
  <si>
    <t>W1-08;</t>
  </si>
  <si>
    <t>any unenumerated path.</t>
  </si>
  <si>
    <t>Do not:</t>
  </si>
  <si>
    <t>run tests or quality tools;</t>
  </si>
  <si>
    <t>install or upgrade packages;</t>
  </si>
  <si>
    <t>access AWS or Bedrock;</t>
  </si>
  <si>
    <t>access package or model registries;</t>
  </si>
  <si>
    <t>start Docker or services;</t>
  </si>
  <si>
    <t>deploy, roll back or tear down;</t>
  </si>
  <si>
    <t>stage, commit or push;</t>
  </si>
  <si>
    <t>automatically remediate a discovered failure.</t>
  </si>
  <si>
    <t>If an additional path becomes necessary, stop without modifying it and return a bounded impact explanation requiring a new Code Edit Approval.</t>
  </si>
  <si>
    <t>18. Mandatory response after code writing</t>
  </si>
  <si>
    <t>After completing the bounded edit, return:</t>
  </si>
  <si>
    <t>1. Exact changed paths classified as CREATE or UPDATE.</t>
  </si>
  <si>
    <t>2. Confirmation that all 27 CREATE and 12 UPDATE paths match the approval.</t>
  </si>
  <si>
    <t>3. Concise per-file diff summary.</t>
  </si>
  <si>
    <t>4. Confirmation that no unapproved path changed.</t>
  </si>
  <si>
    <t>5. Confirmation that no command, test, formatter, linter, type checker, package installation, AWS call or deployment was run.</t>
  </si>
  <si>
    <r>
      <t xml:space="preserve">6. Remaining </t>
    </r>
    <r>
      <rPr>
        <sz val="10"/>
        <rFont val="Arial Unicode MS"/>
      </rPr>
      <t>TODO_USER</t>
    </r>
    <r>
      <rPr>
        <sz val="11"/>
        <rFont val="Carlito"/>
      </rPr>
      <t xml:space="preserve"> or deferred live-provider decisions.</t>
    </r>
  </si>
  <si>
    <t>7. Complete Owner Execution Guide:</t>
  </si>
  <si>
    <t>prerequisites and access;</t>
  </si>
  <si>
    <t>exact commands in order;</t>
  </si>
  <si>
    <t>purpose of every command;</t>
  </si>
  <si>
    <t>expected result;</t>
  </si>
  <si>
    <t>stop conditions;</t>
  </si>
  <si>
    <t>evidence to capture;</t>
  </si>
  <si>
    <t>cleanup and residue checks;</t>
  </si>
  <si>
    <t>rollback procedure;</t>
  </si>
  <si>
    <t>cost, security and privacy impact.</t>
  </si>
  <si>
    <t>8. Post-Implementation Learning Summary:</t>
  </si>
  <si>
    <t>business use case;</t>
  </si>
  <si>
    <t>position in the end-to-end architecture;</t>
  </si>
  <si>
    <t>technical importance;</t>
  </si>
  <si>
    <t>layman explanation;</t>
  </si>
  <si>
    <t>major decisions and alternatives;</t>
  </si>
  <si>
    <t>failure, abstention and rollback story;</t>
  </si>
  <si>
    <t>five interview questions with answer points.</t>
  </si>
  <si>
    <t>When owner-led testing begins, provide only one command at a time and wait for its complete output.</t>
  </si>
  <si>
    <t>If a test fails:</t>
  </si>
  <si>
    <t>diagnose only from owner-supplied output;</t>
  </si>
  <si>
    <t>provide one exact next diagnostic command;</t>
  </si>
  <si>
    <t>do not execute it;</t>
  </si>
  <si>
    <t>do not edit code automatically;</t>
  </si>
  <si>
    <t>if source changes are needed, return one consolidated bounded remediation plan and wait for a new approval.</t>
  </si>
  <si>
    <t>CODE READY FOR OWNER TESTING — W3-001.</t>
  </si>
  <si>
    <t># COLUMN L — FINAL CODE EDIT APPROVAL — W3-001
This is the owner’s final bounded Code Edit Approval for W3-001.
Codex may implement only the exact code, configuration, dependency declarations, schemas and automated test code authorized below.
Codex must not run tests, linters, formatters, type checking, builds, package installation, Docker, services, AWS commands, Bedrock calls, deployment, rollback, teardown or remediation.
## 1. Authoritative baseline
Approved baseline:
```text
HEAD: 1d4bf76f6ea2a2fb2e7ac9178dc7837981a22a8c
Working tree: CLEAN
Excel processes: 0
Workbook lock: ABSENT
```
Before editing, verify the complete SHA and clean working tree using read-only inspection.
If the SHA differs, the working tree is not clean, or an approved patch context has changed, do not edit anything. Return exactly:
```text
BLOCKED — BASELINE CHANGED — W3-001.
```
## 2. Exact CREATE boundary — 27 paths
```text
configs/rag.yaml
src/enterprise_ai_platform/json_contracts.py
src/enterprise_ai_platform/llm/__init__.py
src/enterprise_ai_platform/llm/errors.py
src/enterprise_ai_platform/llm/models.py
src/enterprise_ai_platform/llm/provider.py
src/enterprise_ai_platform/llm/fake.py
src/enterprise_ai_platform/llm/bedrock.py
src/enterprise_ai_platform/llm/factory.py
src/enterprise_ai_platform/rag/__init__.py
src/enterprise_ai_platform/rag/config.py
src/enterprise_ai_platform/rag/errors.py
src/enterprise_ai_platform/rag/models.py
src/enterprise_ai_platform/rag/prompt.py
src/enterprise_ai_platform/rag/service.py
tests/unit/test_llm_provider.py
tests/unit/test_bedrock_adapter.py
tests/unit/test_prompt_template.py
tests/unit/test_rag_pipeline.py
tests/contract/test_llm_provider.py
tests/contract/test_rag_config.py
tests/contract/test_rag_result.py
tests/integration/test_bedrock.py
tests/feature/test_w3_001_cited_rag.py
tests/security/test_w3_001_cited_rag_security.py
tests/rollback/test_w3_001_rag_rollback.py
tests/teardown/test_w3_001_rag_cleanliness.py
```
## 3. Exact UPDATE boundary — 12 paths
```text
.env.example
requirements.txt
feature-matrix.yaml
src/enterprise_ai_platform/config.py
src/enterprise_ai_platform/retrieval/models.py
tools/platformctl/validate.py
tests/unit/test_config.py
tests/unit/test_models.py
tests/unit/test_platformctl.py
tests/integration/test_dependency_contract.py
tests/feature/test_feature_matrix.py
tests/security/test_configuration_security.py
```
## 4. DELETE boundary
```text
None.
```
Do not create, modify, rename, move or delete any path outside the 39 paths above.
## 5. Environment-variable contract
Use only these canonical external names:
```text
ENTERPRISE_AI_LLM_PROVIDER
ENTERPRISE_AI_LLM_MODEL_ID
ENTERPRISE_AI_AWS_REGION
```
Implement:
```text
llm_provider: Literal["fake", "bedrock"] = "fake"
llm_model_id: str | None = None
aws_region: str | None = None
```
Required behavior:
* Blank model ID and region normalize to `None`.
* `TODO_USER` remains invalid.
* A supplied region must match the existing AWS-region pattern.
* Bedrock mode requires nonblank model ID and region.
* Fake mode permits blank model ID and region.
* Fake mode creates no AWS client and consults no credential chain.
* Existing nonblank configurations remain valid.
* Platformctl’s independent AWS-region contract remains unchanged.
* Unprefixed environment variables must not be consumed.
`.env.example` must contain:
```text
ENTERPRISE_AI_LLM_PROVIDER=fake
ENTERPRISE_AI_LLM_MODEL_ID=
ENTERPRISE_AI_AWS_REGION=
```
## 6. RAG policy
Create `configs/rag.yaml` as one canonical JSON-compatible YAML mapping containing:
```text
top_k = 5
min_score = 0.50
minimum_qualifying_chunks = 1
max_context_characters = 12000
max_output_tokens = 512
prompt_version = "w3-001.v1"
```
Validation must enforce:
* exact key set;
* no missing, unknown or duplicate keys;
* mapping order is not semantically significant;
* reordered valid input is accepted;
* strict numeric types;
* Boolean values rejected as numbers;
* numeric strings rejected;
* NaN and infinity rejected;
* zero, negative and above-bound values rejected;
* values differing from the approved policy rejected;
* immutable prompt version;
* frozen policy model.
Do not require one textual key order during loading.
## 7. Shared citation contract
Maintain one shared `Citation` model. Do not create a second W3-specific citation type.
Each citation requires:
```text
source_id
document_id
document_version
chunk_id
```
`label` remains optional display-only metadata.
Requirements:
* all four provenance identifiers are required;
* `chunk_id` uses the existing deterministic identifier contract;
* unknown fields are forbidden;
* citations are reconstructed from trusted qualifying evidence;
* no raw provider citation or vendor object escapes;
* citation order is deterministic;
* every citation must exactly match one authorized evidence block supplied to the provider.
Preserve the public `Citation` and `Answer` names.
## 8. RAG public result contract
Implement:
```text
async def answer(
    self,
    auth_context: AuthContext,
    query: Query,
) -&gt; RAGResult
```
`RAGResult` must be the strict discriminated union:
```text
CitedAnswerResult | AbstentionResult
```
Both models must be frozen and forbid unknown fields.
Allowed abstention codes are exactly:
```text
insufficient_evidence
no_authorized_evidence
conflicting_evidence
malformed_evidence
invalid_generated_citation
```
### Pre-provider abstentions
The following occur before provider invocation and always contain `usage: null`:
* insufficient qualifying evidence;
* no complete evidence block fitting the context budget;
* authorization removing all returned evidence;
* conflicting document versions;
* missing or invalid retrieved-evidence provenance.
The provider must not be invoked for these outcomes.
### Post-provider citation abstention
Return:
```text
AbstentionResult(reason="invalid_generated_citation")
```
when a generated citation:
* omits any required provenance identifier;
* contains an unknown or malformed citation field;
* references evidence not supplied to the provider;
* references unauthorized evidence;
* references another document version;
* cannot be matched exactly to one qualifying evidence block.
Before returning this abstention, discard:
* generated answer text;
* all generated citations;
* raw provider content;
* prompt or evidence content;
* tool data;
* reasoning content.
Retain valid normalized provider usage when available. `estimated_cost_usd` remains nullable.
Invalid or inconsistent provider usage must raise `LLMMalformedResponseError`.
## 9. Failure classifications
Preserve these exact classifications:
* Invalid generated citation: `invalid_generated_citation` abstention.
* Unparseable generated JSON: `RAGOutputValidationError`.
* Unexpected tool call: `RAGOutputValidationError`; execute no tool.
* Malformed Converse envelope: `LLMMalformedResponseError`.
* Invalid provider usage: `LLMMalformedResponseError`.
* Missing or partial AWS credentials: `LLMAuthenticationError`.
* Bedrock access denial: `LLMAuthorizationError`.
* Provider or outer timeout: `LLMTimeoutError`.
* Throttling after the application retry policy: `LLMThrottlingError`.
* Provider unavailability: `LLMUnavailableError`.
* Caller cancellation: propagate `asyncio.CancelledError` unchanged.
* Existing retrieval authorization denial: preserve the existing normalized retrieval exception.
Operational failures must never become abstentions or free-form answer text.
## 10. Provider-neutral and Bedrock boundary
Implement:
* provider-neutral `LLMProvider`;
* deterministic `FakeLLMProvider`;
* lazy/injected `BedrockLLMProvider`;
* explicit provider factory;
* Bedrock Runtime `Converse` only;
* no `InvokeModel`;
* no automatic provider fallback;
* no automatic fake fallback;
* no model fallback;
* no region fallback;
* no AWS client creation during import;
* no AWS client creation in fake mode;
* no vendor object exposed to callers;
* no chain-of-thought or reasoning field;
* typed tool specifications, calls and results;
* tool schemas only—no tool execution or agent loop.
## 11. Concurrency and cancellation
Implement the approved process-wide boundary:
* `ProviderCallGate` in `llm/provider.py`;
* thread-safe `threading.Condition`;
* fixed limit of four actual provider calls;
* module-level `PROCESS_WIDE_PROVIDER_CALL_GATE`;
* no thread or executor created during import;
* one `threading.Event` cancellation token per submitted attempt;
* blocking calls executed through `asyncio.to_thread`;
* all production provider instances share the singleton gate;
* isolated gates may be injected into automated tests.
Only the synchronous worker may increment or decrement the active-call count.
The worker must release its slot only after `converse` returns or raises.
Cancellation must:
* wake waiting workers;
* prevent a waiting or not-yet-started worker from calling Bedrock;
* propagate `asyncio.CancelledError`;
* prevent retries;
* retain the slot while an already-running `converse` call continues;
* discard late output and exceptions;
* prevent late provider content from being logged or returned.
Do not use a loop-bound global `asyncio.Semaphore`.
## 12. Timeouts and retries
Use:
```text
connect timeout = 3 seconds
read timeout = 20 seconds
outer deadline = 30 seconds
maximum application attempts = 2
retry jitter = injected value from 100 to 250 milliseconds
maximum real concurrent calls = 4
```
The outer deadline includes:
* queue waiting;
* provider execution;
* response parsing;
* retry delay.
Before every attempt, calculate the remaining deadline budget.
The caller-visible attempt budget must be:
```text
min(20 seconds, remaining outer budget)
```
Do not overlap a timed-out worker with a retry.
Retry only completed, explicitly transient failures.
Do not retry:
* authentication or authorization failures;
* missing credentials;
* validation failures;
* schema failures;
* RAG-policy failures;
* citation failures;
* cancellation;
* a caller-side timeout while its worker may still be running.
No execution path may submit a third worker or make a third `converse` call.
Configure Botocore exactly:
```python
Config(
    connect_timeout=3,
    read_timeout=20,
    retries={
        "mode": "standard",
        "total_max_attempts": 1,
    },
)
```
Do not supply `max_attempts`.
## 13. Dependencies
Update only the existing declarations to:
```text
boto3&gt;=1.43.77,&lt;1.44
botocore&gt;=1.43.77,&lt;1.44
```
Do not add a lock file, install packages, access PyPI or alter development dependencies.
## 14. Security and privacy controls
The implementation must:
* authorize before retrieval and generation;
* allow only authorized evidence into prompts;
* delimit retrieved evidence as untrusted data;
* enforce the context limit before provider invocation;
* reject prompt-injection attempts through retrieved content;
* log no raw prompt, evidence, answer, citation, credential, endpoint or reasoning;
* expose no raw AWS exception message;
* use stable redacted error codes;
* create no credential, model, service or provider cache;
* access no AWS metadata or credential chain in fake mode;
* execute no tool;
* make no production, residency or live-provider claim.
## 15. RAG-001 governance synchronization
Keep `RAG-001` status as `In Progress`.
Its final linked tracker-step order must be:
```text
W2-03
W2-01
W2-02
W2-04
W2-08
W2-05
W2-06
W2-07
W2-09
W2-10
W3-01
W3-02
W3-03
W3-04
```
Preserve all existing implementation paths and append the following exact paths in this order without duplicates:
```text
configs/rag.yaml
.env.example
src/enterprise_ai_platform/config.py
src/enterprise_ai_platform/json_contracts.py
src/enterprise_ai_platform/llm/__init__.py
src/enterprise_ai_platform/llm/errors.py
src/enterprise_ai_platform/llm/models.py
src/enterprise_ai_platform/llm/provider.py
src/enterprise_ai_platform/llm/fake.py
src/enterprise_ai_platform/llm/bedrock.py
src/enterprise_ai_platform/llm/factory.py
src/enterprise_ai_platform/rag/__init__.py
src/enterprise_ai_platform/rag/config.py
src/enterprise_ai_platform/rag/errors.py
src/enterprise_ai_platform/rag/models.py
src/enterprise_ai_platform/rag/prompt.py
src/enterprise_ai_platform/rag/service.py
tests/unit/test_config.py
tests/unit/test_llm_provider.py
tests/unit/test_bedrock_adapter.py
tests/unit/test_prompt_template.py
tests/unit/test_rag_pipeline.py
tests/contract/test_llm_provider.py
tests/contract/test_rag_config.py
tests/contract/test_rag_result.py
tests/integration/test_bedrock.py
tests/feature/test_w3_001_cited_rag.py
tests/security/test_configuration_security.py
tests/security/test_w3_001_cited_rag_security.py
tests/rollback/test_w3_001_rag_rollback.py
tests/teardown/test_w3_001_rag_cleanliness.py
```
`feature-matrix.yaml` is JSON-formatted despite its extension. Preserve it as one valid JSON object. Do not append YAML or trailing content after the closing JSON object.
Synchronize the validator and every approved fixture with the same exact ordered contract.
## 16. Automated test code
Write, but do not execute, tests covering:
* fake-provider determinism;
* provider protocol and schema;
* defensive-copy isolation;
* environment-variable validation;
* fake mode with blank region/model;
* Bedrock mode requiring region/model;
* lazy and injected client behavior;
* no import-time AWS activity;
* Converse-only request and response mapping;
* strict provider usage;
* exact Botocore configuration;
* exact two-attempt maximum;
* remaining-deadline arithmetic;
* no retry multiplication;
* deterministic jitter and virtual time;
* two provider instances sharing one gate;
* four running calls and a fifth waiting;
* cancellation before execution;
* waiting-call cancellation;
* running-call cancellation;
* slot retention until the underlying call finishes;
* event-loop responsiveness;
* authorization before retrieval/generation;
* evidence qualification;
* version-conflict abstention;
* malformed-evidence abstention;
* context-budget abstention;
* prompt-injection defense;
* exact citation traceability;
* malformed and fabricated citation abstention;
* post-provider usage retention;
* invalid-usage failure;
* unexpected-tool rejection;
* no tool execution;
* no raw-content leakage;
* rollback to fake provider;
* no AWS or repository residue;
* feature-matrix, validator and fixture synchronization.
The Bedrock integration test must be marked:
```text
integration
aws
paid
```
It must be deselected by the ordinary test suite and remain `NOT RUN` until separately approved.
## 17. Explicit exclusions
Do not modify:
* the Excel tracker;
* narrative documentation;
* ADRs;
* evidence records;
* deployment records;
* learning records;
* application endpoints;
* Docker or Qdrant files;
* infrastructure-as-code;
* W1-08;
* any unenumerated path.
Do not:
* run tests or quality tools;
* install or upgrade packages;
* access AWS or Bedrock;
* access package or model registries;
* start Docker or services;
* deploy, roll back or tear down;
* stage, commit or push;
* automatically remediate a discovered failure.
If an additional path becomes necessary, stop without modifying it and return a bounded impact explanation requiring a new Code Edit Approval.
## 18. Mandatory response after code writing
After completing the bounded edit, return:
1. Exact changed paths classified as CREATE or UPDATE.
2. Confirmation that all 27 CREATE and 12 UPDATE paths match the approval.
3. Concise per-file diff summary.
4. Confirmation that no unapproved path changed.
5. Confirmation that no command, test, formatter, linter, type checker, package installation, AWS call or deployment was run.
6. Remaining `TODO_USER` or deferred live-provider decisions.
7. Complete Owner Execution Guide:
   * prerequisites and access;
   * exact commands in order;
   * purpose of every command;
   * expected result;
   * stop conditions;
   * evidence to capture;
   * cleanup and residue checks;
   * rollback procedure;
   * cost, security and privacy impact.
8. Post-Implementation Learning Summary:
   * business use case;
   * position in the end-to-end architecture;
   * technical importance;
   * layman explanation;
   * major decisions and alternatives;
   * failure, abstention and rollback story;
   * five interview questions with answer points.
When owner-led testing begins, provide only one command at a time and wait for its complete output.
If a test fails:
* diagnose only from owner-supplied output;
* provide one exact next diagnostic command;
* do not execute it;
* do not edit code automatically;
* if source changes are needed, return one consolidated bounded remediation plan and wait for a new approval.
End exactly:
```text
CODE READY FOR OWNER TESTING — W3-001.
```</t>
  </si>
  <si>
    <t>OWNER-CONTROLLED WORKFLOW — FOUR APPROVAL GATES PLUS OWNER TESTING AND WEEKLY LEARNING — TRACKER v1.3.4
This is the MAIN PROMPT for W3-001.
Covered tracker steps:
* W3-01 — Provider-neutral LLM contract.
* W3-02 — Controlled Amazon Bedrock adapter.
* W3-03 — Versioned, evidence-bound prompt construction.
* W3-04 — Cited RAG orchestration, validation and abstention.
The project objective is owner learning. Codex writes only explicitly approved code, configuration, schemas, dependency declarations and automated test code. The owner executes tests, AWS/network operations, deployment, rollback, teardown and remediation commands.
The workflow is:
1. Main Prompt — Gate 1 governance and Gate 2 complete-impact review.
2. Column L — exact Code Edit Approval.
3. Owner Testing — TEST-001.
4. Column M — exact Document Writing Approval.
5. Column N — Final Owner Approval and complete documentation closure.
6. Weekly Learning — owner teach-back and interview preparation.
Do not combine or bypass these stages.
# 1. Business objective
Build the controlled boundary between authorized enterprise retrieval and Large Language Model generation.
W3-001 must enable the platform to:
* accept an authenticated and authorized query;
* retrieve only evidence the user is permitted to access;
* assess whether that evidence is sufficiently strong;
* build a bounded prompt containing only authorized evidence;
* invoke a provider-neutral LLM interface;
* use a deterministic fake provider for ordinary development and testing;
* support a separately controlled Amazon Bedrock Runtime provider;
* validate generated answers and citations;
* return a cited answer only when every citation matches authorized evidence;
* safely abstain when evidence or generated citations are unacceptable;
* fail closed on provider, authorization, schema or operational errors.
Business value:
* reduces unsupported AI answers and hallucination risk;
* preserves tenant, classification and role/group isolation;
* gives users traceable source provenance;
* permits future model-provider changes without rewriting the RAG service;
* separates local development from paid/cloud execution;
* supports regulated-enterprise audit, interview and architecture-review expectations.
# 2. Scope and measurable acceptance criteria
Acceptance requires:
1. A provider-neutral asynchronous `LLMProvider` contract.
2. A deterministic `FakeLLMProvider` that performs no network, AWS, credential or model activity.
3. A lazy and injectable Amazon Bedrock Runtime adapter using only the `Converse` API.
4. Strict configuration for fake and Bedrock modes.
5. One immutable, versioned RAG policy.
6. Authorized retrieval before prompt construction or provider invocation.
7. Bounded, deterministic evidence selection and prompt construction.
8. One shared citation model containing complete provenance.
9. A strict cited-answer or abstention result contract.
10. Exact validation of every generated citation against evidence supplied to the model.
11. Stable error classifications without raw provider or document content.
12. Bounded timeouts, retries, cancellation and process-wide concurrency.
13. Typed tool schemas without tool execution or an agent loop.
14. Exact RAG-001 feature-matrix, validator and fixture synchronization.
15. Automated unit, contract, feature, security, rollback and teardown tests.
16. One separately marked AWS/paid integration test that remains deselected and NOT RUN unless separately approved.
17. No API endpoint, deployment, infrastructure or persistent runtime resource.
18. No live Bedrock or paid-provider claim during ordinary W3-001 implementation and testing.
# 3. Explicit exclusions
W3-001 does not implement or authorize:
* a public or internal RAG API endpoint;
* tool execution;
* an agent loop;
* autonomous actions;
* live Amazon Bedrock inference;
* AWS credential creation;
* model-access requests;
* Qdrant or OpenSearch mutation;
* ingestion changes;
* Docker or service execution;
* Terraform or cloud infrastructure;
* deployment;
* production rollback;
* cloud teardown;
* W1-08 remediation;
* narrative documentation or evidence during Column L;
* Excel tracker editing;
* Git staging, commit or push.
Live Bedrock remains a separate TEST-001 decision requiring exact account, region, model, IAM, quota, privacy, residency, logging and cost approval.
# 4. Governing authority and resolved prerequisites
Use the repository’s source-precedence rules. Inspect, at minimum, the relevant current versions of:
* source-of-truth architecture;
* coaching blueprint;
* authoritative repaired tracker;
* ADR-000 source precedence;
* ADR-002 provider boundaries;
* ADR-003 vector stores;
* ADR-004 Bedrock;
* ADR-006 authorization;
* current authorization and local-retrieval architecture;
* Week 2 sign-off and learning records;
* feature-matrix.yaml;
* existing application, configuration, retrieval, tests and validators.
The authoritative tracker is:
```text
docs/governance/Enterprise_AI_Architecture_6_Week_Execution_Tracker_v1.3.4_repaired.xlsx
```
Treat these owner decisions as resolved unless current read-only evidence directly contradicts them:
* Week 1 is complete with the accepted W1-08 limitation.
* W1-08 implementation and testing remain NOT RUN.
* W1-08 is not technically verified but does not block W3-001.
* Week 2, including W2-01 through W2-13, is complete.
* W2-REVIEW-001, W2-12 and W2-13 have final closure.
* The detailed W2-11 and W2-13 learning records are complementary.
* ADR-004 is the final-approved Bedrock authority.
* The operative W3 RAG similarity threshold is `0.50`.
* Historical `0.45` wording is non-operative.
* RAG-001 remains `In Progress`.
* Fake is the ordinary/default LLM provider.
* Live Bedrock is not required for Column L implementation.
* Tracker updates remain owner-controlled.
Do not reopen resolved Week 1 or Week 2 matters without direct contradictory evidence.
# 5. Owner-approved technical decisions
## 5.1 Configuration
The application uses:
```text
env_prefix = "ENTERPRISE_AI_"
case_sensitive = False
```
Canonical external variables are:
```text
ENTERPRISE_AI_LLM_PROVIDER
ENTERPRISE_AI_LLM_MODEL_ID
ENTERPRISE_AI_AWS_REGION
```
Required behavior:
* provider values are exactly `fake` or `bedrock`;
* default provider is `fake`;
* blank model ID and region normalize to `None`;
* `TODO_USER` remains invalid;
* a nonblank region must match the existing AWS-region pattern;
* Bedrock mode requires model ID and region;
* fake mode permits blank model ID and region;
* fake mode creates no AWS client and consults no credential chain;
* unprefixed variables are not consumed;
* platformctl’s separate AWS-region contract remains unchanged.
Gate 2 must trace every current `aws_region` consumer before approving mode-dependent optionality. Do not weaken an unrelated AWS configuration contract.
## 5.2 RAG policy
The approved provisional policy is:
```text
top_k = 5
min_score = 0.50
minimum_qualifying_chunks = 1
max_context_characters = 12000
max_output_tokens = 512
prompt_version = "w3-001.v1"
```
This proves governed behavior, not production retrieval quality. A later evaluation task must recalibrate it.
Configuration validation must enforce:
* exact permitted key set;
* no missing, unknown or duplicate keys;
* mapping order ignored during validation;
* strict types;
* Boolean values rejected as numeric values;
* numeric strings rejected;
* NaN and infinity rejected;
* invalid bounds rejected;
* values different from the approved policy rejected;
* immutable prompt version;
* frozen configuration model.
Canonical writing may use a stable order, but harmless key reordering must not cause rejection.
## 5.3 Shared citation contract
Use one shared citation model. Do not create a second W3 citation type.
Required provenance:
```text
source_id
document_id
document_version
chunk_id
```
`label` may remain optional display metadata.
Every citation must:
* contain all four provenance identifiers;
* reject unknown fields;
* match one exact authorized evidence block supplied to the provider;
* preserve deterministic order;
* never rely on a raw provider or vendor citation object.
Trace all producers and consumers of the existing `Citation` and `Answer` models before proposing the Column L boundary.
## 5.4 Public RAG result contract
The public operation is:
```text
async def answer(
    self,
    auth_context: AuthContext,
    query: Query,
) -&gt; RAGResult
```
`RAGResult` is a strict discriminated union:
```text
CitedAnswerResult | AbstentionResult
```
Models are frozen and reject unknown fields.
Allowed abstention reasons are exactly:
```text
insufficient_evidence
no_authorized_evidence
conflicting_evidence
malformed_evidence
invalid_generated_citation
```
Pre-provider abstentions contain `usage: null` and must not invoke the LLM.
`invalid_generated_citation` is a post-provider safe abstention. It applies when generated citations are missing, malformed, unknown, unauthorized, unsupplied, version-mismatched, fabricated or otherwise untraceable.
For this outcome:
* discard answer text and all generated citations;
* retain only valid normalized usage when available;
* keep estimated cost nullable;
* return no prompt, evidence, raw provider data, tool data or reasoning.
Malformed or inconsistent provider usage is an operational error, not an abstention.
## 5.5 Error classification
Keep operational failures distinct from business abstention:
* invalid generated citation → safe abstention;
* unparseable generated JSON → RAG output-validation error;
* unexpected tool call → RAG output-validation error with no tool execution;
* malformed provider envelope or usage → malformed-response error;
* missing credentials → authentication error;
* access denial → authorization error;
* timeout → timeout error;
* throttling after retries → throttling error;
* provider unavailable → unavailable error;
* caller cancellation → propagate cancellation unchanged;
* retrieval authorization denial → preserve the existing retrieval exception.
Do not return operational failures as answer text or abstentions.
## 5.6 Provider boundary
Implement:
* provider-neutral LLM protocol;
* deterministic fake provider;
* lazy/injected Bedrock provider;
* explicit provider factory;
* Bedrock Runtime `Converse` only;
* no `InvokeModel`;
* no fallback between providers, models or regions;
* no import-time AWS client;
* no fake-mode credential-chain access;
* no vendor object escaping the provider;
* no chain-of-thought field;
* typed tool specifications, calls and results;
* no tool execution or agent loop.
## 5.7 Dependencies
The approved compatible declarations are:
```text
boto3&gt;=1.43.77,&lt;1.44
botocore&gt;=1.43.77,&lt;1.44
```
The Bedrock client retry configuration is:
```text
connect_timeout = 3
read_timeout = 20
retry mode = standard
total_max_attempts = 1
```
The application layer is the only retry owner.
Gate 2 must verify installed versions, current declarations, compatibility and every dependency consumer. Do not install or upgrade packages during Gate 1, Gate 2 or Column L.
## 5.8 Concurrency, cancellation and deadlines
Approved limits:
```text
outer deadline = 30 seconds
caller-visible attempt budget = min(20 seconds, remaining deadline)
maximum application attempts = 2
retry jitter = injected 100–250 milliseconds
maximum active provider calls = 4 process-wide
```
The outer deadline includes:
* gate waiting;
* provider execution;
* response processing;
* retry delay.
Required design:
* blocking SDK calls run outside the event-loop thread;
* all production provider instances share one process-wide gate;
* no loop-bound global semaphore;
* only the synchronous worker owns the active-call slot;
* cancellation prevents queued execution and further retries;
* a running SDK call cannot be forcibly terminated;
* its slot remains held until it actually returns;
* late output is discarded;
* a timed-out running worker is never overlapped by a retry for the same request;
* no path creates a third provider call;
* tests use injected clocks, jitter, sleepers and blocking fakes;
* no test waits for real retry time.
# 6. FIRST RESPONSE — GATE 1 AND GATE 2 READ-ONLY REVIEW ONLY
Do not create, edit, delete, install, import application modules, run tests, start services, access AWS or mutate any resource.
Permitted actions are limited to read-only repository, Git, workbook-package and installed-package metadata inspection.
## Gate 1 — Governance, prerequisite and baseline verification
Verify and report:
1. Exact repository root.
2. Complete current Git HEAD.
3. Clean or dirty working-tree state.
4. Every dirty or untracked path, if present.
5. Authoritative tracker path and version.
6. Excel-process and corresponding workbook-lock status.
7. Week 1 and Week 2 prerequisite status.
8. Preservation of the W1-08 NOT RUN limitation.
9. ADR-004 existence, status and authority.
10. Operative `min_score = 0.50`.
11. Current RAG-001 status.
12. Current Python, boto3 and botocore evidence.
13. Any authority, documentation, feature or baseline contradiction.
A clean baseline must be established before Column L. The full baseline SHA must be recorded in the later Column L approval.
If a governing document, tracker correction or commit is required, do not mix it with W3 code. Return one separate bounded remediation with exact paths, owner decision, risk and closure requirements.
After any prerequisite correction, re-read every proposed patch context. Do not reuse a stale manifest.
## Gate 2 — Complete impact and implementation review
Perform a complete producer-consumer and failure-path analysis.
Do not limit inspection to files named by an earlier prompt. Search for every direct and indirect consumer.
Return:
1. Business purpose, exclusions and measurable acceptance criteria.
2. Current-to-target end-to-end flow:
   * authentication;
   * authorization;
   * retrieval;
   * evidence qualification;
   * bounded prompt;
   * provider gate;
   * fake or Bedrock provider;
   * structured response;
   * citation validation;
   * cited result, abstention or operational failure.
3. Function and connection map containing:
   * exact module;
   * exact class/function/protocol;
   * caller;
   * input;
   * output;
   * downstream consumers;
   * state;
   * authorization point;
   * retry owner;
   * timeout owner;
   * cancellation behavior;
   * logging boundary;
   * failure behavior.
4. Exact configuration and environment-variable impact.
5. Exact dependency and version impact.
6. Complete citation and Answer-model impact.
7. Exact RAG public result and error contract.
8. Provider, retry, concurrency and cancellation design.
9. Security, privacy, data-residency and cost analysis.
10. Alternatives, trade-offs, risks, mitigations and reversal conditions.
11. Exact unit, integration, contract, feature, security, rollback and teardown test design.
12. Exact planned owner execution sequence with:
    * prerequisites;
    * dependency health;
    * collection and AWS/paid deselection;
    * focused tests;
    * full regression;
    * Ruff;
    * MyPy;
    * repository validation;
    * final cleanliness.
13. Cache-safe testing:
    * Python bytecode disabled;
    * Pytest cache provider disabled;
    * Ruff cache disabled;
    * MyPy cache disabled or external;
    * AWS/model/tool caches absent or external;
    * cleanliness checked after every command capable of creating residue.
14. Rollback and complete teardown design.
15. Residual-resource and evidence risks.
16. Detailed owner learning focus and interview outcomes.
## Exact Gate 2 manifest
Classify every relevant path under one and only one heading:
```text
CREATE
UPDATE
VERIFIED UNCHANGED
DEFERRED
EXCLUDED
DELETE
```
Requirements:
* every path must be exact;
* no wildcards;
* no directory-only boundaries;
* no placeholders;
* no “as required”;
* no “related files”;
* no ambiguous `CREATE OR UPDATE`;
* no file may appear in multiple classifications;
* every UPDATE path must identify its producer, consumers and contract consequence;
* every CREATE path must identify its interface, caller, dependency, security boundary and rollback classification;
* all tests and validators affected by a contract change must be included before Column L;
* no consumer may be added later without a new approval.
Special feature-matrix control:
* `feature-matrix.yaml` is JSON-formatted despite its `.yaml` extension;
* preserve one valid JSON object;
* do not append YAML after the closing JSON object;
* preserve existing feature order and paths;
* synchronize the feature matrix, platform validator and every fixture together;
* keep RAG-001 `In Progress`;
* do not silently freeze an obsolete Week 2-only contract.
## Consolidated owner decisions
If a material choice remains unresolved, return one consolidated decision table containing:
* decision;
* verified facts;
* recommended option;
* alternatives;
* trade-offs;
* security/reliability/cost consequence;
* whether it blocks Column L;
* exact owner input required.
Do not ask the same question repeatedly. Do not invent owner values or silently reconcile conflicts.
If a prerequisite is unresolved, end with an exact BLOCKED status describing the governing conflict.
If no blocker remains, end exactly:
```text
READY FOR FINAL W3-001 COLUMN L APPROVAL.
```
Stop. Do not edit any file.
# 7. SECOND RESPONSE — ONLY AFTER MATCHING COLUMN L APPROVAL
When the owner pastes the exact W3-001 Column L approval:
1. Verify the approved complete SHA and clean working tree using read-only inspection.
2. Re-read every CREATE and UPDATE path and patch context.
3. If the baseline, manifest or contract differs, make no edit and return:
```text
BLOCKED — BASELINE CHANGED — W3-001.
```
4. Implement only the exact Column L path and technical boundary.
5. Preserve owner changes.
6. Do not add an unapproved consumer or remediation path.
7. If another path is required, stop and request a new bounded approval.
8. Keep `feature-matrix.yaml` as one valid JSON object.
9. Write the approved automated test code but do not execute it.
10. Do not edit narrative documentation, evidence, ADRs or the tracker.
11. Do not stage, commit or push.
Codex must not run:
* tests;
* test collection;
* Ruff;
* MyPy;
* formatters;
* builds;
* package installation;
* Docker;
* services;
* AWS commands;
* Bedrock;
* deployment;
* rollback;
* teardown;
* cleanup;
* remediation.
# 8. Mandatory output after Column L implementation
Return:
1. Exact changed paths classified as CREATE or UPDATE.
2. Manifest count reconciliation.
3. Concise per-file diff summary.
4. Contract and compatibility summary.
5. Confirmation that no unapproved path changed.
6. Confirmation that no test, tool, cloud or Git mutation was performed.
7. Remaining deferrals and TODO_USER inputs.
8. Complete OWNER EXECUTION GUIDE:
   * prerequisites and access;
   * one ordered command list;
   * purpose of every command;
   * expected result;
   * stop conditions;
   * evidence to capture;
   * cleanup;
   * rollback;
   * complete teardown;
   * security, privacy and cost impact.
9. POST-IMPLEMENTATION LEARNING SUMMARY:
   * business use case;
   * end-to-end architecture position;
   * technical importance;
   * layman explanation;
   * component and connection walkthrough;
   * important design decisions;
   * alternatives and trade-offs;
   * authorization and citation controls;
   * failure versus abstention;
   * retries, deadlines, cancellation and concurrency;
   * fake versus live-provider testing;
   * cost and data-residency decisions;
   * rollback story;
   * five interview questions with answer points.
When owner testing begins, provide one command at a time and wait for the complete output.
If the owner reports a failure:
* diagnose from owner-supplied evidence;
* provide one exact next diagnostic command;
* do not execute it;
* do not change code automatically;
* trace the complete producer-consumer impact;
* consolidate all known related defects;
* propose one exact bounded remediation manifest;
* wait for a new Code Edit Approval.
End exactly:
```text
CODE READY FOR OWNER TESTING — W3-001.
```
# 9. Owner testing and live Bedrock boundary
Ordinary owner testing uses fake providers and must perform no AWS/provider call.
The live Bedrock integration test must be marked `integration`, `aws` and `paid`, deselected by default and recorded as NOT RUN unless separately approved.
A future live authorization must define:
* exact AWS account;
* exact region;
* exact model or inference-profile ID;
* exact IAM role and temporary credential method;
* exact permitted API;
* model access and quotas;
* synthetic test input;
* privacy and data-residency decision;
* invocation-logging decision;
* exact request and retry ceiling;
* CountTokens result where supported;
* maximum output tokens;
* current regional token prices;
* maximum monetary cost;
* stop conditions;
* evidence;
* credential cleanup and residual-resource checks.
`CountTokens` may be used under separate authorization as a zero-cost preflight. It does not prove live model generation and must not convert live Bedrock from NOT RUN to PASS.
# 10. Documentation and final closure
Do not write documentation or evidence until:
1. the owner completes testing or content review;
2. the owner supplies exact results;
3. the owner pastes Column M.
Column M must enumerate every document as CREATE, UPDATE, VERIFIED UNCHANGED or EXCLUDED.
After Column M, return one complete document manifest covering every created and updated document.
Do not claim final completion until the owner pastes Column N.
Column N must update every document created or updated under Column M—not only the evidence README or a subset—with:
* reviewer’s exact name and role;
* exact approval decision;
* date, time and timezone;
* accepted warnings and risks;
* evidence gaps and limitations;
* PASS, FAIL, NOT RUN and INDETERMINATE facts;
* deferred actions and responsible owners;
* deployment facts;
* rollback facts;
* teardown facts;
* residual-resource facts;
* approval conditions or `None`.
Never invent approval facts. If any required owner fact or manifest document is missing, block without editing.
The owner alone updates the Excel tracker.
# 11. Detailed learning focus
The owner must be able to explain after W3-001:
* why enterprise RAG retrieves evidence before calling an LLM;
* why authentication and authorization must happen before retrieval and generation;
* how tenant, classification and ACL filtering protect the prompt;
* why a provider-neutral interface reduces vendor lock-in;
* how fake providers enable deterministic, free testing;
* how Amazon Bedrock Converse differs from a provider-specific API;
* why retrieved content must be treated as untrusted input;
* how prompt injection can enter through retrieved documents;
* how context and output-token limits protect cost and reliability;
* the difference between insufficient evidence, safe abstention and operational failure;
* why fabricated citations must never be returned;
* how source, document, version and chunk identifiers provide traceability;
* why a synchronous cloud SDK must not block the asynchronous event loop;
* how process-wide concurrency differs from per-object concurrency;
* why cancellation does not automatically stop a worker thread;
* how to prevent retry multiplication between the SDK and application;
* how deadline arithmetic limits latency and spend;
* why live Bedrock testing requires separate IAM, privacy, residency, quota and cost approval;
* how to calculate maximum inference cost from input and output tokens;
* how to roll back safely to the fake provider;
* which W3 capabilities are proven locally and which remain NOT RUN.
The learning summary must connect these topics to enterprise architecture decisions and prepare the owner to explain the design in both technical and layman terms during interviews.</t>
  </si>
  <si>
    <t>OWNER-CONTROLLED WORKFLOW — FOUR APPROVAL GATES PLUS OWNER TESTING AND LEARNING — TRACKER v1.3.4
This is the MAIN PROMPT for W3-002 — Deterministic Offline RAG Evaluation Harness, Golden Dataset and Baseline Governance.
The project objective is owner learning. Codex may write only explicitly approved code, configuration, schemas, deterministic test data and automated test code. The owner executes tests, evaluation runs, quality checks, deployment, rollback, teardown and remediation commands.
The mandatory workflow is:
1. Column G — Gate 1 governance review and Gate 2 complete-impact review.
2. Column L — exact Code Edit Approval.
3. Owner Testing — TEST-001.
4. Baseline Promotion Approval — only if the owner accepts the generated candidate.
5. Column M — exact Document Writing Approval.
6. Column N — Final Owner Approval and complete documentation closure.
7. Weekly Learning — owner teach-back and interview preparation.
Do not combine, reorder or bypass these stages.
# 1. Business objective
Build a deterministic, offline evaluation framework for the enterprise RAG capability.
W3-002 must enable the platform to:
* evaluate retrieval, citations, grounded answers, abstentions and isolation controls against an owner-approved golden dataset;
* provide reproducible results without AWS, Bedrock, external models, judge models or paid services;
* distinguish release-blocking deterministic metrics from optional supplemental metrics;
* generate a candidate evaluation report without automatically approving it;
* compare a candidate with an immutable owner-approved baseline when one exists;
* prevent an unsuccessful or incomplete evaluation from overwriting the approved baseline;
* identify absolute-threshold failures, regressions and security-control failures;
* provide traceable evidence for architecture, governance and release decisions;
* support future reevaluation after W3-003 and W4-003 Phase A without making those future tasks prerequisites for the initial W3-002 implementation.
Business value:
* detects retrieval and grounding regressions before release;
* proves that citations remain traceable to approved sources;
* proves that the system abstains safely when evidence is insufficient, conflicting, malformed or unauthorized;
* treats tenant, classification and ACL isolation failures as release blockers;
* produces repeatable evidence for regulated-enterprise review;
* separates deterministic release decisions from subjective or paid judge-model scoring;
* establishes an auditable baseline-promotion process;
* gives the owner a practical framework for explaining AI quality, safety and release governance.
# 2. Correct dependency sequence
The prerequisite for W3-002 is:
* W3-001 must have completed owner testing and received final owner approval before W3-002 Column L implementation begins.
The following are downstream integrations, not W3-002 prerequisites:
* W3-003;
* W4-003 Phase A;
* any later live-provider, production-retrieval or deployed-system evaluation.
W3-002 must initially evaluate the current approved RAG contracts through deterministic fakes and controlled fixtures.
After W3-003 or W4-003 Phase A changes the relevant production capability, W3-002 must be rerun or extended under a separate bounded approval.
Do not block the initial offline evaluation harness merely because downstream capabilities are not yet implemented.
If W3-001 does not yet have final owner approval, Gate 1 must report W3-002 as blocked before code editing.
# 3. Scope and measurable acceptance criteria
Acceptance requires:
1. A deterministic evaluator interface and implementation.
2. A strict, versioned golden-dataset schema.
3. At least 25 owner-approved cases.
4. Explicit coverage of answerable, abstention, authorization, conflicting-version and safety scenarios.
5. Deterministic retrieval and RAG inputs using current approved fakes or fixtures.
6. Exact calculation of the approved retrieval, citation, answer and abstention metrics.
7. Absolute release thresholds with unambiguous numerators and denominators.
8. Release-blocking treatment of every tenant, authorization, classification or ACL isolation failure.
9. Candidate-report generation that cannot overwrite an approved baseline.
10. Baseline comparison when an owner-approved baseline exists.
11. An explicit `NO_APPROVED_BASELINE` result during the first run.
12. A separate owner-controlled baseline-promotion action.
13. Stable JSON output suitable for automated comparison.
14. A concise human-readable evaluation summary.
15. Deterministic case ordering and result ordering.
16. Strict schema validation without relying on JSON-object field order.
17. No network, AWS, Bedrock, model-registry, judge-model or paid-provider activity during ordinary implementation and testing.
18. Optional Ragas or judge integration isolated behind a provider-neutral evaluator boundary and excluded from deterministic release authority.
19. Automated unit, contract, feature, security, rollback and teardown tests.
20. Complete synchronization of affected feature-matrix entries, validators and approved fixtures.
21. No API endpoint, deployment, infrastructure or persistent runtime service.
22. No claim of production quality, live-model quality or production readiness from fake-only results.
# 4. Explicit exclusions
W3-002 does not implement or authorize:
* live Amazon Bedrock evaluation;
* live LLM inference;
* Ragas execution;
* an LLM-as-judge call;
* external embedding generation;
* production Qdrant or OpenSearch access;
* AWS credentials or cloud-resource creation;
* network access;
* package installation or upgrade;
* model or dataset download;
* public or internal evaluation API endpoints;
* deployment;
* infrastructure-as-code;
* Docker or service execution;
* Git staging, commit or push;
* Excel tracker editing;
* automatic baseline promotion;
* automatic baseline replacement;
* narrative documentation during Column L;
* automatic remediation of failed evaluation results;
* treating aggregate quality scores as permission to ignore a security or isolation failure.
# 5. Governing authority and read-only inspection
Apply the repository’s approved source-precedence rules.
Inspect the current relevant versions of:
* source-of-truth architecture;
* coaching blueprint;
* authoritative repaired tracker;
* ADR-000 source precedence;
* applicable authorization, retrieval, vector-store, Bedrock and evaluation ADRs;
* W3-001 implementation, test evidence, learning records and final approval;
* current RAG configuration and contracts;
* feature-matrix.yaml;
* platform validators and approved fixtures;
* retrieval, authorization, citation, RAG-result and provider models;
* existing test markers and test-selection controls;
* current dependency declarations;
* current evaluation-related files, if any;
* `.gitignore` and repository-cleanliness controls;
* current Makefile and Python module entry-point patterns.
The authoritative tracker is:
```text
docs/governance/Enterprise_AI_Architecture_6_Week_Execution_Tracker_v1.3.4_repaired.xlsx
```
Treat approved W3-001 contracts as authoritative unless current repository evidence directly contradicts them.
Do not reopen resolved W3-001 decisions without direct contradictory evidence.
# 6. Golden-dataset governance
The golden dataset is a controlled evaluation asset, not model-generated runtime output.
The dataset must be created from:
* approved corpus facts;
* stable source identifiers;
* approved document and chunk provenance;
* approved authorization rules;
* explicitly defined expected outcomes.
Codex must not derive expected facts, citations or answers from the candidate model being evaluated.
Before Column L approval, Gate 2 must propose an exact case inventory for owner review.
Each case must define, at minimum:
```text
dataset_version
case_id
question
tenant_id
authorization_context
expected_outcome
expected_abstention_reason
expected_facts
expected_source_ids
expected_document_ids
expected_document_versions
expected_chunk_ids
classification_expectation
acl_expectation
safety_tags
```
Additional fields may be proposed only when their purpose, type, producer and consumer are explained during Gate 2.
Required behavior:
* `expected_outcome` must distinguish an answer from an abstention;
* `expected_abstention_reason` must be present only when semantically required;
* expected facts must be immutable owner-approved facts;
* expected citations must use approved stable provenance;
* unknown, missing and duplicate fields must be rejected;
* invalid types and invalid enumerations must be rejected;
* JSON-object field order must not affect validity;
* ordered arrays remain ordered only where business semantics require ordering;
* JSONL line order may be significant for canonical dataset versioning, but this must be explicitly defined;
* case IDs must be unique and stable;
* dataset version must change when approved case content or expected results change;
* secrets, credentials, PII and unapproved business data must not be present.
# 7. Required case distribution
Gate 2 must propose the complete dataset case inventory and distribution.
The dataset must contain at least 25 cases and include meaningful coverage of:
* answerable evidence;
* multiple authorized evidence blocks;
* no evidence;
* no authorized evidence;
* insufficient evidence;
* conflicting document versions;
* malformed evidence;
* missing citations;
* fabricated citations;
* version-mismatched citations;
* unauthorized citations;
* cross-tenant access attempts;
* classification denial;
* ACL or group-membership denial;
* prompt-injection content inside retrieved evidence;
* unexpected tool-call output;
* invalid structured provider output;
* deterministic ordering and repeatability.
Do not satisfy the minimum case count using only easy or repetitive answerable questions.
For every proposed case, Gate 2 must identify:
* business or safety purpose;
* expected result;
* expected facts or abstention reason;
* expected provenance;
* authorization expectation;
* metric or control exercised;
* whether failure is release-blocking.
The owner must approve the complete case inventory in Column L before Codex writes the canonical golden dataset.
# 8. Deterministic evaluation authority
Implement a provider-neutral evaluator boundary.
Required structure:
* an `Evaluator` protocol or equivalent provider-neutral interface;
* a deterministic evaluator as the sole ordinary release authority;
* deterministic fake retrieval, provider and RAG behavior;
* stable inputs and stable result ordering;
* no time-dependent, random, external or model-dependent scoring unless injected and controlled;
* repeatable output for identical input, configuration and code;
* no external service initialization during import.
Optional Ragas or judge-based evaluation must:
* be implemented only if explicitly included in Column L;
* use lazy optional imports;
* create no client or model during import;
* remain supplemental;
* never replace deterministic release results;
* never silently change a deterministic PASS or FAIL;
* be marked for explicit network and paid opt-in;
* remain NOT RUN without separate authorization.
A future judge authorization must specify:
* exact provider;
* exact model;
* exact case count;
* exact submitted data;
* privacy and residency approval;
* logging decision;
* token/request ceiling;
* maximum monetary cost;
* stop conditions and evidence requirements.
# 9. Metric contracts
Gate 2 must define each metric with:
* exact name;
* business meaning;
* eligible cases;
* numerator;
* denominator;
* exclusions;
* per-case calculation;
* aggregation rule;
* threshold;
* rounding rule;
* zero-denominator behavior;
* failure classification.
At minimum, define:
## 9.1 Recall@5
Measure whether expected authorized source evidence appears within the first five retrieved results.
Define handling for:
* multiple expected sources;
* duplicate results;
* unauthorized retrieved results;
* abstention cases;
* empty expected-source sets.
## 9.2 Mean Reciprocal Rank
Measure the rank of the first expected authorized source.
Define handling for:
* no relevant source retrieved;
* multiple relevant sources;
* authorization failures;
* abstention-only cases.
## 9.3 Citation precision and validity
Measure whether every returned citation maps exactly to approved evidence supplied to the provider.
Define separately:
* citation precision;
* citation validity;
* fabricated citation count;
* unauthorized citation count;
* version-mismatch count;
* missing required citation count.
Any fabricated, unauthorized or unsupplied citation must remain release-blocking even if aggregate citation precision exceeds the numerical threshold.
## 9.4 Grounded-answer or fact correctness
Measure whether the returned answer contains the owner-approved expected facts and remains supported by authorized evidence.
The deterministic evaluator must not use semantic judgment from a live LLM.
Gate 2 must define the deterministic comparison method and document its limitations.
## 9.5 Abstention correctness
Measure whether the system abstains when required and uses the exact expected abstention reason.
Define incorrect-answer, unnecessary-abstention and wrong-reason outcomes separately.
## 9.6 Combined release gate
Define exactly how the proposed 95% combined gate is calculated.
The combined gate must not hide failure of an individual mandatory threshold.
Required rules:
* every absolute mandatory threshold must pass;
* relative regression comparison is an additional gate;
* no aggregate score may override an authorization, tenant-isolation, classification, ACL or fabricated-citation failure;
* latency, token usage and estimated cost are recorded unless a separate threshold is explicitly approved;
* fake-provider cost must be `0` only when the execution path proves no paid activity; otherwise it must be `null` or `NOT_APPLICABLE`;
* supplemental Ragas or judge scores must not influence deterministic release authority.
Gate 2 must not invent thresholds absent from governing sources. It must present unresolved thresholds in one consolidated owner-decision table.
# 10. First-baseline lifecycle
No approved W3-002 baseline exists before the first successful owner evaluation unless Gate 1 finds direct approved evidence otherwise.
Therefore:
1. Column L implements:
   * dataset validation;
   * deterministic evaluation;
   * metric calculation;
   * candidate-report generation;
   * baseline-comparison logic;
   * baseline-promotion controls.
2. Codex does not create a result-bearing approved baseline during Column L.
3. Owner testing generates the first candidate report.
4. The first evaluation result must state:
```text
BASELINE COMPARISON: NO_APPROVED_BASELINE
```
It must not report baseline comparison as PASS.
5. The owner reviews:
   * dataset validity;
   * case results;
   * release thresholds;
   * security and isolation results;
   * warnings;
   * reproducibility;
   * evidence and residual files.
6. Only a separate explicit Baseline Promotion Approval may promote the reviewed candidate to the approved immutable baseline.
7. A failed, incomplete, interrupted or unapproved run must never create, replace or update the approved baseline.
8. A later candidate must be evaluated against:
   * absolute thresholds; and
   * the current immutable approved baseline.
9. Baseline replacement requires:
   * owner justification;
   * exact candidate identity or checksum;
   * exact prior baseline;
   * exact new baseline;
   * accepted regressions or changes;
   * date, time, timezone, reviewer and decision;
   * separate approval.
10. Rollback must restore the previous approved baseline without altering the golden dataset or candidate evidence.
# 11. Runtime reports and evidence lifecycle
Gate 2 must classify every evaluation artifact.
For each artifact, specify:
* exact path;
* producer;
* creation stage;
* tracked, ignored, retained or deleted status;
* whether it may contain questions, facts, retrieved text or answers;
* security classification;
* cleanup behavior;
* rollback behavior;
* documentation relationship.
At minimum, resolve:
* golden dataset;
* evaluation configuration;
* owner-generated candidate JSON report;
* human-readable Markdown report or stdout summary;
* approved baseline;
* failed-run report;
* temporary files;
* canonical test evidence;
* hashes or manifest records.
`reports/eval.json` or any equivalent runtime report must not be created by Codex during Column L. It is owner-generated runtime evidence.
If a Markdown report is required, Gate 2 must give its exact path. Otherwise, define the human-readable result as console output.
Runtime reports must:
* avoid credentials and secrets;
* avoid raw provider objects;
* avoid unbounded document content;
* use stable case IDs and source provenance;
* make PASS, FAIL, NOT RUN and NO_APPROVED_BASELINE explicit;
* distinguish candidate status from baseline approval status;
* be written atomically so an interrupted run cannot corrupt the approved baseline.
# 12. Security, privacy and release-blocking controls
The implementation must:
* evaluate only approved synthetic or controlled data;
* preserve tenant and authorization boundaries;
* prevent cross-tenant evidence from appearing in results;
* prevent classification-denied or ACL-denied evidence from being treated as valid;
* treat fabricated or unauthorized citations as release blockers;
* treat prompt-injection defense failures as release blockers;
* log no credentials, tokens, raw provider objects or unapproved sensitive content;
* create no AWS, model or judge client during ordinary execution;
* make no network or cloud call;
* execute no tool call;
* prevent candidate output from overwriting immutable inputs;
* prevent a failed run from replacing a baseline;
* prevent aggregate scores from masking isolation failures;
* clearly label fake-only, local-only and NOT RUN capabilities.
# 13. FIRST RESPONSE — GATE 1 AND GATE 2 READ-ONLY REVIEW ONLY
Do not create, edit, delete, install, import application modules, run tests, run evaluation, start services, access the network or AWS, or mutate any resource.
Permitted actions are limited to read-only repository, Git, workbook-package and installed-package metadata inspection.
## Gate 1 — Governance, prerequisite and baseline verification
Verify and report:
1. Exact repository root.
2. Complete current Git HEAD.
3. Clean or dirty working-tree state.
4. Every dirty and untracked path.
5. Authoritative tracker path and version.
6. Excel-process and workbook-lock status.
7. W3-001 final approval status.
8. Current W3-002 tracker status and wording.
9. Whether any approved evaluation ADR or policy exists.
10. Whether an approved golden dataset exists.
11. Whether an approved evaluation baseline exists.
12. Existing evaluation code, dependencies and configuration.
13. Current Python and relevant installed-package evidence.
14. Current feature-matrix entry and linked tracker-step order.
15. Existing test markers and ordinary deselection controls.
16. Current report, cache and ignore-file behavior.
17. Any authority, dependency, schema, threshold or sequencing contradiction.
A clean baseline must be established before Column L. Record the complete baseline SHA in the later Column L approval.
If W3-001 final approval is missing, return a bounded blocker. Do not implement W3-002.
Do not require W3-003 or W4-003 Phase A to be complete.
If a governing document, tracker correction or separate commit is required, do not mix it with W3-002 code. Return one separate bounded remediation proposal with exact paths and closure conditions.
After any approved prerequisite correction, re-read every proposed patch context. Do not reuse a stale manifest.
## Gate 2 — Complete impact and implementation review
Perform complete producer-consumer, data-lifecycle and failure-path analysis.
Do not limit inspection to files mentioned by the earlier prompt.
Return:
1. Business purpose, exclusions and measurable acceptance criteria.
2. Current-to-target evaluation flow:
   * load approved dataset;
   * validate schema and version;
   * create deterministic case inputs;
   * execute fake retrieval/RAG path;
   * capture normalized results;
   * calculate per-case metrics;
   * apply release-blocking controls;
   * aggregate metrics;
   * generate candidate report;
   * compare with approved baseline when present;
   * return PASS, FAIL or NO_APPROVED_BASELINE;
   * await separate baseline promotion.
3. Function and connection map containing:
   * exact module;
   * class, function or protocol;
   * caller;
   * input;
   * output;
   * state;
   * downstream consumer;
   * authorization boundary;
   * determinism control;
   * logging boundary;
   * failure behavior;
   * rollback classification.
4. Complete golden-case schema.
5. Exact 25-or-more case inventory and distribution.
6. Exact metric definitions and thresholds.
7. Exact combined-release-gate calculation.
8. Exact security and isolation release blockers.
9. Exact baseline creation, comparison, promotion, replacement and rollback lifecycle.
10. Exact runtime report and evidence lifecycle.
11. Exact configuration and environment-variable impact.
12. Exact dependency impact.
13. Optional Ragas or judge isolation design.
14. Security, privacy, residency and cost analysis.
15. Alternatives, trade-offs, risks, mitigations and reversal conditions.
16. Exact unit, contract, feature, security, rollback and teardown test design.
17. Exact owner execution sequence covering:
    * prerequisites;
    * dependency health;
    * test collection and paid/network deselection;
    * golden-dataset validation;
    * focused tests;
    * full ordinary regression;
    * deterministic evaluation;
    * repeatability check;
    * candidate-report inspection;
    * baseline status;
    * Ruff;
    * MyPy;
    * platform validation;
    * cleanliness and residue verification.
18. Windows-compatible canonical commands.
19. Cache-safe testing and cleanup.
20. Rollback and complete teardown design.
21. Owner learning focus and interview outcomes.
# 14. Windows-compatible execution design
The canonical owner command must use the Python module entry point, for example:
```text
python -m enterprise_ai_platform.evaluation.runner ...
```
Gate 2 must determine the exact approved arguments and paths.
A Make target may wrap the same command, but `make evaluate` must not be the only supported execution method.
The owner execution guide must use commands suitable for the owner’s Windows PowerShell environment unless the owner explicitly requests another shell.
# 15. Cache-safe testing
Plan owner commands so repository cleanliness remains provable:
* disable Python bytecode generation;
* disable Pytest cache provider;
* disable Ruff cache;
* disable MyPy cache or place it outside the repository;
* create no AWS, model, judge or tool cache;
* place permitted temporary output only in approved locations;
* check cleanliness after each command capable of creating repository residue.
Do not delete unexplained pre-existing owner files.
# 16. Exact Gate 2 manifest
Classify every relevant path under exactly one heading:
```text
CREATE
UPDATE
VERIFIED UNCHANGED
DEFERRED
EXCLUDED
DELETE
```
Requirements:
* every path must be exact;
* no wildcards;
* no directory-only boundary;
* no placeholder;
* no “as required”;
* no “related files”;
* no ambiguous `CREATE OR UPDATE`;
* no path may appear under multiple classifications;
* every UPDATE must identify its producers, consumers and contract consequence;
* every CREATE must identify its interface, caller, dependencies, security boundary and rollback classification;
* all affected tests, fixtures, validators, markers and ignore rules must be included before Column L;
* owner-generated runtime reports must not be classified as Column L CREATE files;
* no additional consumer may be added later without a new approval.
Special feature-matrix control:
* `feature-matrix.yaml` is JSON-formatted despite its extension;
* preserve it as one valid JSON object;
* do not append YAML or trailing content after the closing JSON object;
* preserve unrelated feature order and implementation paths;
* synchronize the feature matrix, validator and every approved fixture;
* do not silently change an approved W3-001 or Week 2 contract.
# 17. Consolidated owner decisions
If a material choice remains unresolved, return one consolidated decision table containing:
* decision;
* verified facts;
* recommended option;
* alternatives;
* trade-offs;
* security, quality, reliability and cost consequences;
* whether it blocks Column L;
* exact owner input required.
At minimum, resolve or request approval for:
* exact deterministic metric thresholds;
* exact combined 95% formula;
* exact golden-case distribution;
* exact deterministic fact-comparison method;
* whether JSONL line order participates in dataset versioning;
* exact candidate-report paths;
* exact approved-baseline path;
* whether failed-run reports are retained;
* whether optional Ragas adapter code is included now or deferred;
* baseline promotion method;
* regression tolerance, if any.
Do not ask the same question repeatedly.
Do not invent owner values or silently reconcile conflicts.
If a prerequisite remains unresolved, end with an exact BLOCKED status describing the governing conflict.
If no blocker remains, end exactly:
```text
READY FOR FINAL W3-002 COLUMN L APPROVAL.
```
Stop. Do not edit any file.
# 18. SECOND RESPONSE — ONLY AFTER MATCHING COLUMN L APPROVAL
When the owner provides the exact W3-002 Column L approval:
1. Verify the approved complete SHA and clean working tree using read-only inspection.
2. Re-read every approved CREATE and UPDATE path.
3. Verify the approved golden-case inventory, thresholds and report lifecycle.
4. If the baseline, manifest, dataset contract or approval differs, make no edit and return:
```text
BLOCKED — BASELINE OR APPROVAL CHANGED — W3-002.
```
5. Implement only the exact Column L boundary.
6. Preserve all owner changes.
7. Do not add an unapproved consumer, fixture or remediation path.
8. If another path is required, stop and request a new bounded approval.
9. Write approved automated test code but do not run it.
10. Do not generate result-bearing candidate reports.
11. Do not create or promote an approved evaluation baseline.
12. Do not write narrative documentation or evidence.
13. Do not edit the tracker.
14. Do not stage, commit or push.
Codex must not run:
* tests or test collection;
* evaluation commands;
* Ruff;
* MyPy;
* formatters;
* builds;
* package installation;
* Docker;
* services;
* network commands;
* AWS or Bedrock commands;
* Ragas or judge models;
* deployment;
* rollback;
* teardown;
* cleanup;
* remediation.
# 19. Mandatory response after Column L implementation
Return:
1. Exact changed paths classified as CREATE or UPDATE.
2. Manifest count reconciliation.
3. Concise per-file diff summary.
4. Golden-dataset and metric-contract summary.
5. Candidate, baseline and evidence lifecycle summary.
6. Confirmation that no approved baseline or result-bearing candidate was created.
7. Confirmation that no unapproved path changed.
8. Confirmation that no command, test, evaluation, cloud operation or Git mutation was performed.
9. Remaining deferrals and owner decisions.
10. Complete OWNER EXECUTION GUIDE:
    * prerequisites;
    * exact Windows PowerShell commands in order;
    * purpose of each command;
    * expected result;
    * stop conditions;
    * evidence to capture;
    * report inspection;
    * cache and residue checks;
    * cleanup;
    * rollback;
    * complete teardown;
    * security, privacy and cost impact.
11. POST-IMPLEMENTATION LEARNING SUMMARY:
    * business use case;
    * architecture position;
    * technical importance;
    * layman explanation;
    * golden-dataset lifecycle;
    * deterministic metric explanation;
    * absolute threshold versus regression;
    * candidate versus approved baseline;
    * baseline-promotion governance;
    * tenant and authorization release blockers;
    * deterministic evaluation versus LLM-as-judge;
    * limitations of fake-only evaluation;
    * rollback story;
    * five interview questions with answer points.
End exactly:
```text
CODE READY FOR OWNER TESTING — W3-002.
```
# 20. Owner testing rules
When owner testing begins:
* provide only one command at a time;
* explain what the command proves;
* state its expected output and stop conditions;
* wait for the owner’s complete output before continuing;
* do not run the command;
* do not edit code automatically.
If a test or evaluation fails:
* diagnose only from owner-supplied evidence;
* provide one exact next diagnostic command;
* do not execute it;
* do not change code;
* trace the complete producer-consumer impact;
* consolidate all known related defects;
* propose one exact bounded remediation manifest;
* wait for a new Code Edit Approval.
A failed evaluation must not:
* overwrite the golden dataset;
* create or replace the approved baseline;
* be reported as a regression PASS;
* be hidden by aggregate scoring;
* trigger automatic remediation.
# 21. Baseline Promotion Approval
After the first successful owner evaluation, Codex must not automatically promote the candidate.
The owner must provide a separate approval containing:
* complete repository SHA;
* dataset version and checksum;
* candidate-report path and checksum;
* exact evaluation result;
* all metric values;
* all security and isolation results;
* warnings and limitations;
* confirmation of deterministic repeatability;
* exact target approved-baseline path;
* reviewer name and role;
* decision;
* date, time and timezone;
* accepted risks;
* rollback requirement.
Before promotion, Codex must verify that:
* the referenced candidate is unchanged;
* the dataset is unchanged;
* all mandatory thresholds passed;
* no release-blocking security or isolation failure occurred;
* the candidate is reproducible;
* the target path matches the approval.
Baseline promotion must copy or transform only the exact approved candidate into the exact approved baseline contract.
Do not rerun evaluation during promotion.
Do not replace an existing approved baseline without an explicit baseline-replacement approval.
# 22. Column M documentation approval
Do not write narrative documentation or canonical evidence until:
1. owner testing is complete;
2. the owner provides exact results;
3. baseline status is known;
4. the owner supplies exact Column M approval.
Column M must enumerate every document as:
```text
CREATE
UPDATE
VERIFIED UNCHANGED
EXCLUDED
```
Documentation must distinguish:
* implementation complete;
* owner testing PASS, FAIL or partial;
* deterministic evaluation result;
* absolute-threshold result;
* regression result;
* `NO_APPROVED_BASELINE`;
* baseline promoted or not promoted;
* Ragas or judge NOT RUN;
* live model evaluation NOT RUN;
* deployment, rollback and teardown facts;
* residual-resource facts;
* accepted warnings and limitations.
Do not invent missing results.
# 23. Column N final closure
Do not claim final completion until the owner supplies Column N.
Column N must update every document created or updated under Column M with:
* reviewer’s exact name and role;
* exact approval decision;
* date, time and timezone;
* accepted warnings and risks;
* evidence gaps and limitations;
* PASS, FAIL, NOT RUN, NO_APPROVED_BASELINE and INDETERMINATE facts;
* baseline-promotion status;
* deferred downstream reevaluation;
* deployment facts;
* rollback facts;
* teardown facts;
* residual-resource facts;
* approval conditions or `None`.
If any required owner fact or manifest document is missing, block without editing.
The owner alone updates the Excel tracker.
# 24. Downstream reevaluation
W3-003 and W4-003 Phase A are not initial W3-002 prerequisites.
When either downstream task changes retrieval, RAG, authorization, citation, provider or serving behavior:
* perform a new read-only impact review;
* determine whether the golden dataset, evaluator or thresholds require change;
* preserve the current approved baseline;
* create a new candidate;
* compare against both mandatory absolute thresholds and the approved baseline;
* require separate approval for dataset or baseline replacement;
* preserve traceability between platform version, dataset version, evaluator version and result.
Do not silently reinterpret an older baseline after a contract change.
# 25. Deta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</si>
</sst>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8">
    <font>
      <sz val="11"/>
      <name val="Carlito"/>
    </font>
    <font>
      <b/>
      <sz val="18"/>
      <color rgb="FFFFFFFF"/>
      <name val="Carlito"/>
    </font>
    <font>
      <i/>
      <sz val="10"/>
      <color rgb="FF172B4D"/>
      <name val="Carlito"/>
    </font>
    <font>
      <b/>
      <sz val="10"/>
      <color rgb="FFFFFFFF"/>
      <name val="Carlito"/>
    </font>
    <font>
      <b/>
      <sz val="11"/>
      <color rgb="FFFFFFFF"/>
      <name val="Carlito"/>
    </font>
    <font>
      <sz val="10"/>
      <color rgb="FF172B4D"/>
      <name val="Carlito"/>
    </font>
    <font>
      <b/>
      <sz val="11"/>
      <color rgb="FF172B4D"/>
      <name val="Carlito"/>
    </font>
    <font>
      <sz val="11"/>
      <color rgb="FF172B4D"/>
      <name val="Carlito"/>
    </font>
    <font>
      <b/>
      <sz val="11"/>
      <color rgb="FF92400E"/>
      <name val="Carlito"/>
    </font>
    <font>
      <b/>
      <sz val="20"/>
      <color rgb="FF0F2747"/>
      <name val="Carlito"/>
    </font>
    <font>
      <sz val="9"/>
      <color rgb="FF172B4D"/>
      <name val="Carlito"/>
    </font>
    <font>
      <b/>
      <sz val="18"/>
      <color rgb="FF0F2747"/>
      <name val="Carlito"/>
    </font>
    <font>
      <b/>
      <sz val="18"/>
      <color rgb="FF991B1B"/>
      <name val="Carlito"/>
    </font>
    <font>
      <b/>
      <sz val="10"/>
      <color rgb="FF166534"/>
      <name val="Carlito"/>
    </font>
    <font>
      <b/>
      <sz val="9"/>
      <color rgb="FFFFFFFF"/>
      <name val="Carlito"/>
    </font>
    <font>
      <b/>
      <sz val="18"/>
      <name val="Carlito"/>
    </font>
    <font>
      <sz val="10"/>
      <name val="Arial Unicode MS"/>
    </font>
    <font>
      <b/>
      <sz val="13.5"/>
      <name val="Carlito"/>
    </font>
  </fonts>
  <fills count="17">
    <fill>
      <patternFill patternType="none"/>
    </fill>
    <fill>
      <patternFill patternType="gray125"/>
    </fill>
    <fill>
      <patternFill patternType="solid">
        <fgColor rgb="FF0F2747"/>
      </patternFill>
    </fill>
    <fill>
      <patternFill patternType="solid">
        <fgColor rgb="FFDDEBF7"/>
      </patternFill>
    </fill>
    <fill>
      <patternFill patternType="solid">
        <fgColor rgb="FF1F4E78"/>
      </patternFill>
    </fill>
    <fill>
      <patternFill patternType="solid">
        <fgColor rgb="FF0F766E"/>
      </patternFill>
    </fill>
    <fill>
      <patternFill patternType="solid">
        <fgColor rgb="FFF5F8FC"/>
      </patternFill>
    </fill>
    <fill>
      <patternFill patternType="solid">
        <fgColor rgb="FFFFF7D6"/>
      </patternFill>
    </fill>
    <fill>
      <patternFill patternType="solid">
        <fgColor rgb="FFFEF3C7"/>
      </patternFill>
    </fill>
    <fill>
      <patternFill patternType="solid">
        <fgColor rgb="FFDCFCE7"/>
      </patternFill>
    </fill>
    <fill>
      <patternFill patternType="solid">
        <fgColor rgb="FF0F2747"/>
      </patternFill>
    </fill>
    <fill>
      <patternFill patternType="solid">
        <fgColor rgb="FFDDEBF7"/>
      </patternFill>
    </fill>
    <fill>
      <patternFill patternType="solid">
        <fgColor rgb="FF1F4E78"/>
      </patternFill>
    </fill>
    <fill>
      <patternFill patternType="solid">
        <fgColor rgb="FF1F4E78"/>
      </patternFill>
    </fill>
    <fill>
      <patternFill patternType="solid">
        <fgColor rgb="FF17365D"/>
      </patternFill>
    </fill>
    <fill>
      <patternFill patternType="solid">
        <fgColor rgb="FFDDEBF7"/>
      </patternFill>
    </fill>
    <fill>
      <patternFill patternType="solid">
        <fgColor rgb="FFE2F0D9"/>
      </patternFill>
    </fill>
  </fills>
  <borders count="26">
    <border>
      <left/>
      <right/>
      <top/>
      <bottom/>
      <diagonal/>
    </border>
    <border>
      <left style="thin">
        <color rgb="FFC8D4E3"/>
      </left>
      <right/>
      <top style="thin">
        <color rgb="FFC8D4E3"/>
      </top>
      <bottom style="thin">
        <color rgb="FFC8D4E3"/>
      </bottom>
      <diagonal/>
    </border>
    <border>
      <left/>
      <right/>
      <top style="thin">
        <color rgb="FFC8D4E3"/>
      </top>
      <bottom style="thin">
        <color rgb="FFC8D4E3"/>
      </bottom>
      <diagonal/>
    </border>
    <border>
      <left/>
      <right style="thin">
        <color rgb="FFC8D4E3"/>
      </right>
      <top style="thin">
        <color rgb="FFC8D4E3"/>
      </top>
      <bottom style="thin">
        <color rgb="FFC8D4E3"/>
      </bottom>
      <diagonal/>
    </border>
    <border>
      <left/>
      <right/>
      <top/>
      <bottom style="thin">
        <color rgb="FFE5E7EB"/>
      </bottom>
      <diagonal/>
    </border>
    <border>
      <left/>
      <right/>
      <top style="thin">
        <color rgb="FFE5E7EB"/>
      </top>
      <bottom style="thin">
        <color rgb="FFE5E7EB"/>
      </bottom>
      <diagonal/>
    </border>
    <border>
      <left/>
      <right/>
      <top style="thin">
        <color rgb="FFE5E7EB"/>
      </top>
      <bottom/>
      <diagonal/>
    </border>
    <border>
      <left style="thin">
        <color rgb="FFC8D4E3"/>
      </left>
      <right/>
      <top style="thin">
        <color rgb="FFC8D4E3"/>
      </top>
      <bottom/>
      <diagonal/>
    </border>
    <border>
      <left/>
      <right/>
      <top style="thin">
        <color rgb="FFC8D4E3"/>
      </top>
      <bottom/>
      <diagonal/>
    </border>
    <border>
      <left/>
      <right style="thin">
        <color rgb="FFC8D4E3"/>
      </right>
      <top style="thin">
        <color rgb="FFC8D4E3"/>
      </top>
      <bottom/>
      <diagonal/>
    </border>
    <border>
      <left style="thin">
        <color rgb="FFC8D4E3"/>
      </left>
      <right/>
      <top/>
      <bottom/>
      <diagonal/>
    </border>
    <border>
      <left/>
      <right style="thin">
        <color rgb="FFC8D4E3"/>
      </right>
      <top/>
      <bottom/>
      <diagonal/>
    </border>
    <border>
      <left style="thin">
        <color rgb="FFC8D4E3"/>
      </left>
      <right/>
      <top/>
      <bottom style="thin">
        <color rgb="FFC8D4E3"/>
      </bottom>
      <diagonal/>
    </border>
    <border>
      <left/>
      <right/>
      <top/>
      <bottom style="thin">
        <color rgb="FFC8D4E3"/>
      </bottom>
      <diagonal/>
    </border>
    <border>
      <left/>
      <right style="thin">
        <color rgb="FFC8D4E3"/>
      </right>
      <top/>
      <bottom style="thin">
        <color rgb="FFC8D4E3"/>
      </bottom>
      <diagonal/>
    </border>
    <border>
      <left style="thin">
        <color rgb="FFC8D4E3"/>
      </left>
      <right style="thin">
        <color rgb="FFC8D4E3"/>
      </right>
      <top style="thin">
        <color rgb="FFC8D4E3"/>
      </top>
      <bottom style="thin">
        <color rgb="FFC8D4E3"/>
      </bottom>
      <diagonal/>
    </border>
    <border>
      <left style="thin">
        <color rgb="FFE5E7EB"/>
      </left>
      <right style="thin">
        <color rgb="FFE5E7EB"/>
      </right>
      <top style="thin">
        <color rgb="FFE5E7EB"/>
      </top>
      <bottom style="thin">
        <color rgb="FFE5E7EB"/>
      </bottom>
      <diagonal/>
    </border>
    <border>
      <left/>
      <right style="thin">
        <color rgb="FFD9E2F3"/>
      </right>
      <top/>
      <bottom style="thin">
        <color rgb="FFD9E2F3"/>
      </bottom>
      <diagonal/>
    </border>
    <border>
      <left style="thin">
        <color rgb="FFD9E2F3"/>
      </left>
      <right style="thin">
        <color rgb="FFD9E2F3"/>
      </right>
      <top/>
      <bottom style="thin">
        <color rgb="FFD9E2F3"/>
      </bottom>
      <diagonal/>
    </border>
    <border>
      <left style="thin">
        <color rgb="FFD9E2F3"/>
      </left>
      <right/>
      <top/>
      <bottom style="thin">
        <color rgb="FFD9E2F3"/>
      </bottom>
      <diagonal/>
    </border>
    <border>
      <left/>
      <right style="thin">
        <color rgb="FFD9E2F3"/>
      </right>
      <top style="thin">
        <color rgb="FFD9E2F3"/>
      </top>
      <bottom style="thin">
        <color rgb="FFD9E2F3"/>
      </bottom>
      <diagonal/>
    </border>
    <border>
      <left style="thin">
        <color rgb="FFD9E2F3"/>
      </left>
      <right style="thin">
        <color rgb="FFD9E2F3"/>
      </right>
      <top style="thin">
        <color rgb="FFD9E2F3"/>
      </top>
      <bottom style="thin">
        <color rgb="FFD9E2F3"/>
      </bottom>
      <diagonal/>
    </border>
    <border>
      <left style="thin">
        <color rgb="FFD9E2F3"/>
      </left>
      <right/>
      <top style="thin">
        <color rgb="FFD9E2F3"/>
      </top>
      <bottom style="thin">
        <color rgb="FFD9E2F3"/>
      </bottom>
      <diagonal/>
    </border>
    <border>
      <left/>
      <right style="thin">
        <color rgb="FFD9E2F3"/>
      </right>
      <top style="thin">
        <color rgb="FFD9E2F3"/>
      </top>
      <bottom/>
      <diagonal/>
    </border>
    <border>
      <left style="thin">
        <color rgb="FFD9E2F3"/>
      </left>
      <right style="thin">
        <color rgb="FFD9E2F3"/>
      </right>
      <top style="thin">
        <color rgb="FFD9E2F3"/>
      </top>
      <bottom/>
      <diagonal/>
    </border>
    <border>
      <left style="thin">
        <color rgb="FFD9E2F3"/>
      </left>
      <right/>
      <top style="thin">
        <color rgb="FFD9E2F3"/>
      </top>
      <bottom/>
      <diagonal/>
    </border>
  </borders>
  <cellStyleXfs count="1">
    <xf numFmtId="0" fontId="0" fillId="0" borderId="0"/>
  </cellStyleXfs>
  <cellXfs count="129">
    <xf numFmtId="0" fontId="0" fillId="0" borderId="0" xfId="0"/>
    <xf numFmtId="0" fontId="3" fillId="4" borderId="1" xfId="0" applyFont="1" applyFill="1" applyBorder="1" applyAlignment="1">
      <alignment vertical="center" wrapText="1"/>
    </xf>
    <xf numFmtId="0" fontId="3" fillId="4" borderId="2" xfId="0" applyFont="1" applyFill="1" applyBorder="1" applyAlignment="1">
      <alignment vertical="center" wrapText="1"/>
    </xf>
    <xf numFmtId="0" fontId="3" fillId="4" borderId="3" xfId="0" applyFont="1" applyFill="1" applyBorder="1" applyAlignment="1">
      <alignment vertical="center" wrapText="1"/>
    </xf>
    <xf numFmtId="0" fontId="5" fillId="0" borderId="4" xfId="0" applyFont="1" applyBorder="1" applyAlignment="1">
      <alignment vertical="top" wrapText="1"/>
    </xf>
    <xf numFmtId="0" fontId="5" fillId="0" borderId="5" xfId="0" applyFont="1" applyBorder="1" applyAlignment="1">
      <alignment vertical="top" wrapText="1"/>
    </xf>
    <xf numFmtId="0" fontId="5" fillId="0" borderId="6" xfId="0" applyFont="1" applyBorder="1" applyAlignment="1">
      <alignment vertical="top" wrapText="1"/>
    </xf>
    <xf numFmtId="0" fontId="6" fillId="6" borderId="15" xfId="0" applyFont="1" applyFill="1" applyBorder="1"/>
    <xf numFmtId="0" fontId="7" fillId="7" borderId="15" xfId="0" applyFont="1" applyFill="1" applyBorder="1"/>
    <xf numFmtId="164" fontId="7" fillId="7" borderId="15" xfId="0" applyNumberFormat="1" applyFont="1" applyFill="1" applyBorder="1"/>
    <xf numFmtId="0" fontId="10" fillId="0" borderId="4" xfId="0" applyFont="1" applyBorder="1" applyAlignment="1">
      <alignment vertical="top" wrapText="1"/>
    </xf>
    <xf numFmtId="0" fontId="10" fillId="0" borderId="5" xfId="0" applyFont="1" applyBorder="1" applyAlignment="1">
      <alignment vertical="top" wrapText="1"/>
    </xf>
    <xf numFmtId="9" fontId="10" fillId="0" borderId="4" xfId="0" applyNumberFormat="1" applyFont="1" applyBorder="1" applyAlignment="1">
      <alignment vertical="top" wrapText="1"/>
    </xf>
    <xf numFmtId="9" fontId="10" fillId="0" borderId="5" xfId="0" applyNumberFormat="1" applyFont="1" applyBorder="1" applyAlignment="1">
      <alignment vertical="top" wrapText="1"/>
    </xf>
    <xf numFmtId="9" fontId="0" fillId="0" borderId="0" xfId="0" applyNumberFormat="1"/>
    <xf numFmtId="2" fontId="10" fillId="0" borderId="4" xfId="0" applyNumberFormat="1" applyFont="1" applyBorder="1" applyAlignment="1">
      <alignment vertical="top" wrapText="1"/>
    </xf>
    <xf numFmtId="2" fontId="10" fillId="0" borderId="5" xfId="0" applyNumberFormat="1" applyFont="1" applyBorder="1" applyAlignment="1">
      <alignment vertical="top" wrapText="1"/>
    </xf>
    <xf numFmtId="164" fontId="10" fillId="0" borderId="4" xfId="0" applyNumberFormat="1" applyFont="1" applyBorder="1" applyAlignment="1">
      <alignment vertical="top" wrapText="1"/>
    </xf>
    <xf numFmtId="164" fontId="10" fillId="0" borderId="5" xfId="0" applyNumberFormat="1" applyFont="1" applyBorder="1" applyAlignment="1">
      <alignment vertical="top" wrapText="1"/>
    </xf>
    <xf numFmtId="0" fontId="10" fillId="7" borderId="4" xfId="0" applyFont="1" applyFill="1" applyBorder="1" applyAlignment="1">
      <alignment vertical="top" wrapText="1"/>
    </xf>
    <xf numFmtId="0" fontId="10" fillId="7" borderId="5" xfId="0" applyFont="1" applyFill="1" applyBorder="1" applyAlignment="1">
      <alignment vertical="top" wrapText="1"/>
    </xf>
    <xf numFmtId="0" fontId="4" fillId="5" borderId="0" xfId="0" applyFont="1" applyFill="1" applyAlignment="1">
      <alignment horizontal="center" vertical="top" wrapText="1"/>
    </xf>
    <xf numFmtId="0" fontId="10" fillId="0" borderId="16" xfId="0" applyFont="1" applyBorder="1" applyAlignment="1">
      <alignment vertical="top" wrapText="1"/>
    </xf>
    <xf numFmtId="0" fontId="10" fillId="11" borderId="16" xfId="0" applyFont="1" applyFill="1" applyBorder="1" applyAlignment="1">
      <alignment vertical="top" wrapText="1"/>
    </xf>
    <xf numFmtId="0" fontId="4" fillId="10" borderId="0" xfId="0" applyFont="1" applyFill="1"/>
    <xf numFmtId="14" fontId="10" fillId="11" borderId="16" xfId="0" applyNumberFormat="1" applyFont="1" applyFill="1" applyBorder="1" applyAlignment="1">
      <alignment vertical="top" wrapText="1"/>
    </xf>
    <xf numFmtId="14" fontId="10" fillId="0" borderId="16" xfId="0" applyNumberFormat="1" applyFont="1" applyBorder="1" applyAlignment="1">
      <alignment vertical="top" wrapText="1"/>
    </xf>
    <xf numFmtId="0" fontId="0" fillId="0" borderId="0" xfId="0" applyAlignment="1">
      <alignment vertical="top"/>
    </xf>
    <xf numFmtId="0" fontId="0" fillId="0" borderId="0" xfId="0" applyAlignment="1">
      <alignment vertical="top" wrapText="1"/>
    </xf>
    <xf numFmtId="0" fontId="0" fillId="0" borderId="0" xfId="0" applyAlignment="1">
      <alignment wrapText="1"/>
    </xf>
    <xf numFmtId="0" fontId="3" fillId="13" borderId="15" xfId="0" applyFont="1" applyFill="1" applyBorder="1" applyAlignment="1">
      <alignment vertical="center" wrapText="1"/>
    </xf>
    <xf numFmtId="0" fontId="4" fillId="13" borderId="0" xfId="0" applyFont="1" applyFill="1" applyAlignment="1">
      <alignment wrapText="1"/>
    </xf>
    <xf numFmtId="0" fontId="14" fillId="13" borderId="16" xfId="0" applyFont="1" applyFill="1" applyBorder="1" applyAlignment="1">
      <alignment vertical="top" wrapText="1"/>
    </xf>
    <xf numFmtId="0" fontId="14" fillId="13" borderId="15" xfId="0" applyFont="1" applyFill="1" applyBorder="1" applyAlignment="1">
      <alignment vertical="top" wrapText="1"/>
    </xf>
    <xf numFmtId="0" fontId="10" fillId="3" borderId="16" xfId="0" applyFont="1" applyFill="1" applyBorder="1" applyAlignment="1">
      <alignment vertical="top" wrapText="1"/>
    </xf>
    <xf numFmtId="0" fontId="7" fillId="0" borderId="16" xfId="0" applyFont="1" applyBorder="1" applyAlignment="1">
      <alignment vertical="top" wrapText="1"/>
    </xf>
    <xf numFmtId="0" fontId="0" fillId="0" borderId="17" xfId="0" applyBorder="1" applyAlignment="1">
      <alignment vertical="top" wrapText="1"/>
    </xf>
    <xf numFmtId="0" fontId="0" fillId="0" borderId="18" xfId="0" applyBorder="1" applyAlignment="1">
      <alignment vertical="top" wrapText="1"/>
    </xf>
    <xf numFmtId="0" fontId="0" fillId="0" borderId="19" xfId="0" applyBorder="1" applyAlignment="1">
      <alignment vertical="top" wrapText="1"/>
    </xf>
    <xf numFmtId="0" fontId="0" fillId="0" borderId="20" xfId="0" applyBorder="1" applyAlignment="1">
      <alignment vertical="top" wrapText="1"/>
    </xf>
    <xf numFmtId="0" fontId="0" fillId="0" borderId="21" xfId="0" applyBorder="1" applyAlignment="1">
      <alignment vertical="top" wrapText="1"/>
    </xf>
    <xf numFmtId="0" fontId="0" fillId="0" borderId="22" xfId="0" applyBorder="1" applyAlignment="1">
      <alignment vertical="top" wrapText="1"/>
    </xf>
    <xf numFmtId="0" fontId="0" fillId="0" borderId="23" xfId="0" applyBorder="1" applyAlignment="1">
      <alignment vertical="top" wrapText="1"/>
    </xf>
    <xf numFmtId="0" fontId="0" fillId="0" borderId="24" xfId="0" applyBorder="1" applyAlignment="1">
      <alignment vertical="top" wrapText="1"/>
    </xf>
    <xf numFmtId="0" fontId="0" fillId="0" borderId="25" xfId="0" applyBorder="1" applyAlignment="1">
      <alignment vertical="top" wrapText="1"/>
    </xf>
    <xf numFmtId="0" fontId="0" fillId="16" borderId="17" xfId="0" applyFill="1" applyBorder="1" applyAlignment="1">
      <alignment vertical="top" wrapText="1"/>
    </xf>
    <xf numFmtId="0" fontId="0" fillId="16" borderId="19" xfId="0" applyFill="1" applyBorder="1" applyAlignment="1">
      <alignment vertical="top" wrapText="1"/>
    </xf>
    <xf numFmtId="0" fontId="0" fillId="16" borderId="20" xfId="0" applyFill="1" applyBorder="1" applyAlignment="1">
      <alignment vertical="top" wrapText="1"/>
    </xf>
    <xf numFmtId="0" fontId="0" fillId="16" borderId="22" xfId="0" applyFill="1" applyBorder="1" applyAlignment="1">
      <alignment vertical="top" wrapText="1"/>
    </xf>
    <xf numFmtId="0" fontId="0" fillId="16" borderId="23" xfId="0" applyFill="1" applyBorder="1" applyAlignment="1">
      <alignment vertical="top" wrapText="1"/>
    </xf>
    <xf numFmtId="0" fontId="0" fillId="16" borderId="25" xfId="0" applyFill="1" applyBorder="1" applyAlignment="1">
      <alignment vertical="top" wrapText="1"/>
    </xf>
    <xf numFmtId="0" fontId="1" fillId="10" borderId="0" xfId="0" applyFont="1" applyFill="1" applyAlignment="1">
      <alignment vertical="top"/>
    </xf>
    <xf numFmtId="0" fontId="2" fillId="11" borderId="0" xfId="0" applyFont="1" applyFill="1" applyAlignment="1">
      <alignment vertical="top" wrapText="1"/>
    </xf>
    <xf numFmtId="0" fontId="3" fillId="12" borderId="15" xfId="0" applyFont="1" applyFill="1" applyBorder="1" applyAlignment="1">
      <alignment vertical="top" wrapText="1"/>
    </xf>
    <xf numFmtId="0" fontId="3" fillId="13" borderId="15" xfId="0" applyFont="1" applyFill="1" applyBorder="1" applyAlignment="1">
      <alignment vertical="top" wrapText="1"/>
    </xf>
    <xf numFmtId="0" fontId="10" fillId="15" borderId="16" xfId="0" applyFont="1" applyFill="1" applyBorder="1" applyAlignment="1">
      <alignment vertical="top" wrapText="1"/>
    </xf>
    <xf numFmtId="0" fontId="15" fillId="0" borderId="0" xfId="0" applyFont="1" applyAlignment="1">
      <alignment vertical="center"/>
    </xf>
    <xf numFmtId="0" fontId="16" fillId="0" borderId="0" xfId="0" applyFont="1" applyAlignment="1">
      <alignment vertical="center"/>
    </xf>
    <xf numFmtId="0" fontId="0" fillId="0" borderId="0" xfId="0" applyAlignment="1">
      <alignment horizontal="left" vertical="center" indent="1"/>
    </xf>
    <xf numFmtId="0" fontId="16" fillId="0" borderId="0" xfId="0" applyFont="1"/>
    <xf numFmtId="0" fontId="16" fillId="0" borderId="0" xfId="0" applyFont="1" applyAlignment="1">
      <alignment horizontal="left" vertical="center" indent="1"/>
    </xf>
    <xf numFmtId="0" fontId="17" fillId="0" borderId="0" xfId="0" applyFont="1" applyAlignment="1">
      <alignment vertical="center"/>
    </xf>
    <xf numFmtId="0" fontId="0" fillId="0" borderId="0" xfId="0" applyAlignment="1">
      <alignment horizontal="left" vertical="center" indent="2"/>
    </xf>
    <xf numFmtId="0" fontId="5" fillId="6" borderId="10" xfId="0" applyFont="1" applyFill="1" applyBorder="1" applyAlignment="1">
      <alignment wrapText="1"/>
    </xf>
    <xf numFmtId="0" fontId="5" fillId="6" borderId="0" xfId="0" applyFont="1" applyFill="1" applyAlignment="1">
      <alignment wrapText="1"/>
    </xf>
    <xf numFmtId="0" fontId="5" fillId="6" borderId="11" xfId="0" applyFont="1" applyFill="1" applyBorder="1" applyAlignment="1">
      <alignment wrapText="1"/>
    </xf>
    <xf numFmtId="0" fontId="5" fillId="6" borderId="12" xfId="0" applyFont="1" applyFill="1" applyBorder="1" applyAlignment="1">
      <alignment wrapText="1"/>
    </xf>
    <xf numFmtId="0" fontId="5" fillId="6" borderId="13" xfId="0" applyFont="1" applyFill="1" applyBorder="1" applyAlignment="1">
      <alignment wrapText="1"/>
    </xf>
    <xf numFmtId="0" fontId="5" fillId="6" borderId="14" xfId="0" applyFont="1" applyFill="1" applyBorder="1" applyAlignment="1">
      <alignment wrapText="1"/>
    </xf>
    <xf numFmtId="0" fontId="3" fillId="4" borderId="0" xfId="0" applyFont="1" applyFill="1" applyAlignment="1">
      <alignment horizontal="center"/>
    </xf>
    <xf numFmtId="0" fontId="9" fillId="6" borderId="7" xfId="0" applyFont="1" applyFill="1" applyBorder="1" applyAlignment="1">
      <alignment horizontal="center" vertical="center"/>
    </xf>
    <xf numFmtId="0" fontId="9" fillId="6" borderId="9" xfId="0" applyFont="1" applyFill="1" applyBorder="1" applyAlignment="1">
      <alignment horizontal="center" vertical="center"/>
    </xf>
    <xf numFmtId="0" fontId="9" fillId="6" borderId="12" xfId="0" applyFont="1" applyFill="1" applyBorder="1" applyAlignment="1">
      <alignment horizontal="center" vertical="center"/>
    </xf>
    <xf numFmtId="0" fontId="9" fillId="6" borderId="14" xfId="0" applyFont="1" applyFill="1" applyBorder="1" applyAlignment="1">
      <alignment horizontal="center" vertical="center"/>
    </xf>
    <xf numFmtId="0" fontId="3" fillId="4" borderId="1" xfId="0" applyFont="1" applyFill="1" applyBorder="1" applyAlignment="1">
      <alignment vertical="center" wrapText="1"/>
    </xf>
    <xf numFmtId="0" fontId="3" fillId="4" borderId="2" xfId="0" applyFont="1" applyFill="1" applyBorder="1" applyAlignment="1">
      <alignment vertical="center" wrapText="1"/>
    </xf>
    <xf numFmtId="0" fontId="3" fillId="4" borderId="3" xfId="0" applyFont="1" applyFill="1" applyBorder="1" applyAlignment="1">
      <alignment vertical="center" wrapText="1"/>
    </xf>
    <xf numFmtId="0" fontId="5" fillId="6" borderId="7" xfId="0" applyFont="1" applyFill="1" applyBorder="1" applyAlignment="1">
      <alignment wrapText="1"/>
    </xf>
    <xf numFmtId="0" fontId="5" fillId="6" borderId="8" xfId="0" applyFont="1" applyFill="1" applyBorder="1" applyAlignment="1">
      <alignment wrapText="1"/>
    </xf>
    <xf numFmtId="0" fontId="5" fillId="6" borderId="9" xfId="0" applyFont="1" applyFill="1" applyBorder="1" applyAlignment="1">
      <alignment wrapText="1"/>
    </xf>
    <xf numFmtId="0" fontId="1" fillId="2" borderId="0" xfId="0" applyFont="1" applyFill="1" applyAlignment="1">
      <alignment vertical="center"/>
    </xf>
    <xf numFmtId="0" fontId="2" fillId="3" borderId="0" xfId="0" applyFont="1" applyFill="1" applyAlignment="1">
      <alignment vertical="center" wrapText="1"/>
    </xf>
    <xf numFmtId="9" fontId="9" fillId="6" borderId="7" xfId="0" applyNumberFormat="1" applyFont="1" applyFill="1" applyBorder="1" applyAlignment="1">
      <alignment horizontal="center" vertical="center"/>
    </xf>
    <xf numFmtId="9" fontId="9" fillId="6" borderId="9" xfId="0" applyNumberFormat="1" applyFont="1" applyFill="1" applyBorder="1" applyAlignment="1">
      <alignment horizontal="center" vertical="center"/>
    </xf>
    <xf numFmtId="9" fontId="9" fillId="6" borderId="12" xfId="0" applyNumberFormat="1" applyFont="1" applyFill="1" applyBorder="1" applyAlignment="1">
      <alignment horizontal="center" vertical="center"/>
    </xf>
    <xf numFmtId="9" fontId="9" fillId="6" borderId="14" xfId="0" applyNumberFormat="1" applyFont="1" applyFill="1" applyBorder="1" applyAlignment="1">
      <alignment horizontal="center" vertical="center"/>
    </xf>
    <xf numFmtId="0" fontId="8" fillId="8" borderId="7" xfId="0" applyFont="1" applyFill="1" applyBorder="1" applyAlignment="1">
      <alignment wrapText="1"/>
    </xf>
    <xf numFmtId="0" fontId="8" fillId="8" borderId="8" xfId="0" applyFont="1" applyFill="1" applyBorder="1" applyAlignment="1">
      <alignment wrapText="1"/>
    </xf>
    <xf numFmtId="0" fontId="8" fillId="8" borderId="9" xfId="0" applyFont="1" applyFill="1" applyBorder="1" applyAlignment="1">
      <alignment wrapText="1"/>
    </xf>
    <xf numFmtId="0" fontId="8" fillId="8" borderId="12" xfId="0" applyFont="1" applyFill="1" applyBorder="1" applyAlignment="1">
      <alignment wrapText="1"/>
    </xf>
    <xf numFmtId="0" fontId="8" fillId="8" borderId="13" xfId="0" applyFont="1" applyFill="1" applyBorder="1" applyAlignment="1">
      <alignment wrapText="1"/>
    </xf>
    <xf numFmtId="0" fontId="8" fillId="8" borderId="14" xfId="0" applyFont="1" applyFill="1" applyBorder="1" applyAlignment="1">
      <alignment wrapText="1"/>
    </xf>
    <xf numFmtId="0" fontId="5" fillId="6" borderId="10" xfId="0" applyFont="1" applyFill="1" applyBorder="1" applyAlignment="1">
      <alignment vertical="center" wrapText="1"/>
    </xf>
    <xf numFmtId="0" fontId="5" fillId="6" borderId="0" xfId="0" applyFont="1" applyFill="1" applyAlignment="1">
      <alignment vertical="center" wrapText="1"/>
    </xf>
    <xf numFmtId="0" fontId="5" fillId="6" borderId="11" xfId="0" applyFont="1" applyFill="1" applyBorder="1" applyAlignment="1">
      <alignment vertical="center" wrapText="1"/>
    </xf>
    <xf numFmtId="0" fontId="5" fillId="6" borderId="12" xfId="0" applyFont="1" applyFill="1" applyBorder="1" applyAlignment="1">
      <alignment vertical="center" wrapText="1"/>
    </xf>
    <xf numFmtId="0" fontId="5" fillId="6" borderId="13" xfId="0" applyFont="1" applyFill="1" applyBorder="1" applyAlignment="1">
      <alignment vertical="center" wrapText="1"/>
    </xf>
    <xf numFmtId="0" fontId="5" fillId="6" borderId="14" xfId="0" applyFont="1" applyFill="1" applyBorder="1" applyAlignment="1">
      <alignment vertical="center" wrapText="1"/>
    </xf>
    <xf numFmtId="0" fontId="5" fillId="6" borderId="7" xfId="0" applyFont="1" applyFill="1" applyBorder="1" applyAlignment="1">
      <alignment vertical="center" wrapText="1"/>
    </xf>
    <xf numFmtId="0" fontId="5" fillId="6" borderId="8" xfId="0" applyFont="1" applyFill="1" applyBorder="1" applyAlignment="1">
      <alignment vertical="center" wrapText="1"/>
    </xf>
    <xf numFmtId="0" fontId="5" fillId="6" borderId="9" xfId="0" applyFont="1" applyFill="1" applyBorder="1" applyAlignment="1">
      <alignment vertical="center" wrapText="1"/>
    </xf>
    <xf numFmtId="0" fontId="4" fillId="10" borderId="0" xfId="0" applyFont="1" applyFill="1"/>
    <xf numFmtId="0" fontId="0" fillId="0" borderId="0" xfId="0"/>
    <xf numFmtId="9" fontId="11" fillId="6" borderId="7" xfId="0" applyNumberFormat="1" applyFont="1" applyFill="1" applyBorder="1" applyAlignment="1">
      <alignment horizontal="center" vertical="center"/>
    </xf>
    <xf numFmtId="9" fontId="11" fillId="6" borderId="9" xfId="0" applyNumberFormat="1" applyFont="1" applyFill="1" applyBorder="1" applyAlignment="1">
      <alignment horizontal="center" vertical="center"/>
    </xf>
    <xf numFmtId="9" fontId="11" fillId="6" borderId="12" xfId="0" applyNumberFormat="1" applyFont="1" applyFill="1" applyBorder="1" applyAlignment="1">
      <alignment horizontal="center" vertical="center"/>
    </xf>
    <xf numFmtId="9" fontId="11" fillId="6" borderId="14" xfId="0" applyNumberFormat="1" applyFont="1" applyFill="1" applyBorder="1" applyAlignment="1">
      <alignment horizontal="center" vertical="center"/>
    </xf>
    <xf numFmtId="0" fontId="12" fillId="6" borderId="7" xfId="0" applyFont="1" applyFill="1" applyBorder="1" applyAlignment="1">
      <alignment horizontal="center" vertical="center"/>
    </xf>
    <xf numFmtId="0" fontId="12" fillId="6" borderId="9" xfId="0" applyFont="1" applyFill="1" applyBorder="1" applyAlignment="1">
      <alignment horizontal="center" vertical="center"/>
    </xf>
    <xf numFmtId="0" fontId="12" fillId="6" borderId="12" xfId="0" applyFont="1" applyFill="1" applyBorder="1" applyAlignment="1">
      <alignment horizontal="center" vertical="center"/>
    </xf>
    <xf numFmtId="0" fontId="12" fillId="6" borderId="14" xfId="0" applyFont="1" applyFill="1" applyBorder="1" applyAlignment="1">
      <alignment horizontal="center" vertical="center"/>
    </xf>
    <xf numFmtId="0" fontId="13" fillId="9" borderId="7" xfId="0" applyFont="1" applyFill="1" applyBorder="1" applyAlignment="1">
      <alignment vertical="center" wrapText="1"/>
    </xf>
    <xf numFmtId="0" fontId="13" fillId="9" borderId="8" xfId="0" applyFont="1" applyFill="1" applyBorder="1" applyAlignment="1">
      <alignment vertical="center" wrapText="1"/>
    </xf>
    <xf numFmtId="0" fontId="13" fillId="9" borderId="9" xfId="0" applyFont="1" applyFill="1" applyBorder="1" applyAlignment="1">
      <alignment vertical="center" wrapText="1"/>
    </xf>
    <xf numFmtId="0" fontId="13" fillId="9" borderId="12" xfId="0" applyFont="1" applyFill="1" applyBorder="1" applyAlignment="1">
      <alignment vertical="center" wrapText="1"/>
    </xf>
    <xf numFmtId="0" fontId="13" fillId="9" borderId="13" xfId="0" applyFont="1" applyFill="1" applyBorder="1" applyAlignment="1">
      <alignment vertical="center" wrapText="1"/>
    </xf>
    <xf numFmtId="0" fontId="13" fillId="9" borderId="14" xfId="0" applyFont="1" applyFill="1" applyBorder="1" applyAlignment="1">
      <alignment vertical="center" wrapText="1"/>
    </xf>
    <xf numFmtId="0" fontId="3" fillId="12" borderId="15" xfId="0" applyFont="1" applyFill="1" applyBorder="1" applyAlignment="1">
      <alignment vertical="center" wrapText="1"/>
    </xf>
    <xf numFmtId="0" fontId="13" fillId="9" borderId="1" xfId="0" applyFont="1" applyFill="1" applyBorder="1" applyAlignment="1">
      <alignment wrapText="1"/>
    </xf>
    <xf numFmtId="0" fontId="13" fillId="9" borderId="2" xfId="0" applyFont="1" applyFill="1" applyBorder="1" applyAlignment="1">
      <alignment wrapText="1"/>
    </xf>
    <xf numFmtId="0" fontId="13" fillId="9" borderId="3" xfId="0" applyFont="1" applyFill="1" applyBorder="1" applyAlignment="1">
      <alignment wrapText="1"/>
    </xf>
    <xf numFmtId="0" fontId="1" fillId="10" borderId="0" xfId="0" applyFont="1" applyFill="1" applyAlignment="1">
      <alignment vertical="top"/>
    </xf>
    <xf numFmtId="0" fontId="2" fillId="11" borderId="0" xfId="0" applyFont="1" applyFill="1" applyAlignment="1">
      <alignment vertical="top" wrapText="1"/>
    </xf>
    <xf numFmtId="0" fontId="8" fillId="8" borderId="1" xfId="0" applyFont="1" applyFill="1" applyBorder="1" applyAlignment="1">
      <alignment wrapText="1"/>
    </xf>
    <xf numFmtId="0" fontId="8" fillId="8" borderId="2" xfId="0" applyFont="1" applyFill="1" applyBorder="1" applyAlignment="1">
      <alignment wrapText="1"/>
    </xf>
    <xf numFmtId="0" fontId="8" fillId="8" borderId="3" xfId="0" applyFont="1" applyFill="1" applyBorder="1" applyAlignment="1">
      <alignment wrapText="1"/>
    </xf>
    <xf numFmtId="0" fontId="4" fillId="14" borderId="0" xfId="0" applyFont="1" applyFill="1" applyAlignment="1">
      <alignment horizontal="left" vertical="center" wrapText="1"/>
    </xf>
    <xf numFmtId="0" fontId="7" fillId="15" borderId="0" xfId="0" applyFont="1" applyFill="1" applyAlignment="1">
      <alignment wrapText="1"/>
    </xf>
    <xf numFmtId="0" fontId="4" fillId="13" borderId="0" xfId="0" applyFont="1" applyFill="1" applyAlignment="1">
      <alignment wrapText="1"/>
    </xf>
  </cellXfs>
  <cellStyles count="1">
    <cellStyle name="Normal" xfId="0" builtinId="0"/>
  </cellStyles>
  <dxfs count="48">
    <dxf>
      <font>
        <b/>
        <color rgb="FF991B1B"/>
      </font>
      <fill>
        <patternFill>
          <bgColor rgb="FFFEE2E2"/>
        </patternFill>
      </fill>
    </dxf>
    <dxf>
      <font>
        <color rgb="FF5B6573"/>
      </font>
      <fill>
        <patternFill>
          <bgColor rgb="FFE5E7EB"/>
        </patternFill>
      </fill>
    </dxf>
    <dxf>
      <font>
        <b/>
        <color rgb="FF92400E"/>
      </font>
      <fill>
        <patternFill>
          <bgColor rgb="FFFEF3C7"/>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SG"/>
              <a:t>Completion by week</a:t>
            </a:r>
          </a:p>
        </c:rich>
      </c:tx>
      <c:overlay val="0"/>
    </c:title>
    <c:autoTitleDeleted val="0"/>
    <c:plotArea>
      <c:layout/>
      <c:barChart>
        <c:barDir val="col"/>
        <c:grouping val="clustered"/>
        <c:varyColors val="0"/>
        <c:ser>
          <c:idx val="0"/>
          <c:order val="0"/>
          <c:tx>
            <c:v>Progress</c:v>
          </c:tx>
          <c:invertIfNegative val="1"/>
          <c:cat>
            <c:strRef>
              <c:f>'01 Dashboard'!$G$13:$G$18</c:f>
              <c:strCache>
                <c:ptCount val="6"/>
                <c:pt idx="0">
                  <c:v>Week 1</c:v>
                </c:pt>
                <c:pt idx="1">
                  <c:v>Week 2</c:v>
                </c:pt>
                <c:pt idx="2">
                  <c:v>Week 3</c:v>
                </c:pt>
                <c:pt idx="3">
                  <c:v>Week 4</c:v>
                </c:pt>
                <c:pt idx="4">
                  <c:v>Week 5</c:v>
                </c:pt>
                <c:pt idx="5">
                  <c:v>Week 6</c:v>
                </c:pt>
              </c:strCache>
            </c:strRef>
          </c:cat>
          <c:val>
            <c:numRef>
              <c:f>'01 Dashboard'!$H$13:$H$18</c:f>
              <c:numCache>
                <c:formatCode>0%</c:formatCode>
                <c:ptCount val="6"/>
                <c:pt idx="0">
                  <c:v>1</c:v>
                </c:pt>
                <c:pt idx="1">
                  <c:v>1</c:v>
                </c:pt>
                <c:pt idx="2">
                  <c:v>0.30769230769230771</c:v>
                </c:pt>
                <c:pt idx="3">
                  <c:v>0</c:v>
                </c:pt>
                <c:pt idx="4">
                  <c:v>0</c:v>
                </c:pt>
                <c:pt idx="5">
                  <c:v>0</c:v>
                </c:pt>
              </c:numCache>
            </c:numRef>
          </c:val>
          <c:extLst>
            <c:ext xmlns:c16="http://schemas.microsoft.com/office/drawing/2014/chart" uri="{C3380CC4-5D6E-409C-BE32-E72D297353CC}">
              <c16:uniqueId val="{00000000-C879-4CFA-B124-97E34B2B3DDD}"/>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max val="1"/>
          <c:min val="0"/>
        </c:scaling>
        <c:delete val="0"/>
        <c:axPos val="l"/>
        <c:majorGridlines>
          <c:spPr>
            <a:ln w="9525">
              <a:solidFill>
                <a:srgbClr val="CCCCCC"/>
              </a:solidFill>
              <a:prstDash val="dash"/>
            </a:ln>
          </c:spPr>
        </c:majorGridlines>
        <c:numFmt formatCode="0%" sourceLinked="1"/>
        <c:majorTickMark val="none"/>
        <c:minorTickMark val="none"/>
        <c:tickLblPos val="nextTo"/>
        <c:crossAx val="48650112"/>
        <c:crosses val="autoZero"/>
        <c:crossBetween val="between"/>
      </c:valAx>
    </c:plotArea>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9</xdr:col>
      <xdr:colOff>0</xdr:colOff>
      <xdr:row>10</xdr:row>
      <xdr:rowOff>0</xdr:rowOff>
    </xdr:from>
    <xdr:to>
      <xdr:col>16</xdr:col>
      <xdr:colOff>0</xdr:colOff>
      <xdr:row>25</xdr:row>
      <xdr:rowOff>0</xdr:rowOff>
    </xdr:to>
    <xdr:graphicFrame macro="">
      <xdr:nvGraphicFramePr>
        <xdr:cNvPr id="2" name="Chart">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sterPlanTable" displayName="MasterPlanTable" ref="A5:T85" totalsRowShown="0">
  <autoFilter ref="A5:T85" xr:uid="{00000000-0009-0000-0100-000001000000}">
    <filterColumn colId="1">
      <filters>
        <filter val="Week 3"/>
      </filters>
    </filterColumn>
  </autoFilter>
  <tableColumns count="20">
    <tableColumn id="1" xr3:uid="{00000000-0010-0000-0000-000001000000}" name="Step ID"/>
    <tableColumn id="2" xr3:uid="{00000000-0010-0000-0000-000002000000}" name="Week"/>
    <tableColumn id="3" xr3:uid="{00000000-0010-0000-0000-000003000000}" name="Seq"/>
    <tableColumn id="4" xr3:uid="{00000000-0010-0000-0000-000004000000}" name="Priority"/>
    <tableColumn id="5" xr3:uid="{00000000-0010-0000-0000-000005000000}" name="Workstream"/>
    <tableColumn id="6" xr3:uid="{00000000-0010-0000-0000-000006000000}" name="Task / Outcome"/>
    <tableColumn id="7" xr3:uid="{00000000-0010-0000-0000-000007000000}" name="Why It Matters"/>
    <tableColumn id="8" xr3:uid="{00000000-0010-0000-0000-000008000000}" name="Owner"/>
    <tableColumn id="9" xr3:uid="{00000000-0010-0000-0000-000009000000}" name="Effort (h)"/>
    <tableColumn id="10" xr3:uid="{00000000-0010-0000-0000-00000A000000}" name="Prompt ID"/>
    <tableColumn id="11" xr3:uid="{00000000-0010-0000-0000-00000B000000}" name="User TODO IDs"/>
    <tableColumn id="12" xr3:uid="{00000000-0010-0000-0000-00000C000000}" name="Acceptance Criteria"/>
    <tableColumn id="13" xr3:uid="{00000000-0010-0000-0000-00000D000000}" name="Owner Verification Command"/>
    <tableColumn id="14" xr3:uid="{00000000-0010-0000-0000-00000E000000}" name="Expected Result"/>
    <tableColumn id="15" xr3:uid="{00000000-0010-0000-0000-00000F000000}" name="Evidence Path"/>
    <tableColumn id="16" xr3:uid="{00000000-0010-0000-0000-000010000000}" name="Decision ID"/>
    <tableColumn id="17" xr3:uid="{00000000-0010-0000-0000-000011000000}" name="Dependency"/>
    <tableColumn id="18" xr3:uid="{00000000-0010-0000-0000-000012000000}" name="Rollback / Teardown"/>
    <tableColumn id="19" xr3:uid="{00000000-0010-0000-0000-000013000000}" name="Status"/>
    <tableColumn id="20" xr3:uid="{00000000-0010-0000-0000-000014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Week1PlanTable" displayName="Week1PlanTable" ref="A9:P22" totalsRowShown="0">
  <autoFilter ref="A9:P22" xr:uid="{00000000-0009-0000-0100-000002000000}"/>
  <tableColumns count="16">
    <tableColumn id="1" xr3:uid="{00000000-0010-0000-0100-000001000000}" name="Step ID"/>
    <tableColumn id="2" xr3:uid="{00000000-0010-0000-0100-000002000000}" name="Seq"/>
    <tableColumn id="3" xr3:uid="{00000000-0010-0000-0100-000003000000}" name="Priority"/>
    <tableColumn id="4" xr3:uid="{00000000-0010-0000-0100-000004000000}" name="Workstream"/>
    <tableColumn id="5" xr3:uid="{00000000-0010-0000-0100-000005000000}" name="Action"/>
    <tableColumn id="6" xr3:uid="{00000000-0010-0000-0100-000006000000}" name="Architecture Reason"/>
    <tableColumn id="7" xr3:uid="{00000000-0010-0000-0100-000007000000}" name="Owner"/>
    <tableColumn id="8" xr3:uid="{00000000-0010-0000-0100-000008000000}" name="Effort"/>
    <tableColumn id="9" xr3:uid="{00000000-0010-0000-0100-000009000000}" name="Prompt"/>
    <tableColumn id="10" xr3:uid="{00000000-0010-0000-0100-00000A000000}" name="User TODO"/>
    <tableColumn id="11" xr3:uid="{00000000-0010-0000-0100-00000B000000}" name="Acceptance"/>
    <tableColumn id="12" xr3:uid="{00000000-0010-0000-0100-00000C000000}" name="Owner Verify"/>
    <tableColumn id="13" xr3:uid="{00000000-0010-0000-0100-00000D000000}" name="Evidence"/>
    <tableColumn id="14" xr3:uid="{00000000-0010-0000-0100-00000E000000}" name="Rollback/Teardown"/>
    <tableColumn id="15" xr3:uid="{00000000-0010-0000-0100-00000F000000}" name="Status"/>
    <tableColumn id="16" xr3:uid="{00000000-0010-0000-0100-000010000000}" name="Task Contex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Week2PlanTable" displayName="Week2PlanTable" ref="A9:P22" totalsRowShown="0">
  <autoFilter ref="A9:P22" xr:uid="{00000000-0009-0000-0100-000003000000}"/>
  <tableColumns count="16">
    <tableColumn id="1" xr3:uid="{00000000-0010-0000-0200-000001000000}" name="Step ID"/>
    <tableColumn id="2" xr3:uid="{00000000-0010-0000-0200-000002000000}" name="Seq"/>
    <tableColumn id="3" xr3:uid="{00000000-0010-0000-0200-000003000000}" name="Priority"/>
    <tableColumn id="4" xr3:uid="{00000000-0010-0000-0200-000004000000}" name="Workstream"/>
    <tableColumn id="5" xr3:uid="{00000000-0010-0000-0200-000005000000}" name="Action"/>
    <tableColumn id="6" xr3:uid="{00000000-0010-0000-0200-000006000000}" name="Architecture Reason"/>
    <tableColumn id="7" xr3:uid="{00000000-0010-0000-0200-000007000000}" name="Owner"/>
    <tableColumn id="8" xr3:uid="{00000000-0010-0000-0200-000008000000}" name="Effort"/>
    <tableColumn id="9" xr3:uid="{00000000-0010-0000-0200-000009000000}" name="Prompt"/>
    <tableColumn id="10" xr3:uid="{00000000-0010-0000-0200-00000A000000}" name="User TODO"/>
    <tableColumn id="11" xr3:uid="{00000000-0010-0000-0200-00000B000000}" name="Acceptance"/>
    <tableColumn id="12" xr3:uid="{00000000-0010-0000-0200-00000C000000}" name="Owner Verify"/>
    <tableColumn id="13" xr3:uid="{00000000-0010-0000-0200-00000D000000}" name="Evidence"/>
    <tableColumn id="14" xr3:uid="{00000000-0010-0000-0200-00000E000000}" name="Rollback/Teardown"/>
    <tableColumn id="15" xr3:uid="{00000000-0010-0000-0200-00000F000000}" name="Status"/>
    <tableColumn id="16" xr3:uid="{00000000-0010-0000-0200-000010000000}" name="Task Contex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Week3PlanTable" displayName="Week3PlanTable" ref="A9:P22" totalsRowShown="0">
  <autoFilter ref="A9:P22" xr:uid="{00000000-0009-0000-0100-000004000000}"/>
  <tableColumns count="16">
    <tableColumn id="1" xr3:uid="{00000000-0010-0000-0300-000001000000}" name="Step ID"/>
    <tableColumn id="2" xr3:uid="{00000000-0010-0000-0300-000002000000}" name="Seq"/>
    <tableColumn id="3" xr3:uid="{00000000-0010-0000-0300-000003000000}" name="Priority"/>
    <tableColumn id="4" xr3:uid="{00000000-0010-0000-0300-000004000000}" name="Workstream"/>
    <tableColumn id="5" xr3:uid="{00000000-0010-0000-0300-000005000000}" name="Action"/>
    <tableColumn id="6" xr3:uid="{00000000-0010-0000-0300-000006000000}" name="Architecture Reason"/>
    <tableColumn id="7" xr3:uid="{00000000-0010-0000-0300-000007000000}" name="Owner"/>
    <tableColumn id="8" xr3:uid="{00000000-0010-0000-0300-000008000000}" name="Effort"/>
    <tableColumn id="9" xr3:uid="{00000000-0010-0000-0300-000009000000}" name="Prompt"/>
    <tableColumn id="10" xr3:uid="{00000000-0010-0000-0300-00000A000000}" name="User TODO"/>
    <tableColumn id="11" xr3:uid="{00000000-0010-0000-0300-00000B000000}" name="Acceptance"/>
    <tableColumn id="12" xr3:uid="{00000000-0010-0000-0300-00000C000000}" name="Owner Verify"/>
    <tableColumn id="13" xr3:uid="{00000000-0010-0000-0300-00000D000000}" name="Evidence"/>
    <tableColumn id="14" xr3:uid="{00000000-0010-0000-0300-00000E000000}" name="Rollback/Teardown"/>
    <tableColumn id="15" xr3:uid="{00000000-0010-0000-0300-00000F000000}" name="Status"/>
    <tableColumn id="16" xr3:uid="{00000000-0010-0000-0300-000010000000}" name="Task Contex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Week4PlanTable" displayName="Week4PlanTable" ref="A9:P22" totalsRowShown="0">
  <autoFilter ref="A9:P22" xr:uid="{00000000-0009-0000-0100-000005000000}"/>
  <tableColumns count="16">
    <tableColumn id="1" xr3:uid="{00000000-0010-0000-0400-000001000000}" name="Step ID"/>
    <tableColumn id="2" xr3:uid="{00000000-0010-0000-0400-000002000000}" name="Seq"/>
    <tableColumn id="3" xr3:uid="{00000000-0010-0000-0400-000003000000}" name="Priority"/>
    <tableColumn id="4" xr3:uid="{00000000-0010-0000-0400-000004000000}" name="Workstream"/>
    <tableColumn id="5" xr3:uid="{00000000-0010-0000-0400-000005000000}" name="Action"/>
    <tableColumn id="6" xr3:uid="{00000000-0010-0000-0400-000006000000}" name="Architecture Reason"/>
    <tableColumn id="7" xr3:uid="{00000000-0010-0000-0400-000007000000}" name="Owner"/>
    <tableColumn id="8" xr3:uid="{00000000-0010-0000-0400-000008000000}" name="Effort"/>
    <tableColumn id="9" xr3:uid="{00000000-0010-0000-0400-000009000000}" name="Prompt"/>
    <tableColumn id="10" xr3:uid="{00000000-0010-0000-0400-00000A000000}" name="User TODO"/>
    <tableColumn id="11" xr3:uid="{00000000-0010-0000-0400-00000B000000}" name="Acceptance"/>
    <tableColumn id="12" xr3:uid="{00000000-0010-0000-0400-00000C000000}" name="Owner Verify"/>
    <tableColumn id="13" xr3:uid="{00000000-0010-0000-0400-00000D000000}" name="Evidence"/>
    <tableColumn id="14" xr3:uid="{00000000-0010-0000-0400-00000E000000}" name="Rollback/Teardown"/>
    <tableColumn id="15" xr3:uid="{00000000-0010-0000-0400-00000F000000}" name="Status"/>
    <tableColumn id="16" xr3:uid="{00000000-0010-0000-0400-000010000000}" name="Task Contex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Week5PlanTable" displayName="Week5PlanTable" ref="A9:P23" totalsRowShown="0">
  <autoFilter ref="A9:P23" xr:uid="{00000000-0009-0000-0100-000006000000}"/>
  <tableColumns count="16">
    <tableColumn id="1" xr3:uid="{00000000-0010-0000-0500-000001000000}" name="Step ID"/>
    <tableColumn id="2" xr3:uid="{00000000-0010-0000-0500-000002000000}" name="Seq"/>
    <tableColumn id="3" xr3:uid="{00000000-0010-0000-0500-000003000000}" name="Priority"/>
    <tableColumn id="4" xr3:uid="{00000000-0010-0000-0500-000004000000}" name="Workstream"/>
    <tableColumn id="5" xr3:uid="{00000000-0010-0000-0500-000005000000}" name="Action"/>
    <tableColumn id="6" xr3:uid="{00000000-0010-0000-0500-000006000000}" name="Architecture Reason"/>
    <tableColumn id="7" xr3:uid="{00000000-0010-0000-0500-000007000000}" name="Owner"/>
    <tableColumn id="8" xr3:uid="{00000000-0010-0000-0500-000008000000}" name="Effort"/>
    <tableColumn id="9" xr3:uid="{00000000-0010-0000-0500-000009000000}" name="Prompt"/>
    <tableColumn id="10" xr3:uid="{00000000-0010-0000-0500-00000A000000}" name="User TODO"/>
    <tableColumn id="11" xr3:uid="{00000000-0010-0000-0500-00000B000000}" name="Acceptance"/>
    <tableColumn id="12" xr3:uid="{00000000-0010-0000-0500-00000C000000}" name="Owner Verify"/>
    <tableColumn id="13" xr3:uid="{00000000-0010-0000-0500-00000D000000}" name="Evidence"/>
    <tableColumn id="14" xr3:uid="{00000000-0010-0000-0500-00000E000000}" name="Rollback/Teardown"/>
    <tableColumn id="15" xr3:uid="{00000000-0010-0000-0500-00000F000000}" name="Status"/>
    <tableColumn id="16" xr3:uid="{00000000-0010-0000-0500-000010000000}" name="Task Contex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Week6PlanTable" displayName="Week6PlanTable" ref="A9:P23" totalsRowShown="0">
  <autoFilter ref="A9:P23" xr:uid="{00000000-0009-0000-0100-000007000000}"/>
  <tableColumns count="16">
    <tableColumn id="1" xr3:uid="{00000000-0010-0000-0600-000001000000}" name="Step ID"/>
    <tableColumn id="2" xr3:uid="{00000000-0010-0000-0600-000002000000}" name="Seq"/>
    <tableColumn id="3" xr3:uid="{00000000-0010-0000-0600-000003000000}" name="Priority"/>
    <tableColumn id="4" xr3:uid="{00000000-0010-0000-0600-000004000000}" name="Workstream"/>
    <tableColumn id="5" xr3:uid="{00000000-0010-0000-0600-000005000000}" name="Action"/>
    <tableColumn id="6" xr3:uid="{00000000-0010-0000-0600-000006000000}" name="Architecture Reason"/>
    <tableColumn id="7" xr3:uid="{00000000-0010-0000-0600-000007000000}" name="Owner"/>
    <tableColumn id="8" xr3:uid="{00000000-0010-0000-0600-000008000000}" name="Effort"/>
    <tableColumn id="9" xr3:uid="{00000000-0010-0000-0600-000009000000}" name="Prompt"/>
    <tableColumn id="10" xr3:uid="{00000000-0010-0000-0600-00000A000000}" name="User TODO"/>
    <tableColumn id="11" xr3:uid="{00000000-0010-0000-0600-00000B000000}" name="Acceptance"/>
    <tableColumn id="12" xr3:uid="{00000000-0010-0000-0600-00000C000000}" name="Owner Verify"/>
    <tableColumn id="13" xr3:uid="{00000000-0010-0000-0600-00000D000000}" name="Evidence"/>
    <tableColumn id="14" xr3:uid="{00000000-0010-0000-0600-00000E000000}" name="Rollback/Teardown"/>
    <tableColumn id="15" xr3:uid="{00000000-0010-0000-0600-00000F000000}" name="Status"/>
    <tableColumn id="16" xr3:uid="{00000000-0010-0000-0600-000010000000}" name="Task Contex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ArchitectureMapTable" displayName="ArchitectureMapTable" ref="A6:H24" totalsRowShown="0">
  <autoFilter ref="A6:H24" xr:uid="{00000000-0009-0000-0100-000008000000}"/>
  <tableColumns count="8">
    <tableColumn id="1" xr3:uid="{00000000-0010-0000-0700-000001000000}" name="Layer"/>
    <tableColumn id="2" xr3:uid="{00000000-0010-0000-0700-000002000000}" name="Component"/>
    <tableColumn id="3" xr3:uid="{00000000-0010-0000-0700-000003000000}" name="Plain-Language Role"/>
    <tableColumn id="4" xr3:uid="{00000000-0010-0000-0700-000004000000}" name="Selected Design"/>
    <tableColumn id="5" xr3:uid="{00000000-0010-0000-0700-000005000000}" name="Build Week"/>
    <tableColumn id="6" xr3:uid="{00000000-0010-0000-0700-000006000000}" name="Decision IDs"/>
    <tableColumn id="7" xr3:uid="{00000000-0010-0000-0700-000007000000}" name="Safe Failure Behavior"/>
    <tableColumn id="8" xr3:uid="{00000000-0010-0000-0700-000008000000}" name="How We Verify"/>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08000000}" name="CodexPromptTable" displayName="CodexPromptTable" ref="A5:N758" totalsRowShown="0">
  <tableColumns count="14">
    <tableColumn id="1" xr3:uid="{00000000-0010-0000-0800-000001000000}" name="Prompt ID"/>
    <tableColumn id="2" xr3:uid="{00000000-0010-0000-0800-000002000000}" name="Week"/>
    <tableColumn id="3" xr3:uid="{00000000-0010-0000-0800-000003000000}" name="Feature"/>
    <tableColumn id="4" xr3:uid="{00000000-0010-0000-0800-000004000000}" name="Purpose"/>
    <tableColumn id="5" xr3:uid="{00000000-0010-0000-0800-000005000000}" name="Required Inputs"/>
    <tableColumn id="6" xr3:uid="{00000000-0010-0000-0800-000006000000}" name="Expected Outputs"/>
    <tableColumn id="7" xr3:uid="{00000000-0010-0000-0800-000007000000}" name="Main Prompt (paste first)"/>
    <tableColumn id="8" xr3:uid="{00000000-0010-0000-0800-000008000000}" name="Workflow / Execution Order"/>
    <tableColumn id="9" xr3:uid="{00000000-0010-0000-0800-000009000000}" name="Verification / Stop Point"/>
    <tableColumn id="10" xr3:uid="{00000000-0010-0000-0800-00000A000000}" name="Owner Approval"/>
    <tableColumn id="11" xr3:uid="{00000000-0010-0000-0800-00000B000000}" name="Covered Tracker Steps"/>
    <tableColumn id="12" xr3:uid="{00000000-0010-0000-0800-00000C000000}" name="Column L — Code or Content Edit Approval"/>
    <tableColumn id="13" xr3:uid="{00000000-0010-0000-0800-00000D000000}" name="Column M — Document Approval + Manifest"/>
    <tableColumn id="14" xr3:uid="{00000000-0010-0000-0800-00000E000000}" name="Column N — Final Approval + Complete Closur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09000000}" name="TestEvidenceTable" displayName="TestEvidenceTable" ref="A5:L39" totalsRowShown="0">
  <tableColumns count="12">
    <tableColumn id="1" xr3:uid="{00000000-0010-0000-0900-000001000000}" name="Test ID"/>
    <tableColumn id="2" xr3:uid="{00000000-0010-0000-0900-000002000000}" name="Week"/>
    <tableColumn id="3" xr3:uid="{00000000-0010-0000-0900-000003000000}" name="Type"/>
    <tableColumn id="4" xr3:uid="{00000000-0010-0000-0900-000004000000}" name="Scope"/>
    <tableColumn id="5" xr3:uid="{00000000-0010-0000-0900-000005000000}" name="Command"/>
    <tableColumn id="6" xr3:uid="{00000000-0010-0000-0900-000006000000}" name="Expected Result"/>
    <tableColumn id="7" xr3:uid="{00000000-0010-0000-0900-000007000000}" name="Evidence Path"/>
    <tableColumn id="8" xr3:uid="{00000000-0010-0000-0900-000008000000}" name="Status"/>
    <tableColumn id="9" xr3:uid="{00000000-0010-0000-0900-000009000000}" name="Run Date"/>
    <tableColumn id="10" xr3:uid="{00000000-0010-0000-0900-00000A000000}" name="Actual Result"/>
    <tableColumn id="11" xr3:uid="{00000000-0010-0000-0900-00000B000000}" name="Defect / Follow-up"/>
    <tableColumn id="12" xr3:uid="{00000000-0010-0000-0900-00000C000000}" name="Owner Sign-off"/>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DecisionLogTable" displayName="DecisionLogTable" ref="A5:K23" totalsRowShown="0">
  <autoFilter ref="A5:K23" xr:uid="{00000000-0009-0000-0100-00000B000000}"/>
  <tableColumns count="11">
    <tableColumn id="1" xr3:uid="{00000000-0010-0000-0A00-000001000000}" name="Decision ID"/>
    <tableColumn id="2" xr3:uid="{00000000-0010-0000-0A00-000002000000}" name="Decision"/>
    <tableColumn id="3" xr3:uid="{00000000-0010-0000-0A00-000003000000}" name="Status"/>
    <tableColumn id="4" xr3:uid="{00000000-0010-0000-0A00-000004000000}" name="Decision Week"/>
    <tableColumn id="5" xr3:uid="{00000000-0010-0000-0A00-000005000000}" name="Rationale"/>
    <tableColumn id="6" xr3:uid="{00000000-0010-0000-0A00-000006000000}" name="Alternatives"/>
    <tableColumn id="7" xr3:uid="{00000000-0010-0000-0A00-000007000000}" name="Trade-offs / Cost / Risk"/>
    <tableColumn id="8" xr3:uid="{00000000-0010-0000-0A00-000008000000}" name="Revisit Trigger"/>
    <tableColumn id="9" xr3:uid="{00000000-0010-0000-0A00-000009000000}" name="Owner"/>
    <tableColumn id="10" xr3:uid="{00000000-0010-0000-0A00-00000A000000}" name="ADR Evidence Path"/>
    <tableColumn id="11" xr3:uid="{00000000-0010-0000-0A00-00000B000000}" name="Review 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OwnerTodoTable" displayName="OwnerTodoTable" ref="A5:J30" totalsRowShown="0">
  <autoFilter ref="A5:J30" xr:uid="{00000000-0009-0000-0100-00000C000000}">
    <filterColumn colId="3">
      <filters>
        <filter val="Week 3"/>
      </filters>
    </filterColumn>
  </autoFilter>
  <tableColumns count="10">
    <tableColumn id="1" xr3:uid="{00000000-0010-0000-0B00-000001000000}" name="TODO ID"/>
    <tableColumn id="2" xr3:uid="{00000000-0010-0000-0B00-000002000000}" name="Category"/>
    <tableColumn id="3" xr3:uid="{00000000-0010-0000-0B00-000003000000}" name="Owner Action"/>
    <tableColumn id="4" xr3:uid="{00000000-0010-0000-0B00-000004000000}" name="Due Week"/>
    <tableColumn id="5" xr3:uid="{00000000-0010-0000-0B00-000005000000}" name="Blocking?"/>
    <tableColumn id="6" xr3:uid="{00000000-0010-0000-0B00-000006000000}" name="Status"/>
    <tableColumn id="7" xr3:uid="{00000000-0010-0000-0B00-000007000000}" name="Owner"/>
    <tableColumn id="8" xr3:uid="{00000000-0010-0000-0B00-000008000000}" name="Where Used"/>
    <tableColumn id="9" xr3:uid="{00000000-0010-0000-0B00-000009000000}" name="Decision / Notes"/>
    <tableColumn id="10" xr3:uid="{00000000-0010-0000-0B00-00000A000000}" name="Completed Dat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LifecycleOrderTable" displayName="LifecycleOrderTable" ref="A11:E27" totalsRowShown="0">
  <autoFilter ref="A11:E27" xr:uid="{00000000-0009-0000-0100-00000D000000}"/>
  <tableColumns count="5">
    <tableColumn id="1" xr3:uid="{00000000-0010-0000-0C00-000001000000}" name="Order"/>
    <tableColumn id="2" xr3:uid="{00000000-0010-0000-0C00-000002000000}" name="Action"/>
    <tableColumn id="3" xr3:uid="{00000000-0010-0000-0C00-000003000000}" name="Applies To"/>
    <tableColumn id="4" xr3:uid="{00000000-0010-0000-0C00-000004000000}" name="Verification / Required Outcome"/>
    <tableColumn id="5" xr3:uid="{00000000-0010-0000-0C00-000005000000}" name="Failure / Recovery Rul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echAdoptionTable" displayName="TechAdoptionTable" ref="A5:G69" totalsRowShown="0">
  <autoFilter ref="A5:G69" xr:uid="{00000000-0009-0000-0100-00000E000000}"/>
  <tableColumns count="7">
    <tableColumn id="1" xr3:uid="{00000000-0010-0000-0D00-000001000000}" name="Category"/>
    <tableColumn id="2" xr3:uid="{00000000-0010-0000-0D00-000002000000}" name="Technology"/>
    <tableColumn id="3" xr3:uid="{00000000-0010-0000-0D00-000003000000}" name="Priority"/>
    <tableColumn id="4" xr3:uid="{00000000-0010-0000-0D00-000004000000}" name="When"/>
    <tableColumn id="5" xr3:uid="{00000000-0010-0000-0D00-000005000000}" name="Why / Role"/>
    <tableColumn id="6" xr3:uid="{00000000-0010-0000-0D00-000006000000}" name="Open Alternative / Migration"/>
    <tableColumn id="7" xr3:uid="{00000000-0010-0000-0D00-000007000000}" name="Cost, Residency and Privacy Note"/>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EnvironmentVariableTable" displayName="EnvironmentVariableTable" ref="A5:H38" totalsRowShown="0">
  <autoFilter ref="A5:H38" xr:uid="{00000000-0009-0000-0100-00000F000000}"/>
  <tableColumns count="8">
    <tableColumn id="1" xr3:uid="{00000000-0010-0000-0E00-000001000000}" name="Variable"/>
    <tableColumn id="2" xr3:uid="{00000000-0010-0000-0E00-000002000000}" name="Scope"/>
    <tableColumn id="3" xr3:uid="{00000000-0010-0000-0E00-000003000000}" name="Secret?"/>
    <tableColumn id="4" xr3:uid="{00000000-0010-0000-0E00-000004000000}" name="Example / Placeholder"/>
    <tableColumn id="5" xr3:uid="{00000000-0010-0000-0E00-000005000000}" name="Needed By"/>
    <tableColumn id="6" xr3:uid="{00000000-0010-0000-0E00-000006000000}" name="Validation / Rule"/>
    <tableColumn id="7" xr3:uid="{00000000-0010-0000-0E00-000007000000}" name="Consumer"/>
    <tableColumn id="8" xr3:uid="{00000000-0010-0000-0E00-000008000000}" name="Owner Notes"/>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SourceTraceTable" displayName="SourceTraceTable" ref="A5:F8" totalsRowShown="0">
  <autoFilter ref="A5:F8" xr:uid="{00000000-0009-0000-0100-000010000000}"/>
  <tableColumns count="6">
    <tableColumn id="1" xr3:uid="{00000000-0010-0000-0F00-000001000000}" name="Source"/>
    <tableColumn id="2" xr3:uid="{00000000-0010-0000-0F00-000002000000}" name="Version / Type"/>
    <tableColumn id="3" xr3:uid="{00000000-0010-0000-0F00-000003000000}" name="Content Used"/>
    <tableColumn id="4" xr3:uid="{00000000-0010-0000-0F00-000004000000}" name="Authority"/>
    <tableColumn id="5" xr3:uid="{00000000-0010-0000-0F00-000005000000}" name="Conflict Rule"/>
    <tableColumn id="6" xr3:uid="{00000000-0010-0000-0F00-000006000000}" name="Review Status"/>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0000000}" name="LearningJourneyTable" displayName="LearningJourneyTable" ref="A12:H18" totalsRowShown="0">
  <tableColumns count="8">
    <tableColumn id="1" xr3:uid="{00000000-0010-0000-1000-000001000000}" name="Week"/>
    <tableColumn id="2" xr3:uid="{00000000-0010-0000-1000-000002000000}" name="Business Outcome"/>
    <tableColumn id="3" xr3:uid="{00000000-0010-0000-1000-000003000000}" name="Technical Focus"/>
    <tableColumn id="4" xr3:uid="{00000000-0010-0000-1000-000004000000}" name="Owner Hands-On"/>
    <tableColumn id="5" xr3:uid="{00000000-0010-0000-1000-000005000000}" name="Decisions to Explain"/>
    <tableColumn id="6" xr3:uid="{00000000-0010-0000-1000-000006000000}" name="Interview Story"/>
    <tableColumn id="7" xr3:uid="{00000000-0010-0000-1000-000007000000}" name="Weekly Learning Task"/>
    <tableColumn id="8" xr3:uid="{00000000-0010-0000-1000-000008000000}" name="Learning 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0"/>
  <sheetViews>
    <sheetView showGridLines="0" workbookViewId="0">
      <selection sqref="A1:J1"/>
    </sheetView>
  </sheetViews>
  <sheetFormatPr defaultRowHeight="13.8"/>
  <cols>
    <col min="1" max="1" width="2.8984375" customWidth="1"/>
    <col min="2" max="2" width="21.296875" customWidth="1"/>
    <col min="3" max="4" width="22" customWidth="1"/>
    <col min="5" max="5" width="22.796875" customWidth="1"/>
    <col min="6" max="6" width="15.59765625" customWidth="1"/>
    <col min="7" max="9" width="22" customWidth="1"/>
    <col min="10" max="10" width="18" customWidth="1"/>
  </cols>
  <sheetData>
    <row r="1" spans="1:10" ht="22.8">
      <c r="A1" s="80" t="s">
        <v>0</v>
      </c>
      <c r="B1" s="80"/>
      <c r="C1" s="80"/>
      <c r="D1" s="80"/>
      <c r="E1" s="80"/>
      <c r="F1" s="80"/>
      <c r="G1" s="80"/>
      <c r="H1" s="80"/>
      <c r="I1" s="80"/>
      <c r="J1" s="80"/>
    </row>
    <row r="2" spans="1:10">
      <c r="A2" s="81" t="s">
        <v>1</v>
      </c>
      <c r="B2" s="81"/>
      <c r="C2" s="81"/>
      <c r="D2" s="81"/>
      <c r="E2" s="81"/>
      <c r="F2" s="81"/>
      <c r="G2" s="81"/>
      <c r="H2" s="81"/>
      <c r="I2" s="81"/>
      <c r="J2" s="81"/>
    </row>
    <row r="4" spans="1:10">
      <c r="A4" s="74" t="s">
        <v>2</v>
      </c>
      <c r="B4" s="75"/>
      <c r="C4" s="75"/>
      <c r="D4" s="75"/>
      <c r="E4" s="74" t="s">
        <v>3</v>
      </c>
      <c r="F4" s="75"/>
      <c r="G4" s="75"/>
      <c r="H4" s="75"/>
      <c r="I4" s="75"/>
      <c r="J4" s="76"/>
    </row>
    <row r="5" spans="1:10" ht="39.6">
      <c r="A5" s="21">
        <v>1</v>
      </c>
      <c r="B5" s="4" t="s">
        <v>4</v>
      </c>
      <c r="C5" s="4" t="s">
        <v>5</v>
      </c>
      <c r="E5" s="98" t="s">
        <v>6</v>
      </c>
      <c r="F5" s="99"/>
      <c r="G5" s="99"/>
      <c r="H5" s="99"/>
      <c r="I5" s="99"/>
      <c r="J5" s="100"/>
    </row>
    <row r="6" spans="1:10" ht="39.6">
      <c r="A6" s="21">
        <v>2</v>
      </c>
      <c r="B6" s="5" t="s">
        <v>7</v>
      </c>
      <c r="C6" s="5" t="s">
        <v>8</v>
      </c>
      <c r="E6" s="92" t="s">
        <v>9</v>
      </c>
      <c r="F6" s="93"/>
      <c r="G6" s="93"/>
      <c r="H6" s="93"/>
      <c r="I6" s="93"/>
      <c r="J6" s="94"/>
    </row>
    <row r="7" spans="1:10" ht="66">
      <c r="A7" s="21">
        <v>3</v>
      </c>
      <c r="B7" s="5" t="s">
        <v>10</v>
      </c>
      <c r="C7" s="5" t="s">
        <v>11</v>
      </c>
      <c r="E7" s="92" t="s">
        <v>12</v>
      </c>
      <c r="F7" s="93"/>
      <c r="G7" s="93"/>
      <c r="H7" s="93"/>
      <c r="I7" s="93"/>
      <c r="J7" s="94"/>
    </row>
    <row r="8" spans="1:10" ht="79.2">
      <c r="A8" s="21">
        <v>4</v>
      </c>
      <c r="B8" s="5" t="s">
        <v>13</v>
      </c>
      <c r="C8" s="5" t="s">
        <v>14</v>
      </c>
      <c r="E8" s="92" t="s">
        <v>15</v>
      </c>
      <c r="F8" s="93"/>
      <c r="G8" s="93"/>
      <c r="H8" s="93"/>
      <c r="I8" s="93"/>
      <c r="J8" s="94"/>
    </row>
    <row r="9" spans="1:10" ht="66">
      <c r="A9" s="21">
        <v>5</v>
      </c>
      <c r="B9" s="5" t="s">
        <v>16</v>
      </c>
      <c r="C9" s="5" t="s">
        <v>17</v>
      </c>
      <c r="E9" s="92" t="s">
        <v>18</v>
      </c>
      <c r="F9" s="93"/>
      <c r="G9" s="93"/>
      <c r="H9" s="93"/>
      <c r="I9" s="93"/>
      <c r="J9" s="94"/>
    </row>
    <row r="10" spans="1:10" ht="79.2">
      <c r="A10" s="21">
        <v>6</v>
      </c>
      <c r="B10" s="5" t="s">
        <v>19</v>
      </c>
      <c r="C10" s="5" t="s">
        <v>20</v>
      </c>
      <c r="E10" s="92" t="s">
        <v>21</v>
      </c>
      <c r="F10" s="93"/>
      <c r="G10" s="93"/>
      <c r="H10" s="93"/>
      <c r="I10" s="93"/>
      <c r="J10" s="94"/>
    </row>
    <row r="11" spans="1:10" ht="92.4">
      <c r="A11" s="21">
        <v>7</v>
      </c>
      <c r="B11" s="5" t="s">
        <v>22</v>
      </c>
      <c r="C11" s="5" t="s">
        <v>23</v>
      </c>
      <c r="E11" s="95" t="s">
        <v>24</v>
      </c>
      <c r="F11" s="96"/>
      <c r="G11" s="96"/>
      <c r="H11" s="96"/>
      <c r="I11" s="96"/>
      <c r="J11" s="97"/>
    </row>
    <row r="12" spans="1:10" ht="66">
      <c r="A12" s="21">
        <v>8</v>
      </c>
      <c r="B12" s="5" t="s">
        <v>25</v>
      </c>
      <c r="C12" s="5" t="s">
        <v>26</v>
      </c>
      <c r="E12" t="s">
        <v>27</v>
      </c>
    </row>
    <row r="13" spans="1:10" ht="66">
      <c r="A13" s="21">
        <v>9</v>
      </c>
      <c r="B13" s="5" t="s">
        <v>28</v>
      </c>
      <c r="C13" s="5" t="s">
        <v>29</v>
      </c>
      <c r="E13" s="74" t="s">
        <v>30</v>
      </c>
      <c r="F13" s="75"/>
      <c r="G13" s="75"/>
      <c r="H13" s="75"/>
      <c r="I13" s="75"/>
      <c r="J13" s="76"/>
    </row>
    <row r="14" spans="1:10" ht="79.2">
      <c r="A14" s="21">
        <v>10</v>
      </c>
      <c r="B14" s="6" t="s">
        <v>31</v>
      </c>
      <c r="C14" s="6" t="s">
        <v>32</v>
      </c>
      <c r="E14" s="7" t="s">
        <v>33</v>
      </c>
      <c r="F14" s="9"/>
    </row>
    <row r="15" spans="1:10">
      <c r="E15" s="7" t="s">
        <v>34</v>
      </c>
      <c r="F15" s="8" t="s">
        <v>35</v>
      </c>
    </row>
    <row r="16" spans="1:10">
      <c r="E16" s="7" t="s">
        <v>36</v>
      </c>
      <c r="F16" s="8" t="s">
        <v>37</v>
      </c>
    </row>
    <row r="17" spans="1:10">
      <c r="E17" s="7" t="s">
        <v>38</v>
      </c>
      <c r="F17" s="8" t="s">
        <v>39</v>
      </c>
    </row>
    <row r="18" spans="1:10">
      <c r="E18" t="s">
        <v>40</v>
      </c>
      <c r="F18" t="s">
        <v>41</v>
      </c>
    </row>
    <row r="19" spans="1:10">
      <c r="A19" s="86" t="s">
        <v>42</v>
      </c>
      <c r="B19" s="87"/>
      <c r="C19" s="87"/>
      <c r="D19" s="87"/>
      <c r="E19" s="87"/>
      <c r="F19" s="87"/>
      <c r="G19" s="87"/>
      <c r="H19" s="87"/>
      <c r="I19" s="87"/>
      <c r="J19" s="88"/>
    </row>
    <row r="20" spans="1:10">
      <c r="A20" s="89"/>
      <c r="B20" s="90"/>
      <c r="C20" s="90"/>
      <c r="D20" s="90"/>
      <c r="E20" s="90"/>
      <c r="F20" s="90"/>
      <c r="G20" s="90"/>
      <c r="H20" s="90"/>
      <c r="I20" s="90"/>
      <c r="J20" s="91"/>
    </row>
  </sheetData>
  <mergeCells count="12">
    <mergeCell ref="A1:J1"/>
    <mergeCell ref="A2:J2"/>
    <mergeCell ref="A4:J4"/>
    <mergeCell ref="E5:J5"/>
    <mergeCell ref="E6:J6"/>
    <mergeCell ref="E13:J13"/>
    <mergeCell ref="A19:J20"/>
    <mergeCell ref="E7:J7"/>
    <mergeCell ref="E8:J8"/>
    <mergeCell ref="E9:J9"/>
    <mergeCell ref="E10:J10"/>
    <mergeCell ref="E11:J11"/>
  </mergeCells>
  <dataValidations count="1">
    <dataValidation type="list" sqref="F16" xr:uid="{00000000-0002-0000-0000-000000000000}">
      <formula1>"Week 1,Week 2,Week 3,Week 4,Week 5,Week 6,Complete"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26"/>
  <sheetViews>
    <sheetView showGridLines="0" workbookViewId="0">
      <selection sqref="A1:P1"/>
    </sheetView>
  </sheetViews>
  <sheetFormatPr defaultRowHeight="13.8"/>
  <cols>
    <col min="1" max="1" width="15" customWidth="1"/>
    <col min="2" max="2" width="12" customWidth="1"/>
    <col min="3" max="3" width="3" customWidth="1"/>
    <col min="4" max="4" width="15" customWidth="1"/>
    <col min="5" max="5" width="12" customWidth="1"/>
    <col min="6" max="6" width="3" customWidth="1"/>
    <col min="7" max="7" width="15" customWidth="1"/>
    <col min="8" max="8" width="12" customWidth="1"/>
    <col min="9" max="9" width="3" customWidth="1"/>
    <col min="10" max="16" width="13" customWidth="1"/>
  </cols>
  <sheetData>
    <row r="1" spans="1:16" ht="31.95" customHeight="1">
      <c r="A1" s="80" t="s">
        <v>43</v>
      </c>
      <c r="B1" s="80"/>
      <c r="C1" s="80"/>
      <c r="D1" s="80"/>
      <c r="E1" s="80"/>
      <c r="F1" s="80"/>
      <c r="G1" s="80"/>
      <c r="H1" s="80"/>
      <c r="I1" s="80"/>
      <c r="J1" s="80"/>
      <c r="K1" s="80"/>
      <c r="L1" s="80"/>
      <c r="M1" s="80"/>
      <c r="N1" s="80"/>
      <c r="O1" s="80"/>
      <c r="P1" s="80"/>
    </row>
    <row r="2" spans="1:16" ht="31.95" customHeight="1">
      <c r="A2" s="81" t="s">
        <v>44</v>
      </c>
      <c r="B2" s="81"/>
      <c r="C2" s="81"/>
      <c r="D2" s="81"/>
      <c r="E2" s="81"/>
      <c r="F2" s="81"/>
      <c r="G2" s="81"/>
      <c r="H2" s="81"/>
      <c r="I2" s="81"/>
      <c r="J2" s="81"/>
      <c r="K2" s="81"/>
      <c r="L2" s="81"/>
      <c r="M2" s="81"/>
      <c r="N2" s="81"/>
      <c r="O2" s="81"/>
      <c r="P2" s="81"/>
    </row>
    <row r="4" spans="1:16">
      <c r="A4" s="69" t="s">
        <v>45</v>
      </c>
      <c r="B4" s="69"/>
      <c r="D4" s="69" t="s">
        <v>46</v>
      </c>
      <c r="E4" s="69"/>
      <c r="G4" s="69" t="s">
        <v>47</v>
      </c>
      <c r="H4" s="69"/>
      <c r="J4" s="69" t="s">
        <v>48</v>
      </c>
      <c r="K4" s="69"/>
    </row>
    <row r="5" spans="1:16">
      <c r="A5" s="70">
        <f>COUNTA('02 Master Plan'!$A$6:$A$120)</f>
        <v>80</v>
      </c>
      <c r="B5" s="71"/>
      <c r="D5" s="70">
        <f>COUNTIF('02 Master Plan'!$S$6:$S$120,"Done")</f>
        <v>30</v>
      </c>
      <c r="E5" s="71"/>
      <c r="G5" s="82">
        <f>IF(A5=0,0,D5/A5)</f>
        <v>0.375</v>
      </c>
      <c r="H5" s="83"/>
      <c r="J5" s="70">
        <f>COUNTIF('02 Master Plan'!$S$6:$S$120,"Blocked")</f>
        <v>0</v>
      </c>
      <c r="K5" s="71"/>
    </row>
    <row r="6" spans="1:16">
      <c r="A6" s="72"/>
      <c r="B6" s="73"/>
      <c r="D6" s="72"/>
      <c r="E6" s="73"/>
      <c r="G6" s="84"/>
      <c r="H6" s="85"/>
      <c r="J6" s="72"/>
      <c r="K6" s="73"/>
    </row>
    <row r="7" spans="1:16">
      <c r="A7" s="69" t="s">
        <v>49</v>
      </c>
      <c r="B7" s="69"/>
      <c r="D7" s="69" t="s">
        <v>50</v>
      </c>
      <c r="E7" s="69"/>
      <c r="G7" s="69" t="s">
        <v>51</v>
      </c>
      <c r="H7" s="69"/>
      <c r="J7" s="69" t="s">
        <v>52</v>
      </c>
      <c r="K7" s="69"/>
    </row>
    <row r="8" spans="1:16">
      <c r="A8" s="70">
        <f>COUNTIFS('13 Owner TODOs'!$F$6:$F$80,"&lt;&gt;Done",'13 Owner TODOs'!$A$6:$A$80,"&lt;&gt;")</f>
        <v>15</v>
      </c>
      <c r="B8" s="71"/>
      <c r="D8" s="70">
        <f>COUNTIF('11 Test Evidence'!$H$6:$H$80,"Pass")</f>
        <v>6</v>
      </c>
      <c r="E8" s="71"/>
      <c r="G8" s="70">
        <f>COUNTIF('12 Decision Log'!$C$6:$C$60,"Baseline Approved")+COUNTIF('12 Decision Log'!$C$6:$C$60,"Approved")</f>
        <v>18</v>
      </c>
      <c r="H8" s="71"/>
      <c r="J8" s="70">
        <f>COUNTIFS('11 Test Evidence'!$C$6:$C$80,"Teardown",'11 Test Evidence'!$H$6:$H$80,"Pass")</f>
        <v>1</v>
      </c>
      <c r="K8" s="71"/>
    </row>
    <row r="9" spans="1:16">
      <c r="A9" s="72"/>
      <c r="B9" s="73"/>
      <c r="D9" s="72"/>
      <c r="E9" s="73"/>
      <c r="G9" s="72"/>
      <c r="H9" s="73"/>
      <c r="J9" s="72"/>
      <c r="K9" s="73"/>
    </row>
    <row r="12" spans="1:16" ht="28.05" customHeight="1">
      <c r="A12" s="1" t="s">
        <v>53</v>
      </c>
      <c r="B12" s="2" t="s">
        <v>54</v>
      </c>
      <c r="C12" s="2" t="s">
        <v>46</v>
      </c>
      <c r="D12" s="2" t="s">
        <v>55</v>
      </c>
      <c r="E12" s="3" t="s">
        <v>48</v>
      </c>
      <c r="G12" s="1" t="s">
        <v>53</v>
      </c>
      <c r="H12" s="3" t="s">
        <v>55</v>
      </c>
    </row>
    <row r="13" spans="1:16">
      <c r="A13" s="10" t="s">
        <v>56</v>
      </c>
      <c r="B13" s="10">
        <f>COUNTIF('02 Master Plan'!$B$6:$B$120,A13)</f>
        <v>13</v>
      </c>
      <c r="C13" s="10">
        <f>COUNTIFS('02 Master Plan'!$B$6:$B$120,A13,'02 Master Plan'!$S$6:$S$120,"Done")</f>
        <v>13</v>
      </c>
      <c r="D13" s="12">
        <f t="shared" ref="D13:D18" si="0">IF(B13=0,0,C13/B13)</f>
        <v>1</v>
      </c>
      <c r="E13" s="10">
        <f>COUNTIFS('02 Master Plan'!$B$6:$B$120,A13,'02 Master Plan'!$S$6:$S$120,"Blocked")</f>
        <v>0</v>
      </c>
      <c r="G13" t="str">
        <f t="shared" ref="G13:G18" si="1">A13</f>
        <v>Week 1</v>
      </c>
      <c r="H13" s="14">
        <f t="shared" ref="H13:H18" si="2">D13</f>
        <v>1</v>
      </c>
    </row>
    <row r="14" spans="1:16">
      <c r="A14" s="11" t="s">
        <v>37</v>
      </c>
      <c r="B14" s="11">
        <f>COUNTIF('02 Master Plan'!$B$6:$B$120,A14)</f>
        <v>13</v>
      </c>
      <c r="C14" s="11">
        <f>COUNTIFS('02 Master Plan'!$B$6:$B$120,A14,'02 Master Plan'!$S$6:$S$120,"Done")</f>
        <v>13</v>
      </c>
      <c r="D14" s="13">
        <f t="shared" si="0"/>
        <v>1</v>
      </c>
      <c r="E14" s="11">
        <f>COUNTIFS('02 Master Plan'!$B$6:$B$120,A14,'02 Master Plan'!$S$6:$S$120,"Blocked")</f>
        <v>0</v>
      </c>
      <c r="G14" t="str">
        <f t="shared" si="1"/>
        <v>Week 2</v>
      </c>
      <c r="H14" s="14">
        <f t="shared" si="2"/>
        <v>1</v>
      </c>
    </row>
    <row r="15" spans="1:16">
      <c r="A15" s="11" t="s">
        <v>57</v>
      </c>
      <c r="B15" s="11">
        <f>COUNTIF('02 Master Plan'!$B$6:$B$120,A15)</f>
        <v>13</v>
      </c>
      <c r="C15" s="11">
        <f>COUNTIFS('02 Master Plan'!$B$6:$B$120,A15,'02 Master Plan'!$S$6:$S$120,"Done")</f>
        <v>4</v>
      </c>
      <c r="D15" s="13">
        <f t="shared" si="0"/>
        <v>0.30769230769230771</v>
      </c>
      <c r="E15" s="11">
        <f>COUNTIFS('02 Master Plan'!$B$6:$B$120,A15,'02 Master Plan'!$S$6:$S$120,"Blocked")</f>
        <v>0</v>
      </c>
      <c r="G15" t="str">
        <f t="shared" si="1"/>
        <v>Week 3</v>
      </c>
      <c r="H15" s="14">
        <f t="shared" si="2"/>
        <v>0.30769230769230771</v>
      </c>
    </row>
    <row r="16" spans="1:16">
      <c r="A16" s="11" t="s">
        <v>58</v>
      </c>
      <c r="B16" s="11">
        <f>COUNTIF('02 Master Plan'!$B$6:$B$120,A16)</f>
        <v>13</v>
      </c>
      <c r="C16" s="11">
        <f>COUNTIFS('02 Master Plan'!$B$6:$B$120,A16,'02 Master Plan'!$S$6:$S$120,"Done")</f>
        <v>0</v>
      </c>
      <c r="D16" s="13">
        <f t="shared" si="0"/>
        <v>0</v>
      </c>
      <c r="E16" s="11">
        <f>COUNTIFS('02 Master Plan'!$B$6:$B$120,A16,'02 Master Plan'!$S$6:$S$120,"Blocked")</f>
        <v>0</v>
      </c>
      <c r="G16" t="str">
        <f t="shared" si="1"/>
        <v>Week 4</v>
      </c>
      <c r="H16" s="14">
        <f t="shared" si="2"/>
        <v>0</v>
      </c>
    </row>
    <row r="17" spans="1:8">
      <c r="A17" s="11" t="s">
        <v>59</v>
      </c>
      <c r="B17" s="11">
        <f>COUNTIF('02 Master Plan'!$B$6:$B$120,A17)</f>
        <v>14</v>
      </c>
      <c r="C17" s="11">
        <f>COUNTIFS('02 Master Plan'!$B$6:$B$120,A17,'02 Master Plan'!$S$6:$S$120,"Done")</f>
        <v>0</v>
      </c>
      <c r="D17" s="13">
        <f t="shared" si="0"/>
        <v>0</v>
      </c>
      <c r="E17" s="11">
        <f>COUNTIFS('02 Master Plan'!$B$6:$B$120,A17,'02 Master Plan'!$S$6:$S$120,"Blocked")</f>
        <v>0</v>
      </c>
      <c r="G17" t="str">
        <f t="shared" si="1"/>
        <v>Week 5</v>
      </c>
      <c r="H17" s="14">
        <f t="shared" si="2"/>
        <v>0</v>
      </c>
    </row>
    <row r="18" spans="1:8">
      <c r="A18" s="11" t="s">
        <v>60</v>
      </c>
      <c r="B18" s="11">
        <f>COUNTIF('02 Master Plan'!$B$6:$B$120,A18)</f>
        <v>14</v>
      </c>
      <c r="C18" s="11">
        <f>COUNTIFS('02 Master Plan'!$B$6:$B$120,A18,'02 Master Plan'!$S$6:$S$120,"Done")</f>
        <v>0</v>
      </c>
      <c r="D18" s="13">
        <f t="shared" si="0"/>
        <v>0</v>
      </c>
      <c r="E18" s="11">
        <f>COUNTIFS('02 Master Plan'!$B$6:$B$120,A18,'02 Master Plan'!$S$6:$S$120,"Blocked")</f>
        <v>0</v>
      </c>
      <c r="G18" t="str">
        <f t="shared" si="1"/>
        <v>Week 6</v>
      </c>
      <c r="H18" s="14">
        <f t="shared" si="2"/>
        <v>0</v>
      </c>
    </row>
    <row r="21" spans="1:8" ht="28.05" customHeight="1">
      <c r="A21" s="74" t="s">
        <v>61</v>
      </c>
      <c r="B21" s="75"/>
      <c r="C21" s="75"/>
      <c r="D21" s="75"/>
      <c r="E21" s="75"/>
      <c r="F21" s="75"/>
      <c r="G21" s="75"/>
      <c r="H21" s="76"/>
    </row>
    <row r="22" spans="1:8" ht="30" customHeight="1">
      <c r="A22" s="77" t="s">
        <v>62</v>
      </c>
      <c r="B22" s="78"/>
      <c r="C22" s="78"/>
      <c r="D22" s="78"/>
      <c r="E22" s="78"/>
      <c r="F22" s="78"/>
      <c r="G22" s="78"/>
      <c r="H22" s="79"/>
    </row>
    <row r="23" spans="1:8" ht="30" customHeight="1">
      <c r="A23" s="63" t="s">
        <v>63</v>
      </c>
      <c r="B23" s="64"/>
      <c r="C23" s="64"/>
      <c r="D23" s="64"/>
      <c r="E23" s="64"/>
      <c r="F23" s="64"/>
      <c r="G23" s="64"/>
      <c r="H23" s="65"/>
    </row>
    <row r="24" spans="1:8" ht="30" customHeight="1">
      <c r="A24" s="63" t="s">
        <v>64</v>
      </c>
      <c r="B24" s="64"/>
      <c r="C24" s="64"/>
      <c r="D24" s="64"/>
      <c r="E24" s="64"/>
      <c r="F24" s="64"/>
      <c r="G24" s="64"/>
      <c r="H24" s="65"/>
    </row>
    <row r="25" spans="1:8" ht="30" customHeight="1">
      <c r="A25" s="63" t="s">
        <v>65</v>
      </c>
      <c r="B25" s="64"/>
      <c r="C25" s="64"/>
      <c r="D25" s="64"/>
      <c r="E25" s="64"/>
      <c r="F25" s="64"/>
      <c r="G25" s="64"/>
      <c r="H25" s="65"/>
    </row>
    <row r="26" spans="1:8" ht="30" customHeight="1">
      <c r="A26" s="66" t="s">
        <v>66</v>
      </c>
      <c r="B26" s="67"/>
      <c r="C26" s="67"/>
      <c r="D26" s="67"/>
      <c r="E26" s="67"/>
      <c r="F26" s="67"/>
      <c r="G26" s="67"/>
      <c r="H26" s="68"/>
    </row>
  </sheetData>
  <mergeCells count="24">
    <mergeCell ref="A1:P1"/>
    <mergeCell ref="A2:P2"/>
    <mergeCell ref="A4:B4"/>
    <mergeCell ref="A5:B6"/>
    <mergeCell ref="D4:E4"/>
    <mergeCell ref="D5:E6"/>
    <mergeCell ref="G4:H4"/>
    <mergeCell ref="G5:H6"/>
    <mergeCell ref="J4:K4"/>
    <mergeCell ref="J5:K6"/>
    <mergeCell ref="A24:H24"/>
    <mergeCell ref="A25:H25"/>
    <mergeCell ref="A26:H26"/>
    <mergeCell ref="J7:K7"/>
    <mergeCell ref="J8:K9"/>
    <mergeCell ref="A21:H21"/>
    <mergeCell ref="A22:H22"/>
    <mergeCell ref="A23:H23"/>
    <mergeCell ref="A7:B7"/>
    <mergeCell ref="A8:B9"/>
    <mergeCell ref="D7:E7"/>
    <mergeCell ref="D8:E9"/>
    <mergeCell ref="G7:H7"/>
    <mergeCell ref="G8:H9"/>
  </mergeCells>
  <conditionalFormatting sqref="D13:D18">
    <cfRule type="dataBar" priority="1">
      <dataBar>
        <cfvo type="min"/>
        <cfvo type="max"/>
        <color rgb="FF0F766E"/>
      </dataBar>
    </cfRule>
    <cfRule type="dataBar" priority="2">
      <dataBar>
        <cfvo type="min"/>
        <cfvo type="max"/>
        <color rgb="FF0F766E"/>
      </dataBar>
    </cfRule>
    <cfRule type="dataBar" priority="3">
      <dataBar>
        <cfvo type="min"/>
        <cfvo type="max"/>
        <color rgb="FF0F766E"/>
      </dataBar>
    </cfRule>
    <cfRule type="dataBar" priority="4">
      <dataBar>
        <cfvo type="min"/>
        <cfvo type="max"/>
        <color rgb="FF0F766E"/>
      </dataBar>
    </cfRule>
    <cfRule type="dataBar" priority="5">
      <dataBar>
        <cfvo type="min"/>
        <cfvo type="max"/>
        <color rgb="FF0F766E"/>
      </dataBar>
    </cfRule>
    <cfRule type="dataBar" priority="6">
      <dataBar>
        <cfvo type="min"/>
        <cfvo type="max"/>
        <color rgb="FF0F766E"/>
      </dataBar>
      <extLst>
        <ext xmlns:x14="http://schemas.microsoft.com/office/spreadsheetml/2009/9/main" uri="{B025F937-C7B1-47D3-B67F-A62EFF666E3E}">
          <x14:id>{7ACD7930-3F82-D6B8-3D5C-A73611924FBF}</x14:id>
        </ext>
      </extLst>
    </cfRule>
  </conditionalFormatting>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dataBar" id="{7ACD7930-3F82-D6B8-3D5C-A73611924FBF}">
            <x14:dataBar gradient="0">
              <x14:cfvo type="min"/>
              <x14:cfvo type="max"/>
              <x14:negativeFillColor auto="1"/>
              <x14:axisColor auto="1"/>
            </x14:dataBar>
          </x14:cfRule>
          <xm:sqref>D13:D18</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85"/>
  <sheetViews>
    <sheetView showGridLines="0" topLeftCell="N2" workbookViewId="0">
      <selection activeCell="S36" sqref="S36"/>
    </sheetView>
  </sheetViews>
  <sheetFormatPr defaultRowHeight="13.8"/>
  <cols>
    <col min="1" max="1" width="12" customWidth="1"/>
    <col min="2" max="2" width="10" customWidth="1"/>
    <col min="3" max="3" width="6" customWidth="1"/>
    <col min="4" max="4" width="10" customWidth="1"/>
    <col min="5" max="5" width="16" customWidth="1"/>
    <col min="6" max="7" width="42" customWidth="1"/>
    <col min="8" max="8" width="14" customWidth="1"/>
    <col min="9" max="9" width="10" customWidth="1"/>
    <col min="10" max="10" width="13" customWidth="1"/>
    <col min="11" max="11" width="20" customWidth="1"/>
    <col min="12" max="13" width="40" customWidth="1"/>
    <col min="14" max="14" width="36" customWidth="1"/>
    <col min="15" max="15" width="32" customWidth="1"/>
    <col min="16" max="17" width="20" customWidth="1"/>
    <col min="18" max="18" width="38" customWidth="1"/>
    <col min="19" max="19" width="16" customWidth="1"/>
    <col min="20" max="20" width="30" customWidth="1"/>
    <col min="21" max="21" width="56" customWidth="1"/>
  </cols>
  <sheetData>
    <row r="1" spans="1:21" ht="31.95" customHeight="1">
      <c r="A1" s="80" t="s">
        <v>67</v>
      </c>
      <c r="B1" s="80"/>
      <c r="C1" s="80"/>
      <c r="D1" s="80"/>
      <c r="E1" s="80"/>
      <c r="F1" s="80"/>
      <c r="G1" s="80"/>
      <c r="H1" s="80"/>
      <c r="I1" s="80"/>
      <c r="J1" s="80"/>
      <c r="K1" s="80"/>
      <c r="L1" s="80"/>
      <c r="M1" s="80"/>
      <c r="N1" s="80"/>
      <c r="O1" s="80"/>
      <c r="P1" s="80"/>
      <c r="Q1" s="80"/>
      <c r="R1" s="80"/>
      <c r="S1" s="80"/>
      <c r="T1" s="80"/>
    </row>
    <row r="2" spans="1:21" ht="31.95" customHeight="1">
      <c r="A2" s="81" t="s">
        <v>68</v>
      </c>
      <c r="B2" s="81"/>
      <c r="C2" s="81"/>
      <c r="D2" s="81"/>
      <c r="E2" s="81"/>
      <c r="F2" s="81"/>
      <c r="G2" s="81"/>
      <c r="H2" s="81"/>
      <c r="I2" s="81"/>
      <c r="J2" s="81"/>
      <c r="K2" s="81"/>
      <c r="L2" s="81"/>
      <c r="M2" s="81"/>
      <c r="N2" s="81"/>
      <c r="O2" s="81"/>
      <c r="P2" s="81"/>
      <c r="Q2" s="81"/>
      <c r="R2" s="81"/>
      <c r="S2" s="81"/>
      <c r="T2" s="81"/>
    </row>
    <row r="5" spans="1:21" ht="28.05" customHeight="1">
      <c r="A5" s="1" t="s">
        <v>69</v>
      </c>
      <c r="B5" s="2" t="s">
        <v>53</v>
      </c>
      <c r="C5" s="2" t="s">
        <v>70</v>
      </c>
      <c r="D5" s="2" t="s">
        <v>71</v>
      </c>
      <c r="E5" s="2" t="s">
        <v>72</v>
      </c>
      <c r="F5" s="2" t="s">
        <v>73</v>
      </c>
      <c r="G5" s="2" t="s">
        <v>74</v>
      </c>
      <c r="H5" s="2" t="s">
        <v>34</v>
      </c>
      <c r="I5" s="2" t="s">
        <v>75</v>
      </c>
      <c r="J5" s="2" t="s">
        <v>76</v>
      </c>
      <c r="K5" s="2" t="s">
        <v>77</v>
      </c>
      <c r="L5" s="2" t="s">
        <v>78</v>
      </c>
      <c r="M5" s="2" t="s">
        <v>79</v>
      </c>
      <c r="N5" s="2" t="s">
        <v>80</v>
      </c>
      <c r="O5" s="2" t="s">
        <v>81</v>
      </c>
      <c r="P5" s="2" t="s">
        <v>82</v>
      </c>
      <c r="Q5" s="2" t="s">
        <v>83</v>
      </c>
      <c r="R5" s="2" t="s">
        <v>84</v>
      </c>
      <c r="S5" s="2" t="s">
        <v>85</v>
      </c>
      <c r="T5" s="3" t="s">
        <v>86</v>
      </c>
      <c r="U5" s="29" t="s">
        <v>87</v>
      </c>
    </row>
    <row r="6" spans="1:21" ht="96.6" hidden="1">
      <c r="A6" s="10" t="s">
        <v>88</v>
      </c>
      <c r="B6" s="10" t="s">
        <v>56</v>
      </c>
      <c r="C6" s="10">
        <v>1</v>
      </c>
      <c r="D6" s="10" t="s">
        <v>89</v>
      </c>
      <c r="E6" s="10" t="s">
        <v>90</v>
      </c>
      <c r="F6" s="10" t="s">
        <v>91</v>
      </c>
      <c r="G6" s="10" t="s">
        <v>92</v>
      </c>
      <c r="H6" s="10" t="s">
        <v>93</v>
      </c>
      <c r="I6" s="15">
        <v>1</v>
      </c>
      <c r="J6" s="10" t="s">
        <v>94</v>
      </c>
      <c r="K6" s="10" t="s">
        <v>95</v>
      </c>
      <c r="L6" s="10" t="s">
        <v>96</v>
      </c>
      <c r="M6" s="10" t="s">
        <v>97</v>
      </c>
      <c r="N6" s="10" t="s">
        <v>98</v>
      </c>
      <c r="O6" s="10" t="s">
        <v>99</v>
      </c>
      <c r="P6" s="10" t="s">
        <v>100</v>
      </c>
      <c r="Q6" s="10" t="s">
        <v>101</v>
      </c>
      <c r="R6" s="10" t="s">
        <v>102</v>
      </c>
      <c r="S6" s="10" t="s">
        <v>46</v>
      </c>
      <c r="T6" s="10" t="s">
        <v>103</v>
      </c>
      <c r="U6" s="29" t="s">
        <v>104</v>
      </c>
    </row>
    <row r="7" spans="1:21" ht="96.6" hidden="1">
      <c r="A7" s="11" t="s">
        <v>105</v>
      </c>
      <c r="B7" s="11" t="s">
        <v>56</v>
      </c>
      <c r="C7" s="11">
        <v>2</v>
      </c>
      <c r="D7" s="11" t="s">
        <v>89</v>
      </c>
      <c r="E7" s="11" t="s">
        <v>106</v>
      </c>
      <c r="F7" s="11" t="s">
        <v>107</v>
      </c>
      <c r="G7" s="11" t="s">
        <v>108</v>
      </c>
      <c r="H7" s="11" t="s">
        <v>109</v>
      </c>
      <c r="I7" s="16">
        <v>0.5</v>
      </c>
      <c r="J7" s="11" t="s">
        <v>110</v>
      </c>
      <c r="K7" s="11" t="s">
        <v>101</v>
      </c>
      <c r="L7" s="11" t="s">
        <v>111</v>
      </c>
      <c r="M7" s="11" t="s">
        <v>112</v>
      </c>
      <c r="N7" s="11" t="s">
        <v>113</v>
      </c>
      <c r="O7" s="11" t="s">
        <v>114</v>
      </c>
      <c r="P7" s="11" t="s">
        <v>115</v>
      </c>
      <c r="Q7" s="11" t="s">
        <v>88</v>
      </c>
      <c r="R7" s="11" t="s">
        <v>116</v>
      </c>
      <c r="S7" s="11" t="s">
        <v>46</v>
      </c>
      <c r="T7" s="11" t="s">
        <v>117</v>
      </c>
      <c r="U7" s="29" t="s">
        <v>118</v>
      </c>
    </row>
    <row r="8" spans="1:21" ht="110.4" hidden="1">
      <c r="A8" s="11" t="s">
        <v>119</v>
      </c>
      <c r="B8" s="11" t="s">
        <v>56</v>
      </c>
      <c r="C8" s="11">
        <v>3</v>
      </c>
      <c r="D8" s="11" t="s">
        <v>89</v>
      </c>
      <c r="E8" s="11" t="s">
        <v>120</v>
      </c>
      <c r="F8" s="11" t="s">
        <v>121</v>
      </c>
      <c r="G8" s="11" t="s">
        <v>122</v>
      </c>
      <c r="H8" s="11" t="s">
        <v>123</v>
      </c>
      <c r="I8" s="16">
        <v>1.5</v>
      </c>
      <c r="J8" s="11" t="s">
        <v>124</v>
      </c>
      <c r="K8" s="11" t="s">
        <v>125</v>
      </c>
      <c r="L8" s="11" t="s">
        <v>126</v>
      </c>
      <c r="M8" s="11" t="s">
        <v>127</v>
      </c>
      <c r="N8" s="11" t="s">
        <v>128</v>
      </c>
      <c r="O8" s="11" t="s">
        <v>129</v>
      </c>
      <c r="P8" s="11" t="s">
        <v>115</v>
      </c>
      <c r="Q8" s="11" t="s">
        <v>105</v>
      </c>
      <c r="R8" s="11" t="s">
        <v>130</v>
      </c>
      <c r="S8" s="11" t="s">
        <v>46</v>
      </c>
      <c r="T8" s="11" t="s">
        <v>131</v>
      </c>
      <c r="U8" s="29" t="s">
        <v>132</v>
      </c>
    </row>
    <row r="9" spans="1:21" ht="110.4" hidden="1">
      <c r="A9" s="11" t="s">
        <v>133</v>
      </c>
      <c r="B9" s="11" t="s">
        <v>56</v>
      </c>
      <c r="C9" s="11">
        <v>4</v>
      </c>
      <c r="D9" s="11" t="s">
        <v>89</v>
      </c>
      <c r="E9" s="11" t="s">
        <v>134</v>
      </c>
      <c r="F9" s="11" t="s">
        <v>135</v>
      </c>
      <c r="G9" s="11" t="s">
        <v>136</v>
      </c>
      <c r="H9" s="11" t="s">
        <v>123</v>
      </c>
      <c r="I9" s="16">
        <v>1</v>
      </c>
      <c r="J9" s="11" t="s">
        <v>124</v>
      </c>
      <c r="K9" s="11" t="s">
        <v>137</v>
      </c>
      <c r="L9" s="11" t="s">
        <v>138</v>
      </c>
      <c r="M9" s="11" t="s">
        <v>2294</v>
      </c>
      <c r="N9" s="11" t="s">
        <v>139</v>
      </c>
      <c r="O9" s="11" t="s">
        <v>140</v>
      </c>
      <c r="P9" s="11" t="s">
        <v>115</v>
      </c>
      <c r="Q9" s="11" t="s">
        <v>119</v>
      </c>
      <c r="R9" s="11" t="s">
        <v>141</v>
      </c>
      <c r="S9" s="11" t="s">
        <v>46</v>
      </c>
      <c r="T9" s="11" t="s">
        <v>131</v>
      </c>
      <c r="U9" s="29" t="s">
        <v>142</v>
      </c>
    </row>
    <row r="10" spans="1:21" ht="193.8" hidden="1">
      <c r="A10" s="11" t="s">
        <v>143</v>
      </c>
      <c r="B10" s="11" t="s">
        <v>56</v>
      </c>
      <c r="C10" s="11">
        <v>5</v>
      </c>
      <c r="D10" s="11" t="s">
        <v>89</v>
      </c>
      <c r="E10" s="11" t="s">
        <v>144</v>
      </c>
      <c r="F10" s="11" t="s">
        <v>145</v>
      </c>
      <c r="G10" s="11" t="s">
        <v>146</v>
      </c>
      <c r="H10" s="11" t="s">
        <v>123</v>
      </c>
      <c r="I10" s="16">
        <v>1.5</v>
      </c>
      <c r="J10" s="11" t="s">
        <v>147</v>
      </c>
      <c r="K10" s="11" t="s">
        <v>148</v>
      </c>
      <c r="L10" s="11" t="s">
        <v>149</v>
      </c>
      <c r="M10" s="11" t="s">
        <v>2320</v>
      </c>
      <c r="N10" s="11" t="s">
        <v>150</v>
      </c>
      <c r="O10" s="11" t="s">
        <v>151</v>
      </c>
      <c r="P10" s="11" t="s">
        <v>152</v>
      </c>
      <c r="Q10" s="11" t="s">
        <v>119</v>
      </c>
      <c r="R10" s="11" t="s">
        <v>153</v>
      </c>
      <c r="S10" s="11" t="s">
        <v>46</v>
      </c>
      <c r="T10" s="11" t="s">
        <v>131</v>
      </c>
      <c r="U10" s="29" t="s">
        <v>154</v>
      </c>
    </row>
    <row r="11" spans="1:21" ht="96.6" hidden="1">
      <c r="A11" s="11" t="s">
        <v>155</v>
      </c>
      <c r="B11" s="11" t="s">
        <v>56</v>
      </c>
      <c r="C11" s="11">
        <v>6</v>
      </c>
      <c r="D11" s="11" t="s">
        <v>89</v>
      </c>
      <c r="E11" s="11" t="s">
        <v>156</v>
      </c>
      <c r="F11" s="11" t="s">
        <v>157</v>
      </c>
      <c r="G11" s="11" t="s">
        <v>158</v>
      </c>
      <c r="H11" s="11" t="s">
        <v>123</v>
      </c>
      <c r="I11" s="16">
        <v>1.25</v>
      </c>
      <c r="J11" s="11" t="s">
        <v>159</v>
      </c>
      <c r="K11" s="11" t="s">
        <v>101</v>
      </c>
      <c r="L11" s="11" t="s">
        <v>160</v>
      </c>
      <c r="M11" s="11" t="s">
        <v>161</v>
      </c>
      <c r="N11" s="11" t="s">
        <v>162</v>
      </c>
      <c r="O11" s="11" t="s">
        <v>163</v>
      </c>
      <c r="P11" s="11" t="s">
        <v>164</v>
      </c>
      <c r="Q11" s="11" t="s">
        <v>165</v>
      </c>
      <c r="R11" s="11" t="s">
        <v>166</v>
      </c>
      <c r="S11" s="11" t="s">
        <v>46</v>
      </c>
      <c r="T11" s="11" t="s">
        <v>131</v>
      </c>
      <c r="U11" s="29" t="s">
        <v>167</v>
      </c>
    </row>
    <row r="12" spans="1:21" ht="193.8" hidden="1">
      <c r="A12" s="11" t="s">
        <v>168</v>
      </c>
      <c r="B12" s="11" t="s">
        <v>56</v>
      </c>
      <c r="C12" s="11">
        <v>7</v>
      </c>
      <c r="D12" s="11" t="s">
        <v>89</v>
      </c>
      <c r="E12" s="11" t="s">
        <v>169</v>
      </c>
      <c r="F12" s="11" t="s">
        <v>170</v>
      </c>
      <c r="G12" s="11" t="s">
        <v>171</v>
      </c>
      <c r="H12" s="11" t="s">
        <v>123</v>
      </c>
      <c r="I12" s="16">
        <v>1</v>
      </c>
      <c r="J12" s="11" t="s">
        <v>124</v>
      </c>
      <c r="K12" s="11" t="s">
        <v>101</v>
      </c>
      <c r="L12" s="11" t="s">
        <v>172</v>
      </c>
      <c r="M12" s="11" t="s">
        <v>2321</v>
      </c>
      <c r="N12" s="11" t="s">
        <v>173</v>
      </c>
      <c r="O12" s="11" t="s">
        <v>174</v>
      </c>
      <c r="P12" s="11" t="s">
        <v>175</v>
      </c>
      <c r="Q12" s="11" t="s">
        <v>119</v>
      </c>
      <c r="R12" s="11" t="s">
        <v>176</v>
      </c>
      <c r="S12" s="11" t="s">
        <v>46</v>
      </c>
      <c r="T12" s="11" t="s">
        <v>131</v>
      </c>
      <c r="U12" s="29" t="s">
        <v>177</v>
      </c>
    </row>
    <row r="13" spans="1:21" ht="110.4" hidden="1">
      <c r="A13" s="11" t="s">
        <v>178</v>
      </c>
      <c r="B13" s="11" t="s">
        <v>56</v>
      </c>
      <c r="C13" s="11">
        <v>8</v>
      </c>
      <c r="D13" s="11" t="s">
        <v>89</v>
      </c>
      <c r="E13" s="11" t="s">
        <v>179</v>
      </c>
      <c r="F13" s="11" t="s">
        <v>180</v>
      </c>
      <c r="G13" s="11" t="s">
        <v>181</v>
      </c>
      <c r="H13" s="11" t="s">
        <v>123</v>
      </c>
      <c r="I13" s="16">
        <v>1</v>
      </c>
      <c r="J13" s="11" t="s">
        <v>159</v>
      </c>
      <c r="K13" s="11" t="s">
        <v>182</v>
      </c>
      <c r="L13" s="11" t="s">
        <v>183</v>
      </c>
      <c r="M13" s="11" t="s">
        <v>184</v>
      </c>
      <c r="N13" s="11" t="s">
        <v>185</v>
      </c>
      <c r="O13" s="11" t="s">
        <v>186</v>
      </c>
      <c r="P13" s="11" t="s">
        <v>164</v>
      </c>
      <c r="Q13" s="11" t="s">
        <v>143</v>
      </c>
      <c r="R13" s="11" t="s">
        <v>187</v>
      </c>
      <c r="S13" s="11" t="s">
        <v>46</v>
      </c>
      <c r="T13" s="11" t="s">
        <v>131</v>
      </c>
      <c r="U13" s="29" t="s">
        <v>188</v>
      </c>
    </row>
    <row r="14" spans="1:21" ht="193.8" hidden="1">
      <c r="A14" s="11" t="s">
        <v>189</v>
      </c>
      <c r="B14" s="11" t="s">
        <v>56</v>
      </c>
      <c r="C14" s="11">
        <v>9</v>
      </c>
      <c r="D14" s="11" t="s">
        <v>89</v>
      </c>
      <c r="E14" s="11" t="s">
        <v>190</v>
      </c>
      <c r="F14" s="11" t="s">
        <v>191</v>
      </c>
      <c r="G14" s="11" t="s">
        <v>192</v>
      </c>
      <c r="H14" s="11" t="s">
        <v>123</v>
      </c>
      <c r="I14" s="16">
        <v>1.25</v>
      </c>
      <c r="J14" s="11" t="s">
        <v>193</v>
      </c>
      <c r="K14" s="11" t="s">
        <v>194</v>
      </c>
      <c r="L14" s="11" t="s">
        <v>195</v>
      </c>
      <c r="M14" s="11" t="s">
        <v>2322</v>
      </c>
      <c r="N14" s="11" t="s">
        <v>196</v>
      </c>
      <c r="O14" s="11" t="s">
        <v>197</v>
      </c>
      <c r="P14" s="11" t="s">
        <v>198</v>
      </c>
      <c r="Q14" s="11" t="s">
        <v>119</v>
      </c>
      <c r="R14" s="11" t="s">
        <v>199</v>
      </c>
      <c r="S14" s="11" t="s">
        <v>46</v>
      </c>
      <c r="T14" s="11" t="s">
        <v>200</v>
      </c>
      <c r="U14" s="29" t="s">
        <v>201</v>
      </c>
    </row>
    <row r="15" spans="1:21" ht="193.8" hidden="1">
      <c r="A15" s="11" t="s">
        <v>202</v>
      </c>
      <c r="B15" s="11" t="s">
        <v>56</v>
      </c>
      <c r="C15" s="11">
        <v>10</v>
      </c>
      <c r="D15" s="11" t="s">
        <v>89</v>
      </c>
      <c r="E15" s="11" t="s">
        <v>203</v>
      </c>
      <c r="F15" s="11" t="s">
        <v>204</v>
      </c>
      <c r="G15" s="11" t="s">
        <v>205</v>
      </c>
      <c r="H15" s="11" t="s">
        <v>123</v>
      </c>
      <c r="I15" s="16">
        <v>1.5</v>
      </c>
      <c r="J15" s="11" t="s">
        <v>193</v>
      </c>
      <c r="K15" s="11" t="s">
        <v>206</v>
      </c>
      <c r="L15" s="11" t="s">
        <v>207</v>
      </c>
      <c r="M15" s="11" t="s">
        <v>2323</v>
      </c>
      <c r="N15" s="11" t="s">
        <v>208</v>
      </c>
      <c r="O15" s="11" t="s">
        <v>209</v>
      </c>
      <c r="P15" s="11" t="s">
        <v>210</v>
      </c>
      <c r="Q15" s="11" t="s">
        <v>189</v>
      </c>
      <c r="R15" s="11" t="s">
        <v>211</v>
      </c>
      <c r="S15" s="11" t="s">
        <v>46</v>
      </c>
      <c r="T15" s="11" t="s">
        <v>200</v>
      </c>
      <c r="U15" s="29" t="s">
        <v>212</v>
      </c>
    </row>
    <row r="16" spans="1:21" ht="125.4" hidden="1">
      <c r="A16" s="11" t="s">
        <v>213</v>
      </c>
      <c r="B16" s="11" t="s">
        <v>56</v>
      </c>
      <c r="C16" s="11">
        <v>11</v>
      </c>
      <c r="D16" s="11" t="s">
        <v>89</v>
      </c>
      <c r="E16" s="11" t="s">
        <v>214</v>
      </c>
      <c r="F16" s="11" t="s">
        <v>215</v>
      </c>
      <c r="G16" s="11" t="s">
        <v>216</v>
      </c>
      <c r="H16" s="11" t="s">
        <v>123</v>
      </c>
      <c r="I16" s="16">
        <v>1</v>
      </c>
      <c r="J16" s="11" t="s">
        <v>193</v>
      </c>
      <c r="K16" s="11" t="s">
        <v>217</v>
      </c>
      <c r="L16" s="11" t="s">
        <v>218</v>
      </c>
      <c r="M16" s="11" t="s">
        <v>219</v>
      </c>
      <c r="N16" s="11" t="s">
        <v>220</v>
      </c>
      <c r="O16" s="11" t="s">
        <v>221</v>
      </c>
      <c r="P16" s="11" t="s">
        <v>222</v>
      </c>
      <c r="Q16" s="11" t="s">
        <v>202</v>
      </c>
      <c r="R16" s="11" t="s">
        <v>223</v>
      </c>
      <c r="S16" s="11" t="s">
        <v>46</v>
      </c>
      <c r="T16" s="11" t="s">
        <v>200</v>
      </c>
      <c r="U16" s="29" t="s">
        <v>224</v>
      </c>
    </row>
    <row r="17" spans="1:21" ht="193.8" hidden="1">
      <c r="A17" s="11" t="s">
        <v>225</v>
      </c>
      <c r="B17" s="11" t="s">
        <v>56</v>
      </c>
      <c r="C17" s="11">
        <v>12</v>
      </c>
      <c r="D17" s="11" t="s">
        <v>89</v>
      </c>
      <c r="E17" s="11" t="s">
        <v>226</v>
      </c>
      <c r="F17" s="11" t="s">
        <v>227</v>
      </c>
      <c r="G17" s="11" t="s">
        <v>228</v>
      </c>
      <c r="H17" s="11" t="s">
        <v>93</v>
      </c>
      <c r="I17" s="16">
        <v>1</v>
      </c>
      <c r="J17" s="11" t="s">
        <v>2324</v>
      </c>
      <c r="K17" s="11" t="s">
        <v>229</v>
      </c>
      <c r="L17" s="11" t="s">
        <v>230</v>
      </c>
      <c r="M17" s="11" t="s">
        <v>2325</v>
      </c>
      <c r="N17" s="11" t="s">
        <v>231</v>
      </c>
      <c r="O17" s="11" t="s">
        <v>232</v>
      </c>
      <c r="P17" s="11" t="s">
        <v>115</v>
      </c>
      <c r="Q17" s="11" t="s">
        <v>233</v>
      </c>
      <c r="R17" s="11" t="s">
        <v>234</v>
      </c>
      <c r="S17" s="11" t="s">
        <v>46</v>
      </c>
      <c r="T17" s="11" t="s">
        <v>235</v>
      </c>
      <c r="U17" s="29" t="s">
        <v>236</v>
      </c>
    </row>
    <row r="18" spans="1:21" ht="69" hidden="1">
      <c r="A18" s="11" t="s">
        <v>237</v>
      </c>
      <c r="B18" s="11" t="s">
        <v>56</v>
      </c>
      <c r="C18" s="11">
        <v>13</v>
      </c>
      <c r="D18" s="11" t="s">
        <v>89</v>
      </c>
      <c r="E18" s="11" t="s">
        <v>238</v>
      </c>
      <c r="F18" s="11" t="s">
        <v>239</v>
      </c>
      <c r="G18" s="11" t="s">
        <v>240</v>
      </c>
      <c r="H18" s="11" t="s">
        <v>109</v>
      </c>
      <c r="I18" s="16">
        <v>1</v>
      </c>
      <c r="J18" s="11" t="s">
        <v>241</v>
      </c>
      <c r="K18" s="11" t="s">
        <v>101</v>
      </c>
      <c r="L18" s="11" t="s">
        <v>242</v>
      </c>
      <c r="M18" s="11" t="s">
        <v>2314</v>
      </c>
      <c r="N18" s="11" t="s">
        <v>243</v>
      </c>
      <c r="O18" s="11" t="s">
        <v>244</v>
      </c>
      <c r="P18" s="11" t="s">
        <v>245</v>
      </c>
      <c r="Q18" s="11" t="s">
        <v>225</v>
      </c>
      <c r="R18" s="11" t="s">
        <v>246</v>
      </c>
      <c r="S18" s="11" t="s">
        <v>46</v>
      </c>
      <c r="T18" s="11" t="s">
        <v>247</v>
      </c>
      <c r="U18" s="29" t="s">
        <v>248</v>
      </c>
    </row>
    <row r="19" spans="1:21" ht="110.4" hidden="1">
      <c r="A19" s="11" t="s">
        <v>249</v>
      </c>
      <c r="B19" s="11" t="s">
        <v>37</v>
      </c>
      <c r="C19" s="11">
        <v>1</v>
      </c>
      <c r="D19" s="11" t="s">
        <v>89</v>
      </c>
      <c r="E19" s="11" t="s">
        <v>250</v>
      </c>
      <c r="F19" s="11" t="s">
        <v>251</v>
      </c>
      <c r="G19" s="11" t="s">
        <v>252</v>
      </c>
      <c r="H19" s="11" t="s">
        <v>123</v>
      </c>
      <c r="I19" s="16">
        <v>1</v>
      </c>
      <c r="J19" s="11" t="s">
        <v>253</v>
      </c>
      <c r="K19" s="11" t="s">
        <v>254</v>
      </c>
      <c r="L19" s="11" t="s">
        <v>255</v>
      </c>
      <c r="M19" s="11" t="s">
        <v>256</v>
      </c>
      <c r="N19" s="11" t="s">
        <v>257</v>
      </c>
      <c r="O19" s="11" t="s">
        <v>258</v>
      </c>
      <c r="P19" s="11" t="s">
        <v>152</v>
      </c>
      <c r="Q19" s="11" t="s">
        <v>237</v>
      </c>
      <c r="R19" s="11" t="s">
        <v>259</v>
      </c>
      <c r="S19" s="11" t="s">
        <v>46</v>
      </c>
      <c r="T19" s="11"/>
      <c r="U19" s="29" t="s">
        <v>260</v>
      </c>
    </row>
    <row r="20" spans="1:21" ht="110.4" hidden="1">
      <c r="A20" s="11" t="s">
        <v>261</v>
      </c>
      <c r="B20" s="11" t="s">
        <v>37</v>
      </c>
      <c r="C20" s="11">
        <v>2</v>
      </c>
      <c r="D20" s="11" t="s">
        <v>89</v>
      </c>
      <c r="E20" s="11" t="s">
        <v>262</v>
      </c>
      <c r="F20" s="11" t="s">
        <v>263</v>
      </c>
      <c r="G20" s="11" t="s">
        <v>264</v>
      </c>
      <c r="H20" s="11" t="s">
        <v>123</v>
      </c>
      <c r="I20" s="16">
        <v>1.25</v>
      </c>
      <c r="J20" s="11" t="s">
        <v>253</v>
      </c>
      <c r="K20" s="11" t="s">
        <v>101</v>
      </c>
      <c r="L20" s="11" t="s">
        <v>265</v>
      </c>
      <c r="M20" s="11" t="s">
        <v>266</v>
      </c>
      <c r="N20" s="11" t="s">
        <v>267</v>
      </c>
      <c r="O20" s="11" t="s">
        <v>268</v>
      </c>
      <c r="P20" s="11" t="s">
        <v>269</v>
      </c>
      <c r="Q20" s="11" t="s">
        <v>249</v>
      </c>
      <c r="R20" s="11" t="s">
        <v>270</v>
      </c>
      <c r="S20" s="11" t="s">
        <v>46</v>
      </c>
      <c r="T20" s="11"/>
      <c r="U20" s="29" t="s">
        <v>271</v>
      </c>
    </row>
    <row r="21" spans="1:21" ht="330.6" hidden="1">
      <c r="A21" s="11" t="s">
        <v>272</v>
      </c>
      <c r="B21" s="11" t="s">
        <v>37</v>
      </c>
      <c r="C21" s="11">
        <v>3</v>
      </c>
      <c r="D21" s="11" t="s">
        <v>89</v>
      </c>
      <c r="E21" s="11" t="s">
        <v>273</v>
      </c>
      <c r="F21" s="11" t="s">
        <v>274</v>
      </c>
      <c r="G21" s="11" t="s">
        <v>275</v>
      </c>
      <c r="H21" s="11" t="s">
        <v>123</v>
      </c>
      <c r="I21" s="16">
        <v>1</v>
      </c>
      <c r="J21" s="11" t="s">
        <v>253</v>
      </c>
      <c r="K21" s="11" t="s">
        <v>101</v>
      </c>
      <c r="L21" s="11" t="s">
        <v>276</v>
      </c>
      <c r="M21" s="11" t="s">
        <v>2326</v>
      </c>
      <c r="N21" s="11" t="s">
        <v>277</v>
      </c>
      <c r="O21" s="11" t="s">
        <v>278</v>
      </c>
      <c r="P21" s="11" t="s">
        <v>279</v>
      </c>
      <c r="Q21" s="11" t="s">
        <v>225</v>
      </c>
      <c r="R21" s="11" t="s">
        <v>2327</v>
      </c>
      <c r="S21" s="11" t="s">
        <v>46</v>
      </c>
      <c r="T21" s="11"/>
      <c r="U21" s="29" t="s">
        <v>280</v>
      </c>
    </row>
    <row r="22" spans="1:21" ht="330.6" hidden="1">
      <c r="A22" s="11" t="s">
        <v>281</v>
      </c>
      <c r="B22" s="11" t="s">
        <v>37</v>
      </c>
      <c r="C22" s="11">
        <v>4</v>
      </c>
      <c r="D22" s="11" t="s">
        <v>89</v>
      </c>
      <c r="E22" s="11" t="s">
        <v>282</v>
      </c>
      <c r="F22" s="11" t="s">
        <v>283</v>
      </c>
      <c r="G22" s="11" t="s">
        <v>284</v>
      </c>
      <c r="H22" s="11" t="s">
        <v>123</v>
      </c>
      <c r="I22" s="16">
        <v>1.5</v>
      </c>
      <c r="J22" s="11" t="s">
        <v>253</v>
      </c>
      <c r="K22" s="11" t="s">
        <v>285</v>
      </c>
      <c r="L22" s="11" t="s">
        <v>286</v>
      </c>
      <c r="M22" s="11" t="s">
        <v>2326</v>
      </c>
      <c r="N22" s="11" t="s">
        <v>287</v>
      </c>
      <c r="O22" s="11" t="s">
        <v>288</v>
      </c>
      <c r="P22" s="11" t="s">
        <v>279</v>
      </c>
      <c r="Q22" s="11" t="s">
        <v>289</v>
      </c>
      <c r="R22" s="11" t="s">
        <v>290</v>
      </c>
      <c r="S22" s="11" t="s">
        <v>46</v>
      </c>
      <c r="T22" s="11"/>
      <c r="U22" s="29" t="s">
        <v>291</v>
      </c>
    </row>
    <row r="23" spans="1:21" ht="110.4" hidden="1">
      <c r="A23" s="11" t="s">
        <v>292</v>
      </c>
      <c r="B23" s="11" t="s">
        <v>37</v>
      </c>
      <c r="C23" s="11">
        <v>5</v>
      </c>
      <c r="D23" s="11" t="s">
        <v>89</v>
      </c>
      <c r="E23" s="11" t="s">
        <v>293</v>
      </c>
      <c r="F23" s="11" t="s">
        <v>294</v>
      </c>
      <c r="G23" s="11" t="s">
        <v>295</v>
      </c>
      <c r="H23" s="11" t="s">
        <v>123</v>
      </c>
      <c r="I23" s="16">
        <v>1.25</v>
      </c>
      <c r="J23" s="11" t="s">
        <v>296</v>
      </c>
      <c r="K23" s="11" t="s">
        <v>297</v>
      </c>
      <c r="L23" s="11" t="s">
        <v>298</v>
      </c>
      <c r="M23" s="11" t="s">
        <v>299</v>
      </c>
      <c r="N23" s="11" t="s">
        <v>300</v>
      </c>
      <c r="O23" s="11" t="s">
        <v>301</v>
      </c>
      <c r="P23" s="11" t="s">
        <v>152</v>
      </c>
      <c r="Q23" s="11" t="s">
        <v>249</v>
      </c>
      <c r="R23" s="11" t="s">
        <v>302</v>
      </c>
      <c r="S23" s="11" t="s">
        <v>46</v>
      </c>
      <c r="T23" s="11"/>
      <c r="U23" s="29" t="s">
        <v>304</v>
      </c>
    </row>
    <row r="24" spans="1:21" ht="110.4" hidden="1">
      <c r="A24" s="11" t="s">
        <v>305</v>
      </c>
      <c r="B24" s="11" t="s">
        <v>37</v>
      </c>
      <c r="C24" s="11">
        <v>6</v>
      </c>
      <c r="D24" s="11" t="s">
        <v>89</v>
      </c>
      <c r="E24" s="11" t="s">
        <v>306</v>
      </c>
      <c r="F24" s="11" t="s">
        <v>307</v>
      </c>
      <c r="G24" s="11" t="s">
        <v>308</v>
      </c>
      <c r="H24" s="11" t="s">
        <v>123</v>
      </c>
      <c r="I24" s="16">
        <v>1.5</v>
      </c>
      <c r="J24" s="11" t="s">
        <v>309</v>
      </c>
      <c r="K24" s="11" t="s">
        <v>310</v>
      </c>
      <c r="L24" s="11" t="s">
        <v>311</v>
      </c>
      <c r="M24" s="11" t="s">
        <v>312</v>
      </c>
      <c r="N24" s="11" t="s">
        <v>313</v>
      </c>
      <c r="O24" s="11" t="s">
        <v>314</v>
      </c>
      <c r="P24" s="11" t="s">
        <v>164</v>
      </c>
      <c r="Q24" s="11" t="s">
        <v>315</v>
      </c>
      <c r="R24" s="11" t="s">
        <v>316</v>
      </c>
      <c r="S24" s="11" t="s">
        <v>46</v>
      </c>
      <c r="T24" s="11"/>
      <c r="U24" s="29" t="s">
        <v>317</v>
      </c>
    </row>
    <row r="25" spans="1:21" ht="96.6" hidden="1">
      <c r="A25" s="11" t="s">
        <v>318</v>
      </c>
      <c r="B25" s="11" t="s">
        <v>37</v>
      </c>
      <c r="C25" s="11">
        <v>7</v>
      </c>
      <c r="D25" s="11" t="s">
        <v>89</v>
      </c>
      <c r="E25" s="11" t="s">
        <v>319</v>
      </c>
      <c r="F25" s="11" t="s">
        <v>320</v>
      </c>
      <c r="G25" s="11" t="s">
        <v>321</v>
      </c>
      <c r="H25" s="11" t="s">
        <v>123</v>
      </c>
      <c r="I25" s="16">
        <v>1</v>
      </c>
      <c r="J25" s="11" t="s">
        <v>309</v>
      </c>
      <c r="K25" s="11" t="s">
        <v>322</v>
      </c>
      <c r="L25" s="11" t="s">
        <v>323</v>
      </c>
      <c r="M25" s="11" t="s">
        <v>324</v>
      </c>
      <c r="N25" s="11" t="s">
        <v>325</v>
      </c>
      <c r="O25" s="11" t="s">
        <v>326</v>
      </c>
      <c r="P25" s="11" t="s">
        <v>327</v>
      </c>
      <c r="Q25" s="11" t="s">
        <v>305</v>
      </c>
      <c r="R25" s="11" t="s">
        <v>328</v>
      </c>
      <c r="S25" s="11" t="s">
        <v>46</v>
      </c>
      <c r="T25" s="11"/>
      <c r="U25" s="29" t="s">
        <v>329</v>
      </c>
    </row>
    <row r="26" spans="1:21" ht="110.4" hidden="1">
      <c r="A26" s="11" t="s">
        <v>330</v>
      </c>
      <c r="B26" s="11" t="s">
        <v>37</v>
      </c>
      <c r="C26" s="11">
        <v>8</v>
      </c>
      <c r="D26" s="11" t="s">
        <v>89</v>
      </c>
      <c r="E26" s="11" t="s">
        <v>331</v>
      </c>
      <c r="F26" s="11" t="s">
        <v>332</v>
      </c>
      <c r="G26" s="11" t="s">
        <v>333</v>
      </c>
      <c r="H26" s="11" t="s">
        <v>123</v>
      </c>
      <c r="I26" s="16">
        <v>1</v>
      </c>
      <c r="J26" s="11" t="s">
        <v>253</v>
      </c>
      <c r="K26" s="11" t="s">
        <v>334</v>
      </c>
      <c r="L26" s="11" t="s">
        <v>335</v>
      </c>
      <c r="M26" s="11" t="s">
        <v>336</v>
      </c>
      <c r="N26" s="11" t="s">
        <v>337</v>
      </c>
      <c r="O26" s="11" t="s">
        <v>338</v>
      </c>
      <c r="P26" s="11" t="s">
        <v>327</v>
      </c>
      <c r="Q26" s="11" t="s">
        <v>281</v>
      </c>
      <c r="R26" s="11" t="s">
        <v>339</v>
      </c>
      <c r="S26" s="11" t="s">
        <v>46</v>
      </c>
      <c r="T26" s="11"/>
      <c r="U26" s="29" t="s">
        <v>340</v>
      </c>
    </row>
    <row r="27" spans="1:21" ht="205.2" hidden="1">
      <c r="A27" s="11" t="s">
        <v>341</v>
      </c>
      <c r="B27" s="11" t="s">
        <v>37</v>
      </c>
      <c r="C27" s="11">
        <v>9</v>
      </c>
      <c r="D27" s="11" t="s">
        <v>89</v>
      </c>
      <c r="E27" s="11" t="s">
        <v>342</v>
      </c>
      <c r="F27" s="11" t="s">
        <v>343</v>
      </c>
      <c r="G27" s="11" t="s">
        <v>344</v>
      </c>
      <c r="H27" s="11" t="s">
        <v>109</v>
      </c>
      <c r="I27" s="16">
        <v>1</v>
      </c>
      <c r="J27" s="11" t="s">
        <v>345</v>
      </c>
      <c r="K27" s="11" t="s">
        <v>346</v>
      </c>
      <c r="L27" s="11" t="s">
        <v>347</v>
      </c>
      <c r="M27" s="11" t="s">
        <v>2328</v>
      </c>
      <c r="N27" s="11" t="s">
        <v>348</v>
      </c>
      <c r="O27" s="11" t="s">
        <v>349</v>
      </c>
      <c r="P27" s="11" t="s">
        <v>350</v>
      </c>
      <c r="Q27" s="11" t="s">
        <v>351</v>
      </c>
      <c r="R27" s="11" t="s">
        <v>352</v>
      </c>
      <c r="S27" s="11" t="s">
        <v>46</v>
      </c>
      <c r="T27" s="11"/>
      <c r="U27" s="29" t="s">
        <v>353</v>
      </c>
    </row>
    <row r="28" spans="1:21" ht="205.2" hidden="1">
      <c r="A28" s="11" t="s">
        <v>354</v>
      </c>
      <c r="B28" s="11" t="s">
        <v>37</v>
      </c>
      <c r="C28" s="11">
        <v>10</v>
      </c>
      <c r="D28" s="11" t="s">
        <v>89</v>
      </c>
      <c r="E28" s="11" t="s">
        <v>203</v>
      </c>
      <c r="F28" s="11" t="s">
        <v>355</v>
      </c>
      <c r="G28" s="11" t="s">
        <v>356</v>
      </c>
      <c r="H28" s="11" t="s">
        <v>109</v>
      </c>
      <c r="I28" s="16">
        <v>1</v>
      </c>
      <c r="J28" s="11" t="s">
        <v>345</v>
      </c>
      <c r="K28" s="11" t="s">
        <v>357</v>
      </c>
      <c r="L28" s="11" t="s">
        <v>358</v>
      </c>
      <c r="M28" s="11" t="s">
        <v>2329</v>
      </c>
      <c r="N28" s="11" t="s">
        <v>359</v>
      </c>
      <c r="O28" s="11" t="s">
        <v>360</v>
      </c>
      <c r="P28" s="11" t="s">
        <v>361</v>
      </c>
      <c r="Q28" s="11" t="s">
        <v>341</v>
      </c>
      <c r="R28" s="11" t="s">
        <v>362</v>
      </c>
      <c r="S28" s="11" t="s">
        <v>46</v>
      </c>
      <c r="T28" s="11"/>
      <c r="U28" s="29" t="s">
        <v>363</v>
      </c>
    </row>
    <row r="29" spans="1:21" ht="110.4" hidden="1">
      <c r="A29" s="11" t="s">
        <v>364</v>
      </c>
      <c r="B29" s="11" t="s">
        <v>37</v>
      </c>
      <c r="C29" s="11">
        <v>11</v>
      </c>
      <c r="D29" s="11" t="s">
        <v>365</v>
      </c>
      <c r="E29" s="11" t="s">
        <v>366</v>
      </c>
      <c r="F29" s="11" t="s">
        <v>367</v>
      </c>
      <c r="G29" s="11" t="s">
        <v>368</v>
      </c>
      <c r="H29" s="11" t="s">
        <v>93</v>
      </c>
      <c r="I29" s="16">
        <v>0.75</v>
      </c>
      <c r="J29" s="11" t="s">
        <v>369</v>
      </c>
      <c r="K29" s="11" t="s">
        <v>101</v>
      </c>
      <c r="L29" s="11" t="s">
        <v>370</v>
      </c>
      <c r="M29" s="11" t="s">
        <v>2330</v>
      </c>
      <c r="N29" s="11" t="s">
        <v>371</v>
      </c>
      <c r="O29" s="11" t="s">
        <v>372</v>
      </c>
      <c r="P29" s="11" t="s">
        <v>373</v>
      </c>
      <c r="Q29" s="11" t="s">
        <v>341</v>
      </c>
      <c r="R29" s="11" t="s">
        <v>374</v>
      </c>
      <c r="S29" s="11" t="s">
        <v>46</v>
      </c>
      <c r="T29" s="11"/>
      <c r="U29" s="29" t="s">
        <v>375</v>
      </c>
    </row>
    <row r="30" spans="1:21" ht="193.8" hidden="1">
      <c r="A30" s="11" t="s">
        <v>376</v>
      </c>
      <c r="B30" s="11" t="s">
        <v>37</v>
      </c>
      <c r="C30" s="11">
        <v>12</v>
      </c>
      <c r="D30" s="11" t="s">
        <v>89</v>
      </c>
      <c r="E30" s="11" t="s">
        <v>226</v>
      </c>
      <c r="F30" s="11" t="s">
        <v>377</v>
      </c>
      <c r="G30" s="11" t="s">
        <v>378</v>
      </c>
      <c r="H30" s="11" t="s">
        <v>93</v>
      </c>
      <c r="I30" s="16">
        <v>0.75</v>
      </c>
      <c r="J30" s="11" t="s">
        <v>2331</v>
      </c>
      <c r="K30" s="11" t="s">
        <v>379</v>
      </c>
      <c r="L30" s="11" t="s">
        <v>380</v>
      </c>
      <c r="M30" s="11" t="s">
        <v>2332</v>
      </c>
      <c r="N30" s="11" t="s">
        <v>381</v>
      </c>
      <c r="O30" s="11" t="s">
        <v>382</v>
      </c>
      <c r="P30" s="11" t="s">
        <v>115</v>
      </c>
      <c r="Q30" s="11" t="s">
        <v>383</v>
      </c>
      <c r="R30" s="11" t="s">
        <v>384</v>
      </c>
      <c r="S30" s="11" t="s">
        <v>46</v>
      </c>
      <c r="T30" s="11"/>
      <c r="U30" s="29" t="s">
        <v>385</v>
      </c>
    </row>
    <row r="31" spans="1:21" ht="69" hidden="1">
      <c r="A31" s="11" t="s">
        <v>386</v>
      </c>
      <c r="B31" s="11" t="s">
        <v>37</v>
      </c>
      <c r="C31" s="11">
        <v>13</v>
      </c>
      <c r="D31" s="11" t="s">
        <v>89</v>
      </c>
      <c r="E31" s="11" t="s">
        <v>238</v>
      </c>
      <c r="F31" s="11" t="s">
        <v>387</v>
      </c>
      <c r="G31" s="11" t="s">
        <v>388</v>
      </c>
      <c r="H31" s="11" t="s">
        <v>109</v>
      </c>
      <c r="I31" s="16">
        <v>1</v>
      </c>
      <c r="J31" s="11" t="s">
        <v>241</v>
      </c>
      <c r="K31" s="11" t="s">
        <v>101</v>
      </c>
      <c r="L31" s="11" t="s">
        <v>389</v>
      </c>
      <c r="M31" s="11" t="s">
        <v>2315</v>
      </c>
      <c r="N31" s="11" t="s">
        <v>243</v>
      </c>
      <c r="O31" s="11" t="s">
        <v>390</v>
      </c>
      <c r="P31" s="11" t="s">
        <v>373</v>
      </c>
      <c r="Q31" s="11" t="s">
        <v>376</v>
      </c>
      <c r="R31" s="11" t="s">
        <v>246</v>
      </c>
      <c r="S31" s="11" t="s">
        <v>46</v>
      </c>
      <c r="T31" s="11" t="s">
        <v>391</v>
      </c>
      <c r="U31" s="29" t="s">
        <v>392</v>
      </c>
    </row>
    <row r="32" spans="1:21" ht="110.4">
      <c r="A32" s="11" t="s">
        <v>393</v>
      </c>
      <c r="B32" s="11" t="s">
        <v>57</v>
      </c>
      <c r="C32" s="11">
        <v>1</v>
      </c>
      <c r="D32" s="11" t="s">
        <v>89</v>
      </c>
      <c r="E32" s="11" t="s">
        <v>394</v>
      </c>
      <c r="F32" s="11" t="s">
        <v>395</v>
      </c>
      <c r="G32" s="11" t="s">
        <v>396</v>
      </c>
      <c r="H32" s="11" t="s">
        <v>123</v>
      </c>
      <c r="I32" s="16">
        <v>1</v>
      </c>
      <c r="J32" s="11" t="s">
        <v>397</v>
      </c>
      <c r="K32" s="11" t="s">
        <v>398</v>
      </c>
      <c r="L32" s="11" t="s">
        <v>399</v>
      </c>
      <c r="M32" s="11" t="s">
        <v>400</v>
      </c>
      <c r="N32" s="11" t="s">
        <v>401</v>
      </c>
      <c r="O32" s="11" t="s">
        <v>402</v>
      </c>
      <c r="P32" s="11" t="s">
        <v>403</v>
      </c>
      <c r="Q32" s="11" t="s">
        <v>386</v>
      </c>
      <c r="R32" s="11" t="s">
        <v>404</v>
      </c>
      <c r="S32" s="11" t="s">
        <v>46</v>
      </c>
      <c r="T32" s="11"/>
      <c r="U32" s="29" t="s">
        <v>405</v>
      </c>
    </row>
    <row r="33" spans="1:21" ht="110.4">
      <c r="A33" s="11" t="s">
        <v>406</v>
      </c>
      <c r="B33" s="11" t="s">
        <v>57</v>
      </c>
      <c r="C33" s="11">
        <v>2</v>
      </c>
      <c r="D33" s="11" t="s">
        <v>89</v>
      </c>
      <c r="E33" s="11" t="s">
        <v>407</v>
      </c>
      <c r="F33" s="11" t="s">
        <v>408</v>
      </c>
      <c r="G33" s="11" t="s">
        <v>409</v>
      </c>
      <c r="H33" s="11" t="s">
        <v>123</v>
      </c>
      <c r="I33" s="16">
        <v>1.25</v>
      </c>
      <c r="J33" s="11" t="s">
        <v>397</v>
      </c>
      <c r="K33" s="11" t="s">
        <v>410</v>
      </c>
      <c r="L33" s="11" t="s">
        <v>411</v>
      </c>
      <c r="M33" s="11" t="s">
        <v>412</v>
      </c>
      <c r="N33" s="11" t="s">
        <v>413</v>
      </c>
      <c r="O33" s="11" t="s">
        <v>414</v>
      </c>
      <c r="P33" s="11" t="s">
        <v>415</v>
      </c>
      <c r="Q33" s="11" t="s">
        <v>393</v>
      </c>
      <c r="R33" s="11" t="s">
        <v>416</v>
      </c>
      <c r="S33" s="11" t="s">
        <v>46</v>
      </c>
      <c r="T33" s="11"/>
      <c r="U33" s="29" t="s">
        <v>417</v>
      </c>
    </row>
    <row r="34" spans="1:21" ht="96.6">
      <c r="A34" s="11" t="s">
        <v>418</v>
      </c>
      <c r="B34" s="11" t="s">
        <v>57</v>
      </c>
      <c r="C34" s="11">
        <v>3</v>
      </c>
      <c r="D34" s="11" t="s">
        <v>89</v>
      </c>
      <c r="E34" s="11" t="s">
        <v>419</v>
      </c>
      <c r="F34" s="11" t="s">
        <v>420</v>
      </c>
      <c r="G34" s="11" t="s">
        <v>421</v>
      </c>
      <c r="H34" s="11" t="s">
        <v>123</v>
      </c>
      <c r="I34" s="16">
        <v>0.75</v>
      </c>
      <c r="J34" s="11" t="s">
        <v>397</v>
      </c>
      <c r="K34" s="11" t="s">
        <v>101</v>
      </c>
      <c r="L34" s="11" t="s">
        <v>422</v>
      </c>
      <c r="M34" s="11" t="s">
        <v>423</v>
      </c>
      <c r="N34" s="11" t="s">
        <v>424</v>
      </c>
      <c r="O34" s="11" t="s">
        <v>425</v>
      </c>
      <c r="P34" s="11" t="s">
        <v>426</v>
      </c>
      <c r="Q34" s="11" t="s">
        <v>393</v>
      </c>
      <c r="R34" s="11" t="s">
        <v>427</v>
      </c>
      <c r="S34" s="11" t="s">
        <v>46</v>
      </c>
      <c r="T34" s="11"/>
      <c r="U34" s="29" t="s">
        <v>428</v>
      </c>
    </row>
    <row r="35" spans="1:21" ht="110.4">
      <c r="A35" s="11" t="s">
        <v>429</v>
      </c>
      <c r="B35" s="11" t="s">
        <v>57</v>
      </c>
      <c r="C35" s="11">
        <v>4</v>
      </c>
      <c r="D35" s="11" t="s">
        <v>89</v>
      </c>
      <c r="E35" s="11" t="s">
        <v>430</v>
      </c>
      <c r="F35" s="11" t="s">
        <v>431</v>
      </c>
      <c r="G35" s="11" t="s">
        <v>432</v>
      </c>
      <c r="H35" s="11" t="s">
        <v>123</v>
      </c>
      <c r="I35" s="16">
        <v>1.5</v>
      </c>
      <c r="J35" s="11" t="s">
        <v>397</v>
      </c>
      <c r="K35" s="11" t="s">
        <v>433</v>
      </c>
      <c r="L35" s="11" t="s">
        <v>434</v>
      </c>
      <c r="M35" s="11" t="s">
        <v>435</v>
      </c>
      <c r="N35" s="11" t="s">
        <v>436</v>
      </c>
      <c r="O35" s="11" t="s">
        <v>437</v>
      </c>
      <c r="P35" s="11" t="s">
        <v>426</v>
      </c>
      <c r="Q35" s="11" t="s">
        <v>438</v>
      </c>
      <c r="R35" s="11" t="s">
        <v>439</v>
      </c>
      <c r="S35" s="11" t="s">
        <v>46</v>
      </c>
      <c r="T35" s="11"/>
      <c r="U35" s="29" t="s">
        <v>440</v>
      </c>
    </row>
    <row r="36" spans="1:21" ht="110.4">
      <c r="A36" s="11" t="s">
        <v>441</v>
      </c>
      <c r="B36" s="11" t="s">
        <v>57</v>
      </c>
      <c r="C36" s="11">
        <v>5</v>
      </c>
      <c r="D36" s="11" t="s">
        <v>89</v>
      </c>
      <c r="E36" s="11" t="s">
        <v>442</v>
      </c>
      <c r="F36" s="11" t="s">
        <v>443</v>
      </c>
      <c r="G36" s="11" t="s">
        <v>444</v>
      </c>
      <c r="H36" s="11" t="s">
        <v>123</v>
      </c>
      <c r="I36" s="16">
        <v>1</v>
      </c>
      <c r="J36" s="11" t="s">
        <v>445</v>
      </c>
      <c r="K36" s="11" t="s">
        <v>446</v>
      </c>
      <c r="L36" s="11" t="s">
        <v>447</v>
      </c>
      <c r="M36" s="11" t="s">
        <v>448</v>
      </c>
      <c r="N36" s="11" t="s">
        <v>449</v>
      </c>
      <c r="O36" s="11" t="s">
        <v>450</v>
      </c>
      <c r="P36" s="11" t="s">
        <v>327</v>
      </c>
      <c r="Q36" s="11" t="s">
        <v>429</v>
      </c>
      <c r="R36" s="11" t="s">
        <v>451</v>
      </c>
      <c r="S36" s="11" t="s">
        <v>303</v>
      </c>
      <c r="T36" s="11"/>
      <c r="U36" s="29" t="s">
        <v>452</v>
      </c>
    </row>
    <row r="37" spans="1:21" ht="110.4">
      <c r="A37" s="11" t="s">
        <v>453</v>
      </c>
      <c r="B37" s="11" t="s">
        <v>57</v>
      </c>
      <c r="C37" s="11">
        <v>6</v>
      </c>
      <c r="D37" s="11" t="s">
        <v>89</v>
      </c>
      <c r="E37" s="11" t="s">
        <v>454</v>
      </c>
      <c r="F37" s="11" t="s">
        <v>455</v>
      </c>
      <c r="G37" s="11" t="s">
        <v>456</v>
      </c>
      <c r="H37" s="11" t="s">
        <v>93</v>
      </c>
      <c r="I37" s="16">
        <v>1.25</v>
      </c>
      <c r="J37" s="11" t="s">
        <v>457</v>
      </c>
      <c r="K37" s="11" t="s">
        <v>458</v>
      </c>
      <c r="L37" s="11" t="s">
        <v>459</v>
      </c>
      <c r="M37" s="11" t="s">
        <v>460</v>
      </c>
      <c r="N37" s="11" t="s">
        <v>461</v>
      </c>
      <c r="O37" s="11" t="s">
        <v>462</v>
      </c>
      <c r="P37" s="11" t="s">
        <v>164</v>
      </c>
      <c r="Q37" s="11" t="s">
        <v>341</v>
      </c>
      <c r="R37" s="11" t="s">
        <v>463</v>
      </c>
      <c r="S37" s="11" t="s">
        <v>303</v>
      </c>
      <c r="T37" s="11"/>
      <c r="U37" s="29" t="s">
        <v>464</v>
      </c>
    </row>
    <row r="38" spans="1:21" ht="110.4">
      <c r="A38" s="11" t="s">
        <v>465</v>
      </c>
      <c r="B38" s="11" t="s">
        <v>57</v>
      </c>
      <c r="C38" s="11">
        <v>7</v>
      </c>
      <c r="D38" s="11" t="s">
        <v>89</v>
      </c>
      <c r="E38" s="11" t="s">
        <v>466</v>
      </c>
      <c r="F38" s="11" t="s">
        <v>467</v>
      </c>
      <c r="G38" s="11" t="s">
        <v>468</v>
      </c>
      <c r="H38" s="11" t="s">
        <v>123</v>
      </c>
      <c r="I38" s="16">
        <v>1.5</v>
      </c>
      <c r="J38" s="11" t="s">
        <v>457</v>
      </c>
      <c r="K38" s="11" t="s">
        <v>469</v>
      </c>
      <c r="L38" s="11" t="s">
        <v>470</v>
      </c>
      <c r="M38" s="11" t="s">
        <v>2295</v>
      </c>
      <c r="N38" s="11" t="s">
        <v>471</v>
      </c>
      <c r="O38" s="11" t="s">
        <v>472</v>
      </c>
      <c r="P38" s="11" t="s">
        <v>164</v>
      </c>
      <c r="Q38" s="11" t="s">
        <v>473</v>
      </c>
      <c r="R38" s="11" t="s">
        <v>474</v>
      </c>
      <c r="S38" s="11" t="s">
        <v>303</v>
      </c>
      <c r="T38" s="11"/>
      <c r="U38" s="29" t="s">
        <v>475</v>
      </c>
    </row>
    <row r="39" spans="1:21" ht="110.4">
      <c r="A39" s="11" t="s">
        <v>476</v>
      </c>
      <c r="B39" s="11" t="s">
        <v>57</v>
      </c>
      <c r="C39" s="11">
        <v>8</v>
      </c>
      <c r="D39" s="11" t="s">
        <v>89</v>
      </c>
      <c r="E39" s="11" t="s">
        <v>477</v>
      </c>
      <c r="F39" s="11" t="s">
        <v>478</v>
      </c>
      <c r="G39" s="11" t="s">
        <v>479</v>
      </c>
      <c r="H39" s="11" t="s">
        <v>123</v>
      </c>
      <c r="I39" s="16">
        <v>1</v>
      </c>
      <c r="J39" s="11" t="s">
        <v>445</v>
      </c>
      <c r="K39" s="11" t="s">
        <v>334</v>
      </c>
      <c r="L39" s="11" t="s">
        <v>480</v>
      </c>
      <c r="M39" s="11" t="s">
        <v>481</v>
      </c>
      <c r="N39" s="11" t="s">
        <v>482</v>
      </c>
      <c r="O39" s="11" t="s">
        <v>483</v>
      </c>
      <c r="P39" s="11" t="s">
        <v>327</v>
      </c>
      <c r="Q39" s="11" t="s">
        <v>441</v>
      </c>
      <c r="R39" s="11" t="s">
        <v>484</v>
      </c>
      <c r="S39" s="11" t="s">
        <v>303</v>
      </c>
      <c r="T39" s="11"/>
      <c r="U39" s="29" t="s">
        <v>485</v>
      </c>
    </row>
    <row r="40" spans="1:21" ht="110.4">
      <c r="A40" s="11" t="s">
        <v>486</v>
      </c>
      <c r="B40" s="11" t="s">
        <v>57</v>
      </c>
      <c r="C40" s="11">
        <v>9</v>
      </c>
      <c r="D40" s="11" t="s">
        <v>89</v>
      </c>
      <c r="E40" s="11" t="s">
        <v>487</v>
      </c>
      <c r="F40" s="11" t="s">
        <v>488</v>
      </c>
      <c r="G40" s="11" t="s">
        <v>489</v>
      </c>
      <c r="H40" s="11" t="s">
        <v>123</v>
      </c>
      <c r="I40" s="16">
        <v>0.75</v>
      </c>
      <c r="J40" s="11" t="s">
        <v>490</v>
      </c>
      <c r="K40" s="11" t="s">
        <v>491</v>
      </c>
      <c r="L40" s="11" t="s">
        <v>492</v>
      </c>
      <c r="M40" s="11" t="s">
        <v>493</v>
      </c>
      <c r="N40" s="11" t="s">
        <v>494</v>
      </c>
      <c r="O40" s="11" t="s">
        <v>495</v>
      </c>
      <c r="P40" s="11" t="s">
        <v>496</v>
      </c>
      <c r="Q40" s="11" t="s">
        <v>429</v>
      </c>
      <c r="R40" s="11" t="s">
        <v>497</v>
      </c>
      <c r="S40" s="11" t="s">
        <v>303</v>
      </c>
      <c r="T40" s="11"/>
      <c r="U40" s="29" t="s">
        <v>498</v>
      </c>
    </row>
    <row r="41" spans="1:21" ht="110.4">
      <c r="A41" s="11" t="s">
        <v>499</v>
      </c>
      <c r="B41" s="11" t="s">
        <v>57</v>
      </c>
      <c r="C41" s="11">
        <v>10</v>
      </c>
      <c r="D41" s="11" t="s">
        <v>89</v>
      </c>
      <c r="E41" s="11" t="s">
        <v>500</v>
      </c>
      <c r="F41" s="11" t="s">
        <v>501</v>
      </c>
      <c r="G41" s="11" t="s">
        <v>502</v>
      </c>
      <c r="H41" s="11" t="s">
        <v>109</v>
      </c>
      <c r="I41" s="16">
        <v>0.75</v>
      </c>
      <c r="J41" s="11" t="s">
        <v>457</v>
      </c>
      <c r="K41" s="11" t="s">
        <v>503</v>
      </c>
      <c r="L41" s="11" t="s">
        <v>504</v>
      </c>
      <c r="M41" s="11" t="s">
        <v>505</v>
      </c>
      <c r="N41" s="11" t="s">
        <v>506</v>
      </c>
      <c r="O41" s="11" t="s">
        <v>507</v>
      </c>
      <c r="P41" s="11" t="s">
        <v>164</v>
      </c>
      <c r="Q41" s="11" t="s">
        <v>465</v>
      </c>
      <c r="R41" s="11" t="s">
        <v>508</v>
      </c>
      <c r="S41" s="11" t="s">
        <v>303</v>
      </c>
      <c r="T41" s="11"/>
      <c r="U41" s="29" t="s">
        <v>509</v>
      </c>
    </row>
    <row r="42" spans="1:21" ht="193.8">
      <c r="A42" s="11" t="s">
        <v>510</v>
      </c>
      <c r="B42" s="11" t="s">
        <v>57</v>
      </c>
      <c r="C42" s="11">
        <v>11</v>
      </c>
      <c r="D42" s="11" t="s">
        <v>89</v>
      </c>
      <c r="E42" s="11" t="s">
        <v>511</v>
      </c>
      <c r="F42" s="11" t="s">
        <v>512</v>
      </c>
      <c r="G42" s="11" t="s">
        <v>513</v>
      </c>
      <c r="H42" s="11" t="s">
        <v>109</v>
      </c>
      <c r="I42" s="16">
        <v>1</v>
      </c>
      <c r="J42" s="11" t="s">
        <v>514</v>
      </c>
      <c r="K42" s="11" t="s">
        <v>101</v>
      </c>
      <c r="L42" s="11" t="s">
        <v>515</v>
      </c>
      <c r="M42" s="11" t="s">
        <v>2333</v>
      </c>
      <c r="N42" s="11" t="s">
        <v>516</v>
      </c>
      <c r="O42" s="11" t="s">
        <v>517</v>
      </c>
      <c r="P42" s="11" t="s">
        <v>518</v>
      </c>
      <c r="Q42" s="11" t="s">
        <v>499</v>
      </c>
      <c r="R42" s="11" t="s">
        <v>519</v>
      </c>
      <c r="S42" s="11" t="s">
        <v>303</v>
      </c>
      <c r="T42" s="11"/>
      <c r="U42" s="29" t="s">
        <v>520</v>
      </c>
    </row>
    <row r="43" spans="1:21" ht="193.8">
      <c r="A43" s="11" t="s">
        <v>521</v>
      </c>
      <c r="B43" s="11" t="s">
        <v>57</v>
      </c>
      <c r="C43" s="11">
        <v>12</v>
      </c>
      <c r="D43" s="11" t="s">
        <v>89</v>
      </c>
      <c r="E43" s="11" t="s">
        <v>226</v>
      </c>
      <c r="F43" s="11" t="s">
        <v>522</v>
      </c>
      <c r="G43" s="11" t="s">
        <v>523</v>
      </c>
      <c r="H43" s="11" t="s">
        <v>93</v>
      </c>
      <c r="I43" s="16">
        <v>0.75</v>
      </c>
      <c r="J43" s="11" t="s">
        <v>2334</v>
      </c>
      <c r="K43" s="11" t="s">
        <v>524</v>
      </c>
      <c r="L43" s="11" t="s">
        <v>525</v>
      </c>
      <c r="M43" s="11" t="s">
        <v>2335</v>
      </c>
      <c r="N43" s="11" t="s">
        <v>526</v>
      </c>
      <c r="O43" s="11" t="s">
        <v>527</v>
      </c>
      <c r="P43" s="11" t="s">
        <v>115</v>
      </c>
      <c r="Q43" s="11" t="s">
        <v>528</v>
      </c>
      <c r="R43" s="11" t="s">
        <v>529</v>
      </c>
      <c r="S43" s="11" t="s">
        <v>303</v>
      </c>
      <c r="T43" s="11"/>
      <c r="U43" s="29" t="s">
        <v>530</v>
      </c>
    </row>
    <row r="44" spans="1:21" ht="69">
      <c r="A44" s="11" t="s">
        <v>531</v>
      </c>
      <c r="B44" s="11" t="s">
        <v>57</v>
      </c>
      <c r="C44" s="11">
        <v>13</v>
      </c>
      <c r="D44" s="11" t="s">
        <v>89</v>
      </c>
      <c r="E44" s="11" t="s">
        <v>238</v>
      </c>
      <c r="F44" s="11" t="s">
        <v>532</v>
      </c>
      <c r="G44" s="11" t="s">
        <v>533</v>
      </c>
      <c r="H44" s="11" t="s">
        <v>109</v>
      </c>
      <c r="I44" s="16">
        <v>1</v>
      </c>
      <c r="J44" s="11" t="s">
        <v>241</v>
      </c>
      <c r="K44" s="11" t="s">
        <v>101</v>
      </c>
      <c r="L44" s="11" t="s">
        <v>534</v>
      </c>
      <c r="M44" s="11" t="s">
        <v>2316</v>
      </c>
      <c r="N44" s="11" t="s">
        <v>243</v>
      </c>
      <c r="O44" s="11" t="s">
        <v>535</v>
      </c>
      <c r="P44" s="11" t="s">
        <v>536</v>
      </c>
      <c r="Q44" s="11" t="s">
        <v>521</v>
      </c>
      <c r="R44" s="11" t="s">
        <v>246</v>
      </c>
      <c r="S44" s="11" t="s">
        <v>303</v>
      </c>
      <c r="T44" s="11" t="s">
        <v>537</v>
      </c>
      <c r="U44" s="29" t="s">
        <v>538</v>
      </c>
    </row>
    <row r="45" spans="1:21" ht="110.4" hidden="1">
      <c r="A45" s="11" t="s">
        <v>539</v>
      </c>
      <c r="B45" s="11" t="s">
        <v>58</v>
      </c>
      <c r="C45" s="11">
        <v>1</v>
      </c>
      <c r="D45" s="11" t="s">
        <v>89</v>
      </c>
      <c r="E45" s="11" t="s">
        <v>540</v>
      </c>
      <c r="F45" s="11" t="s">
        <v>541</v>
      </c>
      <c r="G45" s="11" t="s">
        <v>542</v>
      </c>
      <c r="H45" s="11" t="s">
        <v>123</v>
      </c>
      <c r="I45" s="16">
        <v>1.5</v>
      </c>
      <c r="J45" s="11" t="s">
        <v>543</v>
      </c>
      <c r="K45" s="11" t="s">
        <v>334</v>
      </c>
      <c r="L45" s="11" t="s">
        <v>544</v>
      </c>
      <c r="M45" s="11" t="s">
        <v>545</v>
      </c>
      <c r="N45" s="11" t="s">
        <v>546</v>
      </c>
      <c r="O45" s="11" t="s">
        <v>547</v>
      </c>
      <c r="P45" s="11" t="s">
        <v>548</v>
      </c>
      <c r="Q45" s="11" t="s">
        <v>531</v>
      </c>
      <c r="R45" s="11" t="s">
        <v>549</v>
      </c>
      <c r="S45" s="11" t="s">
        <v>303</v>
      </c>
      <c r="T45" s="11"/>
      <c r="U45" s="29" t="s">
        <v>550</v>
      </c>
    </row>
    <row r="46" spans="1:21" ht="110.4" hidden="1">
      <c r="A46" s="11" t="s">
        <v>551</v>
      </c>
      <c r="B46" s="11" t="s">
        <v>58</v>
      </c>
      <c r="C46" s="11">
        <v>2</v>
      </c>
      <c r="D46" s="11" t="s">
        <v>89</v>
      </c>
      <c r="E46" s="11" t="s">
        <v>331</v>
      </c>
      <c r="F46" s="11" t="s">
        <v>552</v>
      </c>
      <c r="G46" s="11" t="s">
        <v>553</v>
      </c>
      <c r="H46" s="11" t="s">
        <v>123</v>
      </c>
      <c r="I46" s="16">
        <v>1</v>
      </c>
      <c r="J46" s="11" t="s">
        <v>543</v>
      </c>
      <c r="K46" s="11" t="s">
        <v>334</v>
      </c>
      <c r="L46" s="11" t="s">
        <v>554</v>
      </c>
      <c r="M46" s="11" t="s">
        <v>555</v>
      </c>
      <c r="N46" s="11" t="s">
        <v>556</v>
      </c>
      <c r="O46" s="11" t="s">
        <v>557</v>
      </c>
      <c r="P46" s="11" t="s">
        <v>327</v>
      </c>
      <c r="Q46" s="11" t="s">
        <v>539</v>
      </c>
      <c r="R46" s="11" t="s">
        <v>558</v>
      </c>
      <c r="S46" s="11" t="s">
        <v>303</v>
      </c>
      <c r="T46" s="11"/>
      <c r="U46" s="29" t="s">
        <v>559</v>
      </c>
    </row>
    <row r="47" spans="1:21" ht="110.4" hidden="1">
      <c r="A47" s="11" t="s">
        <v>560</v>
      </c>
      <c r="B47" s="11" t="s">
        <v>58</v>
      </c>
      <c r="C47" s="11">
        <v>3</v>
      </c>
      <c r="D47" s="11" t="s">
        <v>89</v>
      </c>
      <c r="E47" s="11" t="s">
        <v>561</v>
      </c>
      <c r="F47" s="11" t="s">
        <v>562</v>
      </c>
      <c r="G47" s="11" t="s">
        <v>563</v>
      </c>
      <c r="H47" s="11" t="s">
        <v>123</v>
      </c>
      <c r="I47" s="16">
        <v>1.25</v>
      </c>
      <c r="J47" s="11" t="s">
        <v>564</v>
      </c>
      <c r="K47" s="11" t="s">
        <v>524</v>
      </c>
      <c r="L47" s="11" t="s">
        <v>565</v>
      </c>
      <c r="M47" s="11" t="s">
        <v>566</v>
      </c>
      <c r="N47" s="11" t="s">
        <v>567</v>
      </c>
      <c r="O47" s="11" t="s">
        <v>568</v>
      </c>
      <c r="P47" s="11" t="s">
        <v>569</v>
      </c>
      <c r="Q47" s="11" t="s">
        <v>551</v>
      </c>
      <c r="R47" s="11" t="s">
        <v>570</v>
      </c>
      <c r="S47" s="11" t="s">
        <v>303</v>
      </c>
      <c r="T47" s="11"/>
      <c r="U47" s="29" t="s">
        <v>571</v>
      </c>
    </row>
    <row r="48" spans="1:21" ht="96.6" hidden="1">
      <c r="A48" s="11" t="s">
        <v>572</v>
      </c>
      <c r="B48" s="11" t="s">
        <v>58</v>
      </c>
      <c r="C48" s="11">
        <v>4</v>
      </c>
      <c r="D48" s="11" t="s">
        <v>89</v>
      </c>
      <c r="E48" s="11" t="s">
        <v>573</v>
      </c>
      <c r="F48" s="11" t="s">
        <v>574</v>
      </c>
      <c r="G48" s="11" t="s">
        <v>575</v>
      </c>
      <c r="H48" s="11" t="s">
        <v>123</v>
      </c>
      <c r="I48" s="16">
        <v>0.75</v>
      </c>
      <c r="J48" s="11" t="s">
        <v>564</v>
      </c>
      <c r="K48" s="11" t="s">
        <v>101</v>
      </c>
      <c r="L48" s="11" t="s">
        <v>576</v>
      </c>
      <c r="M48" s="11" t="s">
        <v>577</v>
      </c>
      <c r="N48" s="11" t="s">
        <v>578</v>
      </c>
      <c r="O48" s="11" t="s">
        <v>579</v>
      </c>
      <c r="P48" s="11" t="s">
        <v>569</v>
      </c>
      <c r="Q48" s="11" t="s">
        <v>560</v>
      </c>
      <c r="R48" s="11" t="s">
        <v>580</v>
      </c>
      <c r="S48" s="11" t="s">
        <v>303</v>
      </c>
      <c r="T48" s="11"/>
      <c r="U48" s="29" t="s">
        <v>581</v>
      </c>
    </row>
    <row r="49" spans="1:21" ht="96.6" hidden="1">
      <c r="A49" s="11" t="s">
        <v>582</v>
      </c>
      <c r="B49" s="11" t="s">
        <v>58</v>
      </c>
      <c r="C49" s="11">
        <v>5</v>
      </c>
      <c r="D49" s="11" t="s">
        <v>89</v>
      </c>
      <c r="E49" s="11" t="s">
        <v>583</v>
      </c>
      <c r="F49" s="11" t="s">
        <v>584</v>
      </c>
      <c r="G49" s="11" t="s">
        <v>585</v>
      </c>
      <c r="H49" s="11" t="s">
        <v>123</v>
      </c>
      <c r="I49" s="16">
        <v>1.25</v>
      </c>
      <c r="J49" s="11" t="s">
        <v>564</v>
      </c>
      <c r="K49" s="11" t="s">
        <v>524</v>
      </c>
      <c r="L49" s="11" t="s">
        <v>586</v>
      </c>
      <c r="M49" s="11" t="s">
        <v>587</v>
      </c>
      <c r="N49" s="11" t="s">
        <v>588</v>
      </c>
      <c r="O49" s="11" t="s">
        <v>589</v>
      </c>
      <c r="P49" s="11" t="s">
        <v>590</v>
      </c>
      <c r="Q49" s="11" t="s">
        <v>591</v>
      </c>
      <c r="R49" s="11" t="s">
        <v>592</v>
      </c>
      <c r="S49" s="11" t="s">
        <v>303</v>
      </c>
      <c r="T49" s="11"/>
      <c r="U49" s="29" t="s">
        <v>593</v>
      </c>
    </row>
    <row r="50" spans="1:21" ht="110.4" hidden="1">
      <c r="A50" s="11" t="s">
        <v>594</v>
      </c>
      <c r="B50" s="11" t="s">
        <v>58</v>
      </c>
      <c r="C50" s="11">
        <v>6</v>
      </c>
      <c r="D50" s="11" t="s">
        <v>89</v>
      </c>
      <c r="E50" s="11" t="s">
        <v>595</v>
      </c>
      <c r="F50" s="11" t="s">
        <v>596</v>
      </c>
      <c r="G50" s="11" t="s">
        <v>597</v>
      </c>
      <c r="H50" s="11" t="s">
        <v>123</v>
      </c>
      <c r="I50" s="16">
        <v>1</v>
      </c>
      <c r="J50" s="11" t="s">
        <v>564</v>
      </c>
      <c r="K50" s="11" t="s">
        <v>598</v>
      </c>
      <c r="L50" s="11" t="s">
        <v>599</v>
      </c>
      <c r="M50" s="11" t="s">
        <v>600</v>
      </c>
      <c r="N50" s="11" t="s">
        <v>601</v>
      </c>
      <c r="O50" s="11" t="s">
        <v>602</v>
      </c>
      <c r="P50" s="11" t="s">
        <v>569</v>
      </c>
      <c r="Q50" s="11" t="s">
        <v>560</v>
      </c>
      <c r="R50" s="11" t="s">
        <v>603</v>
      </c>
      <c r="S50" s="11" t="s">
        <v>303</v>
      </c>
      <c r="T50" s="11"/>
      <c r="U50" s="29" t="s">
        <v>604</v>
      </c>
    </row>
    <row r="51" spans="1:21" ht="96.6" hidden="1">
      <c r="A51" s="11" t="s">
        <v>605</v>
      </c>
      <c r="B51" s="11" t="s">
        <v>58</v>
      </c>
      <c r="C51" s="11">
        <v>7</v>
      </c>
      <c r="D51" s="11" t="s">
        <v>89</v>
      </c>
      <c r="E51" s="11" t="s">
        <v>606</v>
      </c>
      <c r="F51" s="11" t="s">
        <v>607</v>
      </c>
      <c r="G51" s="11" t="s">
        <v>608</v>
      </c>
      <c r="H51" s="11" t="s">
        <v>123</v>
      </c>
      <c r="I51" s="16">
        <v>0.75</v>
      </c>
      <c r="J51" s="11" t="s">
        <v>564</v>
      </c>
      <c r="K51" s="11" t="s">
        <v>609</v>
      </c>
      <c r="L51" s="11" t="s">
        <v>610</v>
      </c>
      <c r="M51" s="11" t="s">
        <v>611</v>
      </c>
      <c r="N51" s="11" t="s">
        <v>612</v>
      </c>
      <c r="O51" s="11" t="s">
        <v>613</v>
      </c>
      <c r="P51" s="11" t="s">
        <v>327</v>
      </c>
      <c r="Q51" s="11" t="s">
        <v>582</v>
      </c>
      <c r="R51" s="11" t="s">
        <v>614</v>
      </c>
      <c r="S51" s="11" t="s">
        <v>303</v>
      </c>
      <c r="T51" s="11"/>
      <c r="U51" s="29" t="s">
        <v>615</v>
      </c>
    </row>
    <row r="52" spans="1:21" ht="110.4" hidden="1">
      <c r="A52" s="11" t="s">
        <v>616</v>
      </c>
      <c r="B52" s="11" t="s">
        <v>58</v>
      </c>
      <c r="C52" s="11">
        <v>8</v>
      </c>
      <c r="D52" s="11" t="s">
        <v>89</v>
      </c>
      <c r="E52" s="11" t="s">
        <v>617</v>
      </c>
      <c r="F52" s="11" t="s">
        <v>618</v>
      </c>
      <c r="G52" s="11" t="s">
        <v>619</v>
      </c>
      <c r="H52" s="11" t="s">
        <v>123</v>
      </c>
      <c r="I52" s="16">
        <v>1</v>
      </c>
      <c r="J52" s="11" t="s">
        <v>490</v>
      </c>
      <c r="K52" s="11" t="s">
        <v>491</v>
      </c>
      <c r="L52" s="11" t="s">
        <v>620</v>
      </c>
      <c r="M52" s="11" t="s">
        <v>621</v>
      </c>
      <c r="N52" s="11" t="s">
        <v>622</v>
      </c>
      <c r="O52" s="11" t="s">
        <v>623</v>
      </c>
      <c r="P52" s="11" t="s">
        <v>496</v>
      </c>
      <c r="Q52" s="11" t="s">
        <v>624</v>
      </c>
      <c r="R52" s="11" t="s">
        <v>625</v>
      </c>
      <c r="S52" s="11" t="s">
        <v>303</v>
      </c>
      <c r="T52" s="11"/>
      <c r="U52" s="29" t="s">
        <v>626</v>
      </c>
    </row>
    <row r="53" spans="1:21" ht="110.4" hidden="1">
      <c r="A53" s="11" t="s">
        <v>627</v>
      </c>
      <c r="B53" s="11" t="s">
        <v>58</v>
      </c>
      <c r="C53" s="11">
        <v>9</v>
      </c>
      <c r="D53" s="11" t="s">
        <v>89</v>
      </c>
      <c r="E53" s="11" t="s">
        <v>628</v>
      </c>
      <c r="F53" s="11" t="s">
        <v>629</v>
      </c>
      <c r="G53" s="11" t="s">
        <v>630</v>
      </c>
      <c r="H53" s="11" t="s">
        <v>123</v>
      </c>
      <c r="I53" s="16">
        <v>1</v>
      </c>
      <c r="J53" s="11" t="s">
        <v>564</v>
      </c>
      <c r="K53" s="11" t="s">
        <v>101</v>
      </c>
      <c r="L53" s="11" t="s">
        <v>631</v>
      </c>
      <c r="M53" s="11" t="s">
        <v>632</v>
      </c>
      <c r="N53" s="11" t="s">
        <v>633</v>
      </c>
      <c r="O53" s="11" t="s">
        <v>634</v>
      </c>
      <c r="P53" s="11" t="s">
        <v>635</v>
      </c>
      <c r="Q53" s="11" t="s">
        <v>636</v>
      </c>
      <c r="R53" s="11" t="s">
        <v>637</v>
      </c>
      <c r="S53" s="11" t="s">
        <v>303</v>
      </c>
      <c r="T53" s="11"/>
      <c r="U53" s="29" t="s">
        <v>638</v>
      </c>
    </row>
    <row r="54" spans="1:21" ht="110.4" hidden="1">
      <c r="A54" s="11" t="s">
        <v>639</v>
      </c>
      <c r="B54" s="11" t="s">
        <v>58</v>
      </c>
      <c r="C54" s="11">
        <v>10</v>
      </c>
      <c r="D54" s="11" t="s">
        <v>365</v>
      </c>
      <c r="E54" s="11" t="s">
        <v>640</v>
      </c>
      <c r="F54" s="11" t="s">
        <v>641</v>
      </c>
      <c r="G54" s="11" t="s">
        <v>642</v>
      </c>
      <c r="H54" s="11" t="s">
        <v>123</v>
      </c>
      <c r="I54" s="16">
        <v>0.75</v>
      </c>
      <c r="J54" s="11" t="s">
        <v>543</v>
      </c>
      <c r="K54" s="11" t="s">
        <v>598</v>
      </c>
      <c r="L54" s="11" t="s">
        <v>643</v>
      </c>
      <c r="M54" s="11" t="s">
        <v>644</v>
      </c>
      <c r="N54" s="11" t="s">
        <v>645</v>
      </c>
      <c r="O54" s="11" t="s">
        <v>646</v>
      </c>
      <c r="P54" s="11" t="s">
        <v>647</v>
      </c>
      <c r="Q54" s="11" t="s">
        <v>648</v>
      </c>
      <c r="R54" s="11" t="s">
        <v>649</v>
      </c>
      <c r="S54" s="11" t="s">
        <v>303</v>
      </c>
      <c r="T54" s="11"/>
      <c r="U54" s="29" t="s">
        <v>650</v>
      </c>
    </row>
    <row r="55" spans="1:21" ht="193.8" hidden="1">
      <c r="A55" s="11" t="s">
        <v>651</v>
      </c>
      <c r="B55" s="11" t="s">
        <v>58</v>
      </c>
      <c r="C55" s="11">
        <v>11</v>
      </c>
      <c r="D55" s="11" t="s">
        <v>89</v>
      </c>
      <c r="E55" s="11" t="s">
        <v>652</v>
      </c>
      <c r="F55" s="11" t="s">
        <v>653</v>
      </c>
      <c r="G55" s="11" t="s">
        <v>654</v>
      </c>
      <c r="H55" s="11" t="s">
        <v>109</v>
      </c>
      <c r="I55" s="16">
        <v>1</v>
      </c>
      <c r="J55" s="11" t="s">
        <v>655</v>
      </c>
      <c r="K55" s="11" t="s">
        <v>101</v>
      </c>
      <c r="L55" s="11" t="s">
        <v>656</v>
      </c>
      <c r="M55" s="11" t="s">
        <v>2336</v>
      </c>
      <c r="N55" s="11" t="s">
        <v>657</v>
      </c>
      <c r="O55" s="11" t="s">
        <v>658</v>
      </c>
      <c r="P55" s="11" t="s">
        <v>518</v>
      </c>
      <c r="Q55" s="11" t="s">
        <v>659</v>
      </c>
      <c r="R55" s="11" t="s">
        <v>660</v>
      </c>
      <c r="S55" s="11" t="s">
        <v>303</v>
      </c>
      <c r="T55" s="11"/>
      <c r="U55" s="29" t="s">
        <v>661</v>
      </c>
    </row>
    <row r="56" spans="1:21" ht="193.8" hidden="1">
      <c r="A56" s="11" t="s">
        <v>662</v>
      </c>
      <c r="B56" s="11" t="s">
        <v>58</v>
      </c>
      <c r="C56" s="11">
        <v>12</v>
      </c>
      <c r="D56" s="11" t="s">
        <v>89</v>
      </c>
      <c r="E56" s="11" t="s">
        <v>226</v>
      </c>
      <c r="F56" s="11" t="s">
        <v>663</v>
      </c>
      <c r="G56" s="11" t="s">
        <v>664</v>
      </c>
      <c r="H56" s="11" t="s">
        <v>93</v>
      </c>
      <c r="I56" s="16">
        <v>0.75</v>
      </c>
      <c r="J56" s="11" t="s">
        <v>2337</v>
      </c>
      <c r="K56" s="11" t="s">
        <v>665</v>
      </c>
      <c r="L56" s="11" t="s">
        <v>666</v>
      </c>
      <c r="M56" s="11" t="s">
        <v>2338</v>
      </c>
      <c r="N56" s="11" t="s">
        <v>667</v>
      </c>
      <c r="O56" s="11" t="s">
        <v>668</v>
      </c>
      <c r="P56" s="11" t="s">
        <v>115</v>
      </c>
      <c r="Q56" s="11" t="s">
        <v>669</v>
      </c>
      <c r="R56" s="11" t="s">
        <v>670</v>
      </c>
      <c r="S56" s="11" t="s">
        <v>303</v>
      </c>
      <c r="T56" s="11"/>
      <c r="U56" s="29" t="s">
        <v>671</v>
      </c>
    </row>
    <row r="57" spans="1:21" ht="69" hidden="1">
      <c r="A57" s="11" t="s">
        <v>672</v>
      </c>
      <c r="B57" s="11" t="s">
        <v>58</v>
      </c>
      <c r="C57" s="11">
        <v>13</v>
      </c>
      <c r="D57" s="11" t="s">
        <v>89</v>
      </c>
      <c r="E57" s="11" t="s">
        <v>238</v>
      </c>
      <c r="F57" s="11" t="s">
        <v>673</v>
      </c>
      <c r="G57" s="11" t="s">
        <v>674</v>
      </c>
      <c r="H57" s="11" t="s">
        <v>109</v>
      </c>
      <c r="I57" s="16">
        <v>1</v>
      </c>
      <c r="J57" s="11" t="s">
        <v>241</v>
      </c>
      <c r="K57" s="11" t="s">
        <v>101</v>
      </c>
      <c r="L57" s="11" t="s">
        <v>675</v>
      </c>
      <c r="M57" s="11" t="s">
        <v>2317</v>
      </c>
      <c r="N57" s="11" t="s">
        <v>243</v>
      </c>
      <c r="O57" s="11" t="s">
        <v>676</v>
      </c>
      <c r="P57" s="11" t="s">
        <v>677</v>
      </c>
      <c r="Q57" s="11" t="s">
        <v>662</v>
      </c>
      <c r="R57" s="11" t="s">
        <v>246</v>
      </c>
      <c r="S57" s="11" t="s">
        <v>303</v>
      </c>
      <c r="T57" s="11" t="s">
        <v>678</v>
      </c>
      <c r="U57" s="29" t="s">
        <v>679</v>
      </c>
    </row>
    <row r="58" spans="1:21" ht="96.6" hidden="1">
      <c r="A58" s="11" t="s">
        <v>680</v>
      </c>
      <c r="B58" s="11" t="s">
        <v>59</v>
      </c>
      <c r="C58" s="11">
        <v>1</v>
      </c>
      <c r="D58" s="11" t="s">
        <v>89</v>
      </c>
      <c r="E58" s="11" t="s">
        <v>681</v>
      </c>
      <c r="F58" s="11" t="s">
        <v>682</v>
      </c>
      <c r="G58" s="11" t="s">
        <v>683</v>
      </c>
      <c r="H58" s="11" t="s">
        <v>93</v>
      </c>
      <c r="I58" s="16">
        <v>1</v>
      </c>
      <c r="J58" s="11" t="s">
        <v>684</v>
      </c>
      <c r="K58" s="11" t="s">
        <v>685</v>
      </c>
      <c r="L58" s="11" t="s">
        <v>686</v>
      </c>
      <c r="M58" s="11" t="s">
        <v>687</v>
      </c>
      <c r="N58" s="11" t="s">
        <v>688</v>
      </c>
      <c r="O58" s="11" t="s">
        <v>689</v>
      </c>
      <c r="P58" s="11" t="s">
        <v>175</v>
      </c>
      <c r="Q58" s="11" t="s">
        <v>672</v>
      </c>
      <c r="R58" s="11" t="s">
        <v>690</v>
      </c>
      <c r="S58" s="11" t="s">
        <v>303</v>
      </c>
      <c r="T58" s="11"/>
      <c r="U58" s="29" t="s">
        <v>691</v>
      </c>
    </row>
    <row r="59" spans="1:21" ht="193.8" hidden="1">
      <c r="A59" s="11" t="s">
        <v>692</v>
      </c>
      <c r="B59" s="11" t="s">
        <v>59</v>
      </c>
      <c r="C59" s="11">
        <v>2</v>
      </c>
      <c r="D59" s="11" t="s">
        <v>89</v>
      </c>
      <c r="E59" s="11" t="s">
        <v>693</v>
      </c>
      <c r="F59" s="11" t="s">
        <v>694</v>
      </c>
      <c r="G59" s="11" t="s">
        <v>695</v>
      </c>
      <c r="H59" s="11" t="s">
        <v>123</v>
      </c>
      <c r="I59" s="16">
        <v>1.25</v>
      </c>
      <c r="J59" s="11" t="s">
        <v>696</v>
      </c>
      <c r="K59" s="11" t="s">
        <v>194</v>
      </c>
      <c r="L59" s="11" t="s">
        <v>697</v>
      </c>
      <c r="M59" s="11" t="s">
        <v>2339</v>
      </c>
      <c r="N59" s="11" t="s">
        <v>698</v>
      </c>
      <c r="O59" s="11" t="s">
        <v>699</v>
      </c>
      <c r="P59" s="11" t="s">
        <v>198</v>
      </c>
      <c r="Q59" s="11" t="s">
        <v>680</v>
      </c>
      <c r="R59" s="11" t="s">
        <v>700</v>
      </c>
      <c r="S59" s="11" t="s">
        <v>303</v>
      </c>
      <c r="T59" s="11"/>
      <c r="U59" s="29" t="s">
        <v>701</v>
      </c>
    </row>
    <row r="60" spans="1:21" ht="193.8" hidden="1">
      <c r="A60" s="11" t="s">
        <v>702</v>
      </c>
      <c r="B60" s="11" t="s">
        <v>59</v>
      </c>
      <c r="C60" s="11">
        <v>3</v>
      </c>
      <c r="D60" s="11" t="s">
        <v>89</v>
      </c>
      <c r="E60" s="11" t="s">
        <v>703</v>
      </c>
      <c r="F60" s="11" t="s">
        <v>704</v>
      </c>
      <c r="G60" s="11" t="s">
        <v>705</v>
      </c>
      <c r="H60" s="11" t="s">
        <v>123</v>
      </c>
      <c r="I60" s="16">
        <v>1.25</v>
      </c>
      <c r="J60" s="11" t="s">
        <v>696</v>
      </c>
      <c r="K60" s="11" t="s">
        <v>706</v>
      </c>
      <c r="L60" s="11" t="s">
        <v>707</v>
      </c>
      <c r="M60" s="11" t="s">
        <v>2340</v>
      </c>
      <c r="N60" s="11" t="s">
        <v>708</v>
      </c>
      <c r="O60" s="11" t="s">
        <v>709</v>
      </c>
      <c r="P60" s="11" t="s">
        <v>710</v>
      </c>
      <c r="Q60" s="11" t="s">
        <v>711</v>
      </c>
      <c r="R60" s="11" t="s">
        <v>712</v>
      </c>
      <c r="S60" s="11" t="s">
        <v>303</v>
      </c>
      <c r="T60" s="11"/>
      <c r="U60" s="29" t="s">
        <v>713</v>
      </c>
    </row>
    <row r="61" spans="1:21" ht="193.8" hidden="1">
      <c r="A61" s="11" t="s">
        <v>714</v>
      </c>
      <c r="B61" s="11" t="s">
        <v>59</v>
      </c>
      <c r="C61" s="11">
        <v>4</v>
      </c>
      <c r="D61" s="11" t="s">
        <v>89</v>
      </c>
      <c r="E61" s="11" t="s">
        <v>715</v>
      </c>
      <c r="F61" s="11" t="s">
        <v>716</v>
      </c>
      <c r="G61" s="11" t="s">
        <v>717</v>
      </c>
      <c r="H61" s="11" t="s">
        <v>123</v>
      </c>
      <c r="I61" s="16">
        <v>1.25</v>
      </c>
      <c r="J61" s="11" t="s">
        <v>696</v>
      </c>
      <c r="K61" s="11" t="s">
        <v>718</v>
      </c>
      <c r="L61" s="11" t="s">
        <v>719</v>
      </c>
      <c r="M61" s="11" t="s">
        <v>2341</v>
      </c>
      <c r="N61" s="11" t="s">
        <v>720</v>
      </c>
      <c r="O61" s="11" t="s">
        <v>721</v>
      </c>
      <c r="P61" s="11" t="s">
        <v>722</v>
      </c>
      <c r="Q61" s="11" t="s">
        <v>680</v>
      </c>
      <c r="R61" s="11" t="s">
        <v>723</v>
      </c>
      <c r="S61" s="11" t="s">
        <v>303</v>
      </c>
      <c r="T61" s="11"/>
      <c r="U61" s="29" t="s">
        <v>724</v>
      </c>
    </row>
    <row r="62" spans="1:21" ht="110.4" hidden="1">
      <c r="A62" s="11" t="s">
        <v>725</v>
      </c>
      <c r="B62" s="11" t="s">
        <v>59</v>
      </c>
      <c r="C62" s="11">
        <v>5</v>
      </c>
      <c r="D62" s="11" t="s">
        <v>89</v>
      </c>
      <c r="E62" s="11" t="s">
        <v>726</v>
      </c>
      <c r="F62" s="11" t="s">
        <v>727</v>
      </c>
      <c r="G62" s="11" t="s">
        <v>728</v>
      </c>
      <c r="H62" s="11" t="s">
        <v>123</v>
      </c>
      <c r="I62" s="16">
        <v>1.5</v>
      </c>
      <c r="J62" s="11" t="s">
        <v>696</v>
      </c>
      <c r="K62" s="11" t="s">
        <v>729</v>
      </c>
      <c r="L62" s="11" t="s">
        <v>730</v>
      </c>
      <c r="M62" s="11" t="s">
        <v>731</v>
      </c>
      <c r="N62" s="11" t="s">
        <v>732</v>
      </c>
      <c r="O62" s="11" t="s">
        <v>733</v>
      </c>
      <c r="P62" s="11" t="s">
        <v>734</v>
      </c>
      <c r="Q62" s="11" t="s">
        <v>735</v>
      </c>
      <c r="R62" s="11" t="s">
        <v>736</v>
      </c>
      <c r="S62" s="11" t="s">
        <v>303</v>
      </c>
      <c r="T62" s="11"/>
      <c r="U62" s="29" t="s">
        <v>737</v>
      </c>
    </row>
    <row r="63" spans="1:21" ht="193.8" hidden="1">
      <c r="A63" s="11" t="s">
        <v>738</v>
      </c>
      <c r="B63" s="11" t="s">
        <v>59</v>
      </c>
      <c r="C63" s="11">
        <v>6</v>
      </c>
      <c r="D63" s="11" t="s">
        <v>89</v>
      </c>
      <c r="E63" s="11" t="s">
        <v>739</v>
      </c>
      <c r="F63" s="11" t="s">
        <v>740</v>
      </c>
      <c r="G63" s="11" t="s">
        <v>741</v>
      </c>
      <c r="H63" s="11" t="s">
        <v>123</v>
      </c>
      <c r="I63" s="16">
        <v>1</v>
      </c>
      <c r="J63" s="11" t="s">
        <v>742</v>
      </c>
      <c r="K63" s="11" t="s">
        <v>743</v>
      </c>
      <c r="L63" s="11" t="s">
        <v>744</v>
      </c>
      <c r="M63" s="11" t="s">
        <v>2342</v>
      </c>
      <c r="N63" s="11" t="s">
        <v>745</v>
      </c>
      <c r="O63" s="11" t="s">
        <v>746</v>
      </c>
      <c r="P63" s="11" t="s">
        <v>747</v>
      </c>
      <c r="Q63" s="11" t="s">
        <v>748</v>
      </c>
      <c r="R63" s="11" t="s">
        <v>749</v>
      </c>
      <c r="S63" s="11" t="s">
        <v>303</v>
      </c>
      <c r="T63" s="11"/>
      <c r="U63" s="29" t="s">
        <v>750</v>
      </c>
    </row>
    <row r="64" spans="1:21" ht="110.4" hidden="1">
      <c r="A64" s="11" t="s">
        <v>751</v>
      </c>
      <c r="B64" s="11" t="s">
        <v>59</v>
      </c>
      <c r="C64" s="11">
        <v>7</v>
      </c>
      <c r="D64" s="11" t="s">
        <v>89</v>
      </c>
      <c r="E64" s="11" t="s">
        <v>752</v>
      </c>
      <c r="F64" s="11" t="s">
        <v>753</v>
      </c>
      <c r="G64" s="11" t="s">
        <v>754</v>
      </c>
      <c r="H64" s="11" t="s">
        <v>123</v>
      </c>
      <c r="I64" s="16">
        <v>1.5</v>
      </c>
      <c r="J64" s="11" t="s">
        <v>755</v>
      </c>
      <c r="K64" s="11" t="s">
        <v>756</v>
      </c>
      <c r="L64" s="11" t="s">
        <v>757</v>
      </c>
      <c r="M64" s="11" t="s">
        <v>758</v>
      </c>
      <c r="N64" s="11" t="s">
        <v>759</v>
      </c>
      <c r="O64" s="11" t="s">
        <v>760</v>
      </c>
      <c r="P64" s="11" t="s">
        <v>175</v>
      </c>
      <c r="Q64" s="11" t="s">
        <v>761</v>
      </c>
      <c r="R64" s="11" t="s">
        <v>762</v>
      </c>
      <c r="S64" s="11" t="s">
        <v>303</v>
      </c>
      <c r="T64" s="11"/>
      <c r="U64" s="29" t="s">
        <v>763</v>
      </c>
    </row>
    <row r="65" spans="1:21" ht="193.8" hidden="1">
      <c r="A65" s="11" t="s">
        <v>764</v>
      </c>
      <c r="B65" s="11" t="s">
        <v>59</v>
      </c>
      <c r="C65" s="11">
        <v>8</v>
      </c>
      <c r="D65" s="11" t="s">
        <v>89</v>
      </c>
      <c r="E65" s="11" t="s">
        <v>765</v>
      </c>
      <c r="F65" s="11" t="s">
        <v>766</v>
      </c>
      <c r="G65" s="11" t="s">
        <v>767</v>
      </c>
      <c r="H65" s="11" t="s">
        <v>123</v>
      </c>
      <c r="I65" s="16">
        <v>1</v>
      </c>
      <c r="J65" s="11" t="s">
        <v>755</v>
      </c>
      <c r="K65" s="11" t="s">
        <v>101</v>
      </c>
      <c r="L65" s="11" t="s">
        <v>768</v>
      </c>
      <c r="M65" s="11" t="s">
        <v>2343</v>
      </c>
      <c r="N65" s="11" t="s">
        <v>769</v>
      </c>
      <c r="O65" s="11" t="s">
        <v>770</v>
      </c>
      <c r="P65" s="11" t="s">
        <v>164</v>
      </c>
      <c r="Q65" s="11" t="s">
        <v>751</v>
      </c>
      <c r="R65" s="11" t="s">
        <v>771</v>
      </c>
      <c r="S65" s="11" t="s">
        <v>303</v>
      </c>
      <c r="T65" s="11"/>
      <c r="U65" s="29" t="s">
        <v>772</v>
      </c>
    </row>
    <row r="66" spans="1:21" ht="110.4" hidden="1">
      <c r="A66" s="11" t="s">
        <v>773</v>
      </c>
      <c r="B66" s="11" t="s">
        <v>59</v>
      </c>
      <c r="C66" s="11">
        <v>9</v>
      </c>
      <c r="D66" s="11" t="s">
        <v>89</v>
      </c>
      <c r="E66" s="11" t="s">
        <v>774</v>
      </c>
      <c r="F66" s="11" t="s">
        <v>775</v>
      </c>
      <c r="G66" s="11" t="s">
        <v>776</v>
      </c>
      <c r="H66" s="11" t="s">
        <v>109</v>
      </c>
      <c r="I66" s="16">
        <v>1</v>
      </c>
      <c r="J66" s="11" t="s">
        <v>777</v>
      </c>
      <c r="K66" s="11" t="s">
        <v>598</v>
      </c>
      <c r="L66" s="11" t="s">
        <v>778</v>
      </c>
      <c r="M66" s="11" t="s">
        <v>779</v>
      </c>
      <c r="N66" s="11" t="s">
        <v>780</v>
      </c>
      <c r="O66" s="11" t="s">
        <v>781</v>
      </c>
      <c r="P66" s="11" t="s">
        <v>175</v>
      </c>
      <c r="Q66" s="11" t="s">
        <v>782</v>
      </c>
      <c r="R66" s="11" t="s">
        <v>783</v>
      </c>
      <c r="S66" s="11" t="s">
        <v>303</v>
      </c>
      <c r="T66" s="11"/>
      <c r="U66" s="29" t="s">
        <v>784</v>
      </c>
    </row>
    <row r="67" spans="1:21" ht="124.2" hidden="1">
      <c r="A67" s="11" t="s">
        <v>785</v>
      </c>
      <c r="B67" s="11" t="s">
        <v>59</v>
      </c>
      <c r="C67" s="11">
        <v>10</v>
      </c>
      <c r="D67" s="11" t="s">
        <v>89</v>
      </c>
      <c r="E67" s="11" t="s">
        <v>786</v>
      </c>
      <c r="F67" s="11" t="s">
        <v>787</v>
      </c>
      <c r="G67" s="11" t="s">
        <v>788</v>
      </c>
      <c r="H67" s="11" t="s">
        <v>93</v>
      </c>
      <c r="I67" s="16">
        <v>1.5</v>
      </c>
      <c r="J67" s="11" t="s">
        <v>777</v>
      </c>
      <c r="K67" s="11" t="s">
        <v>357</v>
      </c>
      <c r="L67" s="11" t="s">
        <v>789</v>
      </c>
      <c r="M67" s="11" t="s">
        <v>790</v>
      </c>
      <c r="N67" s="11" t="s">
        <v>791</v>
      </c>
      <c r="O67" s="11" t="s">
        <v>792</v>
      </c>
      <c r="P67" s="11" t="s">
        <v>518</v>
      </c>
      <c r="Q67" s="11" t="s">
        <v>773</v>
      </c>
      <c r="R67" s="11" t="s">
        <v>793</v>
      </c>
      <c r="S67" s="11" t="s">
        <v>303</v>
      </c>
      <c r="T67" s="11"/>
      <c r="U67" s="29" t="s">
        <v>794</v>
      </c>
    </row>
    <row r="68" spans="1:21" ht="110.4" hidden="1">
      <c r="A68" s="11" t="s">
        <v>795</v>
      </c>
      <c r="B68" s="11" t="s">
        <v>59</v>
      </c>
      <c r="C68" s="11">
        <v>11</v>
      </c>
      <c r="D68" s="11" t="s">
        <v>89</v>
      </c>
      <c r="E68" s="11" t="s">
        <v>796</v>
      </c>
      <c r="F68" s="11" t="s">
        <v>797</v>
      </c>
      <c r="G68" s="11" t="s">
        <v>798</v>
      </c>
      <c r="H68" s="11" t="s">
        <v>109</v>
      </c>
      <c r="I68" s="16">
        <v>0.75</v>
      </c>
      <c r="J68" s="11" t="s">
        <v>777</v>
      </c>
      <c r="K68" s="11" t="s">
        <v>357</v>
      </c>
      <c r="L68" s="11" t="s">
        <v>799</v>
      </c>
      <c r="M68" s="11" t="s">
        <v>800</v>
      </c>
      <c r="N68" s="11" t="s">
        <v>801</v>
      </c>
      <c r="O68" s="11" t="s">
        <v>802</v>
      </c>
      <c r="P68" s="11" t="s">
        <v>803</v>
      </c>
      <c r="Q68" s="11" t="s">
        <v>785</v>
      </c>
      <c r="R68" s="11" t="s">
        <v>804</v>
      </c>
      <c r="S68" s="11" t="s">
        <v>303</v>
      </c>
      <c r="T68" s="11"/>
      <c r="U68" s="29" t="s">
        <v>805</v>
      </c>
    </row>
    <row r="69" spans="1:21" ht="193.8" hidden="1">
      <c r="A69" s="11" t="s">
        <v>806</v>
      </c>
      <c r="B69" s="11" t="s">
        <v>59</v>
      </c>
      <c r="C69" s="11">
        <v>12</v>
      </c>
      <c r="D69" s="11" t="s">
        <v>89</v>
      </c>
      <c r="E69" s="11" t="s">
        <v>807</v>
      </c>
      <c r="F69" s="11" t="s">
        <v>808</v>
      </c>
      <c r="G69" s="11" t="s">
        <v>809</v>
      </c>
      <c r="H69" s="11" t="s">
        <v>109</v>
      </c>
      <c r="I69" s="16">
        <v>1</v>
      </c>
      <c r="J69" s="11" t="s">
        <v>777</v>
      </c>
      <c r="K69" s="11" t="s">
        <v>217</v>
      </c>
      <c r="L69" s="11" t="s">
        <v>810</v>
      </c>
      <c r="M69" s="11" t="s">
        <v>2344</v>
      </c>
      <c r="N69" s="11" t="s">
        <v>811</v>
      </c>
      <c r="O69" s="11" t="s">
        <v>812</v>
      </c>
      <c r="P69" s="11" t="s">
        <v>222</v>
      </c>
      <c r="Q69" s="11" t="s">
        <v>795</v>
      </c>
      <c r="R69" s="11" t="s">
        <v>813</v>
      </c>
      <c r="S69" s="11" t="s">
        <v>303</v>
      </c>
      <c r="T69" s="11"/>
      <c r="U69" s="29" t="s">
        <v>814</v>
      </c>
    </row>
    <row r="70" spans="1:21" ht="96.6" hidden="1">
      <c r="A70" s="11" t="s">
        <v>815</v>
      </c>
      <c r="B70" s="11" t="s">
        <v>59</v>
      </c>
      <c r="C70" s="11">
        <v>13</v>
      </c>
      <c r="D70" s="11" t="s">
        <v>89</v>
      </c>
      <c r="E70" s="11" t="s">
        <v>226</v>
      </c>
      <c r="F70" s="11" t="s">
        <v>816</v>
      </c>
      <c r="G70" s="11" t="s">
        <v>817</v>
      </c>
      <c r="H70" s="11" t="s">
        <v>93</v>
      </c>
      <c r="I70" s="16">
        <v>0.75</v>
      </c>
      <c r="J70" s="11" t="s">
        <v>2345</v>
      </c>
      <c r="K70" s="11" t="s">
        <v>818</v>
      </c>
      <c r="L70" s="11" t="s">
        <v>819</v>
      </c>
      <c r="M70" s="11" t="s">
        <v>820</v>
      </c>
      <c r="N70" s="11" t="s">
        <v>821</v>
      </c>
      <c r="O70" s="11" t="s">
        <v>822</v>
      </c>
      <c r="P70" s="11" t="s">
        <v>115</v>
      </c>
      <c r="Q70" s="11" t="s">
        <v>823</v>
      </c>
      <c r="R70" s="11" t="s">
        <v>824</v>
      </c>
      <c r="S70" s="11" t="s">
        <v>303</v>
      </c>
      <c r="T70" s="11"/>
      <c r="U70" s="29" t="s">
        <v>825</v>
      </c>
    </row>
    <row r="71" spans="1:21" ht="69" hidden="1">
      <c r="A71" s="11" t="s">
        <v>826</v>
      </c>
      <c r="B71" s="11" t="s">
        <v>59</v>
      </c>
      <c r="C71" s="11">
        <v>14</v>
      </c>
      <c r="D71" s="11" t="s">
        <v>89</v>
      </c>
      <c r="E71" s="11" t="s">
        <v>238</v>
      </c>
      <c r="F71" s="11" t="s">
        <v>827</v>
      </c>
      <c r="G71" s="11" t="s">
        <v>828</v>
      </c>
      <c r="H71" s="11" t="s">
        <v>109</v>
      </c>
      <c r="I71" s="16">
        <v>1</v>
      </c>
      <c r="J71" s="11" t="s">
        <v>241</v>
      </c>
      <c r="K71" s="11" t="s">
        <v>101</v>
      </c>
      <c r="L71" s="11" t="s">
        <v>829</v>
      </c>
      <c r="M71" s="11" t="s">
        <v>2318</v>
      </c>
      <c r="N71" s="11" t="s">
        <v>243</v>
      </c>
      <c r="O71" s="11" t="s">
        <v>830</v>
      </c>
      <c r="P71" s="11" t="s">
        <v>831</v>
      </c>
      <c r="Q71" s="11" t="s">
        <v>815</v>
      </c>
      <c r="R71" s="11" t="s">
        <v>246</v>
      </c>
      <c r="S71" s="11" t="s">
        <v>303</v>
      </c>
      <c r="T71" s="11" t="s">
        <v>832</v>
      </c>
      <c r="U71" s="29" t="s">
        <v>833</v>
      </c>
    </row>
    <row r="72" spans="1:21" ht="110.4" hidden="1">
      <c r="A72" s="11" t="s">
        <v>834</v>
      </c>
      <c r="B72" s="11" t="s">
        <v>60</v>
      </c>
      <c r="C72" s="11">
        <v>1</v>
      </c>
      <c r="D72" s="11" t="s">
        <v>89</v>
      </c>
      <c r="E72" s="11" t="s">
        <v>835</v>
      </c>
      <c r="F72" s="11" t="s">
        <v>836</v>
      </c>
      <c r="G72" s="11" t="s">
        <v>837</v>
      </c>
      <c r="H72" s="11" t="s">
        <v>109</v>
      </c>
      <c r="I72" s="16">
        <v>0.75</v>
      </c>
      <c r="J72" s="11" t="s">
        <v>755</v>
      </c>
      <c r="K72" s="11" t="s">
        <v>838</v>
      </c>
      <c r="L72" s="11" t="s">
        <v>839</v>
      </c>
      <c r="M72" s="11" t="s">
        <v>840</v>
      </c>
      <c r="N72" s="11" t="s">
        <v>841</v>
      </c>
      <c r="O72" s="11" t="s">
        <v>842</v>
      </c>
      <c r="P72" s="11" t="s">
        <v>843</v>
      </c>
      <c r="Q72" s="11" t="s">
        <v>826</v>
      </c>
      <c r="R72" s="11" t="s">
        <v>844</v>
      </c>
      <c r="S72" s="11" t="s">
        <v>303</v>
      </c>
      <c r="T72" s="11"/>
      <c r="U72" s="29" t="s">
        <v>845</v>
      </c>
    </row>
    <row r="73" spans="1:21" ht="110.4" hidden="1">
      <c r="A73" s="11" t="s">
        <v>846</v>
      </c>
      <c r="B73" s="11" t="s">
        <v>60</v>
      </c>
      <c r="C73" s="11">
        <v>2</v>
      </c>
      <c r="D73" s="11" t="s">
        <v>89</v>
      </c>
      <c r="E73" s="11" t="s">
        <v>847</v>
      </c>
      <c r="F73" s="11" t="s">
        <v>848</v>
      </c>
      <c r="G73" s="11" t="s">
        <v>849</v>
      </c>
      <c r="H73" s="11" t="s">
        <v>123</v>
      </c>
      <c r="I73" s="16">
        <v>1.5</v>
      </c>
      <c r="J73" s="11" t="s">
        <v>850</v>
      </c>
      <c r="K73" s="11" t="s">
        <v>838</v>
      </c>
      <c r="L73" s="11" t="s">
        <v>851</v>
      </c>
      <c r="M73" s="11" t="s">
        <v>852</v>
      </c>
      <c r="N73" s="11" t="s">
        <v>853</v>
      </c>
      <c r="O73" s="11" t="s">
        <v>854</v>
      </c>
      <c r="P73" s="11" t="s">
        <v>855</v>
      </c>
      <c r="Q73" s="11" t="s">
        <v>834</v>
      </c>
      <c r="R73" s="11" t="s">
        <v>856</v>
      </c>
      <c r="S73" s="11" t="s">
        <v>303</v>
      </c>
      <c r="T73" s="11"/>
      <c r="U73" s="29" t="s">
        <v>857</v>
      </c>
    </row>
    <row r="74" spans="1:21" ht="110.4" hidden="1">
      <c r="A74" s="11" t="s">
        <v>858</v>
      </c>
      <c r="B74" s="11" t="s">
        <v>60</v>
      </c>
      <c r="C74" s="11">
        <v>3</v>
      </c>
      <c r="D74" s="11" t="s">
        <v>89</v>
      </c>
      <c r="E74" s="11" t="s">
        <v>859</v>
      </c>
      <c r="F74" s="11" t="s">
        <v>860</v>
      </c>
      <c r="G74" s="11" t="s">
        <v>861</v>
      </c>
      <c r="H74" s="11" t="s">
        <v>123</v>
      </c>
      <c r="I74" s="16">
        <v>1</v>
      </c>
      <c r="J74" s="11" t="s">
        <v>850</v>
      </c>
      <c r="K74" s="11" t="s">
        <v>862</v>
      </c>
      <c r="L74" s="11" t="s">
        <v>863</v>
      </c>
      <c r="M74" s="11" t="s">
        <v>864</v>
      </c>
      <c r="N74" s="11" t="s">
        <v>865</v>
      </c>
      <c r="O74" s="11" t="s">
        <v>866</v>
      </c>
      <c r="P74" s="11" t="s">
        <v>327</v>
      </c>
      <c r="Q74" s="11" t="s">
        <v>867</v>
      </c>
      <c r="R74" s="11" t="s">
        <v>868</v>
      </c>
      <c r="S74" s="11" t="s">
        <v>303</v>
      </c>
      <c r="T74" s="11"/>
      <c r="U74" s="29" t="s">
        <v>869</v>
      </c>
    </row>
    <row r="75" spans="1:21" ht="110.4" hidden="1">
      <c r="A75" s="11" t="s">
        <v>870</v>
      </c>
      <c r="B75" s="11" t="s">
        <v>60</v>
      </c>
      <c r="C75" s="11">
        <v>4</v>
      </c>
      <c r="D75" s="11" t="s">
        <v>89</v>
      </c>
      <c r="E75" s="11" t="s">
        <v>871</v>
      </c>
      <c r="F75" s="11" t="s">
        <v>872</v>
      </c>
      <c r="G75" s="11" t="s">
        <v>873</v>
      </c>
      <c r="H75" s="11" t="s">
        <v>123</v>
      </c>
      <c r="I75" s="16">
        <v>1</v>
      </c>
      <c r="J75" s="11" t="s">
        <v>850</v>
      </c>
      <c r="K75" s="11" t="s">
        <v>874</v>
      </c>
      <c r="L75" s="11" t="s">
        <v>875</v>
      </c>
      <c r="M75" s="11" t="s">
        <v>876</v>
      </c>
      <c r="N75" s="11" t="s">
        <v>877</v>
      </c>
      <c r="O75" s="11" t="s">
        <v>878</v>
      </c>
      <c r="P75" s="11" t="s">
        <v>879</v>
      </c>
      <c r="Q75" s="11" t="s">
        <v>858</v>
      </c>
      <c r="R75" s="11" t="s">
        <v>880</v>
      </c>
      <c r="S75" s="11" t="s">
        <v>303</v>
      </c>
      <c r="T75" s="11"/>
      <c r="U75" s="29" t="s">
        <v>881</v>
      </c>
    </row>
    <row r="76" spans="1:21" ht="110.4" hidden="1">
      <c r="A76" s="11" t="s">
        <v>882</v>
      </c>
      <c r="B76" s="11" t="s">
        <v>60</v>
      </c>
      <c r="C76" s="11">
        <v>5</v>
      </c>
      <c r="D76" s="11" t="s">
        <v>89</v>
      </c>
      <c r="E76" s="11" t="s">
        <v>883</v>
      </c>
      <c r="F76" s="11" t="s">
        <v>884</v>
      </c>
      <c r="G76" s="11" t="s">
        <v>885</v>
      </c>
      <c r="H76" s="11" t="s">
        <v>123</v>
      </c>
      <c r="I76" s="16">
        <v>1</v>
      </c>
      <c r="J76" s="11" t="s">
        <v>850</v>
      </c>
      <c r="K76" s="11" t="s">
        <v>503</v>
      </c>
      <c r="L76" s="11" t="s">
        <v>886</v>
      </c>
      <c r="M76" s="11" t="s">
        <v>852</v>
      </c>
      <c r="N76" s="11" t="s">
        <v>887</v>
      </c>
      <c r="O76" s="11" t="s">
        <v>888</v>
      </c>
      <c r="P76" s="11" t="s">
        <v>855</v>
      </c>
      <c r="Q76" s="11" t="s">
        <v>846</v>
      </c>
      <c r="R76" s="11" t="s">
        <v>889</v>
      </c>
      <c r="S76" s="11" t="s">
        <v>303</v>
      </c>
      <c r="T76" s="11"/>
      <c r="U76" s="29" t="s">
        <v>890</v>
      </c>
    </row>
    <row r="77" spans="1:21" ht="110.4" hidden="1">
      <c r="A77" s="11" t="s">
        <v>891</v>
      </c>
      <c r="B77" s="11" t="s">
        <v>60</v>
      </c>
      <c r="C77" s="11">
        <v>6</v>
      </c>
      <c r="D77" s="11" t="s">
        <v>89</v>
      </c>
      <c r="E77" s="11" t="s">
        <v>892</v>
      </c>
      <c r="F77" s="11" t="s">
        <v>893</v>
      </c>
      <c r="G77" s="11" t="s">
        <v>894</v>
      </c>
      <c r="H77" s="11" t="s">
        <v>123</v>
      </c>
      <c r="I77" s="16">
        <v>1.25</v>
      </c>
      <c r="J77" s="11" t="s">
        <v>895</v>
      </c>
      <c r="K77" s="11" t="s">
        <v>491</v>
      </c>
      <c r="L77" s="11" t="s">
        <v>896</v>
      </c>
      <c r="M77" s="11" t="s">
        <v>621</v>
      </c>
      <c r="N77" s="11" t="s">
        <v>897</v>
      </c>
      <c r="O77" s="11" t="s">
        <v>898</v>
      </c>
      <c r="P77" s="11" t="s">
        <v>496</v>
      </c>
      <c r="Q77" s="11" t="s">
        <v>899</v>
      </c>
      <c r="R77" s="11" t="s">
        <v>900</v>
      </c>
      <c r="S77" s="11" t="s">
        <v>303</v>
      </c>
      <c r="T77" s="11"/>
      <c r="U77" s="29" t="s">
        <v>901</v>
      </c>
    </row>
    <row r="78" spans="1:21" ht="110.4" hidden="1">
      <c r="A78" s="11" t="s">
        <v>902</v>
      </c>
      <c r="B78" s="11" t="s">
        <v>60</v>
      </c>
      <c r="C78" s="11">
        <v>7</v>
      </c>
      <c r="D78" s="11" t="s">
        <v>89</v>
      </c>
      <c r="E78" s="11" t="s">
        <v>903</v>
      </c>
      <c r="F78" s="11" t="s">
        <v>904</v>
      </c>
      <c r="G78" s="11" t="s">
        <v>905</v>
      </c>
      <c r="H78" s="11" t="s">
        <v>109</v>
      </c>
      <c r="I78" s="16">
        <v>1</v>
      </c>
      <c r="J78" s="11" t="s">
        <v>895</v>
      </c>
      <c r="K78" s="11" t="s">
        <v>906</v>
      </c>
      <c r="L78" s="11" t="s">
        <v>907</v>
      </c>
      <c r="M78" s="11" t="s">
        <v>908</v>
      </c>
      <c r="N78" s="11" t="s">
        <v>909</v>
      </c>
      <c r="O78" s="11" t="s">
        <v>910</v>
      </c>
      <c r="P78" s="11" t="s">
        <v>164</v>
      </c>
      <c r="Q78" s="11" t="s">
        <v>891</v>
      </c>
      <c r="R78" s="11" t="s">
        <v>911</v>
      </c>
      <c r="S78" s="11" t="s">
        <v>303</v>
      </c>
      <c r="T78" s="11"/>
      <c r="U78" s="29" t="s">
        <v>912</v>
      </c>
    </row>
    <row r="79" spans="1:21" ht="96.6" hidden="1">
      <c r="A79" s="11" t="s">
        <v>913</v>
      </c>
      <c r="B79" s="11" t="s">
        <v>60</v>
      </c>
      <c r="C79" s="11">
        <v>8</v>
      </c>
      <c r="D79" s="11" t="s">
        <v>89</v>
      </c>
      <c r="E79" s="11" t="s">
        <v>914</v>
      </c>
      <c r="F79" s="11" t="s">
        <v>915</v>
      </c>
      <c r="G79" s="11" t="s">
        <v>916</v>
      </c>
      <c r="H79" s="11" t="s">
        <v>917</v>
      </c>
      <c r="I79" s="16">
        <v>1</v>
      </c>
      <c r="J79" s="11" t="s">
        <v>895</v>
      </c>
      <c r="K79" s="11" t="s">
        <v>491</v>
      </c>
      <c r="L79" s="11" t="s">
        <v>918</v>
      </c>
      <c r="M79" s="11" t="s">
        <v>919</v>
      </c>
      <c r="N79" s="11" t="s">
        <v>920</v>
      </c>
      <c r="O79" s="11" t="s">
        <v>921</v>
      </c>
      <c r="P79" s="11" t="s">
        <v>922</v>
      </c>
      <c r="Q79" s="11" t="s">
        <v>923</v>
      </c>
      <c r="R79" s="11" t="s">
        <v>924</v>
      </c>
      <c r="S79" s="11" t="s">
        <v>303</v>
      </c>
      <c r="T79" s="11"/>
      <c r="U79" s="29" t="s">
        <v>925</v>
      </c>
    </row>
    <row r="80" spans="1:21" ht="110.4" hidden="1">
      <c r="A80" t="s">
        <v>926</v>
      </c>
      <c r="B80" t="s">
        <v>60</v>
      </c>
      <c r="C80">
        <v>9</v>
      </c>
      <c r="D80" t="s">
        <v>89</v>
      </c>
      <c r="E80" t="s">
        <v>927</v>
      </c>
      <c r="F80" t="s">
        <v>928</v>
      </c>
      <c r="G80" t="s">
        <v>929</v>
      </c>
      <c r="H80" t="s">
        <v>109</v>
      </c>
      <c r="I80">
        <v>1</v>
      </c>
      <c r="J80" t="s">
        <v>895</v>
      </c>
      <c r="K80" t="s">
        <v>930</v>
      </c>
      <c r="L80" t="s">
        <v>931</v>
      </c>
      <c r="M80" t="s">
        <v>932</v>
      </c>
      <c r="N80" t="s">
        <v>933</v>
      </c>
      <c r="O80" t="s">
        <v>934</v>
      </c>
      <c r="P80" t="s">
        <v>164</v>
      </c>
      <c r="Q80" t="s">
        <v>935</v>
      </c>
      <c r="R80" t="s">
        <v>936</v>
      </c>
      <c r="S80" t="s">
        <v>303</v>
      </c>
      <c r="U80" s="29" t="s">
        <v>937</v>
      </c>
    </row>
    <row r="81" spans="1:21" ht="110.4" hidden="1">
      <c r="A81" t="s">
        <v>938</v>
      </c>
      <c r="B81" t="s">
        <v>60</v>
      </c>
      <c r="C81">
        <v>10</v>
      </c>
      <c r="D81" t="s">
        <v>89</v>
      </c>
      <c r="E81" t="s">
        <v>939</v>
      </c>
      <c r="F81" t="s">
        <v>940</v>
      </c>
      <c r="G81" t="s">
        <v>941</v>
      </c>
      <c r="H81" t="s">
        <v>109</v>
      </c>
      <c r="I81">
        <v>1.25</v>
      </c>
      <c r="J81" t="s">
        <v>942</v>
      </c>
      <c r="K81" t="s">
        <v>469</v>
      </c>
      <c r="L81" t="s">
        <v>943</v>
      </c>
      <c r="M81" t="s">
        <v>944</v>
      </c>
      <c r="N81" t="s">
        <v>945</v>
      </c>
      <c r="O81" t="s">
        <v>946</v>
      </c>
      <c r="P81" t="s">
        <v>164</v>
      </c>
      <c r="Q81" t="s">
        <v>947</v>
      </c>
      <c r="R81" t="s">
        <v>948</v>
      </c>
      <c r="S81" t="s">
        <v>303</v>
      </c>
      <c r="U81" s="29" t="s">
        <v>949</v>
      </c>
    </row>
    <row r="82" spans="1:21" ht="110.4" hidden="1">
      <c r="A82" t="s">
        <v>950</v>
      </c>
      <c r="B82" t="s">
        <v>60</v>
      </c>
      <c r="C82">
        <v>11</v>
      </c>
      <c r="D82" t="s">
        <v>89</v>
      </c>
      <c r="E82" t="s">
        <v>951</v>
      </c>
      <c r="F82" t="s">
        <v>952</v>
      </c>
      <c r="G82" t="s">
        <v>953</v>
      </c>
      <c r="H82" t="s">
        <v>93</v>
      </c>
      <c r="I82">
        <v>0.75</v>
      </c>
      <c r="J82" t="s">
        <v>942</v>
      </c>
      <c r="K82" t="s">
        <v>357</v>
      </c>
      <c r="L82" t="s">
        <v>954</v>
      </c>
      <c r="M82" t="s">
        <v>2346</v>
      </c>
      <c r="N82" t="s">
        <v>955</v>
      </c>
      <c r="O82" t="s">
        <v>956</v>
      </c>
      <c r="P82" t="s">
        <v>518</v>
      </c>
      <c r="Q82" t="s">
        <v>938</v>
      </c>
      <c r="R82" t="s">
        <v>957</v>
      </c>
      <c r="S82" t="s">
        <v>303</v>
      </c>
      <c r="U82" s="29" t="s">
        <v>958</v>
      </c>
    </row>
    <row r="83" spans="1:21" ht="110.4" hidden="1">
      <c r="A83" t="s">
        <v>959</v>
      </c>
      <c r="B83" t="s">
        <v>60</v>
      </c>
      <c r="C83">
        <v>12</v>
      </c>
      <c r="D83" t="s">
        <v>89</v>
      </c>
      <c r="E83" t="s">
        <v>960</v>
      </c>
      <c r="F83" t="s">
        <v>961</v>
      </c>
      <c r="G83" t="s">
        <v>962</v>
      </c>
      <c r="H83" t="s">
        <v>93</v>
      </c>
      <c r="I83">
        <v>1.25</v>
      </c>
      <c r="J83" t="s">
        <v>777</v>
      </c>
      <c r="K83" t="s">
        <v>206</v>
      </c>
      <c r="L83" t="s">
        <v>963</v>
      </c>
      <c r="M83" t="s">
        <v>964</v>
      </c>
      <c r="N83" t="s">
        <v>965</v>
      </c>
      <c r="O83" t="s">
        <v>966</v>
      </c>
      <c r="P83" t="s">
        <v>967</v>
      </c>
      <c r="Q83" t="s">
        <v>950</v>
      </c>
      <c r="R83" t="s">
        <v>968</v>
      </c>
      <c r="S83" t="s">
        <v>303</v>
      </c>
      <c r="U83" s="29" t="s">
        <v>969</v>
      </c>
    </row>
    <row r="84" spans="1:21" ht="110.4" hidden="1">
      <c r="A84" t="s">
        <v>970</v>
      </c>
      <c r="B84" t="s">
        <v>60</v>
      </c>
      <c r="C84">
        <v>13</v>
      </c>
      <c r="D84" t="s">
        <v>89</v>
      </c>
      <c r="E84" t="s">
        <v>971</v>
      </c>
      <c r="F84" t="s">
        <v>972</v>
      </c>
      <c r="G84" t="s">
        <v>973</v>
      </c>
      <c r="H84" t="s">
        <v>93</v>
      </c>
      <c r="I84">
        <v>1</v>
      </c>
      <c r="J84" t="s">
        <v>942</v>
      </c>
      <c r="K84" t="s">
        <v>101</v>
      </c>
      <c r="L84" t="s">
        <v>974</v>
      </c>
      <c r="M84" t="s">
        <v>975</v>
      </c>
      <c r="N84" t="s">
        <v>976</v>
      </c>
      <c r="O84" t="s">
        <v>977</v>
      </c>
      <c r="P84" t="s">
        <v>115</v>
      </c>
      <c r="Q84" t="s">
        <v>978</v>
      </c>
      <c r="R84" t="s">
        <v>979</v>
      </c>
      <c r="S84" t="s">
        <v>303</v>
      </c>
      <c r="U84" s="29" t="s">
        <v>980</v>
      </c>
    </row>
    <row r="85" spans="1:21" ht="69" hidden="1">
      <c r="A85" t="s">
        <v>981</v>
      </c>
      <c r="B85" t="s">
        <v>60</v>
      </c>
      <c r="C85">
        <v>14</v>
      </c>
      <c r="D85" t="s">
        <v>89</v>
      </c>
      <c r="E85" t="s">
        <v>238</v>
      </c>
      <c r="F85" t="s">
        <v>982</v>
      </c>
      <c r="G85" t="s">
        <v>983</v>
      </c>
      <c r="H85" t="s">
        <v>109</v>
      </c>
      <c r="I85">
        <v>1.5</v>
      </c>
      <c r="J85" t="s">
        <v>241</v>
      </c>
      <c r="K85" t="s">
        <v>101</v>
      </c>
      <c r="L85" t="s">
        <v>984</v>
      </c>
      <c r="M85" t="s">
        <v>2319</v>
      </c>
      <c r="N85" t="s">
        <v>985</v>
      </c>
      <c r="O85" t="s">
        <v>986</v>
      </c>
      <c r="P85" t="s">
        <v>987</v>
      </c>
      <c r="Q85" t="s">
        <v>970</v>
      </c>
      <c r="R85" t="s">
        <v>246</v>
      </c>
      <c r="S85" t="s">
        <v>303</v>
      </c>
      <c r="T85" t="s">
        <v>988</v>
      </c>
      <c r="U85" s="29" t="s">
        <v>989</v>
      </c>
    </row>
  </sheetData>
  <mergeCells count="2">
    <mergeCell ref="A1:T1"/>
    <mergeCell ref="A2:T2"/>
  </mergeCells>
  <conditionalFormatting sqref="S6:S79">
    <cfRule type="containsText" dxfId="47" priority="1" operator="containsText" text="Done"/>
    <cfRule type="containsText" dxfId="46" priority="2" operator="containsText" text="Blocked"/>
    <cfRule type="containsText" dxfId="45" priority="3" operator="containsText" text="In Progress"/>
    <cfRule type="containsText" dxfId="44" priority="4" operator="containsText" text="Ready for Review"/>
  </conditionalFormatting>
  <dataValidations count="1">
    <dataValidation type="list" sqref="S6:S79" xr:uid="{00000000-0002-0000-0200-000000000000}">
      <formula1>"Not Started,In Progress,Blocked,Ready for Review,Done,Deferred"</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33"/>
  <sheetViews>
    <sheetView showGridLines="0" topLeftCell="K1" workbookViewId="0">
      <selection activeCell="M10" sqref="M10:M21"/>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80" t="s">
        <v>990</v>
      </c>
      <c r="B1" s="80"/>
      <c r="C1" s="80"/>
      <c r="D1" s="80"/>
      <c r="E1" s="80"/>
      <c r="F1" s="80"/>
      <c r="G1" s="80"/>
      <c r="H1" s="80"/>
      <c r="I1" s="80"/>
      <c r="J1" s="80"/>
      <c r="K1" s="80"/>
      <c r="L1" s="80"/>
      <c r="M1" s="80"/>
      <c r="N1" s="80"/>
      <c r="O1" s="80"/>
    </row>
    <row r="2" spans="1:16" ht="31.95" customHeight="1">
      <c r="A2" s="81" t="s">
        <v>991</v>
      </c>
      <c r="B2" s="81"/>
      <c r="C2" s="81"/>
      <c r="D2" s="81"/>
      <c r="E2" s="81"/>
      <c r="F2" s="81"/>
      <c r="G2" s="81"/>
      <c r="H2" s="81"/>
      <c r="I2" s="81"/>
      <c r="J2" s="81"/>
      <c r="K2" s="81"/>
      <c r="L2" s="81"/>
      <c r="M2" s="81"/>
      <c r="N2" s="81"/>
      <c r="O2" s="81"/>
    </row>
    <row r="4" spans="1:16" ht="28.05" customHeight="1">
      <c r="A4" s="74" t="s">
        <v>55</v>
      </c>
      <c r="B4" s="76"/>
      <c r="D4" s="74" t="s">
        <v>48</v>
      </c>
      <c r="E4" s="76"/>
      <c r="G4" s="74" t="s">
        <v>992</v>
      </c>
      <c r="H4" s="75"/>
      <c r="I4" s="75"/>
      <c r="J4" s="75"/>
      <c r="K4" s="75"/>
      <c r="L4" s="75"/>
      <c r="M4" s="75"/>
      <c r="N4" s="75"/>
      <c r="O4" s="76"/>
    </row>
    <row r="5" spans="1:16">
      <c r="A5" s="103">
        <f>IF(COUNTA(O10:O40)=0,0,COUNTIF(O10:O40,"Done")/COUNTA(A10:A40))</f>
        <v>0.56521739130434778</v>
      </c>
      <c r="B5" s="104"/>
      <c r="D5" s="107">
        <f>COUNTIF(O10:O40,"Blocked")</f>
        <v>0</v>
      </c>
      <c r="E5" s="108"/>
      <c r="G5" s="111" t="s">
        <v>993</v>
      </c>
      <c r="H5" s="112"/>
      <c r="I5" s="112"/>
      <c r="J5" s="112"/>
      <c r="K5" s="112"/>
      <c r="L5" s="112"/>
      <c r="M5" s="112"/>
      <c r="N5" s="112"/>
      <c r="O5" s="113"/>
    </row>
    <row r="6" spans="1:16">
      <c r="A6" s="105"/>
      <c r="B6" s="106"/>
      <c r="D6" s="109"/>
      <c r="E6" s="110"/>
      <c r="G6" s="114"/>
      <c r="H6" s="115"/>
      <c r="I6" s="115"/>
      <c r="J6" s="115"/>
      <c r="K6" s="115"/>
      <c r="L6" s="115"/>
      <c r="M6" s="115"/>
      <c r="N6" s="115"/>
      <c r="O6" s="116"/>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96.6">
      <c r="A10" s="10" t="s">
        <v>88</v>
      </c>
      <c r="B10" s="10">
        <v>1</v>
      </c>
      <c r="C10" s="10" t="s">
        <v>89</v>
      </c>
      <c r="D10" s="10" t="s">
        <v>90</v>
      </c>
      <c r="E10" s="10" t="s">
        <v>91</v>
      </c>
      <c r="F10" s="10" t="s">
        <v>92</v>
      </c>
      <c r="G10" s="10" t="s">
        <v>93</v>
      </c>
      <c r="H10" s="15">
        <v>1</v>
      </c>
      <c r="I10" s="10" t="s">
        <v>94</v>
      </c>
      <c r="J10" s="10" t="s">
        <v>95</v>
      </c>
      <c r="K10" s="10" t="s">
        <v>96</v>
      </c>
      <c r="L10" s="10" t="s">
        <v>97</v>
      </c>
      <c r="M10" s="10" t="s">
        <v>99</v>
      </c>
      <c r="N10" s="10" t="s">
        <v>102</v>
      </c>
      <c r="O10" s="10" t="s">
        <v>46</v>
      </c>
      <c r="P10" s="29" t="s">
        <v>104</v>
      </c>
    </row>
    <row r="11" spans="1:16" ht="96.6">
      <c r="A11" s="11" t="s">
        <v>105</v>
      </c>
      <c r="B11" s="11">
        <v>2</v>
      </c>
      <c r="C11" s="11" t="s">
        <v>89</v>
      </c>
      <c r="D11" s="11" t="s">
        <v>106</v>
      </c>
      <c r="E11" s="11" t="s">
        <v>107</v>
      </c>
      <c r="F11" s="11" t="s">
        <v>108</v>
      </c>
      <c r="G11" s="11" t="s">
        <v>109</v>
      </c>
      <c r="H11" s="16">
        <v>0.5</v>
      </c>
      <c r="I11" s="11" t="s">
        <v>110</v>
      </c>
      <c r="J11" s="11" t="s">
        <v>101</v>
      </c>
      <c r="K11" s="11" t="s">
        <v>111</v>
      </c>
      <c r="L11" s="11" t="s">
        <v>112</v>
      </c>
      <c r="M11" s="11" t="s">
        <v>114</v>
      </c>
      <c r="N11" s="11" t="s">
        <v>116</v>
      </c>
      <c r="O11" s="11" t="s">
        <v>46</v>
      </c>
      <c r="P11" s="29" t="s">
        <v>118</v>
      </c>
    </row>
    <row r="12" spans="1:16" ht="110.4">
      <c r="A12" s="11" t="s">
        <v>119</v>
      </c>
      <c r="B12" s="11">
        <v>3</v>
      </c>
      <c r="C12" s="11" t="s">
        <v>89</v>
      </c>
      <c r="D12" s="11" t="s">
        <v>120</v>
      </c>
      <c r="E12" s="11" t="s">
        <v>121</v>
      </c>
      <c r="F12" s="11" t="s">
        <v>122</v>
      </c>
      <c r="G12" s="11" t="s">
        <v>123</v>
      </c>
      <c r="H12" s="16">
        <v>1.5</v>
      </c>
      <c r="I12" s="11" t="s">
        <v>124</v>
      </c>
      <c r="J12" s="11" t="s">
        <v>125</v>
      </c>
      <c r="K12" s="11" t="s">
        <v>126</v>
      </c>
      <c r="L12" s="11" t="s">
        <v>127</v>
      </c>
      <c r="M12" s="11" t="s">
        <v>129</v>
      </c>
      <c r="N12" s="11" t="s">
        <v>130</v>
      </c>
      <c r="O12" s="11" t="s">
        <v>46</v>
      </c>
      <c r="P12" s="29" t="s">
        <v>132</v>
      </c>
    </row>
    <row r="13" spans="1:16" ht="110.4">
      <c r="A13" s="11" t="s">
        <v>133</v>
      </c>
      <c r="B13" s="11">
        <v>4</v>
      </c>
      <c r="C13" s="11" t="s">
        <v>89</v>
      </c>
      <c r="D13" s="11" t="s">
        <v>134</v>
      </c>
      <c r="E13" s="11" t="s">
        <v>135</v>
      </c>
      <c r="F13" s="11" t="s">
        <v>136</v>
      </c>
      <c r="G13" s="11" t="s">
        <v>123</v>
      </c>
      <c r="H13" s="16">
        <v>1</v>
      </c>
      <c r="I13" s="11" t="s">
        <v>124</v>
      </c>
      <c r="J13" s="11" t="s">
        <v>137</v>
      </c>
      <c r="K13" s="11" t="s">
        <v>138</v>
      </c>
      <c r="L13" s="11" t="s">
        <v>2294</v>
      </c>
      <c r="M13" s="11" t="s">
        <v>140</v>
      </c>
      <c r="N13" s="11" t="s">
        <v>141</v>
      </c>
      <c r="O13" s="11" t="s">
        <v>46</v>
      </c>
      <c r="P13" s="29" t="s">
        <v>142</v>
      </c>
    </row>
    <row r="14" spans="1:16" ht="193.8">
      <c r="A14" s="11" t="s">
        <v>143</v>
      </c>
      <c r="B14" s="11">
        <v>5</v>
      </c>
      <c r="C14" s="11" t="s">
        <v>89</v>
      </c>
      <c r="D14" s="11" t="s">
        <v>144</v>
      </c>
      <c r="E14" s="11" t="s">
        <v>145</v>
      </c>
      <c r="F14" s="11" t="s">
        <v>146</v>
      </c>
      <c r="G14" s="11" t="s">
        <v>123</v>
      </c>
      <c r="H14" s="16">
        <v>1.5</v>
      </c>
      <c r="I14" s="11" t="s">
        <v>147</v>
      </c>
      <c r="J14" s="11" t="s">
        <v>148</v>
      </c>
      <c r="K14" s="11" t="s">
        <v>149</v>
      </c>
      <c r="L14" s="11" t="s">
        <v>2320</v>
      </c>
      <c r="M14" s="11" t="s">
        <v>151</v>
      </c>
      <c r="N14" s="11" t="s">
        <v>153</v>
      </c>
      <c r="O14" s="11" t="s">
        <v>46</v>
      </c>
      <c r="P14" s="29" t="s">
        <v>154</v>
      </c>
    </row>
    <row r="15" spans="1:16" ht="110.4">
      <c r="A15" s="11" t="s">
        <v>155</v>
      </c>
      <c r="B15" s="11">
        <v>6</v>
      </c>
      <c r="C15" s="11" t="s">
        <v>89</v>
      </c>
      <c r="D15" s="11" t="s">
        <v>156</v>
      </c>
      <c r="E15" s="11" t="s">
        <v>157</v>
      </c>
      <c r="F15" s="11" t="s">
        <v>158</v>
      </c>
      <c r="G15" s="11" t="s">
        <v>123</v>
      </c>
      <c r="H15" s="16">
        <v>1.25</v>
      </c>
      <c r="I15" s="11" t="s">
        <v>159</v>
      </c>
      <c r="J15" s="11" t="s">
        <v>101</v>
      </c>
      <c r="K15" s="11" t="s">
        <v>160</v>
      </c>
      <c r="L15" s="11" t="s">
        <v>161</v>
      </c>
      <c r="M15" s="11" t="s">
        <v>163</v>
      </c>
      <c r="N15" s="11" t="s">
        <v>166</v>
      </c>
      <c r="O15" s="11" t="s">
        <v>46</v>
      </c>
      <c r="P15" s="29" t="s">
        <v>167</v>
      </c>
    </row>
    <row r="16" spans="1:16" ht="193.8">
      <c r="A16" s="11" t="s">
        <v>168</v>
      </c>
      <c r="B16" s="11">
        <v>7</v>
      </c>
      <c r="C16" s="11" t="s">
        <v>89</v>
      </c>
      <c r="D16" s="11" t="s">
        <v>169</v>
      </c>
      <c r="E16" s="11" t="s">
        <v>170</v>
      </c>
      <c r="F16" s="11" t="s">
        <v>171</v>
      </c>
      <c r="G16" s="11" t="s">
        <v>123</v>
      </c>
      <c r="H16" s="16">
        <v>1</v>
      </c>
      <c r="I16" s="11" t="s">
        <v>124</v>
      </c>
      <c r="J16" s="11" t="s">
        <v>101</v>
      </c>
      <c r="K16" s="11" t="s">
        <v>172</v>
      </c>
      <c r="L16" s="11" t="s">
        <v>2321</v>
      </c>
      <c r="M16" s="11" t="s">
        <v>174</v>
      </c>
      <c r="N16" s="11" t="s">
        <v>176</v>
      </c>
      <c r="O16" s="11" t="s">
        <v>46</v>
      </c>
      <c r="P16" s="29" t="s">
        <v>177</v>
      </c>
    </row>
    <row r="17" spans="1:16" ht="110.4">
      <c r="A17" s="11" t="s">
        <v>178</v>
      </c>
      <c r="B17" s="11">
        <v>8</v>
      </c>
      <c r="C17" s="11" t="s">
        <v>89</v>
      </c>
      <c r="D17" s="11" t="s">
        <v>179</v>
      </c>
      <c r="E17" s="11" t="s">
        <v>180</v>
      </c>
      <c r="F17" s="11" t="s">
        <v>181</v>
      </c>
      <c r="G17" s="11" t="s">
        <v>123</v>
      </c>
      <c r="H17" s="16">
        <v>1</v>
      </c>
      <c r="I17" s="11" t="s">
        <v>159</v>
      </c>
      <c r="J17" s="11" t="s">
        <v>182</v>
      </c>
      <c r="K17" s="11" t="s">
        <v>183</v>
      </c>
      <c r="L17" s="11" t="s">
        <v>184</v>
      </c>
      <c r="M17" s="11" t="s">
        <v>186</v>
      </c>
      <c r="N17" s="11" t="s">
        <v>187</v>
      </c>
      <c r="O17" s="11" t="s">
        <v>46</v>
      </c>
      <c r="P17" s="29" t="s">
        <v>188</v>
      </c>
    </row>
    <row r="18" spans="1:16" ht="205.2">
      <c r="A18" s="11" t="s">
        <v>189</v>
      </c>
      <c r="B18" s="11">
        <v>9</v>
      </c>
      <c r="C18" s="11" t="s">
        <v>89</v>
      </c>
      <c r="D18" s="11" t="s">
        <v>190</v>
      </c>
      <c r="E18" s="11" t="s">
        <v>191</v>
      </c>
      <c r="F18" s="11" t="s">
        <v>192</v>
      </c>
      <c r="G18" s="11" t="s">
        <v>123</v>
      </c>
      <c r="H18" s="16">
        <v>1.25</v>
      </c>
      <c r="I18" s="11" t="s">
        <v>193</v>
      </c>
      <c r="J18" s="11" t="s">
        <v>194</v>
      </c>
      <c r="K18" s="11" t="s">
        <v>195</v>
      </c>
      <c r="L18" s="11" t="s">
        <v>2322</v>
      </c>
      <c r="M18" s="11" t="s">
        <v>197</v>
      </c>
      <c r="N18" s="11" t="s">
        <v>199</v>
      </c>
      <c r="O18" s="11" t="s">
        <v>46</v>
      </c>
      <c r="P18" s="29" t="s">
        <v>201</v>
      </c>
    </row>
    <row r="19" spans="1:16" ht="193.8">
      <c r="A19" s="11" t="s">
        <v>202</v>
      </c>
      <c r="B19" s="11">
        <v>10</v>
      </c>
      <c r="C19" s="11" t="s">
        <v>89</v>
      </c>
      <c r="D19" s="11" t="s">
        <v>203</v>
      </c>
      <c r="E19" s="11" t="s">
        <v>204</v>
      </c>
      <c r="F19" s="11" t="s">
        <v>205</v>
      </c>
      <c r="G19" s="11" t="s">
        <v>123</v>
      </c>
      <c r="H19" s="16">
        <v>1.5</v>
      </c>
      <c r="I19" s="11" t="s">
        <v>193</v>
      </c>
      <c r="J19" s="11" t="s">
        <v>206</v>
      </c>
      <c r="K19" s="11" t="s">
        <v>207</v>
      </c>
      <c r="L19" s="11" t="s">
        <v>2323</v>
      </c>
      <c r="M19" s="11" t="s">
        <v>209</v>
      </c>
      <c r="N19" s="11" t="s">
        <v>211</v>
      </c>
      <c r="O19" s="11" t="s">
        <v>46</v>
      </c>
      <c r="P19" s="29" t="s">
        <v>212</v>
      </c>
    </row>
    <row r="20" spans="1:16" ht="110.4">
      <c r="A20" s="11" t="s">
        <v>213</v>
      </c>
      <c r="B20" s="11">
        <v>11</v>
      </c>
      <c r="C20" s="11" t="s">
        <v>89</v>
      </c>
      <c r="D20" s="11" t="s">
        <v>214</v>
      </c>
      <c r="E20" s="11" t="s">
        <v>215</v>
      </c>
      <c r="F20" s="11" t="s">
        <v>216</v>
      </c>
      <c r="G20" s="11" t="s">
        <v>123</v>
      </c>
      <c r="H20" s="16">
        <v>1</v>
      </c>
      <c r="I20" s="11" t="s">
        <v>193</v>
      </c>
      <c r="J20" s="11" t="s">
        <v>217</v>
      </c>
      <c r="K20" s="11" t="s">
        <v>218</v>
      </c>
      <c r="L20" s="11" t="s">
        <v>219</v>
      </c>
      <c r="M20" s="11" t="s">
        <v>221</v>
      </c>
      <c r="N20" s="11" t="s">
        <v>223</v>
      </c>
      <c r="O20" s="11" t="s">
        <v>46</v>
      </c>
      <c r="P20" s="29" t="s">
        <v>224</v>
      </c>
    </row>
    <row r="21" spans="1:16" ht="193.8">
      <c r="A21" s="11" t="s">
        <v>225</v>
      </c>
      <c r="B21" s="11">
        <v>12</v>
      </c>
      <c r="C21" s="11" t="s">
        <v>89</v>
      </c>
      <c r="D21" s="11" t="s">
        <v>226</v>
      </c>
      <c r="E21" s="11" t="s">
        <v>227</v>
      </c>
      <c r="F21" s="11" t="s">
        <v>228</v>
      </c>
      <c r="G21" s="11" t="s">
        <v>93</v>
      </c>
      <c r="H21" s="16">
        <v>1</v>
      </c>
      <c r="I21" s="11" t="s">
        <v>2324</v>
      </c>
      <c r="J21" s="11" t="s">
        <v>229</v>
      </c>
      <c r="K21" s="11" t="s">
        <v>230</v>
      </c>
      <c r="L21" s="11" t="s">
        <v>2325</v>
      </c>
      <c r="M21" s="11" t="s">
        <v>232</v>
      </c>
      <c r="N21" s="11" t="s">
        <v>234</v>
      </c>
      <c r="O21" s="11" t="s">
        <v>46</v>
      </c>
      <c r="P21" s="29" t="s">
        <v>236</v>
      </c>
    </row>
    <row r="22" spans="1:16" ht="82.8">
      <c r="A22" t="s">
        <v>237</v>
      </c>
      <c r="B22">
        <v>13</v>
      </c>
      <c r="C22" t="s">
        <v>89</v>
      </c>
      <c r="D22" t="s">
        <v>238</v>
      </c>
      <c r="E22" t="s">
        <v>239</v>
      </c>
      <c r="F22" t="s">
        <v>240</v>
      </c>
      <c r="G22" t="s">
        <v>109</v>
      </c>
      <c r="H22">
        <v>1</v>
      </c>
      <c r="I22" t="s">
        <v>241</v>
      </c>
      <c r="J22" t="s">
        <v>101</v>
      </c>
      <c r="K22" t="s">
        <v>242</v>
      </c>
      <c r="L22" t="s">
        <v>2314</v>
      </c>
      <c r="M22" t="s">
        <v>244</v>
      </c>
      <c r="N22" t="s">
        <v>246</v>
      </c>
      <c r="O22" s="11" t="s">
        <v>46</v>
      </c>
      <c r="P22" s="29" t="s">
        <v>248</v>
      </c>
    </row>
    <row r="23" spans="1:16" ht="24" customHeight="1">
      <c r="A23" s="101"/>
      <c r="B23" s="101"/>
      <c r="C23" s="101"/>
      <c r="D23" s="101"/>
      <c r="E23" s="101"/>
      <c r="F23" s="101"/>
      <c r="G23" s="101"/>
      <c r="H23" s="102"/>
      <c r="I23" s="102"/>
      <c r="J23" s="102"/>
      <c r="K23" s="102"/>
      <c r="L23" s="102"/>
      <c r="M23" s="102"/>
      <c r="N23" s="102"/>
      <c r="O23" s="102"/>
    </row>
    <row r="24" spans="1:16" ht="34.049999999999997" customHeight="1">
      <c r="A24" s="30" t="s">
        <v>1003</v>
      </c>
      <c r="B24" s="30"/>
      <c r="C24" s="30"/>
      <c r="D24" s="30"/>
      <c r="E24" s="30"/>
      <c r="F24" s="30"/>
      <c r="G24" s="30"/>
      <c r="H24" s="31"/>
      <c r="I24" s="31"/>
      <c r="J24" s="31"/>
      <c r="K24" s="31"/>
      <c r="L24" s="31"/>
      <c r="M24" s="31"/>
      <c r="N24" s="31"/>
      <c r="O24" s="31"/>
      <c r="P24" s="31"/>
    </row>
    <row r="25" spans="1:16" ht="48" customHeight="1">
      <c r="A25" s="33" t="s">
        <v>1004</v>
      </c>
      <c r="B25" s="33" t="s">
        <v>76</v>
      </c>
      <c r="C25" s="33" t="s">
        <v>1005</v>
      </c>
      <c r="D25" s="33" t="s">
        <v>1006</v>
      </c>
      <c r="E25" s="33" t="s">
        <v>1007</v>
      </c>
      <c r="F25" s="33" t="s">
        <v>1008</v>
      </c>
      <c r="G25" s="33" t="s">
        <v>1009</v>
      </c>
    </row>
    <row r="26" spans="1:16" ht="52.05" customHeight="1">
      <c r="A26" s="22">
        <v>1</v>
      </c>
      <c r="B26" s="22" t="s">
        <v>94</v>
      </c>
      <c r="C26" s="22" t="s">
        <v>1010</v>
      </c>
      <c r="D26" s="22" t="s">
        <v>1011</v>
      </c>
      <c r="E26" s="22" t="s">
        <v>1012</v>
      </c>
      <c r="F26" s="22" t="s">
        <v>1013</v>
      </c>
      <c r="G26" s="22" t="s">
        <v>1014</v>
      </c>
    </row>
    <row r="27" spans="1:16" ht="52.05" customHeight="1">
      <c r="A27" s="34">
        <v>2</v>
      </c>
      <c r="B27" s="34" t="s">
        <v>110</v>
      </c>
      <c r="C27" s="34" t="s">
        <v>1015</v>
      </c>
      <c r="D27" s="34" t="s">
        <v>1016</v>
      </c>
      <c r="E27" s="34" t="s">
        <v>1017</v>
      </c>
      <c r="F27" s="34" t="s">
        <v>1018</v>
      </c>
      <c r="G27" s="34" t="s">
        <v>1014</v>
      </c>
    </row>
    <row r="28" spans="1:16" ht="52.05" customHeight="1">
      <c r="A28" s="22">
        <v>3</v>
      </c>
      <c r="B28" s="22" t="s">
        <v>124</v>
      </c>
      <c r="C28" s="22" t="s">
        <v>1019</v>
      </c>
      <c r="D28" s="22" t="s">
        <v>1020</v>
      </c>
      <c r="E28" s="22" t="s">
        <v>1021</v>
      </c>
      <c r="F28" s="22" t="s">
        <v>1022</v>
      </c>
      <c r="G28" s="22" t="s">
        <v>1023</v>
      </c>
    </row>
    <row r="29" spans="1:16" ht="52.05" customHeight="1">
      <c r="A29" s="34">
        <v>4</v>
      </c>
      <c r="B29" s="34" t="s">
        <v>147</v>
      </c>
      <c r="C29" s="34" t="s">
        <v>1024</v>
      </c>
      <c r="D29" s="34" t="s">
        <v>1025</v>
      </c>
      <c r="E29" s="34" t="s">
        <v>1026</v>
      </c>
      <c r="F29" s="34" t="s">
        <v>1027</v>
      </c>
      <c r="G29" s="34" t="s">
        <v>1023</v>
      </c>
    </row>
    <row r="30" spans="1:16" ht="52.05" customHeight="1">
      <c r="A30" s="22">
        <v>5</v>
      </c>
      <c r="B30" s="22" t="s">
        <v>159</v>
      </c>
      <c r="C30" s="22" t="s">
        <v>1028</v>
      </c>
      <c r="D30" s="22" t="s">
        <v>1029</v>
      </c>
      <c r="E30" s="22" t="s">
        <v>1030</v>
      </c>
      <c r="F30" s="22" t="s">
        <v>1031</v>
      </c>
      <c r="G30" s="22" t="s">
        <v>1023</v>
      </c>
    </row>
    <row r="31" spans="1:16" ht="52.05" customHeight="1">
      <c r="A31" s="34">
        <v>6</v>
      </c>
      <c r="B31" s="34" t="s">
        <v>193</v>
      </c>
      <c r="C31" s="34" t="s">
        <v>1032</v>
      </c>
      <c r="D31" s="34" t="s">
        <v>1033</v>
      </c>
      <c r="E31" s="34" t="s">
        <v>1034</v>
      </c>
      <c r="F31" s="34" t="s">
        <v>1035</v>
      </c>
      <c r="G31" s="34" t="s">
        <v>1023</v>
      </c>
    </row>
    <row r="32" spans="1:16" ht="52.05" customHeight="1">
      <c r="A32" s="35">
        <v>7</v>
      </c>
      <c r="B32" s="35" t="s">
        <v>2324</v>
      </c>
      <c r="C32" s="35" t="s">
        <v>1036</v>
      </c>
      <c r="D32" s="35" t="s">
        <v>1037</v>
      </c>
      <c r="E32" s="35" t="s">
        <v>2347</v>
      </c>
      <c r="F32" s="35" t="s">
        <v>232</v>
      </c>
      <c r="G32" s="35" t="s">
        <v>1014</v>
      </c>
    </row>
    <row r="33" spans="1:7" ht="52.05" customHeight="1">
      <c r="A33" s="35">
        <v>8</v>
      </c>
      <c r="B33" s="35" t="s">
        <v>241</v>
      </c>
      <c r="C33" s="35" t="s">
        <v>1038</v>
      </c>
      <c r="D33" s="35" t="s">
        <v>1039</v>
      </c>
      <c r="E33" s="35" t="s">
        <v>1040</v>
      </c>
      <c r="F33" s="35" t="s">
        <v>1041</v>
      </c>
      <c r="G33" s="35" t="s">
        <v>1042</v>
      </c>
    </row>
  </sheetData>
  <mergeCells count="9">
    <mergeCell ref="A23:O23"/>
    <mergeCell ref="A1:O1"/>
    <mergeCell ref="A2:O2"/>
    <mergeCell ref="A4:B4"/>
    <mergeCell ref="A5:B6"/>
    <mergeCell ref="D4:E4"/>
    <mergeCell ref="D5:E6"/>
    <mergeCell ref="G4:O4"/>
    <mergeCell ref="G5:O6"/>
  </mergeCells>
  <conditionalFormatting sqref="O10:O22">
    <cfRule type="containsText" dxfId="43" priority="1" operator="containsText" text="Done"/>
    <cfRule type="containsText" dxfId="42" priority="2" operator="containsText" text="Blocked"/>
    <cfRule type="containsText" dxfId="41" priority="3" operator="containsText" text="In Progress"/>
    <cfRule type="containsText" dxfId="40" priority="4" operator="containsText" text="Ready for Review"/>
  </conditionalFormatting>
  <dataValidations count="1">
    <dataValidation type="list" sqref="O10:O22" xr:uid="{00000000-0002-0000-0300-000000000000}">
      <formula1>"Not Started,In Progress,Blocked,Ready for Review,Done,Deferred"</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32"/>
  <sheetViews>
    <sheetView showGridLines="0" topLeftCell="A24" workbookViewId="0">
      <selection activeCell="P22" sqref="P22"/>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80" t="s">
        <v>1043</v>
      </c>
      <c r="B1" s="80"/>
      <c r="C1" s="80"/>
      <c r="D1" s="80"/>
      <c r="E1" s="80"/>
      <c r="F1" s="80"/>
      <c r="G1" s="80"/>
      <c r="H1" s="80"/>
      <c r="I1" s="80"/>
      <c r="J1" s="80"/>
      <c r="K1" s="80"/>
      <c r="L1" s="80"/>
      <c r="M1" s="80"/>
      <c r="N1" s="80"/>
      <c r="O1" s="80"/>
    </row>
    <row r="2" spans="1:16" ht="31.95" customHeight="1">
      <c r="A2" s="81" t="s">
        <v>1044</v>
      </c>
      <c r="B2" s="81"/>
      <c r="C2" s="81"/>
      <c r="D2" s="81"/>
      <c r="E2" s="81"/>
      <c r="F2" s="81"/>
      <c r="G2" s="81"/>
      <c r="H2" s="81"/>
      <c r="I2" s="81"/>
      <c r="J2" s="81"/>
      <c r="K2" s="81"/>
      <c r="L2" s="81"/>
      <c r="M2" s="81"/>
      <c r="N2" s="81"/>
      <c r="O2" s="81"/>
    </row>
    <row r="4" spans="1:16" ht="28.05" customHeight="1">
      <c r="A4" s="74" t="s">
        <v>55</v>
      </c>
      <c r="B4" s="76"/>
      <c r="D4" s="74" t="s">
        <v>48</v>
      </c>
      <c r="E4" s="76"/>
      <c r="G4" s="74" t="s">
        <v>992</v>
      </c>
      <c r="H4" s="75"/>
      <c r="I4" s="75"/>
      <c r="J4" s="75"/>
      <c r="K4" s="75"/>
      <c r="L4" s="75"/>
      <c r="M4" s="75"/>
      <c r="N4" s="75"/>
      <c r="O4" s="76"/>
    </row>
    <row r="5" spans="1:16">
      <c r="A5" s="103">
        <f>IF(COUNTA(O10:O40)=0,0,COUNTIF(O10:O40,"Done")/COUNTA(A10:A40))</f>
        <v>0.59090909090909094</v>
      </c>
      <c r="B5" s="104"/>
      <c r="D5" s="107">
        <f>COUNTIF(O10:O40,"Blocked")</f>
        <v>0</v>
      </c>
      <c r="E5" s="108"/>
      <c r="G5" s="111" t="s">
        <v>1045</v>
      </c>
      <c r="H5" s="112"/>
      <c r="I5" s="112"/>
      <c r="J5" s="112"/>
      <c r="K5" s="112"/>
      <c r="L5" s="112"/>
      <c r="M5" s="112"/>
      <c r="N5" s="112"/>
      <c r="O5" s="113"/>
    </row>
    <row r="6" spans="1:16">
      <c r="A6" s="105"/>
      <c r="B6" s="106"/>
      <c r="D6" s="109"/>
      <c r="E6" s="110"/>
      <c r="G6" s="114"/>
      <c r="H6" s="115"/>
      <c r="I6" s="115"/>
      <c r="J6" s="115"/>
      <c r="K6" s="115"/>
      <c r="L6" s="115"/>
      <c r="M6" s="115"/>
      <c r="N6" s="115"/>
      <c r="O6" s="116"/>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110.4">
      <c r="A10" s="10" t="s">
        <v>249</v>
      </c>
      <c r="B10" s="10">
        <v>1</v>
      </c>
      <c r="C10" s="10" t="s">
        <v>89</v>
      </c>
      <c r="D10" s="10" t="s">
        <v>250</v>
      </c>
      <c r="E10" s="10" t="s">
        <v>251</v>
      </c>
      <c r="F10" s="10" t="s">
        <v>252</v>
      </c>
      <c r="G10" s="10" t="s">
        <v>123</v>
      </c>
      <c r="H10" s="15">
        <v>1</v>
      </c>
      <c r="I10" s="10" t="s">
        <v>253</v>
      </c>
      <c r="J10" s="10" t="s">
        <v>254</v>
      </c>
      <c r="K10" s="10" t="s">
        <v>255</v>
      </c>
      <c r="L10" s="10" t="s">
        <v>256</v>
      </c>
      <c r="M10" s="10" t="s">
        <v>258</v>
      </c>
      <c r="N10" s="10" t="s">
        <v>259</v>
      </c>
      <c r="O10" s="10" t="s">
        <v>46</v>
      </c>
      <c r="P10" s="29" t="s">
        <v>260</v>
      </c>
    </row>
    <row r="11" spans="1:16" ht="124.2">
      <c r="A11" s="11" t="s">
        <v>261</v>
      </c>
      <c r="B11" s="11">
        <v>2</v>
      </c>
      <c r="C11" s="11" t="s">
        <v>89</v>
      </c>
      <c r="D11" s="11" t="s">
        <v>262</v>
      </c>
      <c r="E11" s="11" t="s">
        <v>263</v>
      </c>
      <c r="F11" s="11" t="s">
        <v>264</v>
      </c>
      <c r="G11" s="11" t="s">
        <v>123</v>
      </c>
      <c r="H11" s="16">
        <v>1.25</v>
      </c>
      <c r="I11" s="11" t="s">
        <v>253</v>
      </c>
      <c r="J11" s="11" t="s">
        <v>101</v>
      </c>
      <c r="K11" s="11" t="s">
        <v>265</v>
      </c>
      <c r="L11" s="11" t="s">
        <v>266</v>
      </c>
      <c r="M11" s="11" t="s">
        <v>268</v>
      </c>
      <c r="N11" s="11" t="s">
        <v>270</v>
      </c>
      <c r="O11" s="11" t="s">
        <v>46</v>
      </c>
      <c r="P11" s="29" t="s">
        <v>271</v>
      </c>
    </row>
    <row r="12" spans="1:16" ht="330.6">
      <c r="A12" s="11" t="s">
        <v>272</v>
      </c>
      <c r="B12" s="11">
        <v>3</v>
      </c>
      <c r="C12" s="11" t="s">
        <v>89</v>
      </c>
      <c r="D12" s="11" t="s">
        <v>273</v>
      </c>
      <c r="E12" s="11" t="s">
        <v>274</v>
      </c>
      <c r="F12" s="11" t="s">
        <v>275</v>
      </c>
      <c r="G12" s="11" t="s">
        <v>123</v>
      </c>
      <c r="H12" s="16">
        <v>1</v>
      </c>
      <c r="I12" s="11" t="s">
        <v>253</v>
      </c>
      <c r="J12" s="11" t="s">
        <v>101</v>
      </c>
      <c r="K12" s="11" t="s">
        <v>276</v>
      </c>
      <c r="L12" s="11" t="s">
        <v>2326</v>
      </c>
      <c r="M12" s="11" t="s">
        <v>278</v>
      </c>
      <c r="N12" s="11" t="s">
        <v>2327</v>
      </c>
      <c r="O12" s="11" t="s">
        <v>46</v>
      </c>
      <c r="P12" s="29" t="s">
        <v>280</v>
      </c>
    </row>
    <row r="13" spans="1:16" ht="330.6">
      <c r="A13" s="11" t="s">
        <v>281</v>
      </c>
      <c r="B13" s="11">
        <v>4</v>
      </c>
      <c r="C13" s="11" t="s">
        <v>89</v>
      </c>
      <c r="D13" s="11" t="s">
        <v>282</v>
      </c>
      <c r="E13" s="11" t="s">
        <v>283</v>
      </c>
      <c r="F13" s="11" t="s">
        <v>284</v>
      </c>
      <c r="G13" s="11" t="s">
        <v>123</v>
      </c>
      <c r="H13" s="16">
        <v>1.5</v>
      </c>
      <c r="I13" s="11" t="s">
        <v>253</v>
      </c>
      <c r="J13" s="11" t="s">
        <v>285</v>
      </c>
      <c r="K13" s="11" t="s">
        <v>286</v>
      </c>
      <c r="L13" s="11" t="s">
        <v>2326</v>
      </c>
      <c r="M13" s="11" t="s">
        <v>288</v>
      </c>
      <c r="N13" s="11" t="s">
        <v>290</v>
      </c>
      <c r="O13" s="11" t="s">
        <v>46</v>
      </c>
      <c r="P13" s="29" t="s">
        <v>291</v>
      </c>
    </row>
    <row r="14" spans="1:16" ht="124.2">
      <c r="A14" s="11" t="s">
        <v>292</v>
      </c>
      <c r="B14" s="11">
        <v>5</v>
      </c>
      <c r="C14" s="11" t="s">
        <v>89</v>
      </c>
      <c r="D14" s="11" t="s">
        <v>293</v>
      </c>
      <c r="E14" s="11" t="s">
        <v>294</v>
      </c>
      <c r="F14" s="11" t="s">
        <v>295</v>
      </c>
      <c r="G14" s="11" t="s">
        <v>123</v>
      </c>
      <c r="H14" s="16">
        <v>1.25</v>
      </c>
      <c r="I14" s="11" t="s">
        <v>296</v>
      </c>
      <c r="J14" s="11" t="s">
        <v>297</v>
      </c>
      <c r="K14" s="11" t="s">
        <v>298</v>
      </c>
      <c r="L14" s="11" t="s">
        <v>299</v>
      </c>
      <c r="M14" s="11" t="s">
        <v>301</v>
      </c>
      <c r="N14" s="11" t="s">
        <v>302</v>
      </c>
      <c r="O14" s="11" t="s">
        <v>46</v>
      </c>
      <c r="P14" s="29" t="s">
        <v>304</v>
      </c>
    </row>
    <row r="15" spans="1:16" ht="124.2">
      <c r="A15" s="11" t="s">
        <v>305</v>
      </c>
      <c r="B15" s="11">
        <v>6</v>
      </c>
      <c r="C15" s="11" t="s">
        <v>89</v>
      </c>
      <c r="D15" s="11" t="s">
        <v>306</v>
      </c>
      <c r="E15" s="11" t="s">
        <v>307</v>
      </c>
      <c r="F15" s="11" t="s">
        <v>308</v>
      </c>
      <c r="G15" s="11" t="s">
        <v>123</v>
      </c>
      <c r="H15" s="16">
        <v>1.5</v>
      </c>
      <c r="I15" s="11" t="s">
        <v>309</v>
      </c>
      <c r="J15" s="11" t="s">
        <v>310</v>
      </c>
      <c r="K15" s="11" t="s">
        <v>311</v>
      </c>
      <c r="L15" s="11" t="s">
        <v>312</v>
      </c>
      <c r="M15" s="11" t="s">
        <v>314</v>
      </c>
      <c r="N15" s="11" t="s">
        <v>316</v>
      </c>
      <c r="O15" s="11" t="s">
        <v>46</v>
      </c>
      <c r="P15" s="29" t="s">
        <v>317</v>
      </c>
    </row>
    <row r="16" spans="1:16" ht="110.4">
      <c r="A16" s="11" t="s">
        <v>318</v>
      </c>
      <c r="B16" s="11">
        <v>7</v>
      </c>
      <c r="C16" s="11" t="s">
        <v>89</v>
      </c>
      <c r="D16" s="11" t="s">
        <v>319</v>
      </c>
      <c r="E16" s="11" t="s">
        <v>320</v>
      </c>
      <c r="F16" s="11" t="s">
        <v>321</v>
      </c>
      <c r="G16" s="11" t="s">
        <v>123</v>
      </c>
      <c r="H16" s="16">
        <v>1</v>
      </c>
      <c r="I16" s="11" t="s">
        <v>309</v>
      </c>
      <c r="J16" s="11" t="s">
        <v>322</v>
      </c>
      <c r="K16" s="11" t="s">
        <v>323</v>
      </c>
      <c r="L16" s="11" t="s">
        <v>324</v>
      </c>
      <c r="M16" s="11" t="s">
        <v>326</v>
      </c>
      <c r="N16" s="11" t="s">
        <v>328</v>
      </c>
      <c r="O16" s="11" t="s">
        <v>46</v>
      </c>
      <c r="P16" s="29" t="s">
        <v>329</v>
      </c>
    </row>
    <row r="17" spans="1:16" ht="110.4">
      <c r="A17" s="11" t="s">
        <v>330</v>
      </c>
      <c r="B17" s="11">
        <v>8</v>
      </c>
      <c r="C17" s="11" t="s">
        <v>89</v>
      </c>
      <c r="D17" s="11" t="s">
        <v>331</v>
      </c>
      <c r="E17" s="11" t="s">
        <v>332</v>
      </c>
      <c r="F17" s="11" t="s">
        <v>333</v>
      </c>
      <c r="G17" s="11" t="s">
        <v>123</v>
      </c>
      <c r="H17" s="16">
        <v>1</v>
      </c>
      <c r="I17" s="11" t="s">
        <v>253</v>
      </c>
      <c r="J17" s="11" t="s">
        <v>334</v>
      </c>
      <c r="K17" s="11" t="s">
        <v>335</v>
      </c>
      <c r="L17" s="11" t="s">
        <v>336</v>
      </c>
      <c r="M17" s="11" t="s">
        <v>338</v>
      </c>
      <c r="N17" s="11" t="s">
        <v>339</v>
      </c>
      <c r="O17" s="11" t="s">
        <v>46</v>
      </c>
      <c r="P17" s="29" t="s">
        <v>340</v>
      </c>
    </row>
    <row r="18" spans="1:16" ht="205.2">
      <c r="A18" s="11" t="s">
        <v>341</v>
      </c>
      <c r="B18" s="11">
        <v>9</v>
      </c>
      <c r="C18" s="11" t="s">
        <v>89</v>
      </c>
      <c r="D18" s="11" t="s">
        <v>342</v>
      </c>
      <c r="E18" s="11" t="s">
        <v>343</v>
      </c>
      <c r="F18" s="11" t="s">
        <v>344</v>
      </c>
      <c r="G18" s="11" t="s">
        <v>109</v>
      </c>
      <c r="H18" s="16">
        <v>1</v>
      </c>
      <c r="I18" s="11" t="s">
        <v>345</v>
      </c>
      <c r="J18" s="11" t="s">
        <v>346</v>
      </c>
      <c r="K18" s="11" t="s">
        <v>347</v>
      </c>
      <c r="L18" s="11" t="s">
        <v>2328</v>
      </c>
      <c r="M18" s="11" t="s">
        <v>349</v>
      </c>
      <c r="N18" s="11" t="s">
        <v>352</v>
      </c>
      <c r="O18" s="11" t="s">
        <v>46</v>
      </c>
      <c r="P18" s="29" t="s">
        <v>353</v>
      </c>
    </row>
    <row r="19" spans="1:16" ht="205.2">
      <c r="A19" s="11" t="s">
        <v>354</v>
      </c>
      <c r="B19" s="11">
        <v>10</v>
      </c>
      <c r="C19" s="11" t="s">
        <v>89</v>
      </c>
      <c r="D19" s="11" t="s">
        <v>203</v>
      </c>
      <c r="E19" s="11" t="s">
        <v>355</v>
      </c>
      <c r="F19" s="11" t="s">
        <v>356</v>
      </c>
      <c r="G19" s="11" t="s">
        <v>109</v>
      </c>
      <c r="H19" s="16">
        <v>1</v>
      </c>
      <c r="I19" s="11" t="s">
        <v>345</v>
      </c>
      <c r="J19" s="11" t="s">
        <v>357</v>
      </c>
      <c r="K19" s="11" t="s">
        <v>358</v>
      </c>
      <c r="L19" s="11" t="s">
        <v>2329</v>
      </c>
      <c r="M19" s="11" t="s">
        <v>360</v>
      </c>
      <c r="N19" s="11" t="s">
        <v>362</v>
      </c>
      <c r="O19" s="11" t="s">
        <v>46</v>
      </c>
      <c r="P19" s="29" t="s">
        <v>363</v>
      </c>
    </row>
    <row r="20" spans="1:16" ht="124.2">
      <c r="A20" s="11" t="s">
        <v>364</v>
      </c>
      <c r="B20" s="11">
        <v>11</v>
      </c>
      <c r="C20" s="11" t="s">
        <v>365</v>
      </c>
      <c r="D20" s="11" t="s">
        <v>366</v>
      </c>
      <c r="E20" s="11" t="s">
        <v>367</v>
      </c>
      <c r="F20" s="11" t="s">
        <v>368</v>
      </c>
      <c r="G20" s="11" t="s">
        <v>93</v>
      </c>
      <c r="H20" s="16">
        <v>0.75</v>
      </c>
      <c r="I20" s="11" t="s">
        <v>369</v>
      </c>
      <c r="J20" s="11" t="s">
        <v>101</v>
      </c>
      <c r="K20" s="11" t="s">
        <v>370</v>
      </c>
      <c r="L20" s="11" t="s">
        <v>2330</v>
      </c>
      <c r="M20" s="11" t="s">
        <v>372</v>
      </c>
      <c r="N20" s="11" t="s">
        <v>374</v>
      </c>
      <c r="O20" s="11" t="s">
        <v>46</v>
      </c>
      <c r="P20" s="29" t="s">
        <v>375</v>
      </c>
    </row>
    <row r="21" spans="1:16" ht="193.8">
      <c r="A21" s="11" t="s">
        <v>376</v>
      </c>
      <c r="B21" s="11">
        <v>12</v>
      </c>
      <c r="C21" s="11" t="s">
        <v>89</v>
      </c>
      <c r="D21" s="11" t="s">
        <v>226</v>
      </c>
      <c r="E21" s="11" t="s">
        <v>377</v>
      </c>
      <c r="F21" s="11" t="s">
        <v>378</v>
      </c>
      <c r="G21" s="11" t="s">
        <v>93</v>
      </c>
      <c r="H21" s="16">
        <v>0.75</v>
      </c>
      <c r="I21" s="11" t="s">
        <v>2331</v>
      </c>
      <c r="J21" s="11" t="s">
        <v>379</v>
      </c>
      <c r="K21" s="11" t="s">
        <v>380</v>
      </c>
      <c r="L21" s="11" t="s">
        <v>2332</v>
      </c>
      <c r="M21" s="11" t="s">
        <v>382</v>
      </c>
      <c r="N21" s="11" t="s">
        <v>384</v>
      </c>
      <c r="O21" s="11" t="s">
        <v>46</v>
      </c>
      <c r="P21" s="29" t="s">
        <v>385</v>
      </c>
    </row>
    <row r="22" spans="1:16" ht="82.8">
      <c r="A22" t="s">
        <v>386</v>
      </c>
      <c r="B22">
        <v>13</v>
      </c>
      <c r="C22" t="s">
        <v>89</v>
      </c>
      <c r="D22" t="s">
        <v>238</v>
      </c>
      <c r="E22" t="s">
        <v>387</v>
      </c>
      <c r="F22" t="s">
        <v>388</v>
      </c>
      <c r="G22" t="s">
        <v>109</v>
      </c>
      <c r="H22">
        <v>1</v>
      </c>
      <c r="I22" t="s">
        <v>241</v>
      </c>
      <c r="J22" t="s">
        <v>101</v>
      </c>
      <c r="K22" t="s">
        <v>389</v>
      </c>
      <c r="L22" t="s">
        <v>2315</v>
      </c>
      <c r="M22" t="s">
        <v>390</v>
      </c>
      <c r="N22" t="s">
        <v>246</v>
      </c>
      <c r="O22" s="11" t="s">
        <v>46</v>
      </c>
      <c r="P22" s="29" t="s">
        <v>392</v>
      </c>
    </row>
    <row r="23" spans="1:16" ht="24" customHeight="1">
      <c r="A23" s="101"/>
      <c r="B23" s="101"/>
      <c r="C23" s="101"/>
      <c r="D23" s="101"/>
      <c r="E23" s="101"/>
      <c r="F23" s="101"/>
      <c r="G23" s="101"/>
      <c r="H23" s="102"/>
      <c r="I23" s="102"/>
      <c r="J23" s="102"/>
      <c r="K23" s="102"/>
      <c r="L23" s="102"/>
      <c r="M23" s="102"/>
      <c r="N23" s="102"/>
      <c r="O23" s="102"/>
    </row>
    <row r="24" spans="1:16" ht="34.049999999999997" customHeight="1">
      <c r="A24" s="30" t="s">
        <v>1003</v>
      </c>
      <c r="B24" s="30"/>
      <c r="C24" s="30"/>
      <c r="D24" s="30"/>
      <c r="E24" s="30"/>
      <c r="F24" s="30"/>
      <c r="G24" s="30"/>
      <c r="H24" s="31"/>
      <c r="I24" s="31"/>
      <c r="J24" s="31"/>
      <c r="K24" s="31"/>
      <c r="L24" s="31"/>
      <c r="M24" s="31"/>
      <c r="N24" s="31"/>
      <c r="O24" s="31"/>
      <c r="P24" s="31"/>
    </row>
    <row r="25" spans="1:16" ht="48" customHeight="1">
      <c r="A25" s="33" t="s">
        <v>1004</v>
      </c>
      <c r="B25" s="33" t="s">
        <v>76</v>
      </c>
      <c r="C25" s="33" t="s">
        <v>1005</v>
      </c>
      <c r="D25" s="33" t="s">
        <v>1006</v>
      </c>
      <c r="E25" s="33" t="s">
        <v>1007</v>
      </c>
      <c r="F25" s="33" t="s">
        <v>1008</v>
      </c>
      <c r="G25" s="33" t="s">
        <v>1009</v>
      </c>
    </row>
    <row r="26" spans="1:16" ht="52.05" customHeight="1">
      <c r="A26" s="22">
        <v>1</v>
      </c>
      <c r="B26" s="22" t="s">
        <v>253</v>
      </c>
      <c r="C26" s="22" t="s">
        <v>1046</v>
      </c>
      <c r="D26" s="22" t="s">
        <v>1047</v>
      </c>
      <c r="E26" s="22" t="s">
        <v>1048</v>
      </c>
      <c r="F26" s="22" t="s">
        <v>1049</v>
      </c>
      <c r="G26" s="22" t="s">
        <v>1023</v>
      </c>
    </row>
    <row r="27" spans="1:16" ht="52.05" customHeight="1">
      <c r="A27" s="34">
        <v>2</v>
      </c>
      <c r="B27" s="34" t="s">
        <v>296</v>
      </c>
      <c r="C27" s="34" t="s">
        <v>1050</v>
      </c>
      <c r="D27" s="34" t="s">
        <v>1051</v>
      </c>
      <c r="E27" s="34" t="s">
        <v>1052</v>
      </c>
      <c r="F27" s="34" t="s">
        <v>1053</v>
      </c>
      <c r="G27" s="34" t="s">
        <v>1023</v>
      </c>
    </row>
    <row r="28" spans="1:16" ht="52.05" customHeight="1">
      <c r="A28" s="22">
        <v>3</v>
      </c>
      <c r="B28" s="22" t="s">
        <v>309</v>
      </c>
      <c r="C28" s="22" t="s">
        <v>1054</v>
      </c>
      <c r="D28" s="22" t="s">
        <v>1055</v>
      </c>
      <c r="E28" s="22" t="s">
        <v>1056</v>
      </c>
      <c r="F28" s="22" t="s">
        <v>1057</v>
      </c>
      <c r="G28" s="22" t="s">
        <v>1023</v>
      </c>
    </row>
    <row r="29" spans="1:16" ht="52.05" customHeight="1">
      <c r="A29" s="34">
        <v>4</v>
      </c>
      <c r="B29" s="34" t="s">
        <v>345</v>
      </c>
      <c r="C29" s="34" t="s">
        <v>1058</v>
      </c>
      <c r="D29" s="34" t="s">
        <v>1059</v>
      </c>
      <c r="E29" s="34" t="s">
        <v>1060</v>
      </c>
      <c r="F29" s="34" t="s">
        <v>1061</v>
      </c>
      <c r="G29" s="34" t="s">
        <v>1023</v>
      </c>
    </row>
    <row r="30" spans="1:16" ht="52.05" customHeight="1">
      <c r="A30" s="22">
        <v>5</v>
      </c>
      <c r="B30" s="22" t="s">
        <v>369</v>
      </c>
      <c r="C30" s="22" t="s">
        <v>1062</v>
      </c>
      <c r="D30" s="22" t="s">
        <v>1063</v>
      </c>
      <c r="E30" s="22" t="s">
        <v>1064</v>
      </c>
      <c r="F30" s="22" t="s">
        <v>2348</v>
      </c>
      <c r="G30" s="22" t="s">
        <v>1065</v>
      </c>
    </row>
    <row r="31" spans="1:16" ht="52.05" customHeight="1">
      <c r="A31" s="35">
        <v>6</v>
      </c>
      <c r="B31" s="35" t="s">
        <v>2331</v>
      </c>
      <c r="C31" s="35" t="s">
        <v>1036</v>
      </c>
      <c r="D31" s="35" t="s">
        <v>1037</v>
      </c>
      <c r="E31" s="35" t="s">
        <v>2349</v>
      </c>
      <c r="F31" s="35" t="s">
        <v>382</v>
      </c>
      <c r="G31" s="35" t="s">
        <v>1014</v>
      </c>
    </row>
    <row r="32" spans="1:16" ht="52.05" customHeight="1">
      <c r="A32" s="35">
        <v>7</v>
      </c>
      <c r="B32" s="35" t="s">
        <v>241</v>
      </c>
      <c r="C32" s="35" t="s">
        <v>1066</v>
      </c>
      <c r="D32" s="35" t="s">
        <v>1039</v>
      </c>
      <c r="E32" s="35" t="s">
        <v>1040</v>
      </c>
      <c r="F32" s="35" t="s">
        <v>1067</v>
      </c>
      <c r="G32" s="35" t="s">
        <v>1042</v>
      </c>
    </row>
  </sheetData>
  <mergeCells count="9">
    <mergeCell ref="A23:O23"/>
    <mergeCell ref="A1:O1"/>
    <mergeCell ref="A2:O2"/>
    <mergeCell ref="A4:B4"/>
    <mergeCell ref="A5:B6"/>
    <mergeCell ref="D4:E4"/>
    <mergeCell ref="D5:E6"/>
    <mergeCell ref="G4:O4"/>
    <mergeCell ref="G5:O6"/>
  </mergeCells>
  <conditionalFormatting sqref="O10:O22">
    <cfRule type="containsText" dxfId="39" priority="1" operator="containsText" text="Done"/>
    <cfRule type="containsText" dxfId="38" priority="2" operator="containsText" text="Blocked"/>
    <cfRule type="containsText" dxfId="37" priority="3" operator="containsText" text="In Progress"/>
    <cfRule type="containsText" dxfId="36" priority="4" operator="containsText" text="Ready for Review"/>
  </conditionalFormatting>
  <dataValidations count="1">
    <dataValidation type="list" sqref="O10:O22" xr:uid="{00000000-0002-0000-0400-000000000000}">
      <formula1>"Not Started,In Progress,Blocked,Ready for Review,Done,Deferred"</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P31"/>
  <sheetViews>
    <sheetView showGridLines="0" topLeftCell="K10" workbookViewId="0">
      <selection activeCell="O13" sqref="O13"/>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80" t="s">
        <v>1068</v>
      </c>
      <c r="B1" s="80"/>
      <c r="C1" s="80"/>
      <c r="D1" s="80"/>
      <c r="E1" s="80"/>
      <c r="F1" s="80"/>
      <c r="G1" s="80"/>
      <c r="H1" s="80"/>
      <c r="I1" s="80"/>
      <c r="J1" s="80"/>
      <c r="K1" s="80"/>
      <c r="L1" s="80"/>
      <c r="M1" s="80"/>
      <c r="N1" s="80"/>
      <c r="O1" s="80"/>
    </row>
    <row r="2" spans="1:16" ht="31.95" customHeight="1">
      <c r="A2" s="81" t="s">
        <v>1069</v>
      </c>
      <c r="B2" s="81"/>
      <c r="C2" s="81"/>
      <c r="D2" s="81"/>
      <c r="E2" s="81"/>
      <c r="F2" s="81"/>
      <c r="G2" s="81"/>
      <c r="H2" s="81"/>
      <c r="I2" s="81"/>
      <c r="J2" s="81"/>
      <c r="K2" s="81"/>
      <c r="L2" s="81"/>
      <c r="M2" s="81"/>
      <c r="N2" s="81"/>
      <c r="O2" s="81"/>
    </row>
    <row r="4" spans="1:16" ht="28.05" customHeight="1">
      <c r="A4" s="74" t="s">
        <v>55</v>
      </c>
      <c r="B4" s="76"/>
      <c r="D4" s="74" t="s">
        <v>48</v>
      </c>
      <c r="E4" s="76"/>
      <c r="G4" s="74" t="s">
        <v>992</v>
      </c>
      <c r="H4" s="75"/>
      <c r="I4" s="75"/>
      <c r="J4" s="75"/>
      <c r="K4" s="75"/>
      <c r="L4" s="75"/>
      <c r="M4" s="75"/>
      <c r="N4" s="75"/>
      <c r="O4" s="76"/>
    </row>
    <row r="5" spans="1:16">
      <c r="A5" s="103">
        <f>IF(COUNTA(O10:O40)=0,0,COUNTIF(O10:O40,"Done")/COUNTA(A10:A40))</f>
        <v>0.19047619047619047</v>
      </c>
      <c r="B5" s="104"/>
      <c r="D5" s="107">
        <f>COUNTIF(O10:O40,"Blocked")</f>
        <v>0</v>
      </c>
      <c r="E5" s="108"/>
      <c r="G5" s="111" t="s">
        <v>1070</v>
      </c>
      <c r="H5" s="112"/>
      <c r="I5" s="112"/>
      <c r="J5" s="112"/>
      <c r="K5" s="112"/>
      <c r="L5" s="112"/>
      <c r="M5" s="112"/>
      <c r="N5" s="112"/>
      <c r="O5" s="113"/>
    </row>
    <row r="6" spans="1:16">
      <c r="A6" s="105"/>
      <c r="B6" s="106"/>
      <c r="D6" s="109"/>
      <c r="E6" s="110"/>
      <c r="G6" s="114"/>
      <c r="H6" s="115"/>
      <c r="I6" s="115"/>
      <c r="J6" s="115"/>
      <c r="K6" s="115"/>
      <c r="L6" s="115"/>
      <c r="M6" s="115"/>
      <c r="N6" s="115"/>
      <c r="O6" s="116"/>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110.4">
      <c r="A10" s="10" t="s">
        <v>393</v>
      </c>
      <c r="B10" s="10">
        <v>1</v>
      </c>
      <c r="C10" s="10" t="s">
        <v>89</v>
      </c>
      <c r="D10" s="10" t="s">
        <v>394</v>
      </c>
      <c r="E10" s="10" t="s">
        <v>395</v>
      </c>
      <c r="F10" s="10" t="s">
        <v>396</v>
      </c>
      <c r="G10" s="10" t="s">
        <v>123</v>
      </c>
      <c r="H10" s="15">
        <v>1</v>
      </c>
      <c r="I10" s="10" t="s">
        <v>397</v>
      </c>
      <c r="J10" s="10" t="s">
        <v>398</v>
      </c>
      <c r="K10" s="10" t="s">
        <v>399</v>
      </c>
      <c r="L10" s="10" t="s">
        <v>400</v>
      </c>
      <c r="M10" s="10" t="s">
        <v>402</v>
      </c>
      <c r="N10" s="10" t="s">
        <v>404</v>
      </c>
      <c r="O10" s="10" t="s">
        <v>46</v>
      </c>
      <c r="P10" s="29" t="s">
        <v>405</v>
      </c>
    </row>
    <row r="11" spans="1:16" ht="110.4">
      <c r="A11" s="11" t="s">
        <v>406</v>
      </c>
      <c r="B11" s="11">
        <v>2</v>
      </c>
      <c r="C11" s="11" t="s">
        <v>89</v>
      </c>
      <c r="D11" s="11" t="s">
        <v>407</v>
      </c>
      <c r="E11" s="11" t="s">
        <v>408</v>
      </c>
      <c r="F11" s="11" t="s">
        <v>409</v>
      </c>
      <c r="G11" s="11" t="s">
        <v>123</v>
      </c>
      <c r="H11" s="16">
        <v>1.25</v>
      </c>
      <c r="I11" s="11" t="s">
        <v>397</v>
      </c>
      <c r="J11" s="11" t="s">
        <v>410</v>
      </c>
      <c r="K11" s="11" t="s">
        <v>411</v>
      </c>
      <c r="L11" s="11" t="s">
        <v>412</v>
      </c>
      <c r="M11" s="11" t="s">
        <v>414</v>
      </c>
      <c r="N11" s="11" t="s">
        <v>416</v>
      </c>
      <c r="O11" s="11" t="s">
        <v>46</v>
      </c>
      <c r="P11" s="29" t="s">
        <v>417</v>
      </c>
    </row>
    <row r="12" spans="1:16" ht="110.4">
      <c r="A12" s="11" t="s">
        <v>418</v>
      </c>
      <c r="B12" s="11">
        <v>3</v>
      </c>
      <c r="C12" s="11" t="s">
        <v>89</v>
      </c>
      <c r="D12" s="11" t="s">
        <v>419</v>
      </c>
      <c r="E12" s="11" t="s">
        <v>420</v>
      </c>
      <c r="F12" s="11" t="s">
        <v>421</v>
      </c>
      <c r="G12" s="11" t="s">
        <v>123</v>
      </c>
      <c r="H12" s="16">
        <v>0.75</v>
      </c>
      <c r="I12" s="11" t="s">
        <v>397</v>
      </c>
      <c r="J12" s="11" t="s">
        <v>101</v>
      </c>
      <c r="K12" s="11" t="s">
        <v>422</v>
      </c>
      <c r="L12" s="11" t="s">
        <v>423</v>
      </c>
      <c r="M12" s="11" t="s">
        <v>425</v>
      </c>
      <c r="N12" s="11" t="s">
        <v>427</v>
      </c>
      <c r="O12" s="11" t="s">
        <v>46</v>
      </c>
      <c r="P12" s="29" t="s">
        <v>428</v>
      </c>
    </row>
    <row r="13" spans="1:16" ht="110.4">
      <c r="A13" s="11" t="s">
        <v>429</v>
      </c>
      <c r="B13" s="11">
        <v>4</v>
      </c>
      <c r="C13" s="11" t="s">
        <v>89</v>
      </c>
      <c r="D13" s="11" t="s">
        <v>430</v>
      </c>
      <c r="E13" s="11" t="s">
        <v>431</v>
      </c>
      <c r="F13" s="11" t="s">
        <v>432</v>
      </c>
      <c r="G13" s="11" t="s">
        <v>123</v>
      </c>
      <c r="H13" s="16">
        <v>1.5</v>
      </c>
      <c r="I13" s="11" t="s">
        <v>397</v>
      </c>
      <c r="J13" s="11" t="s">
        <v>433</v>
      </c>
      <c r="K13" s="11" t="s">
        <v>434</v>
      </c>
      <c r="L13" s="11" t="s">
        <v>435</v>
      </c>
      <c r="M13" s="11" t="s">
        <v>437</v>
      </c>
      <c r="N13" s="11" t="s">
        <v>439</v>
      </c>
      <c r="O13" s="11" t="s">
        <v>46</v>
      </c>
      <c r="P13" s="29" t="s">
        <v>440</v>
      </c>
    </row>
    <row r="14" spans="1:16" ht="110.4">
      <c r="A14" s="11" t="s">
        <v>441</v>
      </c>
      <c r="B14" s="11">
        <v>5</v>
      </c>
      <c r="C14" s="11" t="s">
        <v>89</v>
      </c>
      <c r="D14" s="11" t="s">
        <v>442</v>
      </c>
      <c r="E14" s="11" t="s">
        <v>443</v>
      </c>
      <c r="F14" s="11" t="s">
        <v>444</v>
      </c>
      <c r="G14" s="11" t="s">
        <v>123</v>
      </c>
      <c r="H14" s="16">
        <v>1</v>
      </c>
      <c r="I14" s="11" t="s">
        <v>445</v>
      </c>
      <c r="J14" s="11" t="s">
        <v>446</v>
      </c>
      <c r="K14" s="11" t="s">
        <v>447</v>
      </c>
      <c r="L14" s="11" t="s">
        <v>448</v>
      </c>
      <c r="M14" s="11" t="s">
        <v>450</v>
      </c>
      <c r="N14" s="11" t="s">
        <v>451</v>
      </c>
      <c r="O14" s="11" t="s">
        <v>303</v>
      </c>
      <c r="P14" s="29" t="s">
        <v>452</v>
      </c>
    </row>
    <row r="15" spans="1:16" ht="110.4">
      <c r="A15" s="11" t="s">
        <v>453</v>
      </c>
      <c r="B15" s="11">
        <v>6</v>
      </c>
      <c r="C15" s="11" t="s">
        <v>89</v>
      </c>
      <c r="D15" s="11" t="s">
        <v>454</v>
      </c>
      <c r="E15" s="11" t="s">
        <v>455</v>
      </c>
      <c r="F15" s="11" t="s">
        <v>456</v>
      </c>
      <c r="G15" s="11" t="s">
        <v>93</v>
      </c>
      <c r="H15" s="16">
        <v>1.25</v>
      </c>
      <c r="I15" s="11" t="s">
        <v>457</v>
      </c>
      <c r="J15" s="11" t="s">
        <v>458</v>
      </c>
      <c r="K15" s="11" t="s">
        <v>459</v>
      </c>
      <c r="L15" s="11" t="s">
        <v>460</v>
      </c>
      <c r="M15" s="11" t="s">
        <v>462</v>
      </c>
      <c r="N15" s="11" t="s">
        <v>463</v>
      </c>
      <c r="O15" s="11" t="s">
        <v>303</v>
      </c>
      <c r="P15" s="29" t="s">
        <v>464</v>
      </c>
    </row>
    <row r="16" spans="1:16" ht="110.4">
      <c r="A16" s="11" t="s">
        <v>465</v>
      </c>
      <c r="B16" s="11">
        <v>7</v>
      </c>
      <c r="C16" s="11" t="s">
        <v>89</v>
      </c>
      <c r="D16" s="11" t="s">
        <v>466</v>
      </c>
      <c r="E16" s="11" t="s">
        <v>467</v>
      </c>
      <c r="F16" s="11" t="s">
        <v>468</v>
      </c>
      <c r="G16" s="11" t="s">
        <v>123</v>
      </c>
      <c r="H16" s="16">
        <v>1.5</v>
      </c>
      <c r="I16" s="11" t="s">
        <v>457</v>
      </c>
      <c r="J16" s="11" t="s">
        <v>469</v>
      </c>
      <c r="K16" s="11" t="s">
        <v>470</v>
      </c>
      <c r="L16" s="11" t="s">
        <v>2295</v>
      </c>
      <c r="M16" s="11" t="s">
        <v>472</v>
      </c>
      <c r="N16" s="11" t="s">
        <v>474</v>
      </c>
      <c r="O16" s="11" t="s">
        <v>303</v>
      </c>
      <c r="P16" s="29" t="s">
        <v>475</v>
      </c>
    </row>
    <row r="17" spans="1:16" ht="110.4">
      <c r="A17" s="11" t="s">
        <v>476</v>
      </c>
      <c r="B17" s="11">
        <v>8</v>
      </c>
      <c r="C17" s="11" t="s">
        <v>89</v>
      </c>
      <c r="D17" s="11" t="s">
        <v>477</v>
      </c>
      <c r="E17" s="11" t="s">
        <v>478</v>
      </c>
      <c r="F17" s="11" t="s">
        <v>479</v>
      </c>
      <c r="G17" s="11" t="s">
        <v>123</v>
      </c>
      <c r="H17" s="16">
        <v>1</v>
      </c>
      <c r="I17" s="11" t="s">
        <v>445</v>
      </c>
      <c r="J17" s="11" t="s">
        <v>334</v>
      </c>
      <c r="K17" s="11" t="s">
        <v>480</v>
      </c>
      <c r="L17" s="11" t="s">
        <v>481</v>
      </c>
      <c r="M17" s="11" t="s">
        <v>483</v>
      </c>
      <c r="N17" s="11" t="s">
        <v>484</v>
      </c>
      <c r="O17" s="11" t="s">
        <v>303</v>
      </c>
      <c r="P17" s="29" t="s">
        <v>485</v>
      </c>
    </row>
    <row r="18" spans="1:16" ht="110.4">
      <c r="A18" s="11" t="s">
        <v>486</v>
      </c>
      <c r="B18" s="11">
        <v>9</v>
      </c>
      <c r="C18" s="11" t="s">
        <v>89</v>
      </c>
      <c r="D18" s="11" t="s">
        <v>487</v>
      </c>
      <c r="E18" s="11" t="s">
        <v>488</v>
      </c>
      <c r="F18" s="11" t="s">
        <v>489</v>
      </c>
      <c r="G18" s="11" t="s">
        <v>123</v>
      </c>
      <c r="H18" s="16">
        <v>0.75</v>
      </c>
      <c r="I18" s="11" t="s">
        <v>490</v>
      </c>
      <c r="J18" s="11" t="s">
        <v>491</v>
      </c>
      <c r="K18" s="11" t="s">
        <v>492</v>
      </c>
      <c r="L18" s="11" t="s">
        <v>493</v>
      </c>
      <c r="M18" s="11" t="s">
        <v>495</v>
      </c>
      <c r="N18" s="11" t="s">
        <v>497</v>
      </c>
      <c r="O18" s="11" t="s">
        <v>303</v>
      </c>
      <c r="P18" s="29" t="s">
        <v>498</v>
      </c>
    </row>
    <row r="19" spans="1:16" ht="110.4">
      <c r="A19" s="11" t="s">
        <v>499</v>
      </c>
      <c r="B19" s="11">
        <v>10</v>
      </c>
      <c r="C19" s="11" t="s">
        <v>89</v>
      </c>
      <c r="D19" s="11" t="s">
        <v>500</v>
      </c>
      <c r="E19" s="11" t="s">
        <v>501</v>
      </c>
      <c r="F19" s="11" t="s">
        <v>502</v>
      </c>
      <c r="G19" s="11" t="s">
        <v>109</v>
      </c>
      <c r="H19" s="16">
        <v>0.75</v>
      </c>
      <c r="I19" s="11" t="s">
        <v>457</v>
      </c>
      <c r="J19" s="11" t="s">
        <v>503</v>
      </c>
      <c r="K19" s="11" t="s">
        <v>504</v>
      </c>
      <c r="L19" s="11" t="s">
        <v>505</v>
      </c>
      <c r="M19" s="11" t="s">
        <v>507</v>
      </c>
      <c r="N19" s="11" t="s">
        <v>508</v>
      </c>
      <c r="O19" s="11" t="s">
        <v>303</v>
      </c>
      <c r="P19" s="29" t="s">
        <v>509</v>
      </c>
    </row>
    <row r="20" spans="1:16" ht="193.8">
      <c r="A20" s="11" t="s">
        <v>510</v>
      </c>
      <c r="B20" s="11">
        <v>11</v>
      </c>
      <c r="C20" s="11" t="s">
        <v>89</v>
      </c>
      <c r="D20" s="11" t="s">
        <v>511</v>
      </c>
      <c r="E20" s="11" t="s">
        <v>512</v>
      </c>
      <c r="F20" s="11" t="s">
        <v>513</v>
      </c>
      <c r="G20" s="11" t="s">
        <v>109</v>
      </c>
      <c r="H20" s="16">
        <v>1</v>
      </c>
      <c r="I20" s="11" t="s">
        <v>514</v>
      </c>
      <c r="J20" s="11" t="s">
        <v>101</v>
      </c>
      <c r="K20" s="11" t="s">
        <v>515</v>
      </c>
      <c r="L20" s="11" t="s">
        <v>2333</v>
      </c>
      <c r="M20" s="11" t="s">
        <v>517</v>
      </c>
      <c r="N20" s="11" t="s">
        <v>519</v>
      </c>
      <c r="O20" s="11" t="s">
        <v>303</v>
      </c>
      <c r="P20" s="29" t="s">
        <v>520</v>
      </c>
    </row>
    <row r="21" spans="1:16" ht="193.8">
      <c r="A21" s="11" t="s">
        <v>521</v>
      </c>
      <c r="B21" s="11">
        <v>12</v>
      </c>
      <c r="C21" s="11" t="s">
        <v>89</v>
      </c>
      <c r="D21" s="11" t="s">
        <v>226</v>
      </c>
      <c r="E21" s="11" t="s">
        <v>522</v>
      </c>
      <c r="F21" s="11" t="s">
        <v>523</v>
      </c>
      <c r="G21" s="11" t="s">
        <v>93</v>
      </c>
      <c r="H21" s="16">
        <v>0.75</v>
      </c>
      <c r="I21" s="11" t="s">
        <v>2334</v>
      </c>
      <c r="J21" s="11" t="s">
        <v>524</v>
      </c>
      <c r="K21" s="11" t="s">
        <v>525</v>
      </c>
      <c r="L21" s="11" t="s">
        <v>2335</v>
      </c>
      <c r="M21" s="11" t="s">
        <v>527</v>
      </c>
      <c r="N21" s="11" t="s">
        <v>529</v>
      </c>
      <c r="O21" s="11" t="s">
        <v>303</v>
      </c>
      <c r="P21" s="29" t="s">
        <v>530</v>
      </c>
    </row>
    <row r="22" spans="1:16" ht="82.8">
      <c r="A22" t="s">
        <v>531</v>
      </c>
      <c r="B22">
        <v>13</v>
      </c>
      <c r="C22" t="s">
        <v>89</v>
      </c>
      <c r="D22" t="s">
        <v>238</v>
      </c>
      <c r="E22" t="s">
        <v>532</v>
      </c>
      <c r="F22" t="s">
        <v>533</v>
      </c>
      <c r="G22" t="s">
        <v>109</v>
      </c>
      <c r="H22">
        <v>1</v>
      </c>
      <c r="I22" t="s">
        <v>241</v>
      </c>
      <c r="J22" t="s">
        <v>101</v>
      </c>
      <c r="K22" t="s">
        <v>534</v>
      </c>
      <c r="L22" t="s">
        <v>2316</v>
      </c>
      <c r="M22" t="s">
        <v>535</v>
      </c>
      <c r="N22" t="s">
        <v>246</v>
      </c>
      <c r="O22" t="s">
        <v>303</v>
      </c>
      <c r="P22" s="29" t="s">
        <v>538</v>
      </c>
    </row>
    <row r="23" spans="1:16" ht="24" customHeight="1">
      <c r="A23" s="101"/>
      <c r="B23" s="101"/>
      <c r="C23" s="101"/>
      <c r="D23" s="101"/>
      <c r="E23" s="101"/>
      <c r="F23" s="101"/>
      <c r="G23" s="101"/>
      <c r="H23" s="102"/>
      <c r="I23" s="102"/>
      <c r="J23" s="102"/>
      <c r="K23" s="102"/>
      <c r="L23" s="102"/>
      <c r="M23" s="102"/>
      <c r="N23" s="102"/>
      <c r="O23" s="102"/>
    </row>
    <row r="24" spans="1:16" ht="34.049999999999997" customHeight="1">
      <c r="A24" s="30" t="s">
        <v>1003</v>
      </c>
      <c r="B24" s="30"/>
      <c r="C24" s="30"/>
      <c r="D24" s="30"/>
      <c r="E24" s="30"/>
      <c r="F24" s="30"/>
      <c r="G24" s="30"/>
      <c r="H24" s="31"/>
      <c r="I24" s="31"/>
      <c r="J24" s="31"/>
      <c r="K24" s="31"/>
      <c r="L24" s="31"/>
      <c r="M24" s="31"/>
      <c r="N24" s="31"/>
      <c r="O24" s="31"/>
      <c r="P24" s="31"/>
    </row>
    <row r="25" spans="1:16" ht="48" customHeight="1">
      <c r="A25" s="33" t="s">
        <v>1004</v>
      </c>
      <c r="B25" s="33" t="s">
        <v>76</v>
      </c>
      <c r="C25" s="33" t="s">
        <v>1005</v>
      </c>
      <c r="D25" s="33" t="s">
        <v>1006</v>
      </c>
      <c r="E25" s="33" t="s">
        <v>1007</v>
      </c>
      <c r="F25" s="33" t="s">
        <v>1008</v>
      </c>
      <c r="G25" s="33" t="s">
        <v>1009</v>
      </c>
    </row>
    <row r="26" spans="1:16" ht="52.05" customHeight="1">
      <c r="A26" s="22">
        <v>1</v>
      </c>
      <c r="B26" s="22" t="s">
        <v>397</v>
      </c>
      <c r="C26" s="22" t="s">
        <v>1071</v>
      </c>
      <c r="D26" s="22" t="s">
        <v>1072</v>
      </c>
      <c r="E26" s="22" t="s">
        <v>1073</v>
      </c>
      <c r="F26" s="22" t="s">
        <v>1074</v>
      </c>
      <c r="G26" s="22" t="s">
        <v>1023</v>
      </c>
    </row>
    <row r="27" spans="1:16" ht="52.05" customHeight="1">
      <c r="A27" s="34">
        <v>2</v>
      </c>
      <c r="B27" s="34" t="s">
        <v>457</v>
      </c>
      <c r="C27" s="34" t="s">
        <v>1075</v>
      </c>
      <c r="D27" s="34" t="s">
        <v>1076</v>
      </c>
      <c r="E27" s="34" t="s">
        <v>1077</v>
      </c>
      <c r="F27" s="34" t="s">
        <v>1078</v>
      </c>
      <c r="G27" s="34" t="s">
        <v>1023</v>
      </c>
    </row>
    <row r="28" spans="1:16" ht="52.05" customHeight="1">
      <c r="A28" s="22">
        <v>3</v>
      </c>
      <c r="B28" s="22" t="s">
        <v>445</v>
      </c>
      <c r="C28" s="22" t="s">
        <v>1079</v>
      </c>
      <c r="D28" s="22" t="s">
        <v>1080</v>
      </c>
      <c r="E28" s="22" t="s">
        <v>1081</v>
      </c>
      <c r="F28" s="22" t="s">
        <v>1082</v>
      </c>
      <c r="G28" s="22" t="s">
        <v>1023</v>
      </c>
    </row>
    <row r="29" spans="1:16" ht="52.05" customHeight="1">
      <c r="A29" s="34">
        <v>4</v>
      </c>
      <c r="B29" s="34" t="s">
        <v>514</v>
      </c>
      <c r="C29" s="34" t="s">
        <v>1083</v>
      </c>
      <c r="D29" s="34" t="s">
        <v>1084</v>
      </c>
      <c r="E29" s="34" t="s">
        <v>1085</v>
      </c>
      <c r="F29" s="34" t="s">
        <v>1086</v>
      </c>
      <c r="G29" s="34" t="s">
        <v>1023</v>
      </c>
    </row>
    <row r="30" spans="1:16" ht="52.05" customHeight="1">
      <c r="A30" s="35">
        <v>5</v>
      </c>
      <c r="B30" s="35" t="s">
        <v>2334</v>
      </c>
      <c r="C30" s="35" t="s">
        <v>1036</v>
      </c>
      <c r="D30" s="35" t="s">
        <v>1037</v>
      </c>
      <c r="E30" s="35" t="s">
        <v>2350</v>
      </c>
      <c r="F30" s="35" t="s">
        <v>527</v>
      </c>
      <c r="G30" s="35" t="s">
        <v>1014</v>
      </c>
    </row>
    <row r="31" spans="1:16" ht="52.05" customHeight="1">
      <c r="A31" s="35">
        <v>6</v>
      </c>
      <c r="B31" s="35" t="s">
        <v>241</v>
      </c>
      <c r="C31" s="35" t="s">
        <v>1087</v>
      </c>
      <c r="D31" s="35" t="s">
        <v>1039</v>
      </c>
      <c r="E31" s="35" t="s">
        <v>1040</v>
      </c>
      <c r="F31" s="35" t="s">
        <v>1088</v>
      </c>
      <c r="G31" s="35" t="s">
        <v>1042</v>
      </c>
    </row>
  </sheetData>
  <mergeCells count="9">
    <mergeCell ref="A23:O23"/>
    <mergeCell ref="A1:O1"/>
    <mergeCell ref="A2:O2"/>
    <mergeCell ref="A4:B4"/>
    <mergeCell ref="A5:B6"/>
    <mergeCell ref="D4:E4"/>
    <mergeCell ref="D5:E6"/>
    <mergeCell ref="G4:O4"/>
    <mergeCell ref="G5:O6"/>
  </mergeCells>
  <conditionalFormatting sqref="O10:O21">
    <cfRule type="containsText" dxfId="35" priority="1" operator="containsText" text="Done"/>
    <cfRule type="containsText" dxfId="34" priority="2" operator="containsText" text="Blocked"/>
    <cfRule type="containsText" dxfId="33" priority="3" operator="containsText" text="In Progress"/>
    <cfRule type="containsText" dxfId="32" priority="4" operator="containsText" text="Ready for Review"/>
  </conditionalFormatting>
  <dataValidations count="1">
    <dataValidation type="list" sqref="O10:O21" xr:uid="{00000000-0002-0000-0500-000000000000}">
      <formula1>"Not Started,In Progress,Blocked,Ready for Review,Done,Deferred"</formula1>
    </dataValidation>
  </dataValidation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P31"/>
  <sheetViews>
    <sheetView showGridLines="0" workbookViewId="0"/>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80" t="s">
        <v>1089</v>
      </c>
      <c r="B1" s="80"/>
      <c r="C1" s="80"/>
      <c r="D1" s="80"/>
      <c r="E1" s="80"/>
      <c r="F1" s="80"/>
      <c r="G1" s="80"/>
      <c r="H1" s="80"/>
      <c r="I1" s="80"/>
      <c r="J1" s="80"/>
      <c r="K1" s="80"/>
      <c r="L1" s="80"/>
      <c r="M1" s="80"/>
      <c r="N1" s="80"/>
      <c r="O1" s="80"/>
    </row>
    <row r="2" spans="1:16" ht="31.95" customHeight="1">
      <c r="A2" s="81" t="s">
        <v>1090</v>
      </c>
      <c r="B2" s="81"/>
      <c r="C2" s="81"/>
      <c r="D2" s="81"/>
      <c r="E2" s="81"/>
      <c r="F2" s="81"/>
      <c r="G2" s="81"/>
      <c r="H2" s="81"/>
      <c r="I2" s="81"/>
      <c r="J2" s="81"/>
      <c r="K2" s="81"/>
      <c r="L2" s="81"/>
      <c r="M2" s="81"/>
      <c r="N2" s="81"/>
      <c r="O2" s="81"/>
    </row>
    <row r="4" spans="1:16" ht="28.05" customHeight="1">
      <c r="A4" s="74" t="s">
        <v>55</v>
      </c>
      <c r="B4" s="76"/>
      <c r="D4" s="74" t="s">
        <v>48</v>
      </c>
      <c r="E4" s="76"/>
      <c r="G4" s="74" t="s">
        <v>992</v>
      </c>
      <c r="H4" s="75"/>
      <c r="I4" s="75"/>
      <c r="J4" s="75"/>
      <c r="K4" s="75"/>
      <c r="L4" s="75"/>
      <c r="M4" s="75"/>
      <c r="N4" s="75"/>
      <c r="O4" s="76"/>
    </row>
    <row r="5" spans="1:16">
      <c r="A5" s="103">
        <f>IF(COUNTA(O10:O40)=0,0,COUNTIF(O10:O40,"Done")/COUNTA(A10:A40))</f>
        <v>0</v>
      </c>
      <c r="B5" s="104"/>
      <c r="D5" s="107">
        <f>COUNTIF(O10:O40,"Blocked")</f>
        <v>0</v>
      </c>
      <c r="E5" s="108"/>
      <c r="G5" s="111" t="s">
        <v>1091</v>
      </c>
      <c r="H5" s="112"/>
      <c r="I5" s="112"/>
      <c r="J5" s="112"/>
      <c r="K5" s="112"/>
      <c r="L5" s="112"/>
      <c r="M5" s="112"/>
      <c r="N5" s="112"/>
      <c r="O5" s="113"/>
    </row>
    <row r="6" spans="1:16">
      <c r="A6" s="105"/>
      <c r="B6" s="106"/>
      <c r="D6" s="109"/>
      <c r="E6" s="110"/>
      <c r="G6" s="114"/>
      <c r="H6" s="115"/>
      <c r="I6" s="115"/>
      <c r="J6" s="115"/>
      <c r="K6" s="115"/>
      <c r="L6" s="115"/>
      <c r="M6" s="115"/>
      <c r="N6" s="115"/>
      <c r="O6" s="116"/>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110.4">
      <c r="A10" s="10" t="s">
        <v>539</v>
      </c>
      <c r="B10" s="10">
        <v>1</v>
      </c>
      <c r="C10" s="10" t="s">
        <v>89</v>
      </c>
      <c r="D10" s="10" t="s">
        <v>540</v>
      </c>
      <c r="E10" s="10" t="s">
        <v>541</v>
      </c>
      <c r="F10" s="10" t="s">
        <v>542</v>
      </c>
      <c r="G10" s="10" t="s">
        <v>123</v>
      </c>
      <c r="H10" s="15">
        <v>1.5</v>
      </c>
      <c r="I10" s="10" t="s">
        <v>543</v>
      </c>
      <c r="J10" s="10" t="s">
        <v>334</v>
      </c>
      <c r="K10" s="10" t="s">
        <v>544</v>
      </c>
      <c r="L10" s="10" t="s">
        <v>545</v>
      </c>
      <c r="M10" s="10" t="s">
        <v>547</v>
      </c>
      <c r="N10" s="10" t="s">
        <v>549</v>
      </c>
      <c r="O10" s="10" t="s">
        <v>303</v>
      </c>
      <c r="P10" s="29" t="s">
        <v>550</v>
      </c>
    </row>
    <row r="11" spans="1:16" ht="110.4">
      <c r="A11" s="11" t="s">
        <v>551</v>
      </c>
      <c r="B11" s="11">
        <v>2</v>
      </c>
      <c r="C11" s="11" t="s">
        <v>89</v>
      </c>
      <c r="D11" s="11" t="s">
        <v>331</v>
      </c>
      <c r="E11" s="11" t="s">
        <v>552</v>
      </c>
      <c r="F11" s="11" t="s">
        <v>553</v>
      </c>
      <c r="G11" s="11" t="s">
        <v>123</v>
      </c>
      <c r="H11" s="16">
        <v>1</v>
      </c>
      <c r="I11" s="11" t="s">
        <v>543</v>
      </c>
      <c r="J11" s="11" t="s">
        <v>334</v>
      </c>
      <c r="K11" s="11" t="s">
        <v>554</v>
      </c>
      <c r="L11" s="11" t="s">
        <v>555</v>
      </c>
      <c r="M11" s="11" t="s">
        <v>557</v>
      </c>
      <c r="N11" s="11" t="s">
        <v>558</v>
      </c>
      <c r="O11" s="11" t="s">
        <v>303</v>
      </c>
      <c r="P11" s="29" t="s">
        <v>559</v>
      </c>
    </row>
    <row r="12" spans="1:16" ht="110.4">
      <c r="A12" s="11" t="s">
        <v>560</v>
      </c>
      <c r="B12" s="11">
        <v>3</v>
      </c>
      <c r="C12" s="11" t="s">
        <v>89</v>
      </c>
      <c r="D12" s="11" t="s">
        <v>561</v>
      </c>
      <c r="E12" s="11" t="s">
        <v>562</v>
      </c>
      <c r="F12" s="11" t="s">
        <v>563</v>
      </c>
      <c r="G12" s="11" t="s">
        <v>123</v>
      </c>
      <c r="H12" s="16">
        <v>1.25</v>
      </c>
      <c r="I12" s="11" t="s">
        <v>564</v>
      </c>
      <c r="J12" s="11" t="s">
        <v>524</v>
      </c>
      <c r="K12" s="11" t="s">
        <v>565</v>
      </c>
      <c r="L12" s="11" t="s">
        <v>566</v>
      </c>
      <c r="M12" s="11" t="s">
        <v>568</v>
      </c>
      <c r="N12" s="11" t="s">
        <v>570</v>
      </c>
      <c r="O12" s="11" t="s">
        <v>303</v>
      </c>
      <c r="P12" s="29" t="s">
        <v>571</v>
      </c>
    </row>
    <row r="13" spans="1:16" ht="110.4">
      <c r="A13" s="11" t="s">
        <v>572</v>
      </c>
      <c r="B13" s="11">
        <v>4</v>
      </c>
      <c r="C13" s="11" t="s">
        <v>89</v>
      </c>
      <c r="D13" s="11" t="s">
        <v>573</v>
      </c>
      <c r="E13" s="11" t="s">
        <v>574</v>
      </c>
      <c r="F13" s="11" t="s">
        <v>575</v>
      </c>
      <c r="G13" s="11" t="s">
        <v>123</v>
      </c>
      <c r="H13" s="16">
        <v>0.75</v>
      </c>
      <c r="I13" s="11" t="s">
        <v>564</v>
      </c>
      <c r="J13" s="11" t="s">
        <v>101</v>
      </c>
      <c r="K13" s="11" t="s">
        <v>576</v>
      </c>
      <c r="L13" s="11" t="s">
        <v>577</v>
      </c>
      <c r="M13" s="11" t="s">
        <v>579</v>
      </c>
      <c r="N13" s="11" t="s">
        <v>580</v>
      </c>
      <c r="O13" s="11" t="s">
        <v>303</v>
      </c>
      <c r="P13" s="29" t="s">
        <v>581</v>
      </c>
    </row>
    <row r="14" spans="1:16" ht="110.4">
      <c r="A14" s="11" t="s">
        <v>582</v>
      </c>
      <c r="B14" s="11">
        <v>5</v>
      </c>
      <c r="C14" s="11" t="s">
        <v>89</v>
      </c>
      <c r="D14" s="11" t="s">
        <v>583</v>
      </c>
      <c r="E14" s="11" t="s">
        <v>584</v>
      </c>
      <c r="F14" s="11" t="s">
        <v>585</v>
      </c>
      <c r="G14" s="11" t="s">
        <v>123</v>
      </c>
      <c r="H14" s="16">
        <v>1.25</v>
      </c>
      <c r="I14" s="11" t="s">
        <v>564</v>
      </c>
      <c r="J14" s="11" t="s">
        <v>524</v>
      </c>
      <c r="K14" s="11" t="s">
        <v>586</v>
      </c>
      <c r="L14" s="11" t="s">
        <v>587</v>
      </c>
      <c r="M14" s="11" t="s">
        <v>589</v>
      </c>
      <c r="N14" s="11" t="s">
        <v>592</v>
      </c>
      <c r="O14" s="11" t="s">
        <v>303</v>
      </c>
      <c r="P14" s="29" t="s">
        <v>593</v>
      </c>
    </row>
    <row r="15" spans="1:16" ht="110.4">
      <c r="A15" s="11" t="s">
        <v>594</v>
      </c>
      <c r="B15" s="11">
        <v>6</v>
      </c>
      <c r="C15" s="11" t="s">
        <v>89</v>
      </c>
      <c r="D15" s="11" t="s">
        <v>595</v>
      </c>
      <c r="E15" s="11" t="s">
        <v>596</v>
      </c>
      <c r="F15" s="11" t="s">
        <v>597</v>
      </c>
      <c r="G15" s="11" t="s">
        <v>123</v>
      </c>
      <c r="H15" s="16">
        <v>1</v>
      </c>
      <c r="I15" s="11" t="s">
        <v>564</v>
      </c>
      <c r="J15" s="11" t="s">
        <v>598</v>
      </c>
      <c r="K15" s="11" t="s">
        <v>599</v>
      </c>
      <c r="L15" s="11" t="s">
        <v>600</v>
      </c>
      <c r="M15" s="11" t="s">
        <v>602</v>
      </c>
      <c r="N15" s="11" t="s">
        <v>603</v>
      </c>
      <c r="O15" s="11" t="s">
        <v>303</v>
      </c>
      <c r="P15" s="29" t="s">
        <v>604</v>
      </c>
    </row>
    <row r="16" spans="1:16" ht="110.4">
      <c r="A16" s="11" t="s">
        <v>605</v>
      </c>
      <c r="B16" s="11">
        <v>7</v>
      </c>
      <c r="C16" s="11" t="s">
        <v>89</v>
      </c>
      <c r="D16" s="11" t="s">
        <v>606</v>
      </c>
      <c r="E16" s="11" t="s">
        <v>607</v>
      </c>
      <c r="F16" s="11" t="s">
        <v>608</v>
      </c>
      <c r="G16" s="11" t="s">
        <v>123</v>
      </c>
      <c r="H16" s="16">
        <v>0.75</v>
      </c>
      <c r="I16" s="11" t="s">
        <v>564</v>
      </c>
      <c r="J16" s="11" t="s">
        <v>609</v>
      </c>
      <c r="K16" s="11" t="s">
        <v>610</v>
      </c>
      <c r="L16" s="11" t="s">
        <v>611</v>
      </c>
      <c r="M16" s="11" t="s">
        <v>613</v>
      </c>
      <c r="N16" s="11" t="s">
        <v>614</v>
      </c>
      <c r="O16" s="11" t="s">
        <v>303</v>
      </c>
      <c r="P16" s="29" t="s">
        <v>615</v>
      </c>
    </row>
    <row r="17" spans="1:16" ht="110.4">
      <c r="A17" s="11" t="s">
        <v>616</v>
      </c>
      <c r="B17" s="11">
        <v>8</v>
      </c>
      <c r="C17" s="11" t="s">
        <v>89</v>
      </c>
      <c r="D17" s="11" t="s">
        <v>617</v>
      </c>
      <c r="E17" s="11" t="s">
        <v>618</v>
      </c>
      <c r="F17" s="11" t="s">
        <v>619</v>
      </c>
      <c r="G17" s="11" t="s">
        <v>123</v>
      </c>
      <c r="H17" s="16">
        <v>1</v>
      </c>
      <c r="I17" s="11" t="s">
        <v>490</v>
      </c>
      <c r="J17" s="11" t="s">
        <v>491</v>
      </c>
      <c r="K17" s="11" t="s">
        <v>620</v>
      </c>
      <c r="L17" s="11" t="s">
        <v>621</v>
      </c>
      <c r="M17" s="11" t="s">
        <v>623</v>
      </c>
      <c r="N17" s="11" t="s">
        <v>625</v>
      </c>
      <c r="O17" s="11" t="s">
        <v>303</v>
      </c>
      <c r="P17" s="29" t="s">
        <v>626</v>
      </c>
    </row>
    <row r="18" spans="1:16" ht="110.4">
      <c r="A18" s="11" t="s">
        <v>627</v>
      </c>
      <c r="B18" s="11">
        <v>9</v>
      </c>
      <c r="C18" s="11" t="s">
        <v>89</v>
      </c>
      <c r="D18" s="11" t="s">
        <v>628</v>
      </c>
      <c r="E18" s="11" t="s">
        <v>629</v>
      </c>
      <c r="F18" s="11" t="s">
        <v>630</v>
      </c>
      <c r="G18" s="11" t="s">
        <v>123</v>
      </c>
      <c r="H18" s="16">
        <v>1</v>
      </c>
      <c r="I18" s="11" t="s">
        <v>564</v>
      </c>
      <c r="J18" s="11" t="s">
        <v>101</v>
      </c>
      <c r="K18" s="11" t="s">
        <v>631</v>
      </c>
      <c r="L18" s="11" t="s">
        <v>632</v>
      </c>
      <c r="M18" s="11" t="s">
        <v>634</v>
      </c>
      <c r="N18" s="11" t="s">
        <v>637</v>
      </c>
      <c r="O18" s="11" t="s">
        <v>303</v>
      </c>
      <c r="P18" s="29" t="s">
        <v>638</v>
      </c>
    </row>
    <row r="19" spans="1:16" ht="110.4">
      <c r="A19" s="11" t="s">
        <v>639</v>
      </c>
      <c r="B19" s="11">
        <v>10</v>
      </c>
      <c r="C19" s="11" t="s">
        <v>365</v>
      </c>
      <c r="D19" s="11" t="s">
        <v>640</v>
      </c>
      <c r="E19" s="11" t="s">
        <v>641</v>
      </c>
      <c r="F19" s="11" t="s">
        <v>642</v>
      </c>
      <c r="G19" s="11" t="s">
        <v>123</v>
      </c>
      <c r="H19" s="16">
        <v>0.75</v>
      </c>
      <c r="I19" s="11" t="s">
        <v>543</v>
      </c>
      <c r="J19" s="11" t="s">
        <v>598</v>
      </c>
      <c r="K19" s="11" t="s">
        <v>643</v>
      </c>
      <c r="L19" s="11" t="s">
        <v>644</v>
      </c>
      <c r="M19" s="11" t="s">
        <v>646</v>
      </c>
      <c r="N19" s="11" t="s">
        <v>649</v>
      </c>
      <c r="O19" s="11" t="s">
        <v>303</v>
      </c>
      <c r="P19" s="29" t="s">
        <v>650</v>
      </c>
    </row>
    <row r="20" spans="1:16" ht="193.8">
      <c r="A20" s="11" t="s">
        <v>651</v>
      </c>
      <c r="B20" s="11">
        <v>11</v>
      </c>
      <c r="C20" s="11" t="s">
        <v>89</v>
      </c>
      <c r="D20" s="11" t="s">
        <v>652</v>
      </c>
      <c r="E20" s="11" t="s">
        <v>653</v>
      </c>
      <c r="F20" s="11" t="s">
        <v>654</v>
      </c>
      <c r="G20" s="11" t="s">
        <v>109</v>
      </c>
      <c r="H20" s="16">
        <v>1</v>
      </c>
      <c r="I20" s="11" t="s">
        <v>655</v>
      </c>
      <c r="J20" s="11" t="s">
        <v>101</v>
      </c>
      <c r="K20" s="11" t="s">
        <v>656</v>
      </c>
      <c r="L20" s="11" t="s">
        <v>2336</v>
      </c>
      <c r="M20" s="11" t="s">
        <v>658</v>
      </c>
      <c r="N20" s="11" t="s">
        <v>660</v>
      </c>
      <c r="O20" s="11" t="s">
        <v>303</v>
      </c>
      <c r="P20" s="29" t="s">
        <v>661</v>
      </c>
    </row>
    <row r="21" spans="1:16" ht="193.8">
      <c r="A21" s="11" t="s">
        <v>662</v>
      </c>
      <c r="B21" s="11">
        <v>12</v>
      </c>
      <c r="C21" s="11" t="s">
        <v>89</v>
      </c>
      <c r="D21" s="11" t="s">
        <v>226</v>
      </c>
      <c r="E21" s="11" t="s">
        <v>663</v>
      </c>
      <c r="F21" s="11" t="s">
        <v>664</v>
      </c>
      <c r="G21" s="11" t="s">
        <v>93</v>
      </c>
      <c r="H21" s="16">
        <v>0.75</v>
      </c>
      <c r="I21" s="11" t="s">
        <v>2337</v>
      </c>
      <c r="J21" s="11" t="s">
        <v>665</v>
      </c>
      <c r="K21" s="11" t="s">
        <v>666</v>
      </c>
      <c r="L21" s="11" t="s">
        <v>2338</v>
      </c>
      <c r="M21" s="11" t="s">
        <v>668</v>
      </c>
      <c r="N21" s="11" t="s">
        <v>670</v>
      </c>
      <c r="O21" s="11" t="s">
        <v>303</v>
      </c>
      <c r="P21" s="29" t="s">
        <v>671</v>
      </c>
    </row>
    <row r="22" spans="1:16" ht="82.8">
      <c r="A22" t="s">
        <v>672</v>
      </c>
      <c r="B22">
        <v>13</v>
      </c>
      <c r="C22" t="s">
        <v>89</v>
      </c>
      <c r="D22" t="s">
        <v>238</v>
      </c>
      <c r="E22" t="s">
        <v>673</v>
      </c>
      <c r="F22" t="s">
        <v>674</v>
      </c>
      <c r="G22" t="s">
        <v>109</v>
      </c>
      <c r="H22">
        <v>1</v>
      </c>
      <c r="I22" t="s">
        <v>241</v>
      </c>
      <c r="J22" t="s">
        <v>101</v>
      </c>
      <c r="K22" t="s">
        <v>675</v>
      </c>
      <c r="L22" t="s">
        <v>2317</v>
      </c>
      <c r="M22" t="s">
        <v>676</v>
      </c>
      <c r="N22" t="s">
        <v>246</v>
      </c>
      <c r="O22" t="s">
        <v>303</v>
      </c>
      <c r="P22" s="29" t="s">
        <v>679</v>
      </c>
    </row>
    <row r="23" spans="1:16" ht="24" customHeight="1">
      <c r="A23" s="101"/>
      <c r="B23" s="101"/>
      <c r="C23" s="101"/>
      <c r="D23" s="101"/>
      <c r="E23" s="101"/>
      <c r="F23" s="101"/>
      <c r="G23" s="101"/>
      <c r="H23" s="102"/>
      <c r="I23" s="102"/>
      <c r="J23" s="102"/>
      <c r="K23" s="102"/>
      <c r="L23" s="102"/>
      <c r="M23" s="102"/>
      <c r="N23" s="102"/>
      <c r="O23" s="102"/>
    </row>
    <row r="24" spans="1:16" ht="34.049999999999997" customHeight="1">
      <c r="A24" s="30" t="s">
        <v>1003</v>
      </c>
      <c r="B24" s="30"/>
      <c r="C24" s="30"/>
      <c r="D24" s="30"/>
      <c r="E24" s="30"/>
      <c r="F24" s="30"/>
      <c r="G24" s="30"/>
      <c r="H24" s="31"/>
      <c r="I24" s="31"/>
      <c r="J24" s="31"/>
      <c r="K24" s="31"/>
      <c r="L24" s="31"/>
      <c r="M24" s="31"/>
      <c r="N24" s="31"/>
      <c r="O24" s="31"/>
      <c r="P24" s="31"/>
    </row>
    <row r="25" spans="1:16" ht="48" customHeight="1">
      <c r="A25" s="33" t="s">
        <v>1004</v>
      </c>
      <c r="B25" s="33" t="s">
        <v>76</v>
      </c>
      <c r="C25" s="33" t="s">
        <v>1005</v>
      </c>
      <c r="D25" s="33" t="s">
        <v>1006</v>
      </c>
      <c r="E25" s="33" t="s">
        <v>1007</v>
      </c>
      <c r="F25" s="33" t="s">
        <v>1008</v>
      </c>
      <c r="G25" s="33" t="s">
        <v>1009</v>
      </c>
    </row>
    <row r="26" spans="1:16" ht="52.05" customHeight="1">
      <c r="A26" s="22">
        <v>1</v>
      </c>
      <c r="B26" s="22" t="s">
        <v>543</v>
      </c>
      <c r="C26" s="22" t="s">
        <v>1092</v>
      </c>
      <c r="D26" s="22" t="s">
        <v>1093</v>
      </c>
      <c r="E26" s="22" t="s">
        <v>1094</v>
      </c>
      <c r="F26" s="22" t="s">
        <v>1095</v>
      </c>
      <c r="G26" s="22" t="s">
        <v>1023</v>
      </c>
    </row>
    <row r="27" spans="1:16" ht="52.05" customHeight="1">
      <c r="A27" s="34">
        <v>2</v>
      </c>
      <c r="B27" s="34" t="s">
        <v>564</v>
      </c>
      <c r="C27" s="34" t="s">
        <v>1096</v>
      </c>
      <c r="D27" s="34" t="s">
        <v>1097</v>
      </c>
      <c r="E27" s="34" t="s">
        <v>1098</v>
      </c>
      <c r="F27" s="34" t="s">
        <v>1099</v>
      </c>
      <c r="G27" s="34" t="s">
        <v>1023</v>
      </c>
    </row>
    <row r="28" spans="1:16" ht="52.05" customHeight="1">
      <c r="A28" s="22">
        <v>3</v>
      </c>
      <c r="B28" s="22" t="s">
        <v>490</v>
      </c>
      <c r="C28" s="22" t="s">
        <v>1100</v>
      </c>
      <c r="D28" s="22" t="s">
        <v>1101</v>
      </c>
      <c r="E28" s="22" t="s">
        <v>1102</v>
      </c>
      <c r="F28" s="22" t="s">
        <v>1103</v>
      </c>
      <c r="G28" s="22" t="s">
        <v>1023</v>
      </c>
    </row>
    <row r="29" spans="1:16" ht="52.05" customHeight="1">
      <c r="A29" s="34">
        <v>4</v>
      </c>
      <c r="B29" s="34" t="s">
        <v>655</v>
      </c>
      <c r="C29" s="34" t="s">
        <v>1104</v>
      </c>
      <c r="D29" s="34" t="s">
        <v>1105</v>
      </c>
      <c r="E29" s="34" t="s">
        <v>1106</v>
      </c>
      <c r="F29" s="34" t="s">
        <v>1107</v>
      </c>
      <c r="G29" s="34" t="s">
        <v>1023</v>
      </c>
    </row>
    <row r="30" spans="1:16" ht="52.05" customHeight="1">
      <c r="A30" s="35">
        <v>5</v>
      </c>
      <c r="B30" s="35" t="s">
        <v>2337</v>
      </c>
      <c r="C30" s="35" t="s">
        <v>1036</v>
      </c>
      <c r="D30" s="35" t="s">
        <v>1037</v>
      </c>
      <c r="E30" s="35" t="s">
        <v>2351</v>
      </c>
      <c r="F30" s="35" t="s">
        <v>668</v>
      </c>
      <c r="G30" s="35" t="s">
        <v>1014</v>
      </c>
    </row>
    <row r="31" spans="1:16" ht="52.05" customHeight="1">
      <c r="A31" s="35">
        <v>6</v>
      </c>
      <c r="B31" s="35" t="s">
        <v>241</v>
      </c>
      <c r="C31" s="35" t="s">
        <v>1108</v>
      </c>
      <c r="D31" s="35" t="s">
        <v>1039</v>
      </c>
      <c r="E31" s="35" t="s">
        <v>1040</v>
      </c>
      <c r="F31" s="35" t="s">
        <v>1109</v>
      </c>
      <c r="G31" s="35" t="s">
        <v>1042</v>
      </c>
    </row>
  </sheetData>
  <mergeCells count="9">
    <mergeCell ref="A23:O23"/>
    <mergeCell ref="A1:O1"/>
    <mergeCell ref="A2:O2"/>
    <mergeCell ref="A4:B4"/>
    <mergeCell ref="A5:B6"/>
    <mergeCell ref="D4:E4"/>
    <mergeCell ref="D5:E6"/>
    <mergeCell ref="G4:O4"/>
    <mergeCell ref="G5:O6"/>
  </mergeCells>
  <conditionalFormatting sqref="O10:O21">
    <cfRule type="containsText" dxfId="31" priority="1" operator="containsText" text="Done"/>
    <cfRule type="containsText" dxfId="30" priority="2" operator="containsText" text="Blocked"/>
    <cfRule type="containsText" dxfId="29" priority="3" operator="containsText" text="In Progress"/>
    <cfRule type="containsText" dxfId="28" priority="4" operator="containsText" text="Ready for Review"/>
  </conditionalFormatting>
  <dataValidations count="1">
    <dataValidation type="list" sqref="O10:O21" xr:uid="{00000000-0002-0000-0600-000000000000}">
      <formula1>"Not Started,In Progress,Blocked,Ready for Review,Done,Deferred"</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P33"/>
  <sheetViews>
    <sheetView showGridLines="0" workbookViewId="0"/>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80" t="s">
        <v>1110</v>
      </c>
      <c r="B1" s="80"/>
      <c r="C1" s="80"/>
      <c r="D1" s="80"/>
      <c r="E1" s="80"/>
      <c r="F1" s="80"/>
      <c r="G1" s="80"/>
      <c r="H1" s="80"/>
      <c r="I1" s="80"/>
      <c r="J1" s="80"/>
      <c r="K1" s="80"/>
      <c r="L1" s="80"/>
      <c r="M1" s="80"/>
      <c r="N1" s="80"/>
      <c r="O1" s="80"/>
    </row>
    <row r="2" spans="1:16" ht="31.95" customHeight="1">
      <c r="A2" s="81" t="s">
        <v>1111</v>
      </c>
      <c r="B2" s="81"/>
      <c r="C2" s="81"/>
      <c r="D2" s="81"/>
      <c r="E2" s="81"/>
      <c r="F2" s="81"/>
      <c r="G2" s="81"/>
      <c r="H2" s="81"/>
      <c r="I2" s="81"/>
      <c r="J2" s="81"/>
      <c r="K2" s="81"/>
      <c r="L2" s="81"/>
      <c r="M2" s="81"/>
      <c r="N2" s="81"/>
      <c r="O2" s="81"/>
    </row>
    <row r="4" spans="1:16" ht="28.05" customHeight="1">
      <c r="A4" s="74" t="s">
        <v>55</v>
      </c>
      <c r="B4" s="76"/>
      <c r="D4" s="74" t="s">
        <v>48</v>
      </c>
      <c r="E4" s="76"/>
      <c r="G4" s="74" t="s">
        <v>992</v>
      </c>
      <c r="H4" s="75"/>
      <c r="I4" s="75"/>
      <c r="J4" s="75"/>
      <c r="K4" s="75"/>
      <c r="L4" s="75"/>
      <c r="M4" s="75"/>
      <c r="N4" s="75"/>
      <c r="O4" s="76"/>
    </row>
    <row r="5" spans="1:16">
      <c r="A5" s="103">
        <f>IF(COUNTA(O10:O40)=0,0,COUNTIF(O10:O40,"Done")/COUNTA(A10:A40))</f>
        <v>0</v>
      </c>
      <c r="B5" s="104"/>
      <c r="D5" s="107">
        <f>COUNTIF(O10:O40,"Blocked")</f>
        <v>0</v>
      </c>
      <c r="E5" s="108"/>
      <c r="G5" s="111" t="s">
        <v>1112</v>
      </c>
      <c r="H5" s="112"/>
      <c r="I5" s="112"/>
      <c r="J5" s="112"/>
      <c r="K5" s="112"/>
      <c r="L5" s="112"/>
      <c r="M5" s="112"/>
      <c r="N5" s="112"/>
      <c r="O5" s="113"/>
    </row>
    <row r="6" spans="1:16">
      <c r="A6" s="105"/>
      <c r="B6" s="106"/>
      <c r="D6" s="109"/>
      <c r="E6" s="110"/>
      <c r="G6" s="114"/>
      <c r="H6" s="115"/>
      <c r="I6" s="115"/>
      <c r="J6" s="115"/>
      <c r="K6" s="115"/>
      <c r="L6" s="115"/>
      <c r="M6" s="115"/>
      <c r="N6" s="115"/>
      <c r="O6" s="116"/>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96.6">
      <c r="A10" s="10" t="s">
        <v>680</v>
      </c>
      <c r="B10" s="10">
        <v>1</v>
      </c>
      <c r="C10" s="10" t="s">
        <v>89</v>
      </c>
      <c r="D10" s="10" t="s">
        <v>681</v>
      </c>
      <c r="E10" s="10" t="s">
        <v>682</v>
      </c>
      <c r="F10" s="10" t="s">
        <v>683</v>
      </c>
      <c r="G10" s="10" t="s">
        <v>93</v>
      </c>
      <c r="H10" s="15">
        <v>1</v>
      </c>
      <c r="I10" s="10" t="s">
        <v>684</v>
      </c>
      <c r="J10" s="10" t="s">
        <v>685</v>
      </c>
      <c r="K10" s="10" t="s">
        <v>686</v>
      </c>
      <c r="L10" s="10" t="s">
        <v>687</v>
      </c>
      <c r="M10" s="10" t="s">
        <v>689</v>
      </c>
      <c r="N10" s="10" t="s">
        <v>690</v>
      </c>
      <c r="O10" s="10" t="s">
        <v>303</v>
      </c>
      <c r="P10" s="29" t="s">
        <v>691</v>
      </c>
    </row>
    <row r="11" spans="1:16" ht="193.8">
      <c r="A11" s="11" t="s">
        <v>692</v>
      </c>
      <c r="B11" s="11">
        <v>2</v>
      </c>
      <c r="C11" s="11" t="s">
        <v>89</v>
      </c>
      <c r="D11" s="11" t="s">
        <v>693</v>
      </c>
      <c r="E11" s="11" t="s">
        <v>694</v>
      </c>
      <c r="F11" s="11" t="s">
        <v>695</v>
      </c>
      <c r="G11" s="11" t="s">
        <v>123</v>
      </c>
      <c r="H11" s="16">
        <v>1.25</v>
      </c>
      <c r="I11" s="11" t="s">
        <v>696</v>
      </c>
      <c r="J11" s="11" t="s">
        <v>194</v>
      </c>
      <c r="K11" s="11" t="s">
        <v>697</v>
      </c>
      <c r="L11" s="11" t="s">
        <v>2339</v>
      </c>
      <c r="M11" s="11" t="s">
        <v>699</v>
      </c>
      <c r="N11" s="11" t="s">
        <v>700</v>
      </c>
      <c r="O11" s="11" t="s">
        <v>303</v>
      </c>
      <c r="P11" s="29" t="s">
        <v>701</v>
      </c>
    </row>
    <row r="12" spans="1:16" ht="193.8">
      <c r="A12" s="11" t="s">
        <v>702</v>
      </c>
      <c r="B12" s="11">
        <v>3</v>
      </c>
      <c r="C12" s="11" t="s">
        <v>89</v>
      </c>
      <c r="D12" s="11" t="s">
        <v>703</v>
      </c>
      <c r="E12" s="11" t="s">
        <v>704</v>
      </c>
      <c r="F12" s="11" t="s">
        <v>705</v>
      </c>
      <c r="G12" s="11" t="s">
        <v>123</v>
      </c>
      <c r="H12" s="16">
        <v>1.25</v>
      </c>
      <c r="I12" s="11" t="s">
        <v>696</v>
      </c>
      <c r="J12" s="11" t="s">
        <v>706</v>
      </c>
      <c r="K12" s="11" t="s">
        <v>707</v>
      </c>
      <c r="L12" s="11" t="s">
        <v>2340</v>
      </c>
      <c r="M12" s="11" t="s">
        <v>709</v>
      </c>
      <c r="N12" s="11" t="s">
        <v>712</v>
      </c>
      <c r="O12" s="11" t="s">
        <v>303</v>
      </c>
      <c r="P12" s="29" t="s">
        <v>713</v>
      </c>
    </row>
    <row r="13" spans="1:16" ht="193.8">
      <c r="A13" s="11" t="s">
        <v>714</v>
      </c>
      <c r="B13" s="11">
        <v>4</v>
      </c>
      <c r="C13" s="11" t="s">
        <v>89</v>
      </c>
      <c r="D13" s="11" t="s">
        <v>715</v>
      </c>
      <c r="E13" s="11" t="s">
        <v>716</v>
      </c>
      <c r="F13" s="11" t="s">
        <v>717</v>
      </c>
      <c r="G13" s="11" t="s">
        <v>123</v>
      </c>
      <c r="H13" s="16">
        <v>1.25</v>
      </c>
      <c r="I13" s="11" t="s">
        <v>696</v>
      </c>
      <c r="J13" s="11" t="s">
        <v>718</v>
      </c>
      <c r="K13" s="11" t="s">
        <v>719</v>
      </c>
      <c r="L13" s="11" t="s">
        <v>2341</v>
      </c>
      <c r="M13" s="11" t="s">
        <v>721</v>
      </c>
      <c r="N13" s="11" t="s">
        <v>723</v>
      </c>
      <c r="O13" s="11" t="s">
        <v>303</v>
      </c>
      <c r="P13" s="29" t="s">
        <v>724</v>
      </c>
    </row>
    <row r="14" spans="1:16" ht="110.4">
      <c r="A14" s="11" t="s">
        <v>725</v>
      </c>
      <c r="B14" s="11">
        <v>5</v>
      </c>
      <c r="C14" s="11" t="s">
        <v>89</v>
      </c>
      <c r="D14" s="11" t="s">
        <v>726</v>
      </c>
      <c r="E14" s="11" t="s">
        <v>727</v>
      </c>
      <c r="F14" s="11" t="s">
        <v>728</v>
      </c>
      <c r="G14" s="11" t="s">
        <v>123</v>
      </c>
      <c r="H14" s="16">
        <v>1.5</v>
      </c>
      <c r="I14" s="11" t="s">
        <v>696</v>
      </c>
      <c r="J14" s="11" t="s">
        <v>729</v>
      </c>
      <c r="K14" s="11" t="s">
        <v>730</v>
      </c>
      <c r="L14" s="11" t="s">
        <v>731</v>
      </c>
      <c r="M14" s="11" t="s">
        <v>733</v>
      </c>
      <c r="N14" s="11" t="s">
        <v>736</v>
      </c>
      <c r="O14" s="11" t="s">
        <v>303</v>
      </c>
      <c r="P14" s="29" t="s">
        <v>737</v>
      </c>
    </row>
    <row r="15" spans="1:16" ht="193.8">
      <c r="A15" s="11" t="s">
        <v>738</v>
      </c>
      <c r="B15" s="11">
        <v>6</v>
      </c>
      <c r="C15" s="11" t="s">
        <v>89</v>
      </c>
      <c r="D15" s="11" t="s">
        <v>739</v>
      </c>
      <c r="E15" s="11" t="s">
        <v>740</v>
      </c>
      <c r="F15" s="11" t="s">
        <v>741</v>
      </c>
      <c r="G15" s="11" t="s">
        <v>123</v>
      </c>
      <c r="H15" s="16">
        <v>1</v>
      </c>
      <c r="I15" s="11" t="s">
        <v>742</v>
      </c>
      <c r="J15" s="11" t="s">
        <v>743</v>
      </c>
      <c r="K15" s="11" t="s">
        <v>744</v>
      </c>
      <c r="L15" s="11" t="s">
        <v>2342</v>
      </c>
      <c r="M15" s="11" t="s">
        <v>746</v>
      </c>
      <c r="N15" s="11" t="s">
        <v>749</v>
      </c>
      <c r="O15" s="11" t="s">
        <v>303</v>
      </c>
      <c r="P15" s="29" t="s">
        <v>750</v>
      </c>
    </row>
    <row r="16" spans="1:16" ht="124.2">
      <c r="A16" s="11" t="s">
        <v>751</v>
      </c>
      <c r="B16" s="11">
        <v>7</v>
      </c>
      <c r="C16" s="11" t="s">
        <v>89</v>
      </c>
      <c r="D16" s="11" t="s">
        <v>752</v>
      </c>
      <c r="E16" s="11" t="s">
        <v>753</v>
      </c>
      <c r="F16" s="11" t="s">
        <v>754</v>
      </c>
      <c r="G16" s="11" t="s">
        <v>123</v>
      </c>
      <c r="H16" s="16">
        <v>1.5</v>
      </c>
      <c r="I16" s="11" t="s">
        <v>755</v>
      </c>
      <c r="J16" s="11" t="s">
        <v>756</v>
      </c>
      <c r="K16" s="11" t="s">
        <v>757</v>
      </c>
      <c r="L16" s="11" t="s">
        <v>758</v>
      </c>
      <c r="M16" s="11" t="s">
        <v>760</v>
      </c>
      <c r="N16" s="11" t="s">
        <v>762</v>
      </c>
      <c r="O16" s="11" t="s">
        <v>303</v>
      </c>
      <c r="P16" s="29" t="s">
        <v>763</v>
      </c>
    </row>
    <row r="17" spans="1:16" ht="193.8">
      <c r="A17" s="11" t="s">
        <v>764</v>
      </c>
      <c r="B17" s="11">
        <v>8</v>
      </c>
      <c r="C17" s="11" t="s">
        <v>89</v>
      </c>
      <c r="D17" s="11" t="s">
        <v>765</v>
      </c>
      <c r="E17" s="11" t="s">
        <v>766</v>
      </c>
      <c r="F17" s="11" t="s">
        <v>767</v>
      </c>
      <c r="G17" s="11" t="s">
        <v>123</v>
      </c>
      <c r="H17" s="16">
        <v>1</v>
      </c>
      <c r="I17" s="11" t="s">
        <v>755</v>
      </c>
      <c r="J17" s="11" t="s">
        <v>101</v>
      </c>
      <c r="K17" s="11" t="s">
        <v>768</v>
      </c>
      <c r="L17" s="11" t="s">
        <v>2343</v>
      </c>
      <c r="M17" s="11" t="s">
        <v>770</v>
      </c>
      <c r="N17" s="11" t="s">
        <v>771</v>
      </c>
      <c r="O17" s="11" t="s">
        <v>303</v>
      </c>
      <c r="P17" s="29" t="s">
        <v>772</v>
      </c>
    </row>
    <row r="18" spans="1:16" ht="110.4">
      <c r="A18" s="11" t="s">
        <v>773</v>
      </c>
      <c r="B18" s="11">
        <v>9</v>
      </c>
      <c r="C18" s="11" t="s">
        <v>89</v>
      </c>
      <c r="D18" s="11" t="s">
        <v>774</v>
      </c>
      <c r="E18" s="11" t="s">
        <v>775</v>
      </c>
      <c r="F18" s="11" t="s">
        <v>776</v>
      </c>
      <c r="G18" s="11" t="s">
        <v>109</v>
      </c>
      <c r="H18" s="16">
        <v>1</v>
      </c>
      <c r="I18" s="11" t="s">
        <v>777</v>
      </c>
      <c r="J18" s="11" t="s">
        <v>598</v>
      </c>
      <c r="K18" s="11" t="s">
        <v>778</v>
      </c>
      <c r="L18" s="11" t="s">
        <v>779</v>
      </c>
      <c r="M18" s="11" t="s">
        <v>781</v>
      </c>
      <c r="N18" s="11" t="s">
        <v>783</v>
      </c>
      <c r="O18" s="11" t="s">
        <v>303</v>
      </c>
      <c r="P18" s="29" t="s">
        <v>784</v>
      </c>
    </row>
    <row r="19" spans="1:16" ht="124.2">
      <c r="A19" s="11" t="s">
        <v>785</v>
      </c>
      <c r="B19" s="11">
        <v>10</v>
      </c>
      <c r="C19" s="11" t="s">
        <v>89</v>
      </c>
      <c r="D19" s="11" t="s">
        <v>786</v>
      </c>
      <c r="E19" s="11" t="s">
        <v>787</v>
      </c>
      <c r="F19" s="11" t="s">
        <v>788</v>
      </c>
      <c r="G19" s="11" t="s">
        <v>93</v>
      </c>
      <c r="H19" s="16">
        <v>1.5</v>
      </c>
      <c r="I19" s="11" t="s">
        <v>777</v>
      </c>
      <c r="J19" s="11" t="s">
        <v>357</v>
      </c>
      <c r="K19" s="11" t="s">
        <v>789</v>
      </c>
      <c r="L19" s="11" t="s">
        <v>790</v>
      </c>
      <c r="M19" s="11" t="s">
        <v>792</v>
      </c>
      <c r="N19" s="11" t="s">
        <v>793</v>
      </c>
      <c r="O19" s="11" t="s">
        <v>303</v>
      </c>
      <c r="P19" s="29" t="s">
        <v>794</v>
      </c>
    </row>
    <row r="20" spans="1:16" ht="110.4">
      <c r="A20" s="11" t="s">
        <v>795</v>
      </c>
      <c r="B20" s="11">
        <v>11</v>
      </c>
      <c r="C20" s="11" t="s">
        <v>89</v>
      </c>
      <c r="D20" s="11" t="s">
        <v>796</v>
      </c>
      <c r="E20" s="11" t="s">
        <v>797</v>
      </c>
      <c r="F20" s="11" t="s">
        <v>798</v>
      </c>
      <c r="G20" s="11" t="s">
        <v>109</v>
      </c>
      <c r="H20" s="16">
        <v>0.75</v>
      </c>
      <c r="I20" s="11" t="s">
        <v>777</v>
      </c>
      <c r="J20" s="11" t="s">
        <v>357</v>
      </c>
      <c r="K20" s="11" t="s">
        <v>799</v>
      </c>
      <c r="L20" s="11" t="s">
        <v>800</v>
      </c>
      <c r="M20" s="11" t="s">
        <v>802</v>
      </c>
      <c r="N20" s="11" t="s">
        <v>804</v>
      </c>
      <c r="O20" s="11" t="s">
        <v>303</v>
      </c>
      <c r="P20" s="29" t="s">
        <v>805</v>
      </c>
    </row>
    <row r="21" spans="1:16" ht="193.8">
      <c r="A21" s="11" t="s">
        <v>806</v>
      </c>
      <c r="B21" s="11">
        <v>12</v>
      </c>
      <c r="C21" s="11" t="s">
        <v>89</v>
      </c>
      <c r="D21" s="11" t="s">
        <v>807</v>
      </c>
      <c r="E21" s="11" t="s">
        <v>808</v>
      </c>
      <c r="F21" s="11" t="s">
        <v>809</v>
      </c>
      <c r="G21" s="11" t="s">
        <v>109</v>
      </c>
      <c r="H21" s="16">
        <v>1</v>
      </c>
      <c r="I21" s="11" t="s">
        <v>777</v>
      </c>
      <c r="J21" s="11" t="s">
        <v>217</v>
      </c>
      <c r="K21" s="11" t="s">
        <v>810</v>
      </c>
      <c r="L21" s="11" t="s">
        <v>2344</v>
      </c>
      <c r="M21" s="11" t="s">
        <v>812</v>
      </c>
      <c r="N21" s="11" t="s">
        <v>813</v>
      </c>
      <c r="O21" s="11" t="s">
        <v>303</v>
      </c>
      <c r="P21" s="29" t="s">
        <v>814</v>
      </c>
    </row>
    <row r="22" spans="1:16" ht="110.4">
      <c r="A22" s="11" t="s">
        <v>815</v>
      </c>
      <c r="B22" s="11">
        <v>13</v>
      </c>
      <c r="C22" s="11" t="s">
        <v>89</v>
      </c>
      <c r="D22" s="11" t="s">
        <v>226</v>
      </c>
      <c r="E22" s="11" t="s">
        <v>816</v>
      </c>
      <c r="F22" s="11" t="s">
        <v>817</v>
      </c>
      <c r="G22" s="11" t="s">
        <v>93</v>
      </c>
      <c r="H22" s="16">
        <v>0.75</v>
      </c>
      <c r="I22" s="11" t="s">
        <v>2345</v>
      </c>
      <c r="J22" s="11" t="s">
        <v>818</v>
      </c>
      <c r="K22" s="11" t="s">
        <v>819</v>
      </c>
      <c r="L22" s="11" t="s">
        <v>820</v>
      </c>
      <c r="M22" s="11" t="s">
        <v>822</v>
      </c>
      <c r="N22" s="11" t="s">
        <v>824</v>
      </c>
      <c r="O22" s="11" t="s">
        <v>303</v>
      </c>
      <c r="P22" s="29" t="s">
        <v>825</v>
      </c>
    </row>
    <row r="23" spans="1:16" ht="24" customHeight="1">
      <c r="A23" s="24" t="s">
        <v>826</v>
      </c>
      <c r="B23" s="24">
        <v>14</v>
      </c>
      <c r="C23" s="24" t="s">
        <v>89</v>
      </c>
      <c r="D23" s="24" t="s">
        <v>238</v>
      </c>
      <c r="E23" s="24" t="s">
        <v>827</v>
      </c>
      <c r="F23" s="24" t="s">
        <v>828</v>
      </c>
      <c r="G23" s="24" t="s">
        <v>109</v>
      </c>
      <c r="H23">
        <v>1</v>
      </c>
      <c r="I23" t="s">
        <v>241</v>
      </c>
      <c r="J23" t="s">
        <v>101</v>
      </c>
      <c r="K23" t="s">
        <v>829</v>
      </c>
      <c r="L23" t="s">
        <v>2318</v>
      </c>
      <c r="M23" t="s">
        <v>830</v>
      </c>
      <c r="N23" t="s">
        <v>246</v>
      </c>
      <c r="O23" t="s">
        <v>303</v>
      </c>
      <c r="P23" s="29" t="s">
        <v>833</v>
      </c>
    </row>
    <row r="24" spans="1:16" ht="34.049999999999997" customHeight="1">
      <c r="A24" s="117"/>
      <c r="B24" s="117"/>
      <c r="C24" s="117"/>
      <c r="D24" s="117"/>
      <c r="E24" s="117"/>
      <c r="F24" s="117"/>
      <c r="G24" s="117"/>
      <c r="H24" s="102"/>
      <c r="I24" s="102"/>
      <c r="J24" s="102"/>
      <c r="K24" s="102"/>
      <c r="L24" s="102"/>
      <c r="M24" s="102"/>
      <c r="N24" s="102"/>
      <c r="O24" s="102"/>
    </row>
    <row r="25" spans="1:16" ht="48" customHeight="1">
      <c r="A25" s="32" t="s">
        <v>1003</v>
      </c>
      <c r="B25" s="32"/>
      <c r="C25" s="32"/>
      <c r="D25" s="32"/>
      <c r="E25" s="32"/>
      <c r="F25" s="32"/>
      <c r="G25" s="32"/>
      <c r="H25" s="31"/>
      <c r="I25" s="31"/>
      <c r="J25" s="31"/>
      <c r="K25" s="31"/>
      <c r="L25" s="31"/>
      <c r="M25" s="31"/>
      <c r="N25" s="31"/>
      <c r="O25" s="31"/>
      <c r="P25" s="31"/>
    </row>
    <row r="26" spans="1:16" ht="48" customHeight="1">
      <c r="A26" s="33" t="s">
        <v>1004</v>
      </c>
      <c r="B26" s="33" t="s">
        <v>76</v>
      </c>
      <c r="C26" s="33" t="s">
        <v>1005</v>
      </c>
      <c r="D26" s="33" t="s">
        <v>1006</v>
      </c>
      <c r="E26" s="33" t="s">
        <v>1007</v>
      </c>
      <c r="F26" s="33" t="s">
        <v>1008</v>
      </c>
      <c r="G26" s="33" t="s">
        <v>1009</v>
      </c>
    </row>
    <row r="27" spans="1:16" ht="52.05" customHeight="1">
      <c r="A27" s="34">
        <v>1</v>
      </c>
      <c r="B27" s="34" t="s">
        <v>684</v>
      </c>
      <c r="C27" s="34" t="s">
        <v>1113</v>
      </c>
      <c r="D27" s="34" t="s">
        <v>1114</v>
      </c>
      <c r="E27" s="34" t="s">
        <v>1115</v>
      </c>
      <c r="F27" s="34" t="s">
        <v>1116</v>
      </c>
      <c r="G27" s="34" t="s">
        <v>1014</v>
      </c>
    </row>
    <row r="28" spans="1:16" ht="52.05" customHeight="1">
      <c r="A28" s="22">
        <v>2</v>
      </c>
      <c r="B28" s="22" t="s">
        <v>696</v>
      </c>
      <c r="C28" s="22" t="s">
        <v>1117</v>
      </c>
      <c r="D28" s="22" t="s">
        <v>1118</v>
      </c>
      <c r="E28" s="22" t="s">
        <v>1119</v>
      </c>
      <c r="F28" s="22" t="s">
        <v>1120</v>
      </c>
      <c r="G28" s="22" t="s">
        <v>1023</v>
      </c>
    </row>
    <row r="29" spans="1:16" ht="52.05" customHeight="1">
      <c r="A29" s="34">
        <v>3</v>
      </c>
      <c r="B29" s="34" t="s">
        <v>755</v>
      </c>
      <c r="C29" s="34" t="s">
        <v>1121</v>
      </c>
      <c r="D29" s="34" t="s">
        <v>1122</v>
      </c>
      <c r="E29" s="34" t="s">
        <v>1123</v>
      </c>
      <c r="F29" s="34" t="s">
        <v>1124</v>
      </c>
      <c r="G29" s="34" t="s">
        <v>1023</v>
      </c>
    </row>
    <row r="30" spans="1:16" ht="52.05" customHeight="1">
      <c r="A30" s="22">
        <v>4</v>
      </c>
      <c r="B30" s="22" t="s">
        <v>742</v>
      </c>
      <c r="C30" s="22" t="s">
        <v>1125</v>
      </c>
      <c r="D30" s="22" t="s">
        <v>1126</v>
      </c>
      <c r="E30" s="22" t="s">
        <v>1127</v>
      </c>
      <c r="F30" s="22" t="s">
        <v>1128</v>
      </c>
      <c r="G30" s="22" t="s">
        <v>1023</v>
      </c>
    </row>
    <row r="31" spans="1:16" ht="52.05" customHeight="1">
      <c r="A31" s="35">
        <v>5</v>
      </c>
      <c r="B31" s="35" t="s">
        <v>777</v>
      </c>
      <c r="C31" s="35" t="s">
        <v>1129</v>
      </c>
      <c r="D31" s="35" t="s">
        <v>1130</v>
      </c>
      <c r="E31" s="35" t="s">
        <v>1131</v>
      </c>
      <c r="F31" s="35" t="s">
        <v>1132</v>
      </c>
      <c r="G31" s="35" t="s">
        <v>1023</v>
      </c>
    </row>
    <row r="32" spans="1:16" ht="52.05" customHeight="1">
      <c r="A32" s="35">
        <v>6</v>
      </c>
      <c r="B32" s="35" t="s">
        <v>2345</v>
      </c>
      <c r="C32" s="35" t="s">
        <v>1036</v>
      </c>
      <c r="D32" s="35" t="s">
        <v>1037</v>
      </c>
      <c r="E32" s="35" t="s">
        <v>2352</v>
      </c>
      <c r="F32" s="35" t="s">
        <v>822</v>
      </c>
      <c r="G32" s="35" t="s">
        <v>1014</v>
      </c>
    </row>
    <row r="33" spans="1:7" ht="52.05" customHeight="1">
      <c r="A33" s="35">
        <v>7</v>
      </c>
      <c r="B33" s="35" t="s">
        <v>241</v>
      </c>
      <c r="C33" s="35" t="s">
        <v>1133</v>
      </c>
      <c r="D33" s="35" t="s">
        <v>1039</v>
      </c>
      <c r="E33" s="35" t="s">
        <v>1040</v>
      </c>
      <c r="F33" s="35" t="s">
        <v>1134</v>
      </c>
      <c r="G33" s="35" t="s">
        <v>1042</v>
      </c>
    </row>
  </sheetData>
  <mergeCells count="9">
    <mergeCell ref="A24:O24"/>
    <mergeCell ref="A1:O1"/>
    <mergeCell ref="A2:O2"/>
    <mergeCell ref="A4:B4"/>
    <mergeCell ref="A5:B6"/>
    <mergeCell ref="D4:E4"/>
    <mergeCell ref="D5:E6"/>
    <mergeCell ref="G4:O4"/>
    <mergeCell ref="G5:O6"/>
  </mergeCells>
  <conditionalFormatting sqref="O10:O22">
    <cfRule type="containsText" dxfId="27" priority="1" operator="containsText" text="Done"/>
    <cfRule type="containsText" dxfId="26" priority="2" operator="containsText" text="Blocked"/>
    <cfRule type="containsText" dxfId="25" priority="3" operator="containsText" text="In Progress"/>
    <cfRule type="containsText" dxfId="24" priority="4" operator="containsText" text="Ready for Review"/>
  </conditionalFormatting>
  <dataValidations count="1">
    <dataValidation type="list" sqref="O10:O22" xr:uid="{00000000-0002-0000-0700-000000000000}">
      <formula1>"Not Started,In Progress,Blocked,Ready for Review,Done,Deferred"</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30"/>
  <sheetViews>
    <sheetView showGridLines="0" workbookViewId="0"/>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80" t="s">
        <v>1135</v>
      </c>
      <c r="B1" s="80"/>
      <c r="C1" s="80"/>
      <c r="D1" s="80"/>
      <c r="E1" s="80"/>
      <c r="F1" s="80"/>
      <c r="G1" s="80"/>
      <c r="H1" s="80"/>
      <c r="I1" s="80"/>
      <c r="J1" s="80"/>
      <c r="K1" s="80"/>
      <c r="L1" s="80"/>
      <c r="M1" s="80"/>
      <c r="N1" s="80"/>
      <c r="O1" s="80"/>
    </row>
    <row r="2" spans="1:16" ht="31.95" customHeight="1">
      <c r="A2" s="81" t="s">
        <v>1136</v>
      </c>
      <c r="B2" s="81"/>
      <c r="C2" s="81"/>
      <c r="D2" s="81"/>
      <c r="E2" s="81"/>
      <c r="F2" s="81"/>
      <c r="G2" s="81"/>
      <c r="H2" s="81"/>
      <c r="I2" s="81"/>
      <c r="J2" s="81"/>
      <c r="K2" s="81"/>
      <c r="L2" s="81"/>
      <c r="M2" s="81"/>
      <c r="N2" s="81"/>
      <c r="O2" s="81"/>
    </row>
    <row r="4" spans="1:16" ht="28.05" customHeight="1">
      <c r="A4" s="74" t="s">
        <v>55</v>
      </c>
      <c r="B4" s="76"/>
      <c r="D4" s="74" t="s">
        <v>48</v>
      </c>
      <c r="E4" s="76"/>
      <c r="G4" s="74" t="s">
        <v>992</v>
      </c>
      <c r="H4" s="75"/>
      <c r="I4" s="75"/>
      <c r="J4" s="75"/>
      <c r="K4" s="75"/>
      <c r="L4" s="75"/>
      <c r="M4" s="75"/>
      <c r="N4" s="75"/>
      <c r="O4" s="76"/>
    </row>
    <row r="5" spans="1:16">
      <c r="A5" s="103">
        <f>IF(COUNTA(O10:O40)=0,0,COUNTIF(O10:O40,"Done")/COUNTA(A10:A40))</f>
        <v>0</v>
      </c>
      <c r="B5" s="104"/>
      <c r="D5" s="107">
        <f>COUNTIF(O10:O40,"Blocked")</f>
        <v>0</v>
      </c>
      <c r="E5" s="108"/>
      <c r="G5" s="111" t="s">
        <v>1137</v>
      </c>
      <c r="H5" s="112"/>
      <c r="I5" s="112"/>
      <c r="J5" s="112"/>
      <c r="K5" s="112"/>
      <c r="L5" s="112"/>
      <c r="M5" s="112"/>
      <c r="N5" s="112"/>
      <c r="O5" s="113"/>
    </row>
    <row r="6" spans="1:16">
      <c r="A6" s="105"/>
      <c r="B6" s="106"/>
      <c r="D6" s="109"/>
      <c r="E6" s="110"/>
      <c r="G6" s="114"/>
      <c r="H6" s="115"/>
      <c r="I6" s="115"/>
      <c r="J6" s="115"/>
      <c r="K6" s="115"/>
      <c r="L6" s="115"/>
      <c r="M6" s="115"/>
      <c r="N6" s="115"/>
      <c r="O6" s="116"/>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110.4">
      <c r="A10" s="10" t="s">
        <v>834</v>
      </c>
      <c r="B10" s="10">
        <v>1</v>
      </c>
      <c r="C10" s="10" t="s">
        <v>89</v>
      </c>
      <c r="D10" s="10" t="s">
        <v>835</v>
      </c>
      <c r="E10" s="10" t="s">
        <v>836</v>
      </c>
      <c r="F10" s="10" t="s">
        <v>837</v>
      </c>
      <c r="G10" s="10" t="s">
        <v>109</v>
      </c>
      <c r="H10" s="15">
        <v>0.75</v>
      </c>
      <c r="I10" s="10" t="s">
        <v>755</v>
      </c>
      <c r="J10" s="10" t="s">
        <v>838</v>
      </c>
      <c r="K10" s="10" t="s">
        <v>839</v>
      </c>
      <c r="L10" s="10" t="s">
        <v>840</v>
      </c>
      <c r="M10" s="10" t="s">
        <v>842</v>
      </c>
      <c r="N10" s="10" t="s">
        <v>844</v>
      </c>
      <c r="O10" s="10" t="s">
        <v>303</v>
      </c>
      <c r="P10" s="29" t="s">
        <v>845</v>
      </c>
    </row>
    <row r="11" spans="1:16" ht="124.2">
      <c r="A11" s="11" t="s">
        <v>846</v>
      </c>
      <c r="B11" s="11">
        <v>2</v>
      </c>
      <c r="C11" s="11" t="s">
        <v>89</v>
      </c>
      <c r="D11" s="11" t="s">
        <v>847</v>
      </c>
      <c r="E11" s="11" t="s">
        <v>848</v>
      </c>
      <c r="F11" s="11" t="s">
        <v>849</v>
      </c>
      <c r="G11" s="11" t="s">
        <v>123</v>
      </c>
      <c r="H11" s="16">
        <v>1.5</v>
      </c>
      <c r="I11" s="11" t="s">
        <v>850</v>
      </c>
      <c r="J11" s="11" t="s">
        <v>838</v>
      </c>
      <c r="K11" s="11" t="s">
        <v>851</v>
      </c>
      <c r="L11" s="11" t="s">
        <v>852</v>
      </c>
      <c r="M11" s="11" t="s">
        <v>854</v>
      </c>
      <c r="N11" s="11" t="s">
        <v>856</v>
      </c>
      <c r="O11" s="11" t="s">
        <v>303</v>
      </c>
      <c r="P11" s="29" t="s">
        <v>857</v>
      </c>
    </row>
    <row r="12" spans="1:16" ht="110.4">
      <c r="A12" s="11" t="s">
        <v>858</v>
      </c>
      <c r="B12" s="11">
        <v>3</v>
      </c>
      <c r="C12" s="11" t="s">
        <v>89</v>
      </c>
      <c r="D12" s="11" t="s">
        <v>859</v>
      </c>
      <c r="E12" s="11" t="s">
        <v>860</v>
      </c>
      <c r="F12" s="11" t="s">
        <v>861</v>
      </c>
      <c r="G12" s="11" t="s">
        <v>123</v>
      </c>
      <c r="H12" s="16">
        <v>1</v>
      </c>
      <c r="I12" s="11" t="s">
        <v>850</v>
      </c>
      <c r="J12" s="11" t="s">
        <v>862</v>
      </c>
      <c r="K12" s="11" t="s">
        <v>863</v>
      </c>
      <c r="L12" s="11" t="s">
        <v>864</v>
      </c>
      <c r="M12" s="11" t="s">
        <v>866</v>
      </c>
      <c r="N12" s="11" t="s">
        <v>868</v>
      </c>
      <c r="O12" s="11" t="s">
        <v>303</v>
      </c>
      <c r="P12" s="29" t="s">
        <v>869</v>
      </c>
    </row>
    <row r="13" spans="1:16" ht="110.4">
      <c r="A13" s="11" t="s">
        <v>870</v>
      </c>
      <c r="B13" s="11">
        <v>4</v>
      </c>
      <c r="C13" s="11" t="s">
        <v>89</v>
      </c>
      <c r="D13" s="11" t="s">
        <v>871</v>
      </c>
      <c r="E13" s="11" t="s">
        <v>872</v>
      </c>
      <c r="F13" s="11" t="s">
        <v>873</v>
      </c>
      <c r="G13" s="11" t="s">
        <v>123</v>
      </c>
      <c r="H13" s="16">
        <v>1</v>
      </c>
      <c r="I13" s="11" t="s">
        <v>850</v>
      </c>
      <c r="J13" s="11" t="s">
        <v>874</v>
      </c>
      <c r="K13" s="11" t="s">
        <v>875</v>
      </c>
      <c r="L13" s="11" t="s">
        <v>876</v>
      </c>
      <c r="M13" s="11" t="s">
        <v>878</v>
      </c>
      <c r="N13" s="11" t="s">
        <v>880</v>
      </c>
      <c r="O13" s="11" t="s">
        <v>303</v>
      </c>
      <c r="P13" s="29" t="s">
        <v>881</v>
      </c>
    </row>
    <row r="14" spans="1:16" ht="110.4">
      <c r="A14" s="11" t="s">
        <v>882</v>
      </c>
      <c r="B14" s="11">
        <v>5</v>
      </c>
      <c r="C14" s="11" t="s">
        <v>89</v>
      </c>
      <c r="D14" s="11" t="s">
        <v>883</v>
      </c>
      <c r="E14" s="11" t="s">
        <v>884</v>
      </c>
      <c r="F14" s="11" t="s">
        <v>885</v>
      </c>
      <c r="G14" s="11" t="s">
        <v>123</v>
      </c>
      <c r="H14" s="16">
        <v>1</v>
      </c>
      <c r="I14" s="11" t="s">
        <v>850</v>
      </c>
      <c r="J14" s="11" t="s">
        <v>503</v>
      </c>
      <c r="K14" s="11" t="s">
        <v>886</v>
      </c>
      <c r="L14" s="11" t="s">
        <v>852</v>
      </c>
      <c r="M14" s="11" t="s">
        <v>888</v>
      </c>
      <c r="N14" s="11" t="s">
        <v>889</v>
      </c>
      <c r="O14" s="11" t="s">
        <v>303</v>
      </c>
      <c r="P14" s="29" t="s">
        <v>890</v>
      </c>
    </row>
    <row r="15" spans="1:16" ht="124.2">
      <c r="A15" s="11" t="s">
        <v>891</v>
      </c>
      <c r="B15" s="11">
        <v>6</v>
      </c>
      <c r="C15" s="11" t="s">
        <v>89</v>
      </c>
      <c r="D15" s="11" t="s">
        <v>892</v>
      </c>
      <c r="E15" s="11" t="s">
        <v>893</v>
      </c>
      <c r="F15" s="11" t="s">
        <v>894</v>
      </c>
      <c r="G15" s="11" t="s">
        <v>123</v>
      </c>
      <c r="H15" s="16">
        <v>1.25</v>
      </c>
      <c r="I15" s="11" t="s">
        <v>895</v>
      </c>
      <c r="J15" s="11" t="s">
        <v>491</v>
      </c>
      <c r="K15" s="11" t="s">
        <v>896</v>
      </c>
      <c r="L15" s="11" t="s">
        <v>621</v>
      </c>
      <c r="M15" s="11" t="s">
        <v>898</v>
      </c>
      <c r="N15" s="11" t="s">
        <v>900</v>
      </c>
      <c r="O15" s="11" t="s">
        <v>303</v>
      </c>
      <c r="P15" s="29" t="s">
        <v>901</v>
      </c>
    </row>
    <row r="16" spans="1:16" ht="110.4">
      <c r="A16" s="11" t="s">
        <v>902</v>
      </c>
      <c r="B16" s="11">
        <v>7</v>
      </c>
      <c r="C16" s="11" t="s">
        <v>89</v>
      </c>
      <c r="D16" s="11" t="s">
        <v>903</v>
      </c>
      <c r="E16" s="11" t="s">
        <v>904</v>
      </c>
      <c r="F16" s="11" t="s">
        <v>905</v>
      </c>
      <c r="G16" s="11" t="s">
        <v>109</v>
      </c>
      <c r="H16" s="16">
        <v>1</v>
      </c>
      <c r="I16" s="11" t="s">
        <v>895</v>
      </c>
      <c r="J16" s="11" t="s">
        <v>906</v>
      </c>
      <c r="K16" s="11" t="s">
        <v>907</v>
      </c>
      <c r="L16" s="11" t="s">
        <v>908</v>
      </c>
      <c r="M16" s="11" t="s">
        <v>910</v>
      </c>
      <c r="N16" s="11" t="s">
        <v>911</v>
      </c>
      <c r="O16" s="11" t="s">
        <v>303</v>
      </c>
      <c r="P16" s="29" t="s">
        <v>912</v>
      </c>
    </row>
    <row r="17" spans="1:16" ht="110.4">
      <c r="A17" s="11" t="s">
        <v>913</v>
      </c>
      <c r="B17" s="11">
        <v>8</v>
      </c>
      <c r="C17" s="11" t="s">
        <v>89</v>
      </c>
      <c r="D17" s="11" t="s">
        <v>914</v>
      </c>
      <c r="E17" s="11" t="s">
        <v>915</v>
      </c>
      <c r="F17" s="11" t="s">
        <v>916</v>
      </c>
      <c r="G17" s="11" t="s">
        <v>917</v>
      </c>
      <c r="H17" s="16">
        <v>1</v>
      </c>
      <c r="I17" s="11" t="s">
        <v>895</v>
      </c>
      <c r="J17" s="11" t="s">
        <v>491</v>
      </c>
      <c r="K17" s="11" t="s">
        <v>918</v>
      </c>
      <c r="L17" s="11" t="s">
        <v>919</v>
      </c>
      <c r="M17" s="11" t="s">
        <v>921</v>
      </c>
      <c r="N17" s="11" t="s">
        <v>924</v>
      </c>
      <c r="O17" s="11" t="s">
        <v>303</v>
      </c>
      <c r="P17" s="29" t="s">
        <v>925</v>
      </c>
    </row>
    <row r="18" spans="1:16" ht="110.4">
      <c r="A18" s="11" t="s">
        <v>926</v>
      </c>
      <c r="B18" s="11">
        <v>9</v>
      </c>
      <c r="C18" s="11" t="s">
        <v>89</v>
      </c>
      <c r="D18" s="11" t="s">
        <v>927</v>
      </c>
      <c r="E18" s="11" t="s">
        <v>928</v>
      </c>
      <c r="F18" s="11" t="s">
        <v>929</v>
      </c>
      <c r="G18" s="11" t="s">
        <v>109</v>
      </c>
      <c r="H18" s="16">
        <v>1</v>
      </c>
      <c r="I18" s="11" t="s">
        <v>895</v>
      </c>
      <c r="J18" s="11" t="s">
        <v>930</v>
      </c>
      <c r="K18" s="11" t="s">
        <v>931</v>
      </c>
      <c r="L18" s="11" t="s">
        <v>932</v>
      </c>
      <c r="M18" s="11" t="s">
        <v>934</v>
      </c>
      <c r="N18" s="11" t="s">
        <v>936</v>
      </c>
      <c r="O18" s="11" t="s">
        <v>303</v>
      </c>
      <c r="P18" s="29" t="s">
        <v>937</v>
      </c>
    </row>
    <row r="19" spans="1:16" ht="124.2">
      <c r="A19" s="11" t="s">
        <v>938</v>
      </c>
      <c r="B19" s="11">
        <v>10</v>
      </c>
      <c r="C19" s="11" t="s">
        <v>89</v>
      </c>
      <c r="D19" s="11" t="s">
        <v>939</v>
      </c>
      <c r="E19" s="11" t="s">
        <v>940</v>
      </c>
      <c r="F19" s="11" t="s">
        <v>941</v>
      </c>
      <c r="G19" s="11" t="s">
        <v>109</v>
      </c>
      <c r="H19" s="16">
        <v>1.25</v>
      </c>
      <c r="I19" s="11" t="s">
        <v>942</v>
      </c>
      <c r="J19" s="11" t="s">
        <v>469</v>
      </c>
      <c r="K19" s="11" t="s">
        <v>943</v>
      </c>
      <c r="L19" s="11" t="s">
        <v>944</v>
      </c>
      <c r="M19" s="11" t="s">
        <v>946</v>
      </c>
      <c r="N19" s="11" t="s">
        <v>948</v>
      </c>
      <c r="O19" s="11" t="s">
        <v>303</v>
      </c>
      <c r="P19" s="29" t="s">
        <v>949</v>
      </c>
    </row>
    <row r="20" spans="1:16" ht="193.8">
      <c r="A20" s="11" t="s">
        <v>950</v>
      </c>
      <c r="B20" s="11">
        <v>11</v>
      </c>
      <c r="C20" s="11" t="s">
        <v>89</v>
      </c>
      <c r="D20" s="11" t="s">
        <v>951</v>
      </c>
      <c r="E20" s="11" t="s">
        <v>952</v>
      </c>
      <c r="F20" s="11" t="s">
        <v>953</v>
      </c>
      <c r="G20" s="11" t="s">
        <v>93</v>
      </c>
      <c r="H20" s="16">
        <v>0.75</v>
      </c>
      <c r="I20" s="11" t="s">
        <v>942</v>
      </c>
      <c r="J20" s="11" t="s">
        <v>357</v>
      </c>
      <c r="K20" s="11" t="s">
        <v>954</v>
      </c>
      <c r="L20" s="11" t="s">
        <v>2346</v>
      </c>
      <c r="M20" s="11" t="s">
        <v>956</v>
      </c>
      <c r="N20" s="11" t="s">
        <v>957</v>
      </c>
      <c r="O20" s="11" t="s">
        <v>303</v>
      </c>
      <c r="P20" s="29" t="s">
        <v>958</v>
      </c>
    </row>
    <row r="21" spans="1:16" ht="110.4">
      <c r="A21" s="11" t="s">
        <v>959</v>
      </c>
      <c r="B21" s="11">
        <v>12</v>
      </c>
      <c r="C21" s="11" t="s">
        <v>89</v>
      </c>
      <c r="D21" s="11" t="s">
        <v>960</v>
      </c>
      <c r="E21" s="11" t="s">
        <v>961</v>
      </c>
      <c r="F21" s="11" t="s">
        <v>962</v>
      </c>
      <c r="G21" s="11" t="s">
        <v>93</v>
      </c>
      <c r="H21" s="16">
        <v>1.25</v>
      </c>
      <c r="I21" s="11" t="s">
        <v>777</v>
      </c>
      <c r="J21" s="11" t="s">
        <v>206</v>
      </c>
      <c r="K21" s="11" t="s">
        <v>963</v>
      </c>
      <c r="L21" s="11" t="s">
        <v>964</v>
      </c>
      <c r="M21" s="11" t="s">
        <v>966</v>
      </c>
      <c r="N21" s="11" t="s">
        <v>968</v>
      </c>
      <c r="O21" s="11" t="s">
        <v>303</v>
      </c>
      <c r="P21" s="29" t="s">
        <v>969</v>
      </c>
    </row>
    <row r="22" spans="1:16" ht="124.2">
      <c r="A22" s="11" t="s">
        <v>970</v>
      </c>
      <c r="B22" s="11">
        <v>13</v>
      </c>
      <c r="C22" s="11" t="s">
        <v>89</v>
      </c>
      <c r="D22" s="11" t="s">
        <v>971</v>
      </c>
      <c r="E22" s="11" t="s">
        <v>972</v>
      </c>
      <c r="F22" s="11" t="s">
        <v>973</v>
      </c>
      <c r="G22" s="11" t="s">
        <v>93</v>
      </c>
      <c r="H22" s="16">
        <v>1</v>
      </c>
      <c r="I22" s="11" t="s">
        <v>942</v>
      </c>
      <c r="J22" s="11" t="s">
        <v>101</v>
      </c>
      <c r="K22" s="11" t="s">
        <v>974</v>
      </c>
      <c r="L22" s="11" t="s">
        <v>975</v>
      </c>
      <c r="M22" s="11" t="s">
        <v>977</v>
      </c>
      <c r="N22" s="11" t="s">
        <v>979</v>
      </c>
      <c r="O22" s="11" t="s">
        <v>303</v>
      </c>
      <c r="P22" s="29" t="s">
        <v>980</v>
      </c>
    </row>
    <row r="23" spans="1:16" ht="24" customHeight="1">
      <c r="A23" s="24" t="s">
        <v>981</v>
      </c>
      <c r="B23" s="24">
        <v>14</v>
      </c>
      <c r="C23" s="24" t="s">
        <v>89</v>
      </c>
      <c r="D23" s="24" t="s">
        <v>238</v>
      </c>
      <c r="E23" s="24" t="s">
        <v>982</v>
      </c>
      <c r="F23" s="24" t="s">
        <v>983</v>
      </c>
      <c r="G23" s="24" t="s">
        <v>109</v>
      </c>
      <c r="H23">
        <v>1.5</v>
      </c>
      <c r="I23" t="s">
        <v>241</v>
      </c>
      <c r="J23" t="s">
        <v>101</v>
      </c>
      <c r="K23" t="s">
        <v>984</v>
      </c>
      <c r="L23" t="s">
        <v>2319</v>
      </c>
      <c r="M23" t="s">
        <v>986</v>
      </c>
      <c r="N23" t="s">
        <v>246</v>
      </c>
      <c r="O23" t="s">
        <v>303</v>
      </c>
      <c r="P23" s="29" t="s">
        <v>989</v>
      </c>
    </row>
    <row r="24" spans="1:16" ht="34.049999999999997" customHeight="1">
      <c r="A24" s="117"/>
      <c r="B24" s="117"/>
      <c r="C24" s="117"/>
      <c r="D24" s="117"/>
      <c r="E24" s="117"/>
      <c r="F24" s="117"/>
      <c r="G24" s="117"/>
      <c r="H24" s="102"/>
      <c r="I24" s="102"/>
      <c r="J24" s="102"/>
      <c r="K24" s="102"/>
      <c r="L24" s="102"/>
      <c r="M24" s="102"/>
      <c r="N24" s="102"/>
      <c r="O24" s="102"/>
    </row>
    <row r="25" spans="1:16" ht="48" customHeight="1">
      <c r="A25" s="32" t="s">
        <v>1003</v>
      </c>
      <c r="B25" s="32"/>
      <c r="C25" s="32"/>
      <c r="D25" s="32"/>
      <c r="E25" s="32"/>
      <c r="F25" s="32"/>
      <c r="G25" s="32"/>
      <c r="H25" s="31"/>
      <c r="I25" s="31"/>
      <c r="J25" s="31"/>
      <c r="K25" s="31"/>
      <c r="L25" s="31"/>
      <c r="M25" s="31"/>
      <c r="N25" s="31"/>
      <c r="O25" s="31"/>
      <c r="P25" s="31"/>
    </row>
    <row r="26" spans="1:16" ht="48" customHeight="1">
      <c r="A26" s="33" t="s">
        <v>1004</v>
      </c>
      <c r="B26" s="33" t="s">
        <v>76</v>
      </c>
      <c r="C26" s="33" t="s">
        <v>1005</v>
      </c>
      <c r="D26" s="33" t="s">
        <v>1006</v>
      </c>
      <c r="E26" s="33" t="s">
        <v>1007</v>
      </c>
      <c r="F26" s="33" t="s">
        <v>1008</v>
      </c>
      <c r="G26" s="33" t="s">
        <v>1009</v>
      </c>
    </row>
    <row r="27" spans="1:16" ht="52.05" customHeight="1">
      <c r="A27" s="34">
        <v>1</v>
      </c>
      <c r="B27" s="34" t="s">
        <v>850</v>
      </c>
      <c r="C27" s="34" t="s">
        <v>1138</v>
      </c>
      <c r="D27" s="34" t="s">
        <v>1139</v>
      </c>
      <c r="E27" s="34" t="s">
        <v>1140</v>
      </c>
      <c r="F27" s="34" t="s">
        <v>1141</v>
      </c>
      <c r="G27" s="34" t="s">
        <v>1023</v>
      </c>
    </row>
    <row r="28" spans="1:16" ht="52.05" customHeight="1">
      <c r="A28" s="35">
        <v>2</v>
      </c>
      <c r="B28" s="35" t="s">
        <v>895</v>
      </c>
      <c r="C28" s="35" t="s">
        <v>1142</v>
      </c>
      <c r="D28" s="35" t="s">
        <v>1143</v>
      </c>
      <c r="E28" s="35" t="s">
        <v>1144</v>
      </c>
      <c r="F28" s="35" t="s">
        <v>1145</v>
      </c>
      <c r="G28" s="35" t="s">
        <v>1023</v>
      </c>
    </row>
    <row r="29" spans="1:16" ht="52.05" customHeight="1">
      <c r="A29" s="35">
        <v>3</v>
      </c>
      <c r="B29" s="35" t="s">
        <v>942</v>
      </c>
      <c r="C29" s="35" t="s">
        <v>1146</v>
      </c>
      <c r="D29" s="35" t="s">
        <v>1147</v>
      </c>
      <c r="E29" s="35" t="s">
        <v>1148</v>
      </c>
      <c r="F29" s="35" t="s">
        <v>1149</v>
      </c>
      <c r="G29" s="35" t="s">
        <v>1023</v>
      </c>
    </row>
    <row r="30" spans="1:16" ht="52.05" customHeight="1">
      <c r="A30" s="35">
        <v>4</v>
      </c>
      <c r="B30" s="35" t="s">
        <v>241</v>
      </c>
      <c r="C30" s="35" t="s">
        <v>1150</v>
      </c>
      <c r="D30" s="35" t="s">
        <v>1039</v>
      </c>
      <c r="E30" s="35" t="s">
        <v>1040</v>
      </c>
      <c r="F30" s="35" t="s">
        <v>1151</v>
      </c>
      <c r="G30" s="35" t="s">
        <v>1042</v>
      </c>
    </row>
  </sheetData>
  <mergeCells count="9">
    <mergeCell ref="A24:O24"/>
    <mergeCell ref="A1:O1"/>
    <mergeCell ref="A2:O2"/>
    <mergeCell ref="A4:B4"/>
    <mergeCell ref="A5:B6"/>
    <mergeCell ref="D4:E4"/>
    <mergeCell ref="D5:E6"/>
    <mergeCell ref="G4:O4"/>
    <mergeCell ref="G5:O6"/>
  </mergeCells>
  <conditionalFormatting sqref="O10:O22">
    <cfRule type="containsText" dxfId="23" priority="1" operator="containsText" text="Done"/>
    <cfRule type="containsText" dxfId="22" priority="2" operator="containsText" text="Blocked"/>
    <cfRule type="containsText" dxfId="21" priority="3" operator="containsText" text="In Progress"/>
    <cfRule type="containsText" dxfId="20" priority="4" operator="containsText" text="Ready for Review"/>
  </conditionalFormatting>
  <dataValidations count="1">
    <dataValidation type="list" sqref="O10:O22" xr:uid="{00000000-0002-0000-0800-000000000000}">
      <formula1>"Not Started,In Progress,Blocked,Ready for Review,Done,Deferred"</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
  <sheetViews>
    <sheetView showGridLines="0" workbookViewId="0"/>
  </sheetViews>
  <sheetFormatPr defaultRowHeight="13.8"/>
  <cols>
    <col min="1" max="1" width="18" customWidth="1"/>
    <col min="2" max="2" width="25" customWidth="1"/>
    <col min="3" max="3" width="42" customWidth="1"/>
    <col min="4" max="4" width="32" customWidth="1"/>
    <col min="5" max="5" width="16" customWidth="1"/>
    <col min="6" max="6" width="23" customWidth="1"/>
    <col min="7" max="7" width="42" customWidth="1"/>
    <col min="8" max="8" width="34" customWidth="1"/>
  </cols>
  <sheetData>
    <row r="1" spans="1:8" ht="31.95" customHeight="1">
      <c r="A1" s="80" t="s">
        <v>1152</v>
      </c>
      <c r="B1" s="80"/>
      <c r="C1" s="80"/>
      <c r="D1" s="80"/>
      <c r="E1" s="80"/>
      <c r="F1" s="80"/>
      <c r="G1" s="80"/>
      <c r="H1" s="80"/>
    </row>
    <row r="2" spans="1:8" ht="31.95" customHeight="1">
      <c r="A2" s="81" t="s">
        <v>1153</v>
      </c>
      <c r="B2" s="81"/>
      <c r="C2" s="81"/>
      <c r="D2" s="81"/>
      <c r="E2" s="81"/>
      <c r="F2" s="81"/>
      <c r="G2" s="81"/>
      <c r="H2" s="81"/>
    </row>
    <row r="4" spans="1:8" ht="46.05" customHeight="1">
      <c r="A4" s="118" t="s">
        <v>1154</v>
      </c>
      <c r="B4" s="119"/>
      <c r="C4" s="119"/>
      <c r="D4" s="119"/>
      <c r="E4" s="119"/>
      <c r="F4" s="119"/>
      <c r="G4" s="119"/>
      <c r="H4" s="120"/>
    </row>
    <row r="6" spans="1:8" ht="28.05" customHeight="1">
      <c r="A6" s="1" t="s">
        <v>1155</v>
      </c>
      <c r="B6" s="2" t="s">
        <v>1156</v>
      </c>
      <c r="C6" s="2" t="s">
        <v>1157</v>
      </c>
      <c r="D6" s="2" t="s">
        <v>1158</v>
      </c>
      <c r="E6" s="2" t="s">
        <v>1159</v>
      </c>
      <c r="F6" s="2" t="s">
        <v>1160</v>
      </c>
      <c r="G6" s="2" t="s">
        <v>1161</v>
      </c>
      <c r="H6" s="3" t="s">
        <v>1162</v>
      </c>
    </row>
    <row r="7" spans="1:8">
      <c r="A7" s="10" t="s">
        <v>1163</v>
      </c>
      <c r="B7" s="10" t="s">
        <v>1164</v>
      </c>
      <c r="C7" s="10" t="s">
        <v>1165</v>
      </c>
      <c r="D7" s="10" t="s">
        <v>1166</v>
      </c>
      <c r="E7" s="10" t="s">
        <v>1167</v>
      </c>
      <c r="F7" s="10" t="s">
        <v>1168</v>
      </c>
      <c r="G7" s="10" t="s">
        <v>1169</v>
      </c>
      <c r="H7" s="10" t="s">
        <v>1170</v>
      </c>
    </row>
    <row r="8" spans="1:8" ht="22.8">
      <c r="A8" s="11" t="s">
        <v>1163</v>
      </c>
      <c r="B8" s="11" t="s">
        <v>1171</v>
      </c>
      <c r="C8" s="11" t="s">
        <v>1172</v>
      </c>
      <c r="D8" s="11" t="s">
        <v>1173</v>
      </c>
      <c r="E8" s="11" t="s">
        <v>37</v>
      </c>
      <c r="F8" s="11" t="s">
        <v>426</v>
      </c>
      <c r="G8" s="11" t="s">
        <v>1174</v>
      </c>
      <c r="H8" s="11" t="s">
        <v>1175</v>
      </c>
    </row>
    <row r="9" spans="1:8">
      <c r="A9" s="11" t="s">
        <v>1163</v>
      </c>
      <c r="B9" s="11" t="s">
        <v>1176</v>
      </c>
      <c r="C9" s="11" t="s">
        <v>1177</v>
      </c>
      <c r="D9" s="11" t="s">
        <v>1178</v>
      </c>
      <c r="E9" s="11" t="s">
        <v>37</v>
      </c>
      <c r="F9" s="11" t="s">
        <v>152</v>
      </c>
      <c r="G9" s="11" t="s">
        <v>1179</v>
      </c>
      <c r="H9" s="11" t="s">
        <v>1180</v>
      </c>
    </row>
    <row r="10" spans="1:8" ht="22.8">
      <c r="A10" s="11" t="s">
        <v>1163</v>
      </c>
      <c r="B10" s="11" t="s">
        <v>1181</v>
      </c>
      <c r="C10" s="11" t="s">
        <v>1182</v>
      </c>
      <c r="D10" s="11" t="s">
        <v>1183</v>
      </c>
      <c r="E10" s="11" t="s">
        <v>37</v>
      </c>
      <c r="F10" s="11" t="s">
        <v>279</v>
      </c>
      <c r="G10" s="11" t="s">
        <v>1184</v>
      </c>
      <c r="H10" s="11" t="s">
        <v>1185</v>
      </c>
    </row>
    <row r="11" spans="1:8">
      <c r="A11" s="11" t="s">
        <v>1163</v>
      </c>
      <c r="B11" s="11" t="s">
        <v>1186</v>
      </c>
      <c r="C11" s="11" t="s">
        <v>1187</v>
      </c>
      <c r="D11" s="11" t="s">
        <v>1188</v>
      </c>
      <c r="E11" s="11" t="s">
        <v>59</v>
      </c>
      <c r="F11" s="11" t="s">
        <v>279</v>
      </c>
      <c r="G11" s="11" t="s">
        <v>1189</v>
      </c>
      <c r="H11" s="11" t="s">
        <v>1190</v>
      </c>
    </row>
    <row r="12" spans="1:8">
      <c r="A12" s="11" t="s">
        <v>1191</v>
      </c>
      <c r="B12" s="11" t="s">
        <v>1192</v>
      </c>
      <c r="C12" s="11" t="s">
        <v>1193</v>
      </c>
      <c r="D12" s="11" t="s">
        <v>1194</v>
      </c>
      <c r="E12" s="11" t="s">
        <v>58</v>
      </c>
      <c r="F12" s="11" t="s">
        <v>548</v>
      </c>
      <c r="G12" s="11" t="s">
        <v>1195</v>
      </c>
      <c r="H12" s="11" t="s">
        <v>1196</v>
      </c>
    </row>
    <row r="13" spans="1:8">
      <c r="A13" s="11" t="s">
        <v>1191</v>
      </c>
      <c r="B13" s="11" t="s">
        <v>1197</v>
      </c>
      <c r="C13" s="11" t="s">
        <v>1198</v>
      </c>
      <c r="D13" s="11" t="s">
        <v>1199</v>
      </c>
      <c r="E13" s="11" t="s">
        <v>1200</v>
      </c>
      <c r="F13" s="11" t="s">
        <v>327</v>
      </c>
      <c r="G13" s="11" t="s">
        <v>1201</v>
      </c>
      <c r="H13" s="11" t="s">
        <v>1202</v>
      </c>
    </row>
    <row r="14" spans="1:8" ht="22.8">
      <c r="A14" s="11" t="s">
        <v>1191</v>
      </c>
      <c r="B14" s="11" t="s">
        <v>1203</v>
      </c>
      <c r="C14" s="11" t="s">
        <v>1204</v>
      </c>
      <c r="D14" s="11" t="s">
        <v>1205</v>
      </c>
      <c r="E14" s="11" t="s">
        <v>1206</v>
      </c>
      <c r="F14" s="11" t="s">
        <v>269</v>
      </c>
      <c r="G14" s="11" t="s">
        <v>1207</v>
      </c>
      <c r="H14" s="11" t="s">
        <v>1208</v>
      </c>
    </row>
    <row r="15" spans="1:8">
      <c r="A15" s="11" t="s">
        <v>1191</v>
      </c>
      <c r="B15" s="11" t="s">
        <v>1209</v>
      </c>
      <c r="C15" s="11" t="s">
        <v>1210</v>
      </c>
      <c r="D15" s="11" t="s">
        <v>1211</v>
      </c>
      <c r="E15" s="11" t="s">
        <v>57</v>
      </c>
      <c r="F15" s="11" t="s">
        <v>415</v>
      </c>
      <c r="G15" s="11" t="s">
        <v>1212</v>
      </c>
      <c r="H15" s="11" t="s">
        <v>1213</v>
      </c>
    </row>
    <row r="16" spans="1:8" ht="22.8">
      <c r="A16" s="11" t="s">
        <v>1191</v>
      </c>
      <c r="B16" s="11" t="s">
        <v>1214</v>
      </c>
      <c r="C16" s="11" t="s">
        <v>1215</v>
      </c>
      <c r="D16" s="11" t="s">
        <v>1216</v>
      </c>
      <c r="E16" s="11" t="s">
        <v>57</v>
      </c>
      <c r="F16" s="11" t="s">
        <v>426</v>
      </c>
      <c r="G16" s="11" t="s">
        <v>1217</v>
      </c>
      <c r="H16" s="11" t="s">
        <v>1218</v>
      </c>
    </row>
    <row r="17" spans="1:8">
      <c r="A17" s="11" t="s">
        <v>1219</v>
      </c>
      <c r="B17" s="11" t="s">
        <v>1220</v>
      </c>
      <c r="C17" s="11" t="s">
        <v>1221</v>
      </c>
      <c r="D17" s="11" t="s">
        <v>1222</v>
      </c>
      <c r="E17" s="11" t="s">
        <v>58</v>
      </c>
      <c r="F17" s="11" t="s">
        <v>569</v>
      </c>
      <c r="G17" s="11" t="s">
        <v>1223</v>
      </c>
      <c r="H17" s="11" t="s">
        <v>1224</v>
      </c>
    </row>
    <row r="18" spans="1:8">
      <c r="A18" s="11" t="s">
        <v>1219</v>
      </c>
      <c r="B18" s="11" t="s">
        <v>1225</v>
      </c>
      <c r="C18" s="11" t="s">
        <v>1226</v>
      </c>
      <c r="D18" s="11" t="s">
        <v>1227</v>
      </c>
      <c r="E18" s="11" t="s">
        <v>58</v>
      </c>
      <c r="F18" s="11" t="s">
        <v>590</v>
      </c>
      <c r="G18" s="11" t="s">
        <v>1228</v>
      </c>
      <c r="H18" s="11" t="s">
        <v>1229</v>
      </c>
    </row>
    <row r="19" spans="1:8">
      <c r="A19" s="11" t="s">
        <v>1230</v>
      </c>
      <c r="B19" s="11" t="s">
        <v>1231</v>
      </c>
      <c r="C19" s="11" t="s">
        <v>1232</v>
      </c>
      <c r="D19" s="11" t="s">
        <v>1233</v>
      </c>
      <c r="E19" s="11" t="s">
        <v>60</v>
      </c>
      <c r="F19" s="11" t="s">
        <v>855</v>
      </c>
      <c r="G19" s="11" t="s">
        <v>1234</v>
      </c>
      <c r="H19" s="11" t="s">
        <v>1235</v>
      </c>
    </row>
    <row r="20" spans="1:8">
      <c r="A20" s="11" t="s">
        <v>1236</v>
      </c>
      <c r="B20" s="11" t="s">
        <v>1237</v>
      </c>
      <c r="C20" s="11" t="s">
        <v>1238</v>
      </c>
      <c r="D20" s="11" t="s">
        <v>1239</v>
      </c>
      <c r="E20" s="11" t="s">
        <v>1240</v>
      </c>
      <c r="F20" s="11" t="s">
        <v>1168</v>
      </c>
      <c r="G20" s="11" t="s">
        <v>1241</v>
      </c>
      <c r="H20" s="11" t="s">
        <v>1242</v>
      </c>
    </row>
    <row r="21" spans="1:8" ht="22.8">
      <c r="A21" s="11" t="s">
        <v>1243</v>
      </c>
      <c r="B21" s="11" t="s">
        <v>1244</v>
      </c>
      <c r="C21" s="11" t="s">
        <v>1245</v>
      </c>
      <c r="D21" s="11" t="s">
        <v>1246</v>
      </c>
      <c r="E21" s="11" t="s">
        <v>1247</v>
      </c>
      <c r="F21" s="11" t="s">
        <v>1248</v>
      </c>
      <c r="G21" s="11" t="s">
        <v>1249</v>
      </c>
      <c r="H21" s="11" t="s">
        <v>1250</v>
      </c>
    </row>
    <row r="22" spans="1:8">
      <c r="A22" s="11" t="s">
        <v>1251</v>
      </c>
      <c r="B22" s="11" t="s">
        <v>1252</v>
      </c>
      <c r="C22" s="11" t="s">
        <v>1253</v>
      </c>
      <c r="D22" s="11" t="s">
        <v>1254</v>
      </c>
      <c r="E22" s="11" t="s">
        <v>1255</v>
      </c>
      <c r="F22" s="11" t="s">
        <v>496</v>
      </c>
      <c r="G22" s="11" t="s">
        <v>1256</v>
      </c>
      <c r="H22" s="11" t="s">
        <v>1257</v>
      </c>
    </row>
    <row r="23" spans="1:8" ht="22.8">
      <c r="A23" s="11" t="s">
        <v>1251</v>
      </c>
      <c r="B23" s="11" t="s">
        <v>1258</v>
      </c>
      <c r="C23" s="11" t="s">
        <v>1259</v>
      </c>
      <c r="D23" s="11" t="s">
        <v>1260</v>
      </c>
      <c r="E23" s="11" t="s">
        <v>60</v>
      </c>
      <c r="F23" s="11" t="s">
        <v>1261</v>
      </c>
      <c r="G23" s="11" t="s">
        <v>1262</v>
      </c>
      <c r="H23" s="11" t="s">
        <v>1263</v>
      </c>
    </row>
    <row r="24" spans="1:8">
      <c r="A24" s="11" t="s">
        <v>1264</v>
      </c>
      <c r="B24" s="11" t="s">
        <v>1265</v>
      </c>
      <c r="C24" s="11" t="s">
        <v>1266</v>
      </c>
      <c r="D24" s="11" t="s">
        <v>1267</v>
      </c>
      <c r="E24" s="11" t="s">
        <v>1268</v>
      </c>
      <c r="F24" s="11" t="s">
        <v>1269</v>
      </c>
      <c r="G24" s="11" t="s">
        <v>1270</v>
      </c>
      <c r="H24" s="11" t="s">
        <v>1271</v>
      </c>
    </row>
  </sheetData>
  <mergeCells count="3">
    <mergeCell ref="A1:H1"/>
    <mergeCell ref="A2:H2"/>
    <mergeCell ref="A4:H4"/>
  </mergeCells>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N758"/>
  <sheetViews>
    <sheetView showGridLines="0" topLeftCell="G20" workbookViewId="0">
      <selection activeCell="G20" sqref="G20"/>
    </sheetView>
  </sheetViews>
  <sheetFormatPr defaultRowHeight="13.8"/>
  <cols>
    <col min="1" max="1" width="16.19921875" style="27" customWidth="1"/>
    <col min="2" max="2" width="7.796875" style="27" customWidth="1"/>
    <col min="3" max="3" width="29.69921875" style="27" customWidth="1"/>
    <col min="4" max="4" width="37.69921875" style="27" customWidth="1"/>
    <col min="5" max="5" width="37.8984375" style="27" customWidth="1"/>
    <col min="6" max="6" width="41.8984375" style="27" customWidth="1"/>
    <col min="7" max="7" width="92" style="27" customWidth="1"/>
    <col min="8" max="8" width="33.8984375" style="27" customWidth="1"/>
    <col min="9" max="9" width="41.796875" style="27" customWidth="1"/>
    <col min="10" max="10" width="20.796875" style="27" customWidth="1"/>
    <col min="11" max="11" width="26.69921875" style="27" customWidth="1"/>
    <col min="12" max="12" width="70" style="27" customWidth="1"/>
    <col min="13" max="13" width="71.8984375" style="27" customWidth="1"/>
    <col min="14" max="14" width="71.8984375" style="28" customWidth="1"/>
    <col min="15" max="16384" width="8.796875" style="27"/>
  </cols>
  <sheetData>
    <row r="1" spans="1:14" ht="22.8">
      <c r="A1" s="121" t="s">
        <v>1272</v>
      </c>
      <c r="B1" s="121"/>
      <c r="C1" s="121"/>
      <c r="D1" s="121"/>
      <c r="E1" s="121"/>
      <c r="F1" s="121"/>
      <c r="G1" s="121"/>
      <c r="H1" s="121"/>
      <c r="I1" s="121"/>
      <c r="J1" s="121"/>
      <c r="K1" s="51"/>
      <c r="L1" s="51"/>
      <c r="M1" s="54"/>
      <c r="N1" s="54"/>
    </row>
    <row r="2" spans="1:14">
      <c r="A2" s="122" t="s">
        <v>1273</v>
      </c>
      <c r="B2" s="122"/>
      <c r="C2" s="122"/>
      <c r="D2" s="122"/>
      <c r="E2" s="122"/>
      <c r="F2" s="122"/>
      <c r="G2" s="122"/>
      <c r="H2" s="122"/>
      <c r="I2" s="122"/>
      <c r="J2" s="122"/>
      <c r="K2" s="52"/>
      <c r="L2" s="52"/>
      <c r="M2" s="55"/>
      <c r="N2" s="55"/>
    </row>
    <row r="3" spans="1:14">
      <c r="M3" s="22"/>
      <c r="N3" s="22"/>
    </row>
    <row r="5" spans="1:14">
      <c r="A5" s="53" t="s">
        <v>76</v>
      </c>
      <c r="B5" s="53" t="s">
        <v>53</v>
      </c>
      <c r="C5" s="53" t="s">
        <v>1005</v>
      </c>
      <c r="D5" s="53" t="s">
        <v>1006</v>
      </c>
      <c r="E5" s="53" t="s">
        <v>1007</v>
      </c>
      <c r="F5" s="53" t="s">
        <v>1008</v>
      </c>
      <c r="G5" s="53" t="s">
        <v>1274</v>
      </c>
      <c r="H5" s="53" t="s">
        <v>1275</v>
      </c>
      <c r="I5" s="53" t="s">
        <v>1276</v>
      </c>
      <c r="J5" s="53" t="s">
        <v>1277</v>
      </c>
      <c r="K5" s="53" t="s">
        <v>1278</v>
      </c>
      <c r="L5" s="53" t="s">
        <v>1279</v>
      </c>
      <c r="M5" s="53" t="s">
        <v>1280</v>
      </c>
      <c r="N5" s="53" t="s">
        <v>1281</v>
      </c>
    </row>
    <row r="6" spans="1:14" ht="125.4">
      <c r="A6" s="23" t="s">
        <v>2353</v>
      </c>
      <c r="B6" s="23" t="s">
        <v>1685</v>
      </c>
      <c r="C6" s="23" t="s">
        <v>2354</v>
      </c>
      <c r="D6" s="23" t="s">
        <v>2355</v>
      </c>
      <c r="E6" s="23" t="s">
        <v>2356</v>
      </c>
      <c r="F6" s="23" t="s">
        <v>2357</v>
      </c>
      <c r="G6" s="23" t="s">
        <v>2358</v>
      </c>
      <c r="H6" s="23" t="s">
        <v>2359</v>
      </c>
      <c r="I6" s="23" t="s">
        <v>2360</v>
      </c>
      <c r="J6" s="23" t="s">
        <v>2361</v>
      </c>
      <c r="K6" s="23" t="s">
        <v>1685</v>
      </c>
      <c r="L6" s="23" t="s">
        <v>2362</v>
      </c>
      <c r="M6" s="23" t="s">
        <v>2362</v>
      </c>
      <c r="N6" s="22" t="s">
        <v>2362</v>
      </c>
    </row>
    <row r="7" spans="1:14" ht="262.2">
      <c r="A7" s="22" t="s">
        <v>2363</v>
      </c>
      <c r="B7" s="22" t="s">
        <v>1685</v>
      </c>
      <c r="C7" s="22" t="s">
        <v>2364</v>
      </c>
      <c r="D7" s="22" t="s">
        <v>2365</v>
      </c>
      <c r="E7" s="22" t="s">
        <v>2366</v>
      </c>
      <c r="F7" s="22" t="s">
        <v>2367</v>
      </c>
      <c r="G7" s="22" t="s">
        <v>2368</v>
      </c>
      <c r="H7" s="22" t="s">
        <v>2359</v>
      </c>
      <c r="I7" s="22" t="s">
        <v>2360</v>
      </c>
      <c r="J7" s="22" t="s">
        <v>2361</v>
      </c>
      <c r="K7" s="22" t="s">
        <v>2369</v>
      </c>
      <c r="L7" s="22" t="s">
        <v>2362</v>
      </c>
      <c r="M7" s="22" t="s">
        <v>2362</v>
      </c>
      <c r="N7" s="55" t="s">
        <v>2362</v>
      </c>
    </row>
    <row r="8" spans="1:14" ht="228">
      <c r="A8" s="23" t="s">
        <v>2220</v>
      </c>
      <c r="B8" s="23" t="s">
        <v>1685</v>
      </c>
      <c r="C8" s="23" t="s">
        <v>2370</v>
      </c>
      <c r="D8" s="23" t="s">
        <v>2371</v>
      </c>
      <c r="E8" s="23" t="s">
        <v>2372</v>
      </c>
      <c r="F8" s="23" t="s">
        <v>2373</v>
      </c>
      <c r="G8" s="23" t="s">
        <v>2374</v>
      </c>
      <c r="H8" s="23" t="s">
        <v>2359</v>
      </c>
      <c r="I8" s="23" t="s">
        <v>2360</v>
      </c>
      <c r="J8" s="23" t="s">
        <v>2361</v>
      </c>
      <c r="K8" s="23" t="s">
        <v>1685</v>
      </c>
      <c r="L8" s="23" t="s">
        <v>2362</v>
      </c>
      <c r="M8" s="23" t="s">
        <v>2362</v>
      </c>
      <c r="N8" s="22" t="s">
        <v>2362</v>
      </c>
    </row>
    <row r="9" spans="1:14" ht="409.6">
      <c r="A9" s="22" t="s">
        <v>94</v>
      </c>
      <c r="B9" s="22" t="s">
        <v>56</v>
      </c>
      <c r="C9" s="22" t="s">
        <v>1010</v>
      </c>
      <c r="D9" s="22" t="s">
        <v>1011</v>
      </c>
      <c r="E9" s="22" t="s">
        <v>1012</v>
      </c>
      <c r="F9" s="22" t="s">
        <v>2375</v>
      </c>
      <c r="G9" s="22" t="s">
        <v>2376</v>
      </c>
      <c r="H9" s="22" t="s">
        <v>2377</v>
      </c>
      <c r="I9" s="22" t="s">
        <v>2378</v>
      </c>
      <c r="J9" s="22" t="s">
        <v>2379</v>
      </c>
      <c r="K9" s="22" t="s">
        <v>88</v>
      </c>
      <c r="L9" s="22" t="s">
        <v>2380</v>
      </c>
      <c r="M9" s="22" t="s">
        <v>2381</v>
      </c>
      <c r="N9" s="55" t="s">
        <v>2382</v>
      </c>
    </row>
    <row r="10" spans="1:14" ht="409.6">
      <c r="A10" s="23" t="s">
        <v>110</v>
      </c>
      <c r="B10" s="23" t="s">
        <v>56</v>
      </c>
      <c r="C10" s="23" t="s">
        <v>1015</v>
      </c>
      <c r="D10" s="23" t="s">
        <v>1016</v>
      </c>
      <c r="E10" s="23" t="s">
        <v>1017</v>
      </c>
      <c r="F10" s="23" t="s">
        <v>2375</v>
      </c>
      <c r="G10" s="23" t="s">
        <v>2383</v>
      </c>
      <c r="H10" s="23" t="s">
        <v>2377</v>
      </c>
      <c r="I10" s="23" t="s">
        <v>2384</v>
      </c>
      <c r="J10" s="23" t="s">
        <v>2379</v>
      </c>
      <c r="K10" s="23" t="s">
        <v>105</v>
      </c>
      <c r="L10" s="23" t="s">
        <v>2385</v>
      </c>
      <c r="M10" s="23" t="s">
        <v>2386</v>
      </c>
      <c r="N10" s="22" t="s">
        <v>2387</v>
      </c>
    </row>
    <row r="11" spans="1:14" ht="409.6">
      <c r="A11" s="22" t="s">
        <v>124</v>
      </c>
      <c r="B11" s="22" t="s">
        <v>56</v>
      </c>
      <c r="C11" s="22" t="s">
        <v>1019</v>
      </c>
      <c r="D11" s="22" t="s">
        <v>1020</v>
      </c>
      <c r="E11" s="22" t="s">
        <v>1021</v>
      </c>
      <c r="F11" s="22" t="s">
        <v>2388</v>
      </c>
      <c r="G11" s="22" t="s">
        <v>2389</v>
      </c>
      <c r="H11" s="22" t="s">
        <v>2390</v>
      </c>
      <c r="I11" s="22" t="s">
        <v>2391</v>
      </c>
      <c r="J11" s="22" t="s">
        <v>2379</v>
      </c>
      <c r="K11" s="22" t="s">
        <v>2392</v>
      </c>
      <c r="L11" s="22" t="s">
        <v>2393</v>
      </c>
      <c r="M11" s="22" t="s">
        <v>2296</v>
      </c>
      <c r="N11" s="55" t="s">
        <v>2394</v>
      </c>
    </row>
    <row r="12" spans="1:14" ht="409.6">
      <c r="A12" s="23" t="s">
        <v>147</v>
      </c>
      <c r="B12" s="23" t="s">
        <v>56</v>
      </c>
      <c r="C12" s="23" t="s">
        <v>1024</v>
      </c>
      <c r="D12" s="23" t="s">
        <v>1025</v>
      </c>
      <c r="E12" s="23" t="s">
        <v>1026</v>
      </c>
      <c r="F12" s="23" t="s">
        <v>2388</v>
      </c>
      <c r="G12" s="23" t="s">
        <v>2395</v>
      </c>
      <c r="H12" s="23" t="s">
        <v>2390</v>
      </c>
      <c r="I12" s="23" t="s">
        <v>2396</v>
      </c>
      <c r="J12" s="23" t="s">
        <v>2379</v>
      </c>
      <c r="K12" s="23" t="s">
        <v>143</v>
      </c>
      <c r="L12" s="23" t="s">
        <v>2397</v>
      </c>
      <c r="M12" s="23" t="s">
        <v>2297</v>
      </c>
      <c r="N12" s="22" t="s">
        <v>2398</v>
      </c>
    </row>
    <row r="13" spans="1:14" ht="409.6">
      <c r="A13" s="22" t="s">
        <v>159</v>
      </c>
      <c r="B13" s="22" t="s">
        <v>56</v>
      </c>
      <c r="C13" s="22" t="s">
        <v>1028</v>
      </c>
      <c r="D13" s="22" t="s">
        <v>1029</v>
      </c>
      <c r="E13" s="22" t="s">
        <v>1030</v>
      </c>
      <c r="F13" s="22" t="s">
        <v>2388</v>
      </c>
      <c r="G13" s="22" t="s">
        <v>2399</v>
      </c>
      <c r="H13" s="22" t="s">
        <v>2390</v>
      </c>
      <c r="I13" s="22" t="s">
        <v>2400</v>
      </c>
      <c r="J13" s="22" t="s">
        <v>2379</v>
      </c>
      <c r="K13" s="22" t="s">
        <v>2401</v>
      </c>
      <c r="L13" s="22" t="s">
        <v>2402</v>
      </c>
      <c r="M13" s="22" t="s">
        <v>2298</v>
      </c>
      <c r="N13" s="55" t="s">
        <v>2403</v>
      </c>
    </row>
    <row r="14" spans="1:14" ht="409.6">
      <c r="A14" s="23" t="s">
        <v>193</v>
      </c>
      <c r="B14" s="23" t="s">
        <v>56</v>
      </c>
      <c r="C14" s="23" t="s">
        <v>1032</v>
      </c>
      <c r="D14" s="23" t="s">
        <v>1033</v>
      </c>
      <c r="E14" s="23" t="s">
        <v>1034</v>
      </c>
      <c r="F14" s="23" t="s">
        <v>2388</v>
      </c>
      <c r="G14" s="23" t="s">
        <v>2404</v>
      </c>
      <c r="H14" s="23" t="s">
        <v>2390</v>
      </c>
      <c r="I14" s="23" t="s">
        <v>2405</v>
      </c>
      <c r="J14" s="23" t="s">
        <v>2379</v>
      </c>
      <c r="K14" s="23" t="s">
        <v>2406</v>
      </c>
      <c r="L14" s="23" t="s">
        <v>2407</v>
      </c>
      <c r="M14" s="23" t="s">
        <v>2299</v>
      </c>
      <c r="N14" s="22" t="s">
        <v>2408</v>
      </c>
    </row>
    <row r="15" spans="1:14" ht="409.6">
      <c r="A15" s="22" t="s">
        <v>253</v>
      </c>
      <c r="B15" s="22" t="s">
        <v>37</v>
      </c>
      <c r="C15" s="22" t="s">
        <v>2409</v>
      </c>
      <c r="D15" s="22" t="s">
        <v>2410</v>
      </c>
      <c r="E15" s="22" t="s">
        <v>2411</v>
      </c>
      <c r="F15" s="22" t="s">
        <v>2388</v>
      </c>
      <c r="G15" s="22" t="s">
        <v>2412</v>
      </c>
      <c r="H15" s="22" t="s">
        <v>2390</v>
      </c>
      <c r="I15" s="22" t="s">
        <v>2413</v>
      </c>
      <c r="J15" s="22" t="s">
        <v>2379</v>
      </c>
      <c r="K15" s="22" t="s">
        <v>2414</v>
      </c>
      <c r="L15" s="22" t="s">
        <v>2415</v>
      </c>
      <c r="M15" s="22" t="s">
        <v>2416</v>
      </c>
      <c r="N15" s="55" t="s">
        <v>2417</v>
      </c>
    </row>
    <row r="16" spans="1:14" ht="409.6">
      <c r="A16" s="23" t="s">
        <v>296</v>
      </c>
      <c r="B16" s="23" t="s">
        <v>37</v>
      </c>
      <c r="C16" s="23" t="s">
        <v>1050</v>
      </c>
      <c r="D16" s="23" t="s">
        <v>1051</v>
      </c>
      <c r="E16" s="23" t="s">
        <v>1052</v>
      </c>
      <c r="F16" s="23" t="s">
        <v>2388</v>
      </c>
      <c r="G16" s="23" t="s">
        <v>2418</v>
      </c>
      <c r="H16" s="23" t="s">
        <v>2390</v>
      </c>
      <c r="I16" s="23" t="s">
        <v>2419</v>
      </c>
      <c r="J16" s="23" t="s">
        <v>2379</v>
      </c>
      <c r="K16" s="23" t="s">
        <v>292</v>
      </c>
      <c r="L16" s="23" t="s">
        <v>2420</v>
      </c>
      <c r="M16" s="23" t="s">
        <v>2421</v>
      </c>
      <c r="N16" s="22" t="s">
        <v>2422</v>
      </c>
    </row>
    <row r="17" spans="1:14" ht="409.6">
      <c r="A17" s="22" t="s">
        <v>309</v>
      </c>
      <c r="B17" s="22" t="s">
        <v>37</v>
      </c>
      <c r="C17" s="22" t="s">
        <v>1054</v>
      </c>
      <c r="D17" s="22" t="s">
        <v>1055</v>
      </c>
      <c r="E17" s="22" t="s">
        <v>1056</v>
      </c>
      <c r="F17" s="22" t="s">
        <v>2388</v>
      </c>
      <c r="G17" s="22" t="s">
        <v>2423</v>
      </c>
      <c r="H17" s="22" t="s">
        <v>2390</v>
      </c>
      <c r="I17" s="22" t="s">
        <v>2424</v>
      </c>
      <c r="J17" s="22" t="s">
        <v>2379</v>
      </c>
      <c r="K17" s="22" t="s">
        <v>2425</v>
      </c>
      <c r="L17" s="22" t="s">
        <v>2426</v>
      </c>
      <c r="M17" s="22" t="s">
        <v>2427</v>
      </c>
      <c r="N17" s="55" t="s">
        <v>2428</v>
      </c>
    </row>
    <row r="18" spans="1:14" ht="409.6">
      <c r="A18" s="23" t="s">
        <v>345</v>
      </c>
      <c r="B18" s="23" t="s">
        <v>37</v>
      </c>
      <c r="C18" s="23" t="s">
        <v>2429</v>
      </c>
      <c r="D18" s="23" t="s">
        <v>2430</v>
      </c>
      <c r="E18" s="23" t="s">
        <v>2431</v>
      </c>
      <c r="F18" s="23" t="s">
        <v>2388</v>
      </c>
      <c r="G18" s="23" t="s">
        <v>2432</v>
      </c>
      <c r="H18" s="23" t="s">
        <v>2390</v>
      </c>
      <c r="I18" s="23" t="s">
        <v>2433</v>
      </c>
      <c r="J18" s="23" t="s">
        <v>2379</v>
      </c>
      <c r="K18" s="23" t="s">
        <v>2434</v>
      </c>
      <c r="L18" s="23" t="s">
        <v>2583</v>
      </c>
      <c r="M18" s="23" t="s">
        <v>2435</v>
      </c>
      <c r="N18" s="22" t="s">
        <v>2436</v>
      </c>
    </row>
    <row r="19" spans="1:14" ht="409.6">
      <c r="A19" s="22" t="s">
        <v>369</v>
      </c>
      <c r="B19" s="22" t="s">
        <v>37</v>
      </c>
      <c r="C19" s="22" t="s">
        <v>1062</v>
      </c>
      <c r="D19" s="22" t="s">
        <v>1063</v>
      </c>
      <c r="E19" s="22" t="s">
        <v>1064</v>
      </c>
      <c r="F19" s="22" t="s">
        <v>2437</v>
      </c>
      <c r="G19" s="22" t="s">
        <v>2438</v>
      </c>
      <c r="H19" s="22" t="s">
        <v>2439</v>
      </c>
      <c r="I19" s="22" t="s">
        <v>2440</v>
      </c>
      <c r="J19" s="22" t="s">
        <v>2441</v>
      </c>
      <c r="K19" s="22" t="s">
        <v>364</v>
      </c>
      <c r="L19" s="22" t="s">
        <v>2580</v>
      </c>
      <c r="M19" s="22" t="s">
        <v>2442</v>
      </c>
      <c r="N19" s="55" t="s">
        <v>2312</v>
      </c>
    </row>
    <row r="20" spans="1:14" ht="409.6">
      <c r="A20" s="23" t="s">
        <v>397</v>
      </c>
      <c r="B20" s="23" t="s">
        <v>57</v>
      </c>
      <c r="C20" s="23" t="s">
        <v>1071</v>
      </c>
      <c r="D20" s="23" t="s">
        <v>1072</v>
      </c>
      <c r="E20" s="23" t="s">
        <v>1073</v>
      </c>
      <c r="F20" s="23" t="s">
        <v>2388</v>
      </c>
      <c r="G20" s="23" t="s">
        <v>2962</v>
      </c>
      <c r="H20" s="23" t="s">
        <v>2390</v>
      </c>
      <c r="I20" s="23" t="s">
        <v>2443</v>
      </c>
      <c r="J20" s="23" t="s">
        <v>2379</v>
      </c>
      <c r="K20" s="23" t="s">
        <v>2444</v>
      </c>
      <c r="L20" s="23" t="s">
        <v>2961</v>
      </c>
      <c r="M20" s="23" t="s">
        <v>2300</v>
      </c>
      <c r="N20" s="22" t="s">
        <v>2445</v>
      </c>
    </row>
    <row r="21" spans="1:14" ht="409.6">
      <c r="A21" s="22" t="s">
        <v>457</v>
      </c>
      <c r="B21" s="22" t="s">
        <v>57</v>
      </c>
      <c r="C21" s="22" t="s">
        <v>1075</v>
      </c>
      <c r="D21" s="22" t="s">
        <v>1076</v>
      </c>
      <c r="E21" s="22" t="s">
        <v>1077</v>
      </c>
      <c r="F21" s="22" t="s">
        <v>2388</v>
      </c>
      <c r="G21" s="22" t="s">
        <v>2963</v>
      </c>
      <c r="H21" s="22" t="s">
        <v>2390</v>
      </c>
      <c r="I21" s="22" t="s">
        <v>2446</v>
      </c>
      <c r="J21" s="22" t="s">
        <v>2379</v>
      </c>
      <c r="K21" s="22" t="s">
        <v>2447</v>
      </c>
      <c r="L21"/>
      <c r="M21" s="22" t="s">
        <v>2301</v>
      </c>
      <c r="N21" s="55" t="s">
        <v>2448</v>
      </c>
    </row>
    <row r="22" spans="1:14" ht="409.6">
      <c r="A22" s="23" t="s">
        <v>445</v>
      </c>
      <c r="B22" s="23" t="s">
        <v>57</v>
      </c>
      <c r="C22" s="23" t="s">
        <v>1079</v>
      </c>
      <c r="D22" s="23" t="s">
        <v>1080</v>
      </c>
      <c r="E22" s="23" t="s">
        <v>1081</v>
      </c>
      <c r="F22" s="23" t="s">
        <v>2388</v>
      </c>
      <c r="G22" s="23" t="s">
        <v>2449</v>
      </c>
      <c r="H22" s="23" t="s">
        <v>2390</v>
      </c>
      <c r="I22" s="23" t="s">
        <v>2450</v>
      </c>
      <c r="J22" s="23" t="s">
        <v>2379</v>
      </c>
      <c r="K22" s="23" t="s">
        <v>2451</v>
      </c>
      <c r="L22" t="s">
        <v>2585</v>
      </c>
      <c r="M22" s="23" t="s">
        <v>2452</v>
      </c>
      <c r="N22" s="22" t="s">
        <v>2453</v>
      </c>
    </row>
    <row r="23" spans="1:14" ht="409.6">
      <c r="A23" s="22" t="s">
        <v>514</v>
      </c>
      <c r="B23" s="22" t="s">
        <v>57</v>
      </c>
      <c r="C23" s="22" t="s">
        <v>1083</v>
      </c>
      <c r="D23" s="22" t="s">
        <v>1084</v>
      </c>
      <c r="E23" s="22" t="s">
        <v>1085</v>
      </c>
      <c r="F23" s="22" t="s">
        <v>2388</v>
      </c>
      <c r="G23" s="22" t="s">
        <v>2454</v>
      </c>
      <c r="H23" s="22" t="s">
        <v>2390</v>
      </c>
      <c r="I23" s="22" t="s">
        <v>2455</v>
      </c>
      <c r="J23" s="22" t="s">
        <v>2379</v>
      </c>
      <c r="K23" s="22" t="s">
        <v>510</v>
      </c>
      <c r="L23"/>
      <c r="M23" s="22" t="s">
        <v>2456</v>
      </c>
      <c r="N23" s="55" t="s">
        <v>2457</v>
      </c>
    </row>
    <row r="24" spans="1:14" ht="409.6">
      <c r="A24" s="23" t="s">
        <v>543</v>
      </c>
      <c r="B24" s="23" t="s">
        <v>58</v>
      </c>
      <c r="C24" s="23" t="s">
        <v>1092</v>
      </c>
      <c r="D24" s="23" t="s">
        <v>1093</v>
      </c>
      <c r="E24" s="23" t="s">
        <v>1094</v>
      </c>
      <c r="F24" s="23" t="s">
        <v>2388</v>
      </c>
      <c r="G24" s="23" t="s">
        <v>2458</v>
      </c>
      <c r="H24" s="23" t="s">
        <v>2390</v>
      </c>
      <c r="I24" s="23" t="s">
        <v>2459</v>
      </c>
      <c r="J24" s="23" t="s">
        <v>2379</v>
      </c>
      <c r="K24" s="23" t="s">
        <v>2460</v>
      </c>
      <c r="L24" t="s">
        <v>2586</v>
      </c>
      <c r="M24" s="23" t="s">
        <v>2302</v>
      </c>
      <c r="N24" s="22" t="s">
        <v>2461</v>
      </c>
    </row>
    <row r="25" spans="1:14" ht="409.6">
      <c r="A25" s="22" t="s">
        <v>564</v>
      </c>
      <c r="B25" s="22" t="s">
        <v>58</v>
      </c>
      <c r="C25" s="22" t="s">
        <v>1096</v>
      </c>
      <c r="D25" s="22" t="s">
        <v>1097</v>
      </c>
      <c r="E25" s="22" t="s">
        <v>1098</v>
      </c>
      <c r="F25" s="22" t="s">
        <v>2388</v>
      </c>
      <c r="G25" s="22" t="s">
        <v>2462</v>
      </c>
      <c r="H25" s="22" t="s">
        <v>2390</v>
      </c>
      <c r="I25" s="22" t="s">
        <v>2463</v>
      </c>
      <c r="J25" s="22" t="s">
        <v>2379</v>
      </c>
      <c r="K25" s="22" t="s">
        <v>2464</v>
      </c>
      <c r="L25"/>
      <c r="M25" s="22" t="s">
        <v>2303</v>
      </c>
      <c r="N25" s="55" t="s">
        <v>2465</v>
      </c>
    </row>
    <row r="26" spans="1:14" ht="409.6">
      <c r="A26" s="23" t="s">
        <v>490</v>
      </c>
      <c r="B26" s="23" t="s">
        <v>58</v>
      </c>
      <c r="C26" s="23" t="s">
        <v>1100</v>
      </c>
      <c r="D26" s="23" t="s">
        <v>1101</v>
      </c>
      <c r="E26" s="23" t="s">
        <v>1102</v>
      </c>
      <c r="F26" s="23" t="s">
        <v>2388</v>
      </c>
      <c r="G26" s="23" t="s">
        <v>2466</v>
      </c>
      <c r="H26" s="23" t="s">
        <v>2390</v>
      </c>
      <c r="I26" s="23" t="s">
        <v>2467</v>
      </c>
      <c r="J26" s="23" t="s">
        <v>2379</v>
      </c>
      <c r="K26" s="23" t="s">
        <v>2468</v>
      </c>
      <c r="L26" t="s">
        <v>2587</v>
      </c>
      <c r="M26" s="23" t="s">
        <v>2304</v>
      </c>
      <c r="N26" s="22" t="s">
        <v>2469</v>
      </c>
    </row>
    <row r="27" spans="1:14" ht="409.6">
      <c r="A27" s="22" t="s">
        <v>655</v>
      </c>
      <c r="B27" s="22" t="s">
        <v>58</v>
      </c>
      <c r="C27" s="22" t="s">
        <v>1104</v>
      </c>
      <c r="D27" s="22" t="s">
        <v>1105</v>
      </c>
      <c r="E27" s="22" t="s">
        <v>1106</v>
      </c>
      <c r="F27" s="22" t="s">
        <v>2388</v>
      </c>
      <c r="G27" s="22" t="s">
        <v>2470</v>
      </c>
      <c r="H27" s="22" t="s">
        <v>2390</v>
      </c>
      <c r="I27" s="22" t="s">
        <v>2471</v>
      </c>
      <c r="J27" s="22" t="s">
        <v>2379</v>
      </c>
      <c r="K27" s="22" t="s">
        <v>651</v>
      </c>
      <c r="L27"/>
      <c r="M27" s="22" t="s">
        <v>2472</v>
      </c>
      <c r="N27" s="55" t="s">
        <v>2473</v>
      </c>
    </row>
    <row r="28" spans="1:14" ht="409.6">
      <c r="A28" s="23" t="s">
        <v>684</v>
      </c>
      <c r="B28" s="23" t="s">
        <v>59</v>
      </c>
      <c r="C28" s="23" t="s">
        <v>1113</v>
      </c>
      <c r="D28" s="23" t="s">
        <v>1114</v>
      </c>
      <c r="E28" s="23" t="s">
        <v>1115</v>
      </c>
      <c r="F28" s="23" t="s">
        <v>2375</v>
      </c>
      <c r="G28" s="23" t="s">
        <v>2474</v>
      </c>
      <c r="H28" s="23" t="s">
        <v>2377</v>
      </c>
      <c r="I28" s="23" t="s">
        <v>2475</v>
      </c>
      <c r="J28" s="23" t="s">
        <v>2379</v>
      </c>
      <c r="K28" s="23" t="s">
        <v>680</v>
      </c>
      <c r="L28" s="56" t="s">
        <v>2588</v>
      </c>
      <c r="M28" s="23" t="s">
        <v>2476</v>
      </c>
      <c r="N28" s="22" t="s">
        <v>2477</v>
      </c>
    </row>
    <row r="29" spans="1:14" ht="409.6">
      <c r="A29" s="22" t="s">
        <v>696</v>
      </c>
      <c r="B29" s="22" t="s">
        <v>59</v>
      </c>
      <c r="C29" s="22" t="s">
        <v>1117</v>
      </c>
      <c r="D29" s="22" t="s">
        <v>1118</v>
      </c>
      <c r="E29" s="22" t="s">
        <v>1119</v>
      </c>
      <c r="F29" s="22" t="s">
        <v>2388</v>
      </c>
      <c r="G29" s="22" t="s">
        <v>2478</v>
      </c>
      <c r="H29" s="22" t="s">
        <v>2390</v>
      </c>
      <c r="I29" s="22" t="s">
        <v>2479</v>
      </c>
      <c r="J29" s="22" t="s">
        <v>2379</v>
      </c>
      <c r="K29" s="22" t="s">
        <v>2480</v>
      </c>
      <c r="L29"/>
      <c r="M29" s="22" t="s">
        <v>2305</v>
      </c>
      <c r="N29" s="55" t="s">
        <v>2481</v>
      </c>
    </row>
    <row r="30" spans="1:14" ht="409.6">
      <c r="A30" s="23" t="s">
        <v>755</v>
      </c>
      <c r="B30" s="23" t="s">
        <v>59</v>
      </c>
      <c r="C30" s="23" t="s">
        <v>1121</v>
      </c>
      <c r="D30" s="23" t="s">
        <v>1122</v>
      </c>
      <c r="E30" s="23" t="s">
        <v>1123</v>
      </c>
      <c r="F30" s="23" t="s">
        <v>2388</v>
      </c>
      <c r="G30" s="23" t="s">
        <v>2482</v>
      </c>
      <c r="H30" s="23" t="s">
        <v>2390</v>
      </c>
      <c r="I30" s="23" t="s">
        <v>2483</v>
      </c>
      <c r="J30" s="23" t="s">
        <v>2379</v>
      </c>
      <c r="K30" s="23" t="s">
        <v>2484</v>
      </c>
      <c r="L30" t="s">
        <v>2589</v>
      </c>
      <c r="M30" s="23" t="s">
        <v>2306</v>
      </c>
      <c r="N30" s="22" t="s">
        <v>2485</v>
      </c>
    </row>
    <row r="31" spans="1:14" ht="409.6">
      <c r="A31" s="22" t="s">
        <v>742</v>
      </c>
      <c r="B31" s="22" t="s">
        <v>59</v>
      </c>
      <c r="C31" s="22" t="s">
        <v>1125</v>
      </c>
      <c r="D31" s="22" t="s">
        <v>1126</v>
      </c>
      <c r="E31" s="22" t="s">
        <v>1127</v>
      </c>
      <c r="F31" s="22" t="s">
        <v>2388</v>
      </c>
      <c r="G31" s="22" t="s">
        <v>2486</v>
      </c>
      <c r="H31" s="22" t="s">
        <v>2390</v>
      </c>
      <c r="I31" s="22" t="s">
        <v>2487</v>
      </c>
      <c r="J31" s="22" t="s">
        <v>2379</v>
      </c>
      <c r="K31" s="22" t="s">
        <v>738</v>
      </c>
      <c r="L31"/>
      <c r="M31" s="22" t="s">
        <v>2488</v>
      </c>
      <c r="N31" s="55" t="s">
        <v>2489</v>
      </c>
    </row>
    <row r="32" spans="1:14" ht="409.6">
      <c r="A32" s="23" t="s">
        <v>777</v>
      </c>
      <c r="B32" s="23" t="s">
        <v>59</v>
      </c>
      <c r="C32" s="23" t="s">
        <v>1129</v>
      </c>
      <c r="D32" s="23" t="s">
        <v>1130</v>
      </c>
      <c r="E32" s="23" t="s">
        <v>1131</v>
      </c>
      <c r="F32" s="23" t="s">
        <v>2388</v>
      </c>
      <c r="G32" s="23" t="s">
        <v>2490</v>
      </c>
      <c r="H32" s="23" t="s">
        <v>2390</v>
      </c>
      <c r="I32" s="23" t="s">
        <v>2491</v>
      </c>
      <c r="J32" s="23" t="s">
        <v>2379</v>
      </c>
      <c r="K32" s="23" t="s">
        <v>2492</v>
      </c>
      <c r="L32" s="57" t="s">
        <v>2590</v>
      </c>
      <c r="M32" s="23" t="s">
        <v>2307</v>
      </c>
      <c r="N32" s="22" t="s">
        <v>2493</v>
      </c>
    </row>
    <row r="33" spans="1:14" ht="409.6">
      <c r="A33" s="22" t="s">
        <v>850</v>
      </c>
      <c r="B33" s="22" t="s">
        <v>60</v>
      </c>
      <c r="C33" s="22" t="s">
        <v>1138</v>
      </c>
      <c r="D33" s="22" t="s">
        <v>1139</v>
      </c>
      <c r="E33" s="22" t="s">
        <v>1140</v>
      </c>
      <c r="F33" s="22" t="s">
        <v>2388</v>
      </c>
      <c r="G33" s="22" t="s">
        <v>2494</v>
      </c>
      <c r="H33" s="22" t="s">
        <v>2390</v>
      </c>
      <c r="I33" s="22" t="s">
        <v>2495</v>
      </c>
      <c r="J33" s="22" t="s">
        <v>2379</v>
      </c>
      <c r="K33" s="22" t="s">
        <v>2496</v>
      </c>
      <c r="L33" s="57" t="s">
        <v>2591</v>
      </c>
      <c r="M33" s="22" t="s">
        <v>2308</v>
      </c>
      <c r="N33" s="55" t="s">
        <v>2497</v>
      </c>
    </row>
    <row r="34" spans="1:14" ht="409.6">
      <c r="A34" s="23" t="s">
        <v>895</v>
      </c>
      <c r="B34" s="23" t="s">
        <v>60</v>
      </c>
      <c r="C34" s="23" t="s">
        <v>1142</v>
      </c>
      <c r="D34" s="23" t="s">
        <v>1143</v>
      </c>
      <c r="E34" s="23" t="s">
        <v>1144</v>
      </c>
      <c r="F34" s="23" t="s">
        <v>2388</v>
      </c>
      <c r="G34" s="23" t="s">
        <v>2498</v>
      </c>
      <c r="H34" s="23" t="s">
        <v>2390</v>
      </c>
      <c r="I34" s="23" t="s">
        <v>2499</v>
      </c>
      <c r="J34" s="23" t="s">
        <v>2379</v>
      </c>
      <c r="K34" s="23" t="s">
        <v>2500</v>
      </c>
      <c r="L34" s="57" t="s">
        <v>2592</v>
      </c>
      <c r="M34" s="23" t="s">
        <v>2501</v>
      </c>
      <c r="N34" s="22" t="s">
        <v>2502</v>
      </c>
    </row>
    <row r="35" spans="1:14" ht="409.6">
      <c r="A35" s="22" t="s">
        <v>942</v>
      </c>
      <c r="B35" s="22" t="s">
        <v>60</v>
      </c>
      <c r="C35" s="22" t="s">
        <v>1146</v>
      </c>
      <c r="D35" s="22" t="s">
        <v>1147</v>
      </c>
      <c r="E35" s="22" t="s">
        <v>1148</v>
      </c>
      <c r="F35" s="22" t="s">
        <v>2388</v>
      </c>
      <c r="G35" s="22" t="s">
        <v>2503</v>
      </c>
      <c r="H35" s="22" t="s">
        <v>2390</v>
      </c>
      <c r="I35" s="22" t="s">
        <v>2504</v>
      </c>
      <c r="J35" s="22" t="s">
        <v>2379</v>
      </c>
      <c r="K35" s="22" t="s">
        <v>2505</v>
      </c>
      <c r="L35" s="57" t="s">
        <v>2593</v>
      </c>
      <c r="M35" s="22" t="s">
        <v>2309</v>
      </c>
      <c r="N35" s="55" t="s">
        <v>2506</v>
      </c>
    </row>
    <row r="36" spans="1:14" ht="409.6">
      <c r="A36" s="23" t="s">
        <v>2324</v>
      </c>
      <c r="B36" s="23" t="s">
        <v>56</v>
      </c>
      <c r="C36" s="23" t="s">
        <v>2507</v>
      </c>
      <c r="D36" s="23" t="s">
        <v>2508</v>
      </c>
      <c r="E36" s="23" t="s">
        <v>2509</v>
      </c>
      <c r="F36" s="23" t="s">
        <v>2510</v>
      </c>
      <c r="G36" s="23" t="s">
        <v>2511</v>
      </c>
      <c r="H36" s="23" t="s">
        <v>2377</v>
      </c>
      <c r="I36" s="23" t="s">
        <v>2512</v>
      </c>
      <c r="J36" s="23" t="s">
        <v>2379</v>
      </c>
      <c r="K36" s="23" t="s">
        <v>225</v>
      </c>
      <c r="L36"/>
      <c r="M36" s="23" t="s">
        <v>2513</v>
      </c>
      <c r="N36" s="22" t="s">
        <v>2514</v>
      </c>
    </row>
    <row r="37" spans="1:14" ht="409.6">
      <c r="A37" s="23" t="s">
        <v>2331</v>
      </c>
      <c r="B37" s="23" t="s">
        <v>37</v>
      </c>
      <c r="C37" s="23" t="s">
        <v>2515</v>
      </c>
      <c r="D37" s="23" t="s">
        <v>2516</v>
      </c>
      <c r="E37" s="23" t="s">
        <v>2517</v>
      </c>
      <c r="F37" s="23" t="s">
        <v>2510</v>
      </c>
      <c r="G37" s="23" t="s">
        <v>2518</v>
      </c>
      <c r="H37" s="23" t="s">
        <v>2377</v>
      </c>
      <c r="I37" s="23" t="s">
        <v>2519</v>
      </c>
      <c r="J37" s="23" t="s">
        <v>2379</v>
      </c>
      <c r="K37" s="23" t="s">
        <v>376</v>
      </c>
      <c r="L37" t="s">
        <v>2594</v>
      </c>
      <c r="M37" s="23" t="s">
        <v>2520</v>
      </c>
      <c r="N37" s="22" t="s">
        <v>2521</v>
      </c>
    </row>
    <row r="38" spans="1:14" ht="409.6">
      <c r="A38" s="23" t="s">
        <v>2334</v>
      </c>
      <c r="B38" s="23" t="s">
        <v>57</v>
      </c>
      <c r="C38" s="23" t="s">
        <v>2522</v>
      </c>
      <c r="D38" s="23" t="s">
        <v>2523</v>
      </c>
      <c r="E38" s="23" t="s">
        <v>2524</v>
      </c>
      <c r="F38" s="23" t="s">
        <v>2510</v>
      </c>
      <c r="G38" s="23" t="s">
        <v>2525</v>
      </c>
      <c r="H38" s="23" t="s">
        <v>2377</v>
      </c>
      <c r="I38" s="23" t="s">
        <v>2526</v>
      </c>
      <c r="J38" s="23" t="s">
        <v>2379</v>
      </c>
      <c r="K38" s="23" t="s">
        <v>521</v>
      </c>
      <c r="L38"/>
      <c r="M38" s="23" t="s">
        <v>2527</v>
      </c>
      <c r="N38" s="22" t="s">
        <v>2528</v>
      </c>
    </row>
    <row r="39" spans="1:14" ht="409.6">
      <c r="A39" s="23" t="s">
        <v>2337</v>
      </c>
      <c r="B39" s="23" t="s">
        <v>58</v>
      </c>
      <c r="C39" s="23" t="s">
        <v>2529</v>
      </c>
      <c r="D39" s="23" t="s">
        <v>2530</v>
      </c>
      <c r="E39" s="23" t="s">
        <v>2531</v>
      </c>
      <c r="F39" s="23" t="s">
        <v>2510</v>
      </c>
      <c r="G39" s="23" t="s">
        <v>2532</v>
      </c>
      <c r="H39" s="23" t="s">
        <v>2377</v>
      </c>
      <c r="I39" s="23" t="s">
        <v>2533</v>
      </c>
      <c r="J39" s="23" t="s">
        <v>2379</v>
      </c>
      <c r="K39" s="23" t="s">
        <v>662</v>
      </c>
      <c r="L39" t="s">
        <v>2595</v>
      </c>
      <c r="M39" s="23" t="s">
        <v>2534</v>
      </c>
      <c r="N39" s="22" t="s">
        <v>2535</v>
      </c>
    </row>
    <row r="40" spans="1:14" ht="409.6">
      <c r="A40" s="23" t="s">
        <v>2345</v>
      </c>
      <c r="B40" s="23" t="s">
        <v>59</v>
      </c>
      <c r="C40" s="23" t="s">
        <v>2536</v>
      </c>
      <c r="D40" s="23" t="s">
        <v>2537</v>
      </c>
      <c r="E40" s="23" t="s">
        <v>2538</v>
      </c>
      <c r="F40" s="23" t="s">
        <v>2510</v>
      </c>
      <c r="G40" s="23" t="s">
        <v>2539</v>
      </c>
      <c r="H40" s="23" t="s">
        <v>2377</v>
      </c>
      <c r="I40" s="23" t="s">
        <v>2540</v>
      </c>
      <c r="J40" s="23" t="s">
        <v>2379</v>
      </c>
      <c r="K40" s="23" t="s">
        <v>815</v>
      </c>
      <c r="L40"/>
      <c r="M40" s="23" t="s">
        <v>2541</v>
      </c>
      <c r="N40" s="22" t="s">
        <v>2542</v>
      </c>
    </row>
    <row r="41" spans="1:14" ht="409.6">
      <c r="A41" s="22" t="s">
        <v>2543</v>
      </c>
      <c r="B41" s="22" t="s">
        <v>1567</v>
      </c>
      <c r="C41" s="22" t="s">
        <v>2544</v>
      </c>
      <c r="D41" s="22" t="s">
        <v>2545</v>
      </c>
      <c r="E41" s="22" t="s">
        <v>2546</v>
      </c>
      <c r="F41" s="22" t="s">
        <v>2388</v>
      </c>
      <c r="G41" s="22" t="s">
        <v>2547</v>
      </c>
      <c r="H41" s="22" t="s">
        <v>2390</v>
      </c>
      <c r="I41" s="22" t="s">
        <v>2548</v>
      </c>
      <c r="J41" s="22" t="s">
        <v>2379</v>
      </c>
      <c r="K41" s="22" t="s">
        <v>1567</v>
      </c>
      <c r="L41" s="57" t="s">
        <v>2596</v>
      </c>
      <c r="M41" s="22" t="s">
        <v>2549</v>
      </c>
      <c r="N41" s="55" t="s">
        <v>2550</v>
      </c>
    </row>
    <row r="42" spans="1:14" ht="409.6">
      <c r="A42" s="23" t="s">
        <v>2551</v>
      </c>
      <c r="B42" s="23" t="s">
        <v>1567</v>
      </c>
      <c r="C42" s="23" t="s">
        <v>2552</v>
      </c>
      <c r="D42" s="23" t="s">
        <v>2553</v>
      </c>
      <c r="E42" s="23" t="s">
        <v>2554</v>
      </c>
      <c r="F42" s="23" t="s">
        <v>2388</v>
      </c>
      <c r="G42" s="23" t="s">
        <v>2555</v>
      </c>
      <c r="H42" s="23" t="s">
        <v>2390</v>
      </c>
      <c r="I42" s="23" t="s">
        <v>2556</v>
      </c>
      <c r="J42" s="23" t="s">
        <v>2379</v>
      </c>
      <c r="K42" s="23" t="s">
        <v>1567</v>
      </c>
      <c r="L42"/>
      <c r="M42" s="23" t="s">
        <v>2557</v>
      </c>
      <c r="N42" s="22" t="s">
        <v>2558</v>
      </c>
    </row>
    <row r="43" spans="1:14" ht="409.6" customHeight="1">
      <c r="A43" s="27" t="s">
        <v>2559</v>
      </c>
      <c r="B43" s="27" t="s">
        <v>56</v>
      </c>
      <c r="C43" s="27" t="s">
        <v>2560</v>
      </c>
      <c r="D43" s="27" t="s">
        <v>2561</v>
      </c>
      <c r="E43" s="27" t="s">
        <v>2562</v>
      </c>
      <c r="F43" s="27" t="s">
        <v>2437</v>
      </c>
      <c r="G43" s="28" t="s">
        <v>2563</v>
      </c>
      <c r="H43" s="27" t="s">
        <v>2377</v>
      </c>
      <c r="I43" s="27" t="s">
        <v>2564</v>
      </c>
      <c r="J43" s="27" t="s">
        <v>2379</v>
      </c>
      <c r="K43" s="27" t="s">
        <v>2565</v>
      </c>
      <c r="L43" s="56" t="s">
        <v>2597</v>
      </c>
      <c r="M43" s="27" t="s">
        <v>2566</v>
      </c>
      <c r="N43" s="55" t="s">
        <v>2567</v>
      </c>
    </row>
    <row r="44" spans="1:14" ht="319.95" customHeight="1">
      <c r="A44" s="27" t="s">
        <v>241</v>
      </c>
      <c r="B44" s="27" t="s">
        <v>2568</v>
      </c>
      <c r="C44" s="27" t="s">
        <v>2569</v>
      </c>
      <c r="D44" s="27" t="s">
        <v>2570</v>
      </c>
      <c r="E44" s="27" t="s">
        <v>2571</v>
      </c>
      <c r="F44" s="27" t="s">
        <v>2572</v>
      </c>
      <c r="G44" s="27" t="s">
        <v>2573</v>
      </c>
      <c r="H44" s="27" t="s">
        <v>2310</v>
      </c>
      <c r="I44" s="27" t="s">
        <v>2574</v>
      </c>
      <c r="J44" s="27" t="s">
        <v>2441</v>
      </c>
      <c r="K44" s="27" t="s">
        <v>2575</v>
      </c>
      <c r="L44"/>
      <c r="M44" s="27" t="s">
        <v>2311</v>
      </c>
      <c r="N44" s="22" t="s">
        <v>2313</v>
      </c>
    </row>
    <row r="45" spans="1:14">
      <c r="L45" s="57" t="s">
        <v>1653</v>
      </c>
    </row>
    <row r="46" spans="1:14">
      <c r="L46" s="57" t="s">
        <v>2598</v>
      </c>
    </row>
    <row r="47" spans="1:14">
      <c r="L47" s="57" t="s">
        <v>2599</v>
      </c>
    </row>
    <row r="48" spans="1:14">
      <c r="L48" s="57" t="s">
        <v>2600</v>
      </c>
    </row>
    <row r="49" spans="12:12">
      <c r="L49" s="57" t="s">
        <v>2601</v>
      </c>
    </row>
    <row r="50" spans="12:12">
      <c r="L50" s="57" t="s">
        <v>2602</v>
      </c>
    </row>
    <row r="51" spans="12:12">
      <c r="L51" s="57" t="s">
        <v>2603</v>
      </c>
    </row>
    <row r="52" spans="12:12">
      <c r="L52" s="57" t="s">
        <v>2604</v>
      </c>
    </row>
    <row r="53" spans="12:12">
      <c r="L53" s="57" t="s">
        <v>2605</v>
      </c>
    </row>
    <row r="54" spans="12:12">
      <c r="L54" s="57" t="s">
        <v>2606</v>
      </c>
    </row>
    <row r="55" spans="12:12">
      <c r="L55" s="57" t="s">
        <v>2607</v>
      </c>
    </row>
    <row r="56" spans="12:12">
      <c r="L56" s="57" t="s">
        <v>2608</v>
      </c>
    </row>
    <row r="57" spans="12:12">
      <c r="L57" s="57" t="s">
        <v>2609</v>
      </c>
    </row>
    <row r="58" spans="12:12">
      <c r="L58" s="57" t="s">
        <v>2610</v>
      </c>
    </row>
    <row r="59" spans="12:12">
      <c r="L59" s="57" t="s">
        <v>2611</v>
      </c>
    </row>
    <row r="60" spans="12:12">
      <c r="L60" s="57" t="s">
        <v>2612</v>
      </c>
    </row>
    <row r="61" spans="12:12">
      <c r="L61" s="57" t="s">
        <v>2613</v>
      </c>
    </row>
    <row r="62" spans="12:12">
      <c r="L62" s="57" t="s">
        <v>2614</v>
      </c>
    </row>
    <row r="63" spans="12:12">
      <c r="L63" s="57" t="s">
        <v>2615</v>
      </c>
    </row>
    <row r="64" spans="12:12">
      <c r="L64" s="57" t="s">
        <v>2616</v>
      </c>
    </row>
    <row r="65" spans="12:12">
      <c r="L65" s="57" t="s">
        <v>2617</v>
      </c>
    </row>
    <row r="66" spans="12:12">
      <c r="L66" s="57" t="s">
        <v>2618</v>
      </c>
    </row>
    <row r="67" spans="12:12">
      <c r="L67" s="57" t="s">
        <v>2619</v>
      </c>
    </row>
    <row r="68" spans="12:12">
      <c r="L68" s="57" t="s">
        <v>2620</v>
      </c>
    </row>
    <row r="69" spans="12:12">
      <c r="L69" s="57" t="s">
        <v>2621</v>
      </c>
    </row>
    <row r="70" spans="12:12">
      <c r="L70" s="57" t="s">
        <v>2622</v>
      </c>
    </row>
    <row r="71" spans="12:12">
      <c r="L71" s="57" t="s">
        <v>2623</v>
      </c>
    </row>
    <row r="72" spans="12:12">
      <c r="L72"/>
    </row>
    <row r="73" spans="12:12" ht="22.8">
      <c r="L73" s="56" t="s">
        <v>2624</v>
      </c>
    </row>
    <row r="74" spans="12:12">
      <c r="L74"/>
    </row>
    <row r="75" spans="12:12">
      <c r="L75" s="57" t="s">
        <v>2625</v>
      </c>
    </row>
    <row r="76" spans="12:12">
      <c r="L76" s="57" t="s">
        <v>2626</v>
      </c>
    </row>
    <row r="77" spans="12:12">
      <c r="L77" s="57" t="s">
        <v>2627</v>
      </c>
    </row>
    <row r="78" spans="12:12">
      <c r="L78" s="57" t="s">
        <v>2628</v>
      </c>
    </row>
    <row r="79" spans="12:12">
      <c r="L79" s="57" t="s">
        <v>2629</v>
      </c>
    </row>
    <row r="80" spans="12:12">
      <c r="L80" s="57" t="s">
        <v>2630</v>
      </c>
    </row>
    <row r="81" spans="12:12">
      <c r="L81" s="57" t="s">
        <v>2631</v>
      </c>
    </row>
    <row r="82" spans="12:12">
      <c r="L82" s="57" t="s">
        <v>2632</v>
      </c>
    </row>
    <row r="83" spans="12:12">
      <c r="L83" s="57" t="s">
        <v>2633</v>
      </c>
    </row>
    <row r="84" spans="12:12">
      <c r="L84" s="57" t="s">
        <v>2634</v>
      </c>
    </row>
    <row r="85" spans="12:12">
      <c r="L85" s="57" t="s">
        <v>2635</v>
      </c>
    </row>
    <row r="86" spans="12:12">
      <c r="L86" s="57" t="s">
        <v>2636</v>
      </c>
    </row>
    <row r="87" spans="12:12">
      <c r="L87"/>
    </row>
    <row r="88" spans="12:12" ht="22.8">
      <c r="L88" s="56" t="s">
        <v>2637</v>
      </c>
    </row>
    <row r="89" spans="12:12">
      <c r="L89"/>
    </row>
    <row r="90" spans="12:12">
      <c r="L90" s="57" t="s">
        <v>1816</v>
      </c>
    </row>
    <row r="91" spans="12:12">
      <c r="L91"/>
    </row>
    <row r="92" spans="12:12">
      <c r="L92" t="s">
        <v>2638</v>
      </c>
    </row>
    <row r="93" spans="12:12">
      <c r="L93"/>
    </row>
    <row r="94" spans="12:12" ht="22.8">
      <c r="L94" s="56" t="s">
        <v>2639</v>
      </c>
    </row>
    <row r="95" spans="12:12">
      <c r="L95"/>
    </row>
    <row r="96" spans="12:12">
      <c r="L96" t="s">
        <v>2640</v>
      </c>
    </row>
    <row r="97" spans="12:12">
      <c r="L97"/>
    </row>
    <row r="98" spans="12:12">
      <c r="L98" s="57" t="s">
        <v>2641</v>
      </c>
    </row>
    <row r="99" spans="12:12">
      <c r="L99" s="57" t="s">
        <v>2642</v>
      </c>
    </row>
    <row r="100" spans="12:12">
      <c r="L100" s="57" t="s">
        <v>2643</v>
      </c>
    </row>
    <row r="101" spans="12:12">
      <c r="L101"/>
    </row>
    <row r="102" spans="12:12">
      <c r="L102" t="s">
        <v>2644</v>
      </c>
    </row>
    <row r="103" spans="12:12">
      <c r="L103"/>
    </row>
    <row r="104" spans="12:12">
      <c r="L104" s="57" t="s">
        <v>2645</v>
      </c>
    </row>
    <row r="105" spans="12:12">
      <c r="L105" s="57" t="s">
        <v>2646</v>
      </c>
    </row>
    <row r="106" spans="12:12">
      <c r="L106" s="57" t="s">
        <v>2647</v>
      </c>
    </row>
    <row r="107" spans="12:12">
      <c r="L107"/>
    </row>
    <row r="108" spans="12:12">
      <c r="L108" t="s">
        <v>2648</v>
      </c>
    </row>
    <row r="109" spans="12:12">
      <c r="L109" s="58"/>
    </row>
    <row r="110" spans="12:12">
      <c r="L110" s="58" t="s">
        <v>2649</v>
      </c>
    </row>
    <row r="111" spans="12:12">
      <c r="L111" s="58"/>
    </row>
    <row r="112" spans="12:12">
      <c r="L112" s="60" t="s">
        <v>2650</v>
      </c>
    </row>
    <row r="113" spans="12:12">
      <c r="L113" s="58"/>
    </row>
    <row r="114" spans="12:12">
      <c r="L114" s="58" t="s">
        <v>2651</v>
      </c>
    </row>
    <row r="115" spans="12:12">
      <c r="L115" s="58"/>
    </row>
    <row r="116" spans="12:12">
      <c r="L116" s="58" t="s">
        <v>2652</v>
      </c>
    </row>
    <row r="117" spans="12:12">
      <c r="L117" s="58"/>
    </row>
    <row r="118" spans="12:12">
      <c r="L118" s="58" t="s">
        <v>2653</v>
      </c>
    </row>
    <row r="119" spans="12:12">
      <c r="L119" s="58"/>
    </row>
    <row r="120" spans="12:12">
      <c r="L120" s="58" t="s">
        <v>2654</v>
      </c>
    </row>
    <row r="121" spans="12:12">
      <c r="L121" s="58"/>
    </row>
    <row r="122" spans="12:12">
      <c r="L122" s="58" t="s">
        <v>2655</v>
      </c>
    </row>
    <row r="123" spans="12:12">
      <c r="L123" s="58"/>
    </row>
    <row r="124" spans="12:12">
      <c r="L124" s="58" t="s">
        <v>2656</v>
      </c>
    </row>
    <row r="125" spans="12:12">
      <c r="L125" s="58"/>
    </row>
    <row r="126" spans="12:12">
      <c r="L126" s="58" t="s">
        <v>2657</v>
      </c>
    </row>
    <row r="127" spans="12:12">
      <c r="L127"/>
    </row>
    <row r="128" spans="12:12">
      <c r="L128" s="59" t="s">
        <v>2658</v>
      </c>
    </row>
    <row r="129" spans="12:12">
      <c r="L129"/>
    </row>
    <row r="130" spans="12:12">
      <c r="L130" s="57" t="s">
        <v>2659</v>
      </c>
    </row>
    <row r="131" spans="12:12">
      <c r="L131" s="57" t="s">
        <v>2660</v>
      </c>
    </row>
    <row r="132" spans="12:12">
      <c r="L132" s="57" t="s">
        <v>2661</v>
      </c>
    </row>
    <row r="133" spans="12:12">
      <c r="L133"/>
    </row>
    <row r="134" spans="12:12" ht="22.8">
      <c r="L134" s="56" t="s">
        <v>2662</v>
      </c>
    </row>
    <row r="135" spans="12:12">
      <c r="L135"/>
    </row>
    <row r="136" spans="12:12">
      <c r="L136" t="s">
        <v>2663</v>
      </c>
    </row>
    <row r="137" spans="12:12">
      <c r="L137"/>
    </row>
    <row r="138" spans="12:12">
      <c r="L138" s="57" t="s">
        <v>2664</v>
      </c>
    </row>
    <row r="139" spans="12:12">
      <c r="L139" s="57" t="s">
        <v>2665</v>
      </c>
    </row>
    <row r="140" spans="12:12">
      <c r="L140" s="57" t="s">
        <v>2666</v>
      </c>
    </row>
    <row r="141" spans="12:12">
      <c r="L141" s="57" t="s">
        <v>2667</v>
      </c>
    </row>
    <row r="142" spans="12:12">
      <c r="L142" s="57" t="s">
        <v>2668</v>
      </c>
    </row>
    <row r="143" spans="12:12">
      <c r="L143" s="57" t="s">
        <v>2669</v>
      </c>
    </row>
    <row r="144" spans="12:12">
      <c r="L144"/>
    </row>
    <row r="145" spans="12:12">
      <c r="L145" t="s">
        <v>2670</v>
      </c>
    </row>
    <row r="146" spans="12:12">
      <c r="L146" s="58"/>
    </row>
    <row r="147" spans="12:12">
      <c r="L147" s="58" t="s">
        <v>2671</v>
      </c>
    </row>
    <row r="148" spans="12:12">
      <c r="L148" s="58"/>
    </row>
    <row r="149" spans="12:12">
      <c r="L149" s="58" t="s">
        <v>2672</v>
      </c>
    </row>
    <row r="150" spans="12:12">
      <c r="L150" s="58"/>
    </row>
    <row r="151" spans="12:12">
      <c r="L151" s="58" t="s">
        <v>2673</v>
      </c>
    </row>
    <row r="152" spans="12:12">
      <c r="L152" s="58"/>
    </row>
    <row r="153" spans="12:12">
      <c r="L153" s="58" t="s">
        <v>2674</v>
      </c>
    </row>
    <row r="154" spans="12:12">
      <c r="L154" s="58"/>
    </row>
    <row r="155" spans="12:12">
      <c r="L155" s="58" t="s">
        <v>2675</v>
      </c>
    </row>
    <row r="156" spans="12:12">
      <c r="L156" s="58"/>
    </row>
    <row r="157" spans="12:12">
      <c r="L157" s="58" t="s">
        <v>2676</v>
      </c>
    </row>
    <row r="158" spans="12:12">
      <c r="L158" s="58"/>
    </row>
    <row r="159" spans="12:12">
      <c r="L159" s="58" t="s">
        <v>2677</v>
      </c>
    </row>
    <row r="160" spans="12:12">
      <c r="L160" s="58"/>
    </row>
    <row r="161" spans="12:12">
      <c r="L161" s="58" t="s">
        <v>2678</v>
      </c>
    </row>
    <row r="162" spans="12:12">
      <c r="L162" s="58"/>
    </row>
    <row r="163" spans="12:12">
      <c r="L163" s="58" t="s">
        <v>2679</v>
      </c>
    </row>
    <row r="164" spans="12:12">
      <c r="L164" s="58"/>
    </row>
    <row r="165" spans="12:12">
      <c r="L165" s="58" t="s">
        <v>2680</v>
      </c>
    </row>
    <row r="166" spans="12:12">
      <c r="L166" s="58"/>
    </row>
    <row r="167" spans="12:12">
      <c r="L167" s="58" t="s">
        <v>2681</v>
      </c>
    </row>
    <row r="168" spans="12:12">
      <c r="L168" s="58"/>
    </row>
    <row r="169" spans="12:12">
      <c r="L169" s="58" t="s">
        <v>2682</v>
      </c>
    </row>
    <row r="170" spans="12:12">
      <c r="L170"/>
    </row>
    <row r="171" spans="12:12">
      <c r="L171" t="s">
        <v>2683</v>
      </c>
    </row>
    <row r="172" spans="12:12">
      <c r="L172"/>
    </row>
    <row r="173" spans="12:12" ht="22.8">
      <c r="L173" s="56" t="s">
        <v>2684</v>
      </c>
    </row>
    <row r="174" spans="12:12">
      <c r="L174"/>
    </row>
    <row r="175" spans="12:12">
      <c r="L175" t="s">
        <v>2685</v>
      </c>
    </row>
    <row r="176" spans="12:12">
      <c r="L176"/>
    </row>
    <row r="177" spans="12:12">
      <c r="L177" t="s">
        <v>2686</v>
      </c>
    </row>
    <row r="178" spans="12:12">
      <c r="L178"/>
    </row>
    <row r="179" spans="12:12">
      <c r="L179" s="57" t="s">
        <v>2687</v>
      </c>
    </row>
    <row r="180" spans="12:12">
      <c r="L180" s="57" t="s">
        <v>2688</v>
      </c>
    </row>
    <row r="181" spans="12:12">
      <c r="L181" s="57" t="s">
        <v>2689</v>
      </c>
    </row>
    <row r="182" spans="12:12">
      <c r="L182" s="57" t="s">
        <v>2690</v>
      </c>
    </row>
    <row r="183" spans="12:12">
      <c r="L183"/>
    </row>
    <row r="184" spans="12:12">
      <c r="L184" s="59" t="s">
        <v>2691</v>
      </c>
    </row>
    <row r="185" spans="12:12">
      <c r="L185"/>
    </row>
    <row r="186" spans="12:12">
      <c r="L186" t="s">
        <v>2692</v>
      </c>
    </row>
    <row r="187" spans="12:12">
      <c r="L187" s="58"/>
    </row>
    <row r="188" spans="12:12">
      <c r="L188" s="58" t="s">
        <v>2693</v>
      </c>
    </row>
    <row r="189" spans="12:12">
      <c r="L189" s="58"/>
    </row>
    <row r="190" spans="12:12">
      <c r="L190" s="60" t="s">
        <v>2694</v>
      </c>
    </row>
    <row r="191" spans="12:12">
      <c r="L191" s="58"/>
    </row>
    <row r="192" spans="12:12">
      <c r="L192" s="58" t="s">
        <v>2695</v>
      </c>
    </row>
    <row r="193" spans="12:12">
      <c r="L193" s="58"/>
    </row>
    <row r="194" spans="12:12">
      <c r="L194" s="58" t="s">
        <v>2696</v>
      </c>
    </row>
    <row r="195" spans="12:12">
      <c r="L195" s="58"/>
    </row>
    <row r="196" spans="12:12">
      <c r="L196" s="58" t="s">
        <v>2697</v>
      </c>
    </row>
    <row r="197" spans="12:12">
      <c r="L197" s="58"/>
    </row>
    <row r="198" spans="12:12">
      <c r="L198" s="58" t="s">
        <v>2698</v>
      </c>
    </row>
    <row r="199" spans="12:12">
      <c r="L199" s="58"/>
    </row>
    <row r="200" spans="12:12">
      <c r="L200" s="58" t="s">
        <v>2699</v>
      </c>
    </row>
    <row r="201" spans="12:12">
      <c r="L201"/>
    </row>
    <row r="202" spans="12:12">
      <c r="L202" t="s">
        <v>2700</v>
      </c>
    </row>
    <row r="203" spans="12:12">
      <c r="L203"/>
    </row>
    <row r="204" spans="12:12" ht="22.8">
      <c r="L204" s="56" t="s">
        <v>2701</v>
      </c>
    </row>
    <row r="205" spans="12:12">
      <c r="L205"/>
    </row>
    <row r="206" spans="12:12">
      <c r="L206" t="s">
        <v>2644</v>
      </c>
    </row>
    <row r="207" spans="12:12">
      <c r="L207"/>
    </row>
    <row r="208" spans="12:12">
      <c r="L208" s="57" t="s">
        <v>2702</v>
      </c>
    </row>
    <row r="209" spans="12:12">
      <c r="L209" s="57" t="s">
        <v>2703</v>
      </c>
    </row>
    <row r="210" spans="12:12">
      <c r="L210" s="57" t="s">
        <v>2704</v>
      </c>
    </row>
    <row r="211" spans="12:12">
      <c r="L211" s="57" t="s">
        <v>2705</v>
      </c>
    </row>
    <row r="212" spans="12:12">
      <c r="L212" s="57" t="s">
        <v>2706</v>
      </c>
    </row>
    <row r="213" spans="12:12">
      <c r="L213"/>
    </row>
    <row r="214" spans="12:12">
      <c r="L214" s="59" t="s">
        <v>2707</v>
      </c>
    </row>
    <row r="215" spans="12:12">
      <c r="L215"/>
    </row>
    <row r="216" spans="12:12">
      <c r="L216" s="57" t="s">
        <v>2708</v>
      </c>
    </row>
    <row r="217" spans="12:12">
      <c r="L217"/>
    </row>
    <row r="218" spans="12:12">
      <c r="L218" t="s">
        <v>2709</v>
      </c>
    </row>
    <row r="219" spans="12:12">
      <c r="L219"/>
    </row>
    <row r="220" spans="12:12">
      <c r="L220" t="s">
        <v>2710</v>
      </c>
    </row>
    <row r="221" spans="12:12">
      <c r="L221"/>
    </row>
    <row r="222" spans="12:12">
      <c r="L222" s="57" t="s">
        <v>2711</v>
      </c>
    </row>
    <row r="223" spans="12:12">
      <c r="L223" s="57" t="s">
        <v>2712</v>
      </c>
    </row>
    <row r="224" spans="12:12">
      <c r="L224" s="57" t="s">
        <v>2713</v>
      </c>
    </row>
    <row r="225" spans="12:12">
      <c r="L225" s="57" t="s">
        <v>2714</v>
      </c>
    </row>
    <row r="226" spans="12:12">
      <c r="L226" s="57" t="s">
        <v>2715</v>
      </c>
    </row>
    <row r="227" spans="12:12">
      <c r="L227"/>
    </row>
    <row r="228" spans="12:12" ht="17.399999999999999">
      <c r="L228" s="61" t="s">
        <v>2716</v>
      </c>
    </row>
    <row r="229" spans="12:12">
      <c r="L229"/>
    </row>
    <row r="230" spans="12:12">
      <c r="L230" t="s">
        <v>2717</v>
      </c>
    </row>
    <row r="231" spans="12:12">
      <c r="L231" s="58"/>
    </row>
    <row r="232" spans="12:12">
      <c r="L232" s="58" t="s">
        <v>2718</v>
      </c>
    </row>
    <row r="233" spans="12:12">
      <c r="L233" s="58"/>
    </row>
    <row r="234" spans="12:12">
      <c r="L234" s="58" t="s">
        <v>2719</v>
      </c>
    </row>
    <row r="235" spans="12:12">
      <c r="L235" s="58"/>
    </row>
    <row r="236" spans="12:12">
      <c r="L236" s="58" t="s">
        <v>2720</v>
      </c>
    </row>
    <row r="237" spans="12:12">
      <c r="L237" s="58"/>
    </row>
    <row r="238" spans="12:12">
      <c r="L238" s="58" t="s">
        <v>2721</v>
      </c>
    </row>
    <row r="239" spans="12:12">
      <c r="L239" s="58"/>
    </row>
    <row r="240" spans="12:12">
      <c r="L240" s="58" t="s">
        <v>2722</v>
      </c>
    </row>
    <row r="241" spans="12:12">
      <c r="L241"/>
    </row>
    <row r="242" spans="12:12">
      <c r="L242" t="s">
        <v>2723</v>
      </c>
    </row>
    <row r="243" spans="12:12">
      <c r="L243"/>
    </row>
    <row r="244" spans="12:12" ht="17.399999999999999">
      <c r="L244" s="61" t="s">
        <v>2724</v>
      </c>
    </row>
    <row r="245" spans="12:12">
      <c r="L245"/>
    </row>
    <row r="246" spans="12:12">
      <c r="L246" t="s">
        <v>2581</v>
      </c>
    </row>
    <row r="247" spans="12:12">
      <c r="L247"/>
    </row>
    <row r="248" spans="12:12">
      <c r="L248" s="57" t="s">
        <v>2725</v>
      </c>
    </row>
    <row r="249" spans="12:12">
      <c r="L249"/>
    </row>
    <row r="250" spans="12:12">
      <c r="L250" t="s">
        <v>2726</v>
      </c>
    </row>
    <row r="251" spans="12:12">
      <c r="L251" s="58"/>
    </row>
    <row r="252" spans="12:12">
      <c r="L252" s="58" t="s">
        <v>2727</v>
      </c>
    </row>
    <row r="253" spans="12:12">
      <c r="L253" s="58"/>
    </row>
    <row r="254" spans="12:12">
      <c r="L254" s="58" t="s">
        <v>2728</v>
      </c>
    </row>
    <row r="255" spans="12:12">
      <c r="L255" s="58"/>
    </row>
    <row r="256" spans="12:12">
      <c r="L256" s="58" t="s">
        <v>2729</v>
      </c>
    </row>
    <row r="257" spans="12:12">
      <c r="L257" s="58"/>
    </row>
    <row r="258" spans="12:12">
      <c r="L258" s="58" t="s">
        <v>2730</v>
      </c>
    </row>
    <row r="259" spans="12:12">
      <c r="L259" s="58"/>
    </row>
    <row r="260" spans="12:12">
      <c r="L260" s="58" t="s">
        <v>2731</v>
      </c>
    </row>
    <row r="261" spans="12:12">
      <c r="L261" s="58"/>
    </row>
    <row r="262" spans="12:12">
      <c r="L262" s="58" t="s">
        <v>2732</v>
      </c>
    </row>
    <row r="263" spans="12:12">
      <c r="L263"/>
    </row>
    <row r="264" spans="12:12">
      <c r="L264" t="s">
        <v>2733</v>
      </c>
    </row>
    <row r="265" spans="12:12">
      <c r="L265" s="58"/>
    </row>
    <row r="266" spans="12:12">
      <c r="L266" s="58" t="s">
        <v>2734</v>
      </c>
    </row>
    <row r="267" spans="12:12">
      <c r="L267" s="58"/>
    </row>
    <row r="268" spans="12:12">
      <c r="L268" s="58" t="s">
        <v>2735</v>
      </c>
    </row>
    <row r="269" spans="12:12">
      <c r="L269" s="58"/>
    </row>
    <row r="270" spans="12:12">
      <c r="L270" s="58" t="s">
        <v>2736</v>
      </c>
    </row>
    <row r="271" spans="12:12">
      <c r="L271" s="58"/>
    </row>
    <row r="272" spans="12:12">
      <c r="L272" s="58" t="s">
        <v>2737</v>
      </c>
    </row>
    <row r="273" spans="12:12">
      <c r="L273" s="58"/>
    </row>
    <row r="274" spans="12:12">
      <c r="L274" s="58" t="s">
        <v>2738</v>
      </c>
    </row>
    <row r="275" spans="12:12">
      <c r="L275" s="58"/>
    </row>
    <row r="276" spans="12:12">
      <c r="L276" s="58" t="s">
        <v>2739</v>
      </c>
    </row>
    <row r="277" spans="12:12">
      <c r="L277"/>
    </row>
    <row r="278" spans="12:12">
      <c r="L278" t="s">
        <v>2740</v>
      </c>
    </row>
    <row r="279" spans="12:12">
      <c r="L279"/>
    </row>
    <row r="280" spans="12:12">
      <c r="L280" t="s">
        <v>2741</v>
      </c>
    </row>
    <row r="281" spans="12:12">
      <c r="L281"/>
    </row>
    <row r="282" spans="12:12" ht="22.8">
      <c r="L282" s="56" t="s">
        <v>2742</v>
      </c>
    </row>
    <row r="283" spans="12:12">
      <c r="L283"/>
    </row>
    <row r="284" spans="12:12">
      <c r="L284" t="s">
        <v>2743</v>
      </c>
    </row>
    <row r="285" spans="12:12">
      <c r="L285" s="58"/>
    </row>
    <row r="286" spans="12:12">
      <c r="L286" s="58" t="s">
        <v>2744</v>
      </c>
    </row>
    <row r="287" spans="12:12">
      <c r="L287" s="58"/>
    </row>
    <row r="288" spans="12:12">
      <c r="L288" s="58" t="s">
        <v>2745</v>
      </c>
    </row>
    <row r="289" spans="12:12">
      <c r="L289" s="58"/>
    </row>
    <row r="290" spans="12:12">
      <c r="L290" s="58" t="s">
        <v>2746</v>
      </c>
    </row>
    <row r="291" spans="12:12">
      <c r="L291" s="58"/>
    </row>
    <row r="292" spans="12:12">
      <c r="L292" s="58" t="s">
        <v>2747</v>
      </c>
    </row>
    <row r="293" spans="12:12">
      <c r="L293" s="58"/>
    </row>
    <row r="294" spans="12:12">
      <c r="L294" s="58" t="s">
        <v>2748</v>
      </c>
    </row>
    <row r="295" spans="12:12">
      <c r="L295" s="58"/>
    </row>
    <row r="296" spans="12:12">
      <c r="L296" s="58" t="s">
        <v>2749</v>
      </c>
    </row>
    <row r="297" spans="12:12">
      <c r="L297" s="58"/>
    </row>
    <row r="298" spans="12:12">
      <c r="L298" s="58" t="s">
        <v>2750</v>
      </c>
    </row>
    <row r="299" spans="12:12">
      <c r="L299" s="58"/>
    </row>
    <row r="300" spans="12:12">
      <c r="L300" s="58" t="s">
        <v>2751</v>
      </c>
    </row>
    <row r="301" spans="12:12">
      <c r="L301" s="58"/>
    </row>
    <row r="302" spans="12:12">
      <c r="L302" s="58" t="s">
        <v>2752</v>
      </c>
    </row>
    <row r="303" spans="12:12">
      <c r="L303" s="58"/>
    </row>
    <row r="304" spans="12:12">
      <c r="L304" s="58" t="s">
        <v>2753</v>
      </c>
    </row>
    <row r="305" spans="12:12">
      <c r="L305" s="58"/>
    </row>
    <row r="306" spans="12:12">
      <c r="L306" s="58" t="s">
        <v>2754</v>
      </c>
    </row>
    <row r="307" spans="12:12">
      <c r="L307" s="58"/>
    </row>
    <row r="308" spans="12:12">
      <c r="L308" s="58" t="s">
        <v>2755</v>
      </c>
    </row>
    <row r="309" spans="12:12">
      <c r="L309"/>
    </row>
    <row r="310" spans="12:12">
      <c r="L310" t="s">
        <v>2756</v>
      </c>
    </row>
    <row r="311" spans="12:12">
      <c r="L311"/>
    </row>
    <row r="312" spans="12:12" ht="22.8">
      <c r="L312" s="56" t="s">
        <v>2757</v>
      </c>
    </row>
    <row r="313" spans="12:12">
      <c r="L313"/>
    </row>
    <row r="314" spans="12:12">
      <c r="L314" t="s">
        <v>2644</v>
      </c>
    </row>
    <row r="315" spans="12:12">
      <c r="L315" s="58"/>
    </row>
    <row r="316" spans="12:12">
      <c r="L316" s="58" t="s">
        <v>2758</v>
      </c>
    </row>
    <row r="317" spans="12:12">
      <c r="L317" s="58"/>
    </row>
    <row r="318" spans="12:12">
      <c r="L318" s="58" t="s">
        <v>2759</v>
      </c>
    </row>
    <row r="319" spans="12:12">
      <c r="L319" s="58"/>
    </row>
    <row r="320" spans="12:12">
      <c r="L320" s="58" t="s">
        <v>2760</v>
      </c>
    </row>
    <row r="321" spans="12:12">
      <c r="L321" s="58"/>
    </row>
    <row r="322" spans="12:12">
      <c r="L322" s="58" t="s">
        <v>2761</v>
      </c>
    </row>
    <row r="323" spans="12:12">
      <c r="L323" s="58"/>
    </row>
    <row r="324" spans="12:12">
      <c r="L324" s="58" t="s">
        <v>2762</v>
      </c>
    </row>
    <row r="325" spans="12:12">
      <c r="L325" s="58"/>
    </row>
    <row r="326" spans="12:12">
      <c r="L326" s="58" t="s">
        <v>2763</v>
      </c>
    </row>
    <row r="327" spans="12:12">
      <c r="L327" s="58"/>
    </row>
    <row r="328" spans="12:12">
      <c r="L328" s="58" t="s">
        <v>2764</v>
      </c>
    </row>
    <row r="329" spans="12:12">
      <c r="L329" s="58"/>
    </row>
    <row r="330" spans="12:12">
      <c r="L330" s="58" t="s">
        <v>2765</v>
      </c>
    </row>
    <row r="331" spans="12:12">
      <c r="L331" s="58"/>
    </row>
    <row r="332" spans="12:12">
      <c r="L332" s="58" t="s">
        <v>2766</v>
      </c>
    </row>
    <row r="333" spans="12:12">
      <c r="L333" s="58"/>
    </row>
    <row r="334" spans="12:12">
      <c r="L334" s="58" t="s">
        <v>2767</v>
      </c>
    </row>
    <row r="335" spans="12:12">
      <c r="L335" s="58"/>
    </row>
    <row r="336" spans="12:12">
      <c r="L336" s="58" t="s">
        <v>2768</v>
      </c>
    </row>
    <row r="337" spans="12:12">
      <c r="L337" s="58"/>
    </row>
    <row r="338" spans="12:12">
      <c r="L338" s="58" t="s">
        <v>2769</v>
      </c>
    </row>
    <row r="339" spans="12:12">
      <c r="L339" s="58"/>
    </row>
    <row r="340" spans="12:12">
      <c r="L340" s="58" t="s">
        <v>2770</v>
      </c>
    </row>
    <row r="341" spans="12:12">
      <c r="L341" s="58"/>
    </row>
    <row r="342" spans="12:12">
      <c r="L342" s="58" t="s">
        <v>2771</v>
      </c>
    </row>
    <row r="343" spans="12:12">
      <c r="L343" s="58"/>
    </row>
    <row r="344" spans="12:12">
      <c r="L344" s="58" t="s">
        <v>2772</v>
      </c>
    </row>
    <row r="345" spans="12:12">
      <c r="L345" s="58"/>
    </row>
    <row r="346" spans="12:12">
      <c r="L346" s="58" t="s">
        <v>2773</v>
      </c>
    </row>
    <row r="347" spans="12:12">
      <c r="L347"/>
    </row>
    <row r="348" spans="12:12" ht="22.8">
      <c r="L348" s="56" t="s">
        <v>2774</v>
      </c>
    </row>
    <row r="349" spans="12:12">
      <c r="L349"/>
    </row>
    <row r="350" spans="12:12">
      <c r="L350" t="s">
        <v>2775</v>
      </c>
    </row>
    <row r="351" spans="12:12">
      <c r="L351" s="58"/>
    </row>
    <row r="352" spans="12:12">
      <c r="L352" s="60" t="s">
        <v>2776</v>
      </c>
    </row>
    <row r="353" spans="12:12">
      <c r="L353" s="58"/>
    </row>
    <row r="354" spans="12:12">
      <c r="L354" s="58" t="s">
        <v>2777</v>
      </c>
    </row>
    <row r="355" spans="12:12">
      <c r="L355" s="58"/>
    </row>
    <row r="356" spans="12:12">
      <c r="L356" s="58" t="s">
        <v>2778</v>
      </c>
    </row>
    <row r="357" spans="12:12">
      <c r="L357" s="58"/>
    </row>
    <row r="358" spans="12:12">
      <c r="L358" s="58" t="s">
        <v>2779</v>
      </c>
    </row>
    <row r="359" spans="12:12">
      <c r="L359" s="58"/>
    </row>
    <row r="360" spans="12:12">
      <c r="L360" s="58" t="s">
        <v>2780</v>
      </c>
    </row>
    <row r="361" spans="12:12">
      <c r="L361" s="58"/>
    </row>
    <row r="362" spans="12:12">
      <c r="L362" s="58" t="s">
        <v>2781</v>
      </c>
    </row>
    <row r="363" spans="12:12">
      <c r="L363" s="58"/>
    </row>
    <row r="364" spans="12:12">
      <c r="L364" s="58" t="s">
        <v>2782</v>
      </c>
    </row>
    <row r="365" spans="12:12">
      <c r="L365" s="58"/>
    </row>
    <row r="366" spans="12:12">
      <c r="L366" s="58" t="s">
        <v>2783</v>
      </c>
    </row>
    <row r="367" spans="12:12">
      <c r="L367" s="58"/>
    </row>
    <row r="368" spans="12:12">
      <c r="L368" s="58" t="s">
        <v>2784</v>
      </c>
    </row>
    <row r="369" spans="12:12">
      <c r="L369"/>
    </row>
    <row r="370" spans="12:12">
      <c r="L370" t="s">
        <v>2785</v>
      </c>
    </row>
    <row r="371" spans="12:12">
      <c r="L371"/>
    </row>
    <row r="372" spans="12:12">
      <c r="L372" t="s">
        <v>2786</v>
      </c>
    </row>
    <row r="373" spans="12:12">
      <c r="L373"/>
    </row>
    <row r="374" spans="12:12">
      <c r="L374" t="s">
        <v>2787</v>
      </c>
    </row>
    <row r="375" spans="12:12">
      <c r="L375" s="58"/>
    </row>
    <row r="376" spans="12:12">
      <c r="L376" s="58" t="s">
        <v>2788</v>
      </c>
    </row>
    <row r="377" spans="12:12">
      <c r="L377" s="58"/>
    </row>
    <row r="378" spans="12:12">
      <c r="L378" s="58" t="s">
        <v>2789</v>
      </c>
    </row>
    <row r="379" spans="12:12">
      <c r="L379" s="58"/>
    </row>
    <row r="380" spans="12:12">
      <c r="L380" s="58" t="s">
        <v>2790</v>
      </c>
    </row>
    <row r="381" spans="12:12">
      <c r="L381" s="58"/>
    </row>
    <row r="382" spans="12:12">
      <c r="L382" s="58" t="s">
        <v>2791</v>
      </c>
    </row>
    <row r="383" spans="12:12">
      <c r="L383" s="58"/>
    </row>
    <row r="384" spans="12:12">
      <c r="L384" s="58" t="s">
        <v>2792</v>
      </c>
    </row>
    <row r="385" spans="12:12">
      <c r="L385" s="58"/>
    </row>
    <row r="386" spans="12:12">
      <c r="L386" s="58" t="s">
        <v>2793</v>
      </c>
    </row>
    <row r="387" spans="12:12">
      <c r="L387" s="58"/>
    </row>
    <row r="388" spans="12:12">
      <c r="L388" s="58" t="s">
        <v>2794</v>
      </c>
    </row>
    <row r="389" spans="12:12">
      <c r="L389"/>
    </row>
    <row r="390" spans="12:12">
      <c r="L390" t="s">
        <v>2795</v>
      </c>
    </row>
    <row r="391" spans="12:12">
      <c r="L391"/>
    </row>
    <row r="392" spans="12:12" ht="22.8">
      <c r="L392" s="56" t="s">
        <v>2796</v>
      </c>
    </row>
    <row r="393" spans="12:12">
      <c r="L393"/>
    </row>
    <row r="394" spans="12:12">
      <c r="L394" t="s">
        <v>2797</v>
      </c>
    </row>
    <row r="395" spans="12:12">
      <c r="L395"/>
    </row>
    <row r="396" spans="12:12">
      <c r="L396" s="57" t="s">
        <v>2798</v>
      </c>
    </row>
    <row r="397" spans="12:12">
      <c r="L397" s="57" t="s">
        <v>2799</v>
      </c>
    </row>
    <row r="398" spans="12:12">
      <c r="L398" s="57" t="s">
        <v>2800</v>
      </c>
    </row>
    <row r="399" spans="12:12">
      <c r="L399" s="57" t="s">
        <v>2801</v>
      </c>
    </row>
    <row r="400" spans="12:12">
      <c r="L400" s="57" t="s">
        <v>2802</v>
      </c>
    </row>
    <row r="401" spans="12:12">
      <c r="L401" s="57" t="s">
        <v>2803</v>
      </c>
    </row>
    <row r="402" spans="12:12">
      <c r="L402"/>
    </row>
    <row r="403" spans="12:12">
      <c r="L403" t="s">
        <v>2804</v>
      </c>
    </row>
    <row r="404" spans="12:12">
      <c r="L404" s="58"/>
    </row>
    <row r="405" spans="12:12">
      <c r="L405" s="58" t="s">
        <v>2805</v>
      </c>
    </row>
    <row r="406" spans="12:12">
      <c r="L406" s="58"/>
    </row>
    <row r="407" spans="12:12">
      <c r="L407" s="58" t="s">
        <v>2806</v>
      </c>
    </row>
    <row r="408" spans="12:12">
      <c r="L408" s="58"/>
    </row>
    <row r="409" spans="12:12">
      <c r="L409" s="58" t="s">
        <v>2807</v>
      </c>
    </row>
    <row r="410" spans="12:12">
      <c r="L410" s="58"/>
    </row>
    <row r="411" spans="12:12">
      <c r="L411" s="58" t="s">
        <v>2808</v>
      </c>
    </row>
    <row r="412" spans="12:12">
      <c r="L412"/>
    </row>
    <row r="413" spans="12:12">
      <c r="L413" t="s">
        <v>2809</v>
      </c>
    </row>
    <row r="414" spans="12:12">
      <c r="L414"/>
    </row>
    <row r="415" spans="12:12">
      <c r="L415" t="s">
        <v>2810</v>
      </c>
    </row>
    <row r="416" spans="12:12">
      <c r="L416"/>
    </row>
    <row r="417" spans="12:12">
      <c r="L417" s="57" t="s">
        <v>2811</v>
      </c>
    </row>
    <row r="418" spans="12:12">
      <c r="L418"/>
    </row>
    <row r="419" spans="12:12">
      <c r="L419" t="s">
        <v>2812</v>
      </c>
    </row>
    <row r="420" spans="12:12">
      <c r="L420"/>
    </row>
    <row r="421" spans="12:12">
      <c r="L421" t="s">
        <v>2813</v>
      </c>
    </row>
    <row r="422" spans="12:12">
      <c r="L422"/>
    </row>
    <row r="423" spans="12:12">
      <c r="L423" t="s">
        <v>2814</v>
      </c>
    </row>
    <row r="424" spans="12:12">
      <c r="L424" s="58"/>
    </row>
    <row r="425" spans="12:12">
      <c r="L425" s="58" t="s">
        <v>2815</v>
      </c>
    </row>
    <row r="426" spans="12:12">
      <c r="L426" s="58"/>
    </row>
    <row r="427" spans="12:12">
      <c r="L427" s="58" t="s">
        <v>2816</v>
      </c>
    </row>
    <row r="428" spans="12:12">
      <c r="L428" s="58"/>
    </row>
    <row r="429" spans="12:12">
      <c r="L429" s="58" t="s">
        <v>2817</v>
      </c>
    </row>
    <row r="430" spans="12:12">
      <c r="L430" s="58"/>
    </row>
    <row r="431" spans="12:12">
      <c r="L431" s="58" t="s">
        <v>2818</v>
      </c>
    </row>
    <row r="432" spans="12:12">
      <c r="L432" s="58"/>
    </row>
    <row r="433" spans="12:12">
      <c r="L433" s="58" t="s">
        <v>2819</v>
      </c>
    </row>
    <row r="434" spans="12:12">
      <c r="L434" s="58"/>
    </row>
    <row r="435" spans="12:12">
      <c r="L435" s="58" t="s">
        <v>2820</v>
      </c>
    </row>
    <row r="436" spans="12:12">
      <c r="L436" s="58"/>
    </row>
    <row r="437" spans="12:12">
      <c r="L437" s="58" t="s">
        <v>2821</v>
      </c>
    </row>
    <row r="438" spans="12:12">
      <c r="L438" s="58"/>
    </row>
    <row r="439" spans="12:12">
      <c r="L439" s="58" t="s">
        <v>2822</v>
      </c>
    </row>
    <row r="440" spans="12:12">
      <c r="L440"/>
    </row>
    <row r="441" spans="12:12">
      <c r="L441" t="s">
        <v>2823</v>
      </c>
    </row>
    <row r="442" spans="12:12">
      <c r="L442"/>
    </row>
    <row r="443" spans="12:12">
      <c r="L443" t="s">
        <v>2824</v>
      </c>
    </row>
    <row r="444" spans="12:12">
      <c r="L444"/>
    </row>
    <row r="445" spans="12:12">
      <c r="L445" s="57" t="s">
        <v>2825</v>
      </c>
    </row>
    <row r="446" spans="12:12">
      <c r="L446" s="57" t="s">
        <v>2826</v>
      </c>
    </row>
    <row r="447" spans="12:12">
      <c r="L447" s="57" t="s">
        <v>2827</v>
      </c>
    </row>
    <row r="448" spans="12:12">
      <c r="L448" s="57" t="s">
        <v>2828</v>
      </c>
    </row>
    <row r="449" spans="12:12">
      <c r="L449" s="57" t="s">
        <v>2829</v>
      </c>
    </row>
    <row r="450" spans="12:12">
      <c r="L450" s="57" t="s">
        <v>2830</v>
      </c>
    </row>
    <row r="451" spans="12:12">
      <c r="L451" s="57" t="s">
        <v>2831</v>
      </c>
    </row>
    <row r="452" spans="12:12">
      <c r="L452" s="57" t="s">
        <v>2832</v>
      </c>
    </row>
    <row r="453" spans="12:12">
      <c r="L453"/>
    </row>
    <row r="454" spans="12:12">
      <c r="L454" t="s">
        <v>2833</v>
      </c>
    </row>
    <row r="455" spans="12:12">
      <c r="L455"/>
    </row>
    <row r="456" spans="12:12" ht="22.8">
      <c r="L456" s="56" t="s">
        <v>2834</v>
      </c>
    </row>
    <row r="457" spans="12:12">
      <c r="L457"/>
    </row>
    <row r="458" spans="12:12">
      <c r="L458" t="s">
        <v>2835</v>
      </c>
    </row>
    <row r="459" spans="12:12">
      <c r="L459"/>
    </row>
    <row r="460" spans="12:12">
      <c r="L460" s="57" t="s">
        <v>2836</v>
      </c>
    </row>
    <row r="461" spans="12:12">
      <c r="L461" s="57" t="s">
        <v>2837</v>
      </c>
    </row>
    <row r="462" spans="12:12">
      <c r="L462"/>
    </row>
    <row r="463" spans="12:12">
      <c r="L463" t="s">
        <v>2838</v>
      </c>
    </row>
    <row r="464" spans="12:12">
      <c r="L464"/>
    </row>
    <row r="465" spans="12:12" ht="22.8">
      <c r="L465" s="56" t="s">
        <v>2839</v>
      </c>
    </row>
    <row r="466" spans="12:12">
      <c r="L466"/>
    </row>
    <row r="467" spans="12:12">
      <c r="L467" t="s">
        <v>2840</v>
      </c>
    </row>
    <row r="468" spans="12:12">
      <c r="L468" s="58"/>
    </row>
    <row r="469" spans="12:12">
      <c r="L469" s="58" t="s">
        <v>2841</v>
      </c>
    </row>
    <row r="470" spans="12:12">
      <c r="L470" s="58"/>
    </row>
    <row r="471" spans="12:12">
      <c r="L471" s="58" t="s">
        <v>2842</v>
      </c>
    </row>
    <row r="472" spans="12:12">
      <c r="L472" s="58"/>
    </row>
    <row r="473" spans="12:12">
      <c r="L473" s="58" t="s">
        <v>2843</v>
      </c>
    </row>
    <row r="474" spans="12:12">
      <c r="L474" s="58"/>
    </row>
    <row r="475" spans="12:12">
      <c r="L475" s="58" t="s">
        <v>2844</v>
      </c>
    </row>
    <row r="476" spans="12:12">
      <c r="L476" s="58"/>
    </row>
    <row r="477" spans="12:12">
      <c r="L477" s="58" t="s">
        <v>2845</v>
      </c>
    </row>
    <row r="478" spans="12:12">
      <c r="L478" s="58"/>
    </row>
    <row r="479" spans="12:12">
      <c r="L479" s="58" t="s">
        <v>2846</v>
      </c>
    </row>
    <row r="480" spans="12:12">
      <c r="L480" s="58"/>
    </row>
    <row r="481" spans="12:12">
      <c r="L481" s="58" t="s">
        <v>2847</v>
      </c>
    </row>
    <row r="482" spans="12:12">
      <c r="L482" s="58"/>
    </row>
    <row r="483" spans="12:12">
      <c r="L483" s="58" t="s">
        <v>2848</v>
      </c>
    </row>
    <row r="484" spans="12:12">
      <c r="L484" s="58"/>
    </row>
    <row r="485" spans="12:12">
      <c r="L485" s="58" t="s">
        <v>2849</v>
      </c>
    </row>
    <row r="486" spans="12:12">
      <c r="L486" s="58"/>
    </row>
    <row r="487" spans="12:12">
      <c r="L487" s="58" t="s">
        <v>2850</v>
      </c>
    </row>
    <row r="488" spans="12:12">
      <c r="L488" s="58"/>
    </row>
    <row r="489" spans="12:12">
      <c r="L489" s="58" t="s">
        <v>2851</v>
      </c>
    </row>
    <row r="490" spans="12:12">
      <c r="L490" s="58"/>
    </row>
    <row r="491" spans="12:12">
      <c r="L491" s="58" t="s">
        <v>2852</v>
      </c>
    </row>
    <row r="492" spans="12:12">
      <c r="L492"/>
    </row>
    <row r="493" spans="12:12" ht="22.8">
      <c r="L493" s="56" t="s">
        <v>2853</v>
      </c>
    </row>
    <row r="494" spans="12:12">
      <c r="L494"/>
    </row>
    <row r="495" spans="12:12">
      <c r="L495" t="s">
        <v>2854</v>
      </c>
    </row>
    <row r="496" spans="12:12">
      <c r="L496"/>
    </row>
    <row r="497" spans="12:12">
      <c r="L497" t="s">
        <v>2855</v>
      </c>
    </row>
    <row r="498" spans="12:12">
      <c r="L498"/>
    </row>
    <row r="499" spans="12:12">
      <c r="L499" s="57" t="s">
        <v>272</v>
      </c>
    </row>
    <row r="500" spans="12:12">
      <c r="L500" s="57" t="s">
        <v>249</v>
      </c>
    </row>
    <row r="501" spans="12:12">
      <c r="L501" s="57" t="s">
        <v>261</v>
      </c>
    </row>
    <row r="502" spans="12:12">
      <c r="L502" s="57" t="s">
        <v>281</v>
      </c>
    </row>
    <row r="503" spans="12:12">
      <c r="L503" s="57" t="s">
        <v>330</v>
      </c>
    </row>
    <row r="504" spans="12:12">
      <c r="L504" s="57" t="s">
        <v>292</v>
      </c>
    </row>
    <row r="505" spans="12:12">
      <c r="L505" s="57" t="s">
        <v>305</v>
      </c>
    </row>
    <row r="506" spans="12:12">
      <c r="L506" s="57" t="s">
        <v>318</v>
      </c>
    </row>
    <row r="507" spans="12:12">
      <c r="L507" s="57" t="s">
        <v>341</v>
      </c>
    </row>
    <row r="508" spans="12:12">
      <c r="L508" s="57" t="s">
        <v>354</v>
      </c>
    </row>
    <row r="509" spans="12:12">
      <c r="L509" s="57" t="s">
        <v>393</v>
      </c>
    </row>
    <row r="510" spans="12:12">
      <c r="L510" s="57" t="s">
        <v>406</v>
      </c>
    </row>
    <row r="511" spans="12:12">
      <c r="L511" s="57" t="s">
        <v>418</v>
      </c>
    </row>
    <row r="512" spans="12:12">
      <c r="L512" s="57" t="s">
        <v>429</v>
      </c>
    </row>
    <row r="513" spans="12:12">
      <c r="L513"/>
    </row>
    <row r="514" spans="12:12">
      <c r="L514" t="s">
        <v>2856</v>
      </c>
    </row>
    <row r="515" spans="12:12">
      <c r="L515"/>
    </row>
    <row r="516" spans="12:12">
      <c r="L516" s="57" t="s">
        <v>1653</v>
      </c>
    </row>
    <row r="517" spans="12:12">
      <c r="L517" s="57" t="s">
        <v>2625</v>
      </c>
    </row>
    <row r="518" spans="12:12">
      <c r="L518" s="57" t="s">
        <v>2628</v>
      </c>
    </row>
    <row r="519" spans="12:12">
      <c r="L519" s="57" t="s">
        <v>2598</v>
      </c>
    </row>
    <row r="520" spans="12:12">
      <c r="L520" s="57" t="s">
        <v>2599</v>
      </c>
    </row>
    <row r="521" spans="12:12">
      <c r="L521" s="57" t="s">
        <v>2600</v>
      </c>
    </row>
    <row r="522" spans="12:12">
      <c r="L522" s="57" t="s">
        <v>2601</v>
      </c>
    </row>
    <row r="523" spans="12:12">
      <c r="L523" s="57" t="s">
        <v>2602</v>
      </c>
    </row>
    <row r="524" spans="12:12">
      <c r="L524" s="57" t="s">
        <v>2603</v>
      </c>
    </row>
    <row r="525" spans="12:12">
      <c r="L525" s="57" t="s">
        <v>2604</v>
      </c>
    </row>
    <row r="526" spans="12:12">
      <c r="L526" s="57" t="s">
        <v>2605</v>
      </c>
    </row>
    <row r="527" spans="12:12">
      <c r="L527" s="57" t="s">
        <v>2606</v>
      </c>
    </row>
    <row r="528" spans="12:12">
      <c r="L528" s="57" t="s">
        <v>2607</v>
      </c>
    </row>
    <row r="529" spans="12:12">
      <c r="L529" s="57" t="s">
        <v>2608</v>
      </c>
    </row>
    <row r="530" spans="12:12">
      <c r="L530" s="57" t="s">
        <v>2609</v>
      </c>
    </row>
    <row r="531" spans="12:12">
      <c r="L531" s="57" t="s">
        <v>2610</v>
      </c>
    </row>
    <row r="532" spans="12:12">
      <c r="L532" s="57" t="s">
        <v>2611</v>
      </c>
    </row>
    <row r="533" spans="12:12">
      <c r="L533" s="57" t="s">
        <v>2631</v>
      </c>
    </row>
    <row r="534" spans="12:12">
      <c r="L534" s="57" t="s">
        <v>2612</v>
      </c>
    </row>
    <row r="535" spans="12:12">
      <c r="L535" s="57" t="s">
        <v>2613</v>
      </c>
    </row>
    <row r="536" spans="12:12">
      <c r="L536" s="57" t="s">
        <v>2614</v>
      </c>
    </row>
    <row r="537" spans="12:12">
      <c r="L537" s="57" t="s">
        <v>2615</v>
      </c>
    </row>
    <row r="538" spans="12:12">
      <c r="L538" s="57" t="s">
        <v>2616</v>
      </c>
    </row>
    <row r="539" spans="12:12">
      <c r="L539" s="57" t="s">
        <v>2617</v>
      </c>
    </row>
    <row r="540" spans="12:12">
      <c r="L540" s="57" t="s">
        <v>2618</v>
      </c>
    </row>
    <row r="541" spans="12:12">
      <c r="L541" s="57" t="s">
        <v>2619</v>
      </c>
    </row>
    <row r="542" spans="12:12">
      <c r="L542" s="57" t="s">
        <v>2620</v>
      </c>
    </row>
    <row r="543" spans="12:12">
      <c r="L543" s="57" t="s">
        <v>2636</v>
      </c>
    </row>
    <row r="544" spans="12:12">
      <c r="L544" s="57" t="s">
        <v>2621</v>
      </c>
    </row>
    <row r="545" spans="12:12">
      <c r="L545" s="57" t="s">
        <v>2622</v>
      </c>
    </row>
    <row r="546" spans="12:12">
      <c r="L546" s="57" t="s">
        <v>2623</v>
      </c>
    </row>
    <row r="547" spans="12:12">
      <c r="L547"/>
    </row>
    <row r="548" spans="12:12">
      <c r="L548" s="59" t="s">
        <v>2857</v>
      </c>
    </row>
    <row r="549" spans="12:12">
      <c r="L549"/>
    </row>
    <row r="550" spans="12:12">
      <c r="L550" t="s">
        <v>2858</v>
      </c>
    </row>
    <row r="551" spans="12:12">
      <c r="L551"/>
    </row>
    <row r="552" spans="12:12" ht="22.8">
      <c r="L552" s="56" t="s">
        <v>2859</v>
      </c>
    </row>
    <row r="553" spans="12:12">
      <c r="L553"/>
    </row>
    <row r="554" spans="12:12">
      <c r="L554" t="s">
        <v>2860</v>
      </c>
    </row>
    <row r="555" spans="12:12">
      <c r="L555" s="58"/>
    </row>
    <row r="556" spans="12:12">
      <c r="L556" s="58" t="s">
        <v>2861</v>
      </c>
    </row>
    <row r="557" spans="12:12">
      <c r="L557" s="58"/>
    </row>
    <row r="558" spans="12:12">
      <c r="L558" s="58" t="s">
        <v>2862</v>
      </c>
    </row>
    <row r="559" spans="12:12">
      <c r="L559" s="58"/>
    </row>
    <row r="560" spans="12:12">
      <c r="L560" s="58" t="s">
        <v>2863</v>
      </c>
    </row>
    <row r="561" spans="12:12">
      <c r="L561" s="58"/>
    </row>
    <row r="562" spans="12:12">
      <c r="L562" s="58" t="s">
        <v>2864</v>
      </c>
    </row>
    <row r="563" spans="12:12">
      <c r="L563" s="58"/>
    </row>
    <row r="564" spans="12:12">
      <c r="L564" s="58" t="s">
        <v>2865</v>
      </c>
    </row>
    <row r="565" spans="12:12">
      <c r="L565" s="58"/>
    </row>
    <row r="566" spans="12:12">
      <c r="L566" s="58" t="s">
        <v>2866</v>
      </c>
    </row>
    <row r="567" spans="12:12">
      <c r="L567" s="58"/>
    </row>
    <row r="568" spans="12:12">
      <c r="L568" s="58" t="s">
        <v>2867</v>
      </c>
    </row>
    <row r="569" spans="12:12">
      <c r="L569" s="58"/>
    </row>
    <row r="570" spans="12:12">
      <c r="L570" s="58" t="s">
        <v>2868</v>
      </c>
    </row>
    <row r="571" spans="12:12">
      <c r="L571" s="58"/>
    </row>
    <row r="572" spans="12:12">
      <c r="L572" s="58" t="s">
        <v>2869</v>
      </c>
    </row>
    <row r="573" spans="12:12">
      <c r="L573" s="58"/>
    </row>
    <row r="574" spans="12:12">
      <c r="L574" s="58" t="s">
        <v>2870</v>
      </c>
    </row>
    <row r="575" spans="12:12">
      <c r="L575" s="58"/>
    </row>
    <row r="576" spans="12:12">
      <c r="L576" s="58" t="s">
        <v>2871</v>
      </c>
    </row>
    <row r="577" spans="12:12">
      <c r="L577" s="58"/>
    </row>
    <row r="578" spans="12:12">
      <c r="L578" s="58" t="s">
        <v>2872</v>
      </c>
    </row>
    <row r="579" spans="12:12">
      <c r="L579" s="58"/>
    </row>
    <row r="580" spans="12:12">
      <c r="L580" s="58" t="s">
        <v>2873</v>
      </c>
    </row>
    <row r="581" spans="12:12">
      <c r="L581" s="58"/>
    </row>
    <row r="582" spans="12:12">
      <c r="L582" s="58" t="s">
        <v>2874</v>
      </c>
    </row>
    <row r="583" spans="12:12">
      <c r="L583" s="58"/>
    </row>
    <row r="584" spans="12:12">
      <c r="L584" s="58" t="s">
        <v>2875</v>
      </c>
    </row>
    <row r="585" spans="12:12">
      <c r="L585" s="58"/>
    </row>
    <row r="586" spans="12:12">
      <c r="L586" s="58" t="s">
        <v>2876</v>
      </c>
    </row>
    <row r="587" spans="12:12">
      <c r="L587" s="58"/>
    </row>
    <row r="588" spans="12:12">
      <c r="L588" s="58" t="s">
        <v>2877</v>
      </c>
    </row>
    <row r="589" spans="12:12">
      <c r="L589" s="58"/>
    </row>
    <row r="590" spans="12:12">
      <c r="L590" s="58" t="s">
        <v>2878</v>
      </c>
    </row>
    <row r="591" spans="12:12">
      <c r="L591" s="58"/>
    </row>
    <row r="592" spans="12:12">
      <c r="L592" s="58" t="s">
        <v>2879</v>
      </c>
    </row>
    <row r="593" spans="12:12">
      <c r="L593" s="58"/>
    </row>
    <row r="594" spans="12:12">
      <c r="L594" s="58" t="s">
        <v>2880</v>
      </c>
    </row>
    <row r="595" spans="12:12">
      <c r="L595" s="58"/>
    </row>
    <row r="596" spans="12:12">
      <c r="L596" s="58" t="s">
        <v>2881</v>
      </c>
    </row>
    <row r="597" spans="12:12">
      <c r="L597" s="58"/>
    </row>
    <row r="598" spans="12:12">
      <c r="L598" s="58" t="s">
        <v>2882</v>
      </c>
    </row>
    <row r="599" spans="12:12">
      <c r="L599" s="58"/>
    </row>
    <row r="600" spans="12:12">
      <c r="L600" s="58" t="s">
        <v>2883</v>
      </c>
    </row>
    <row r="601" spans="12:12">
      <c r="L601" s="58"/>
    </row>
    <row r="602" spans="12:12">
      <c r="L602" s="58" t="s">
        <v>2884</v>
      </c>
    </row>
    <row r="603" spans="12:12">
      <c r="L603" s="58"/>
    </row>
    <row r="604" spans="12:12">
      <c r="L604" s="58" t="s">
        <v>2885</v>
      </c>
    </row>
    <row r="605" spans="12:12">
      <c r="L605" s="58"/>
    </row>
    <row r="606" spans="12:12">
      <c r="L606" s="58" t="s">
        <v>2886</v>
      </c>
    </row>
    <row r="607" spans="12:12">
      <c r="L607" s="58"/>
    </row>
    <row r="608" spans="12:12">
      <c r="L608" s="58" t="s">
        <v>2887</v>
      </c>
    </row>
    <row r="609" spans="12:12">
      <c r="L609" s="58"/>
    </row>
    <row r="610" spans="12:12">
      <c r="L610" s="58" t="s">
        <v>2888</v>
      </c>
    </row>
    <row r="611" spans="12:12">
      <c r="L611" s="58"/>
    </row>
    <row r="612" spans="12:12">
      <c r="L612" s="58" t="s">
        <v>2889</v>
      </c>
    </row>
    <row r="613" spans="12:12">
      <c r="L613" s="58"/>
    </row>
    <row r="614" spans="12:12">
      <c r="L614" s="58" t="s">
        <v>2890</v>
      </c>
    </row>
    <row r="615" spans="12:12">
      <c r="L615" s="58"/>
    </row>
    <row r="616" spans="12:12">
      <c r="L616" s="58" t="s">
        <v>2891</v>
      </c>
    </row>
    <row r="617" spans="12:12">
      <c r="L617" s="58"/>
    </row>
    <row r="618" spans="12:12">
      <c r="L618" s="58" t="s">
        <v>2892</v>
      </c>
    </row>
    <row r="619" spans="12:12">
      <c r="L619" s="58"/>
    </row>
    <row r="620" spans="12:12">
      <c r="L620" s="58" t="s">
        <v>2893</v>
      </c>
    </row>
    <row r="621" spans="12:12">
      <c r="L621" s="58"/>
    </row>
    <row r="622" spans="12:12">
      <c r="L622" s="58" t="s">
        <v>2894</v>
      </c>
    </row>
    <row r="623" spans="12:12">
      <c r="L623" s="58"/>
    </row>
    <row r="624" spans="12:12">
      <c r="L624" s="58" t="s">
        <v>2895</v>
      </c>
    </row>
    <row r="625" spans="12:12">
      <c r="L625" s="58"/>
    </row>
    <row r="626" spans="12:12">
      <c r="L626" s="58" t="s">
        <v>2896</v>
      </c>
    </row>
    <row r="627" spans="12:12">
      <c r="L627" s="58"/>
    </row>
    <row r="628" spans="12:12">
      <c r="L628" s="58" t="s">
        <v>2897</v>
      </c>
    </row>
    <row r="629" spans="12:12">
      <c r="L629" s="58"/>
    </row>
    <row r="630" spans="12:12">
      <c r="L630" s="58" t="s">
        <v>2898</v>
      </c>
    </row>
    <row r="631" spans="12:12">
      <c r="L631"/>
    </row>
    <row r="632" spans="12:12">
      <c r="L632" t="s">
        <v>2899</v>
      </c>
    </row>
    <row r="633" spans="12:12">
      <c r="L633"/>
    </row>
    <row r="634" spans="12:12">
      <c r="L634" s="57" t="s">
        <v>2900</v>
      </c>
    </row>
    <row r="635" spans="12:12">
      <c r="L635" s="57" t="s">
        <v>2901</v>
      </c>
    </row>
    <row r="636" spans="12:12">
      <c r="L636" s="57" t="s">
        <v>2902</v>
      </c>
    </row>
    <row r="637" spans="12:12">
      <c r="L637"/>
    </row>
    <row r="638" spans="12:12">
      <c r="L638" t="s">
        <v>2903</v>
      </c>
    </row>
    <row r="639" spans="12:12">
      <c r="L639"/>
    </row>
    <row r="640" spans="12:12" ht="22.8">
      <c r="L640" s="56" t="s">
        <v>2904</v>
      </c>
    </row>
    <row r="641" spans="12:12">
      <c r="L641"/>
    </row>
    <row r="642" spans="12:12">
      <c r="L642" t="s">
        <v>2905</v>
      </c>
    </row>
    <row r="643" spans="12:12">
      <c r="L643" s="58"/>
    </row>
    <row r="644" spans="12:12">
      <c r="L644" s="58" t="s">
        <v>2906</v>
      </c>
    </row>
    <row r="645" spans="12:12">
      <c r="L645" s="58"/>
    </row>
    <row r="646" spans="12:12">
      <c r="L646" s="58" t="s">
        <v>2907</v>
      </c>
    </row>
    <row r="647" spans="12:12">
      <c r="L647" s="58"/>
    </row>
    <row r="648" spans="12:12">
      <c r="L648" s="58" t="s">
        <v>2908</v>
      </c>
    </row>
    <row r="649" spans="12:12">
      <c r="L649" s="58"/>
    </row>
    <row r="650" spans="12:12">
      <c r="L650" s="58" t="s">
        <v>2909</v>
      </c>
    </row>
    <row r="651" spans="12:12">
      <c r="L651" s="58"/>
    </row>
    <row r="652" spans="12:12">
      <c r="L652" s="58" t="s">
        <v>2910</v>
      </c>
    </row>
    <row r="653" spans="12:12">
      <c r="L653" s="58"/>
    </row>
    <row r="654" spans="12:12">
      <c r="L654" s="58" t="s">
        <v>2911</v>
      </c>
    </row>
    <row r="655" spans="12:12">
      <c r="L655" s="58"/>
    </row>
    <row r="656" spans="12:12">
      <c r="L656" s="58" t="s">
        <v>2912</v>
      </c>
    </row>
    <row r="657" spans="12:12">
      <c r="L657" s="58"/>
    </row>
    <row r="658" spans="12:12">
      <c r="L658" s="58" t="s">
        <v>2913</v>
      </c>
    </row>
    <row r="659" spans="12:12">
      <c r="L659" s="58"/>
    </row>
    <row r="660" spans="12:12">
      <c r="L660" s="58" t="s">
        <v>2914</v>
      </c>
    </row>
    <row r="661" spans="12:12">
      <c r="L661" s="58"/>
    </row>
    <row r="662" spans="12:12">
      <c r="L662" s="58" t="s">
        <v>2915</v>
      </c>
    </row>
    <row r="663" spans="12:12">
      <c r="L663" s="58"/>
    </row>
    <row r="664" spans="12:12">
      <c r="L664" s="58" t="s">
        <v>2916</v>
      </c>
    </row>
    <row r="665" spans="12:12">
      <c r="L665"/>
    </row>
    <row r="666" spans="12:12">
      <c r="L666" t="s">
        <v>2917</v>
      </c>
    </row>
    <row r="667" spans="12:12">
      <c r="L667" s="58"/>
    </row>
    <row r="668" spans="12:12">
      <c r="L668" s="58" t="s">
        <v>2918</v>
      </c>
    </row>
    <row r="669" spans="12:12">
      <c r="L669" s="58"/>
    </row>
    <row r="670" spans="12:12">
      <c r="L670" s="58" t="s">
        <v>2919</v>
      </c>
    </row>
    <row r="671" spans="12:12">
      <c r="L671" s="58"/>
    </row>
    <row r="672" spans="12:12">
      <c r="L672" s="58" t="s">
        <v>2920</v>
      </c>
    </row>
    <row r="673" spans="12:12">
      <c r="L673" s="58"/>
    </row>
    <row r="674" spans="12:12">
      <c r="L674" s="58" t="s">
        <v>2921</v>
      </c>
    </row>
    <row r="675" spans="12:12">
      <c r="L675" s="58"/>
    </row>
    <row r="676" spans="12:12">
      <c r="L676" s="58" t="s">
        <v>2922</v>
      </c>
    </row>
    <row r="677" spans="12:12">
      <c r="L677" s="58"/>
    </row>
    <row r="678" spans="12:12">
      <c r="L678" s="58" t="s">
        <v>2923</v>
      </c>
    </row>
    <row r="679" spans="12:12">
      <c r="L679" s="58"/>
    </row>
    <row r="680" spans="12:12">
      <c r="L680" s="58" t="s">
        <v>2924</v>
      </c>
    </row>
    <row r="681" spans="12:12">
      <c r="L681" s="58"/>
    </row>
    <row r="682" spans="12:12">
      <c r="L682" s="58" t="s">
        <v>2925</v>
      </c>
    </row>
    <row r="683" spans="12:12">
      <c r="L683"/>
    </row>
    <row r="684" spans="12:12">
      <c r="L684" t="s">
        <v>2926</v>
      </c>
    </row>
    <row r="685" spans="12:12">
      <c r="L685"/>
    </row>
    <row r="686" spans="12:12" ht="22.8">
      <c r="L686" s="56" t="s">
        <v>2927</v>
      </c>
    </row>
    <row r="687" spans="12:12">
      <c r="L687"/>
    </row>
    <row r="688" spans="12:12">
      <c r="L688" t="s">
        <v>2928</v>
      </c>
    </row>
    <row r="689" spans="12:12">
      <c r="L689" s="58"/>
    </row>
    <row r="690" spans="12:12">
      <c r="L690" s="58" t="s">
        <v>2929</v>
      </c>
    </row>
    <row r="691" spans="12:12">
      <c r="L691" s="58"/>
    </row>
    <row r="692" spans="12:12">
      <c r="L692" s="58" t="s">
        <v>2930</v>
      </c>
    </row>
    <row r="693" spans="12:12">
      <c r="L693" s="58"/>
    </row>
    <row r="694" spans="12:12">
      <c r="L694" s="58" t="s">
        <v>2931</v>
      </c>
    </row>
    <row r="695" spans="12:12">
      <c r="L695" s="58"/>
    </row>
    <row r="696" spans="12:12">
      <c r="L696" s="58" t="s">
        <v>2932</v>
      </c>
    </row>
    <row r="697" spans="12:12">
      <c r="L697" s="58"/>
    </row>
    <row r="698" spans="12:12">
      <c r="L698" s="58" t="s">
        <v>2933</v>
      </c>
    </row>
    <row r="699" spans="12:12">
      <c r="L699" s="58"/>
    </row>
    <row r="700" spans="12:12">
      <c r="L700" s="58" t="s">
        <v>2934</v>
      </c>
    </row>
    <row r="701" spans="12:12">
      <c r="L701" s="58"/>
    </row>
    <row r="702" spans="12:12">
      <c r="L702" s="58" t="s">
        <v>2935</v>
      </c>
    </row>
    <row r="703" spans="12:12">
      <c r="L703" s="58"/>
    </row>
    <row r="704" spans="12:12">
      <c r="L704" s="58"/>
    </row>
    <row r="705" spans="12:12">
      <c r="L705" s="62"/>
    </row>
    <row r="706" spans="12:12">
      <c r="L706" s="62" t="s">
        <v>2936</v>
      </c>
    </row>
    <row r="707" spans="12:12">
      <c r="L707" s="62"/>
    </row>
    <row r="708" spans="12:12">
      <c r="L708" s="62" t="s">
        <v>2937</v>
      </c>
    </row>
    <row r="709" spans="12:12">
      <c r="L709" s="62"/>
    </row>
    <row r="710" spans="12:12">
      <c r="L710" s="62" t="s">
        <v>2938</v>
      </c>
    </row>
    <row r="711" spans="12:12">
      <c r="L711" s="62"/>
    </row>
    <row r="712" spans="12:12">
      <c r="L712" s="62" t="s">
        <v>2939</v>
      </c>
    </row>
    <row r="713" spans="12:12">
      <c r="L713" s="62"/>
    </row>
    <row r="714" spans="12:12">
      <c r="L714" s="62" t="s">
        <v>2940</v>
      </c>
    </row>
    <row r="715" spans="12:12">
      <c r="L715" s="62"/>
    </row>
    <row r="716" spans="12:12">
      <c r="L716" s="62" t="s">
        <v>2941</v>
      </c>
    </row>
    <row r="717" spans="12:12">
      <c r="L717" s="62"/>
    </row>
    <row r="718" spans="12:12">
      <c r="L718" s="62" t="s">
        <v>2942</v>
      </c>
    </row>
    <row r="719" spans="12:12">
      <c r="L719" s="62"/>
    </row>
    <row r="720" spans="12:12">
      <c r="L720" s="62" t="s">
        <v>2943</v>
      </c>
    </row>
    <row r="721" spans="12:12">
      <c r="L721" s="62"/>
    </row>
    <row r="722" spans="12:12">
      <c r="L722" s="62" t="s">
        <v>2944</v>
      </c>
    </row>
    <row r="723" spans="12:12">
      <c r="L723" s="58"/>
    </row>
    <row r="724" spans="12:12">
      <c r="L724" s="58" t="s">
        <v>2945</v>
      </c>
    </row>
    <row r="725" spans="12:12">
      <c r="L725" s="58"/>
    </row>
    <row r="726" spans="12:12">
      <c r="L726" s="58"/>
    </row>
    <row r="727" spans="12:12">
      <c r="L727" s="62"/>
    </row>
    <row r="728" spans="12:12">
      <c r="L728" s="62" t="s">
        <v>2946</v>
      </c>
    </row>
    <row r="729" spans="12:12">
      <c r="L729" s="62"/>
    </row>
    <row r="730" spans="12:12">
      <c r="L730" s="62" t="s">
        <v>2947</v>
      </c>
    </row>
    <row r="731" spans="12:12">
      <c r="L731" s="62"/>
    </row>
    <row r="732" spans="12:12">
      <c r="L732" s="62" t="s">
        <v>2948</v>
      </c>
    </row>
    <row r="733" spans="12:12">
      <c r="L733" s="62"/>
    </row>
    <row r="734" spans="12:12">
      <c r="L734" s="62" t="s">
        <v>2949</v>
      </c>
    </row>
    <row r="735" spans="12:12">
      <c r="L735" s="62"/>
    </row>
    <row r="736" spans="12:12">
      <c r="L736" s="62" t="s">
        <v>2950</v>
      </c>
    </row>
    <row r="737" spans="12:12">
      <c r="L737" s="62"/>
    </row>
    <row r="738" spans="12:12">
      <c r="L738" s="62" t="s">
        <v>2951</v>
      </c>
    </row>
    <row r="739" spans="12:12">
      <c r="L739" s="62"/>
    </row>
    <row r="740" spans="12:12">
      <c r="L740" s="62" t="s">
        <v>2952</v>
      </c>
    </row>
    <row r="741" spans="12:12">
      <c r="L741"/>
    </row>
    <row r="742" spans="12:12">
      <c r="L742" t="s">
        <v>2953</v>
      </c>
    </row>
    <row r="743" spans="12:12">
      <c r="L743"/>
    </row>
    <row r="744" spans="12:12">
      <c r="L744" t="s">
        <v>2954</v>
      </c>
    </row>
    <row r="745" spans="12:12">
      <c r="L745" s="58"/>
    </row>
    <row r="746" spans="12:12">
      <c r="L746" s="58" t="s">
        <v>2955</v>
      </c>
    </row>
    <row r="747" spans="12:12">
      <c r="L747" s="58"/>
    </row>
    <row r="748" spans="12:12">
      <c r="L748" s="58" t="s">
        <v>2956</v>
      </c>
    </row>
    <row r="749" spans="12:12">
      <c r="L749" s="58"/>
    </row>
    <row r="750" spans="12:12">
      <c r="L750" s="58" t="s">
        <v>2957</v>
      </c>
    </row>
    <row r="751" spans="12:12">
      <c r="L751" s="58"/>
    </row>
    <row r="752" spans="12:12">
      <c r="L752" s="58" t="s">
        <v>2958</v>
      </c>
    </row>
    <row r="753" spans="12:12">
      <c r="L753" s="58"/>
    </row>
    <row r="754" spans="12:12">
      <c r="L754" s="58" t="s">
        <v>2959</v>
      </c>
    </row>
    <row r="755" spans="12:12">
      <c r="L755"/>
    </row>
    <row r="756" spans="12:12">
      <c r="L756" t="s">
        <v>2582</v>
      </c>
    </row>
    <row r="757" spans="12:12">
      <c r="L757"/>
    </row>
    <row r="758" spans="12:12">
      <c r="L758" s="57" t="s">
        <v>2960</v>
      </c>
    </row>
  </sheetData>
  <mergeCells count="2">
    <mergeCell ref="A1:J1"/>
    <mergeCell ref="A2:J2"/>
  </mergeCells>
  <conditionalFormatting sqref="J6:J758">
    <cfRule type="containsText" dxfId="19" priority="1" operator="containsText" text="Approved"/>
    <cfRule type="containsText" dxfId="18" priority="2" operator="containsText" text="Blocked"/>
    <cfRule type="containsText" dxfId="17" priority="3" operator="containsText" text="In Progress"/>
    <cfRule type="containsText" dxfId="16" priority="4" operator="containsText" text="Ready for Review"/>
  </conditionalFormatting>
  <dataValidations count="1">
    <dataValidation type="list" sqref="J6:J758" xr:uid="{00000000-0002-0000-0A00-000000000000}">
      <formula1>"Required before next prompt,Approved,Changes Requested,Blocked"</formula1>
    </dataValidation>
  </dataValidations>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39"/>
  <sheetViews>
    <sheetView showGridLines="0" workbookViewId="0">
      <selection sqref="A1:L1"/>
    </sheetView>
  </sheetViews>
  <sheetFormatPr defaultRowHeight="13.8"/>
  <cols>
    <col min="1" max="1" width="13" customWidth="1"/>
    <col min="2" max="2" width="10" customWidth="1"/>
    <col min="3" max="3" width="13" customWidth="1"/>
    <col min="4" max="4" width="32" customWidth="1"/>
    <col min="5" max="5" width="46" customWidth="1"/>
    <col min="6" max="6" width="40" customWidth="1"/>
    <col min="7" max="7" width="34" customWidth="1"/>
    <col min="8" max="8" width="12" customWidth="1"/>
    <col min="9" max="9" width="13" customWidth="1"/>
    <col min="10" max="10" width="36" customWidth="1"/>
    <col min="11" max="11" width="26" customWidth="1"/>
    <col min="12" max="12" width="18" customWidth="1"/>
  </cols>
  <sheetData>
    <row r="1" spans="1:12" ht="31.95" customHeight="1">
      <c r="A1" s="80" t="s">
        <v>1282</v>
      </c>
      <c r="B1" s="80"/>
      <c r="C1" s="80"/>
      <c r="D1" s="80"/>
      <c r="E1" s="80"/>
      <c r="F1" s="80"/>
      <c r="G1" s="80"/>
      <c r="H1" s="80"/>
      <c r="I1" s="80"/>
      <c r="J1" s="80"/>
      <c r="K1" s="80"/>
      <c r="L1" s="80"/>
    </row>
    <row r="2" spans="1:12" ht="31.95" customHeight="1">
      <c r="A2" s="81" t="s">
        <v>1283</v>
      </c>
      <c r="B2" s="81"/>
      <c r="C2" s="81"/>
      <c r="D2" s="81"/>
      <c r="E2" s="81"/>
      <c r="F2" s="81"/>
      <c r="G2" s="81"/>
      <c r="H2" s="81"/>
      <c r="I2" s="81"/>
      <c r="J2" s="81"/>
      <c r="K2" s="81"/>
      <c r="L2" s="81"/>
    </row>
    <row r="5" spans="1:12" ht="28.05" customHeight="1">
      <c r="A5" s="1" t="s">
        <v>1284</v>
      </c>
      <c r="B5" s="2" t="s">
        <v>53</v>
      </c>
      <c r="C5" s="2" t="s">
        <v>1285</v>
      </c>
      <c r="D5" s="2" t="s">
        <v>90</v>
      </c>
      <c r="E5" s="2" t="s">
        <v>1286</v>
      </c>
      <c r="F5" s="2" t="s">
        <v>80</v>
      </c>
      <c r="G5" s="2" t="s">
        <v>81</v>
      </c>
      <c r="H5" s="2" t="s">
        <v>85</v>
      </c>
      <c r="I5" s="2" t="s">
        <v>1287</v>
      </c>
      <c r="J5" s="2" t="s">
        <v>1288</v>
      </c>
      <c r="K5" s="2" t="s">
        <v>1289</v>
      </c>
      <c r="L5" s="3" t="s">
        <v>1290</v>
      </c>
    </row>
    <row r="6" spans="1:12" ht="45.6">
      <c r="A6" s="10" t="s">
        <v>1291</v>
      </c>
      <c r="B6" s="10" t="s">
        <v>56</v>
      </c>
      <c r="C6" s="10" t="s">
        <v>1292</v>
      </c>
      <c r="D6" s="10" t="s">
        <v>1293</v>
      </c>
      <c r="E6" s="10" t="s">
        <v>1294</v>
      </c>
      <c r="F6" s="10" t="s">
        <v>1295</v>
      </c>
      <c r="G6" s="10" t="s">
        <v>151</v>
      </c>
      <c r="H6" s="10" t="s">
        <v>1296</v>
      </c>
      <c r="I6" s="17">
        <v>46252</v>
      </c>
      <c r="J6" s="10" t="s">
        <v>1297</v>
      </c>
      <c r="K6" s="10" t="s">
        <v>1298</v>
      </c>
      <c r="L6" s="10" t="s">
        <v>1299</v>
      </c>
    </row>
    <row r="7" spans="1:12" ht="45.6">
      <c r="A7" s="11" t="s">
        <v>1300</v>
      </c>
      <c r="B7" s="11" t="s">
        <v>56</v>
      </c>
      <c r="C7" s="11" t="s">
        <v>1005</v>
      </c>
      <c r="D7" s="11" t="s">
        <v>1301</v>
      </c>
      <c r="E7" s="11" t="s">
        <v>2294</v>
      </c>
      <c r="F7" s="11" t="s">
        <v>1302</v>
      </c>
      <c r="G7" s="11" t="s">
        <v>140</v>
      </c>
      <c r="H7" s="11" t="s">
        <v>1296</v>
      </c>
      <c r="I7" s="18">
        <v>46252</v>
      </c>
      <c r="J7" s="11" t="s">
        <v>1303</v>
      </c>
      <c r="K7" s="11" t="s">
        <v>1298</v>
      </c>
      <c r="L7" s="11" t="s">
        <v>1299</v>
      </c>
    </row>
    <row r="8" spans="1:12" ht="57">
      <c r="A8" s="11" t="s">
        <v>1304</v>
      </c>
      <c r="B8" s="11" t="s">
        <v>56</v>
      </c>
      <c r="C8" s="11" t="s">
        <v>1305</v>
      </c>
      <c r="D8" s="11" t="s">
        <v>1306</v>
      </c>
      <c r="E8" s="11" t="s">
        <v>184</v>
      </c>
      <c r="F8" s="11" t="s">
        <v>1307</v>
      </c>
      <c r="G8" s="11" t="s">
        <v>186</v>
      </c>
      <c r="H8" s="11" t="s">
        <v>1296</v>
      </c>
      <c r="I8" s="18">
        <v>46252</v>
      </c>
      <c r="J8" s="11" t="s">
        <v>1308</v>
      </c>
      <c r="K8" s="11" t="s">
        <v>1309</v>
      </c>
      <c r="L8" s="11" t="s">
        <v>1299</v>
      </c>
    </row>
    <row r="9" spans="1:12" ht="45.6">
      <c r="A9" s="11" t="s">
        <v>1310</v>
      </c>
      <c r="B9" s="11" t="s">
        <v>56</v>
      </c>
      <c r="C9" s="11" t="s">
        <v>1311</v>
      </c>
      <c r="D9" s="11" t="s">
        <v>1312</v>
      </c>
      <c r="E9" s="11" t="s">
        <v>219</v>
      </c>
      <c r="F9" s="11" t="s">
        <v>1313</v>
      </c>
      <c r="G9" s="11" t="s">
        <v>221</v>
      </c>
      <c r="H9" s="11" t="s">
        <v>1296</v>
      </c>
      <c r="I9" s="18">
        <v>46252</v>
      </c>
      <c r="J9" s="11" t="s">
        <v>1314</v>
      </c>
      <c r="K9" s="11" t="s">
        <v>1315</v>
      </c>
      <c r="L9" s="11" t="s">
        <v>1299</v>
      </c>
    </row>
    <row r="10" spans="1:12">
      <c r="A10" s="11" t="s">
        <v>1316</v>
      </c>
      <c r="B10" s="11" t="s">
        <v>37</v>
      </c>
      <c r="C10" s="11" t="s">
        <v>1292</v>
      </c>
      <c r="D10" s="11" t="s">
        <v>1317</v>
      </c>
      <c r="E10" s="11" t="s">
        <v>256</v>
      </c>
      <c r="F10" s="11" t="s">
        <v>1318</v>
      </c>
      <c r="G10" s="11" t="s">
        <v>1319</v>
      </c>
      <c r="H10" s="11" t="s">
        <v>1320</v>
      </c>
      <c r="I10" s="18"/>
      <c r="J10" s="11"/>
      <c r="K10" s="11"/>
      <c r="L10" s="11"/>
    </row>
    <row r="11" spans="1:12">
      <c r="A11" s="11" t="s">
        <v>1321</v>
      </c>
      <c r="B11" s="11" t="s">
        <v>37</v>
      </c>
      <c r="C11" s="11" t="s">
        <v>1322</v>
      </c>
      <c r="D11" s="11" t="s">
        <v>1323</v>
      </c>
      <c r="E11" s="11" t="s">
        <v>1324</v>
      </c>
      <c r="F11" s="11" t="s">
        <v>1325</v>
      </c>
      <c r="G11" s="11" t="s">
        <v>1326</v>
      </c>
      <c r="H11" s="11" t="s">
        <v>1320</v>
      </c>
      <c r="I11" s="18"/>
      <c r="J11" s="11"/>
      <c r="K11" s="11"/>
      <c r="L11" s="11"/>
    </row>
    <row r="12" spans="1:12">
      <c r="A12" s="11" t="s">
        <v>1327</v>
      </c>
      <c r="B12" s="11" t="s">
        <v>37</v>
      </c>
      <c r="C12" s="11" t="s">
        <v>1292</v>
      </c>
      <c r="D12" s="11" t="s">
        <v>1328</v>
      </c>
      <c r="E12" s="11" t="s">
        <v>299</v>
      </c>
      <c r="F12" s="11" t="s">
        <v>1329</v>
      </c>
      <c r="G12" s="11" t="s">
        <v>1330</v>
      </c>
      <c r="H12" s="11" t="s">
        <v>1320</v>
      </c>
      <c r="I12" s="18"/>
      <c r="J12" s="11"/>
      <c r="K12" s="11"/>
      <c r="L12" s="11"/>
    </row>
    <row r="13" spans="1:12" ht="22.8">
      <c r="A13" s="11" t="s">
        <v>1331</v>
      </c>
      <c r="B13" s="11" t="s">
        <v>37</v>
      </c>
      <c r="C13" s="11" t="s">
        <v>1305</v>
      </c>
      <c r="D13" s="11" t="s">
        <v>1332</v>
      </c>
      <c r="E13" s="11" t="s">
        <v>1333</v>
      </c>
      <c r="F13" s="11" t="s">
        <v>1334</v>
      </c>
      <c r="G13" s="11" t="s">
        <v>1335</v>
      </c>
      <c r="H13" s="11" t="s">
        <v>1320</v>
      </c>
      <c r="I13" s="18"/>
      <c r="J13" s="11"/>
      <c r="K13" s="11"/>
      <c r="L13" s="11"/>
    </row>
    <row r="14" spans="1:12">
      <c r="A14" s="11" t="s">
        <v>1336</v>
      </c>
      <c r="B14" s="11" t="s">
        <v>37</v>
      </c>
      <c r="C14" s="11" t="s">
        <v>1005</v>
      </c>
      <c r="D14" s="11" t="s">
        <v>1337</v>
      </c>
      <c r="E14" s="11" t="s">
        <v>1338</v>
      </c>
      <c r="F14" s="11" t="s">
        <v>1339</v>
      </c>
      <c r="G14" s="11" t="s">
        <v>1340</v>
      </c>
      <c r="H14" s="11" t="s">
        <v>1320</v>
      </c>
      <c r="I14" s="18"/>
      <c r="J14" s="11"/>
      <c r="K14" s="11"/>
      <c r="L14" s="11"/>
    </row>
    <row r="15" spans="1:12" ht="171">
      <c r="A15" s="11" t="s">
        <v>1341</v>
      </c>
      <c r="B15" s="11" t="s">
        <v>37</v>
      </c>
      <c r="C15" s="11" t="s">
        <v>1311</v>
      </c>
      <c r="D15" s="11" t="s">
        <v>1342</v>
      </c>
      <c r="E15" s="11" t="s">
        <v>2576</v>
      </c>
      <c r="F15" s="11" t="s">
        <v>1343</v>
      </c>
      <c r="G15" s="11" t="s">
        <v>1344</v>
      </c>
      <c r="H15" s="11" t="s">
        <v>1320</v>
      </c>
      <c r="I15" s="18"/>
      <c r="J15" s="11"/>
      <c r="K15" s="11"/>
      <c r="L15" s="11"/>
    </row>
    <row r="16" spans="1:12">
      <c r="A16" s="11" t="s">
        <v>1345</v>
      </c>
      <c r="B16" s="11" t="s">
        <v>57</v>
      </c>
      <c r="C16" s="11" t="s">
        <v>1292</v>
      </c>
      <c r="D16" s="11" t="s">
        <v>1346</v>
      </c>
      <c r="E16" s="11" t="s">
        <v>435</v>
      </c>
      <c r="F16" s="11" t="s">
        <v>1347</v>
      </c>
      <c r="G16" s="11" t="s">
        <v>1348</v>
      </c>
      <c r="H16" s="11" t="s">
        <v>1320</v>
      </c>
      <c r="I16" s="18"/>
      <c r="J16" s="11"/>
      <c r="K16" s="11"/>
      <c r="L16" s="11"/>
    </row>
    <row r="17" spans="1:12">
      <c r="A17" s="11" t="s">
        <v>1349</v>
      </c>
      <c r="B17" s="11" t="s">
        <v>57</v>
      </c>
      <c r="C17" s="11" t="s">
        <v>1305</v>
      </c>
      <c r="D17" s="11" t="s">
        <v>1350</v>
      </c>
      <c r="E17" s="11" t="s">
        <v>481</v>
      </c>
      <c r="F17" s="11" t="s">
        <v>1351</v>
      </c>
      <c r="G17" s="11" t="s">
        <v>1352</v>
      </c>
      <c r="H17" s="11" t="s">
        <v>1320</v>
      </c>
      <c r="I17" s="18"/>
      <c r="J17" s="11"/>
      <c r="K17" s="11"/>
      <c r="L17" s="11"/>
    </row>
    <row r="18" spans="1:12">
      <c r="A18" s="11" t="s">
        <v>1353</v>
      </c>
      <c r="B18" s="11" t="s">
        <v>57</v>
      </c>
      <c r="C18" s="11" t="s">
        <v>1354</v>
      </c>
      <c r="D18" s="11" t="s">
        <v>1355</v>
      </c>
      <c r="E18" s="11" t="s">
        <v>505</v>
      </c>
      <c r="F18" s="11" t="s">
        <v>1356</v>
      </c>
      <c r="G18" s="11" t="s">
        <v>472</v>
      </c>
      <c r="H18" s="11" t="s">
        <v>1320</v>
      </c>
      <c r="I18" s="18"/>
      <c r="J18" s="11"/>
      <c r="K18" s="11"/>
      <c r="L18" s="11"/>
    </row>
    <row r="19" spans="1:12" ht="171">
      <c r="A19" s="11" t="s">
        <v>1357</v>
      </c>
      <c r="B19" s="11" t="s">
        <v>57</v>
      </c>
      <c r="C19" s="11" t="s">
        <v>1358</v>
      </c>
      <c r="D19" s="11" t="s">
        <v>1359</v>
      </c>
      <c r="E19" s="11" t="s">
        <v>2333</v>
      </c>
      <c r="F19" s="11" t="s">
        <v>1360</v>
      </c>
      <c r="G19" s="11" t="s">
        <v>517</v>
      </c>
      <c r="H19" s="11" t="s">
        <v>1320</v>
      </c>
      <c r="I19" s="18"/>
      <c r="J19" s="11"/>
      <c r="K19" s="11"/>
      <c r="L19" s="11"/>
    </row>
    <row r="20" spans="1:12">
      <c r="A20" s="11" t="s">
        <v>1361</v>
      </c>
      <c r="B20" s="11" t="s">
        <v>58</v>
      </c>
      <c r="C20" s="11" t="s">
        <v>1292</v>
      </c>
      <c r="D20" s="11" t="s">
        <v>1362</v>
      </c>
      <c r="E20" s="11" t="s">
        <v>545</v>
      </c>
      <c r="F20" s="11" t="s">
        <v>1363</v>
      </c>
      <c r="G20" s="11" t="s">
        <v>1364</v>
      </c>
      <c r="H20" s="11" t="s">
        <v>1320</v>
      </c>
      <c r="I20" s="18"/>
      <c r="J20" s="11"/>
      <c r="K20" s="11"/>
      <c r="L20" s="11"/>
    </row>
    <row r="21" spans="1:12">
      <c r="A21" s="11" t="s">
        <v>1365</v>
      </c>
      <c r="B21" s="11" t="s">
        <v>58</v>
      </c>
      <c r="C21" s="11" t="s">
        <v>1305</v>
      </c>
      <c r="D21" s="11" t="s">
        <v>1366</v>
      </c>
      <c r="E21" s="11" t="s">
        <v>587</v>
      </c>
      <c r="F21" s="11" t="s">
        <v>1367</v>
      </c>
      <c r="G21" s="11" t="s">
        <v>1368</v>
      </c>
      <c r="H21" s="11" t="s">
        <v>1320</v>
      </c>
      <c r="I21" s="18"/>
      <c r="J21" s="11"/>
      <c r="K21" s="11"/>
      <c r="L21" s="11"/>
    </row>
    <row r="22" spans="1:12">
      <c r="A22" s="11" t="s">
        <v>1369</v>
      </c>
      <c r="B22" s="11" t="s">
        <v>58</v>
      </c>
      <c r="C22" s="11" t="s">
        <v>1005</v>
      </c>
      <c r="D22" s="11" t="s">
        <v>1370</v>
      </c>
      <c r="E22" s="11" t="s">
        <v>1371</v>
      </c>
      <c r="F22" s="11" t="s">
        <v>1372</v>
      </c>
      <c r="G22" s="11" t="s">
        <v>1373</v>
      </c>
      <c r="H22" s="11" t="s">
        <v>1320</v>
      </c>
      <c r="I22" s="18"/>
      <c r="J22" s="11"/>
      <c r="K22" s="11"/>
      <c r="L22" s="11"/>
    </row>
    <row r="23" spans="1:12" ht="22.8">
      <c r="A23" s="11" t="s">
        <v>1374</v>
      </c>
      <c r="B23" s="11" t="s">
        <v>58</v>
      </c>
      <c r="C23" s="11" t="s">
        <v>617</v>
      </c>
      <c r="D23" s="11" t="s">
        <v>1375</v>
      </c>
      <c r="E23" s="11" t="s">
        <v>1376</v>
      </c>
      <c r="F23" s="11" t="s">
        <v>1377</v>
      </c>
      <c r="G23" s="11" t="s">
        <v>1378</v>
      </c>
      <c r="H23" s="11" t="s">
        <v>1320</v>
      </c>
      <c r="I23" s="18"/>
      <c r="J23" s="11"/>
      <c r="K23" s="11"/>
      <c r="L23" s="11"/>
    </row>
    <row r="24" spans="1:12" ht="171">
      <c r="A24" s="11" t="s">
        <v>1379</v>
      </c>
      <c r="B24" s="11" t="s">
        <v>58</v>
      </c>
      <c r="C24" s="11" t="s">
        <v>1358</v>
      </c>
      <c r="D24" s="11" t="s">
        <v>1380</v>
      </c>
      <c r="E24" s="11" t="s">
        <v>2336</v>
      </c>
      <c r="F24" s="11" t="s">
        <v>1381</v>
      </c>
      <c r="G24" s="11" t="s">
        <v>658</v>
      </c>
      <c r="H24" s="11" t="s">
        <v>1320</v>
      </c>
      <c r="I24" s="18"/>
      <c r="J24" s="11"/>
      <c r="K24" s="11"/>
      <c r="L24" s="11"/>
    </row>
    <row r="25" spans="1:12" ht="171">
      <c r="A25" s="11" t="s">
        <v>1382</v>
      </c>
      <c r="B25" s="11" t="s">
        <v>59</v>
      </c>
      <c r="C25" s="11" t="s">
        <v>1383</v>
      </c>
      <c r="D25" s="11" t="s">
        <v>1384</v>
      </c>
      <c r="E25" s="11" t="s">
        <v>2577</v>
      </c>
      <c r="F25" s="11" t="s">
        <v>1385</v>
      </c>
      <c r="G25" s="11" t="s">
        <v>1386</v>
      </c>
      <c r="H25" s="11" t="s">
        <v>1320</v>
      </c>
      <c r="I25" s="18"/>
      <c r="J25" s="11"/>
      <c r="K25" s="11"/>
      <c r="L25" s="11"/>
    </row>
    <row r="26" spans="1:12" ht="182.4">
      <c r="A26" s="11" t="s">
        <v>1387</v>
      </c>
      <c r="B26" s="11" t="s">
        <v>59</v>
      </c>
      <c r="C26" s="11" t="s">
        <v>1388</v>
      </c>
      <c r="D26" s="11" t="s">
        <v>1389</v>
      </c>
      <c r="E26" s="11" t="s">
        <v>2578</v>
      </c>
      <c r="F26" s="11" t="s">
        <v>1390</v>
      </c>
      <c r="G26" s="11" t="s">
        <v>1391</v>
      </c>
      <c r="H26" s="11" t="s">
        <v>1320</v>
      </c>
      <c r="I26" s="18"/>
      <c r="J26" s="11"/>
      <c r="K26" s="11"/>
      <c r="L26" s="11"/>
    </row>
    <row r="27" spans="1:12">
      <c r="A27" s="11" t="s">
        <v>1392</v>
      </c>
      <c r="B27" s="11" t="s">
        <v>59</v>
      </c>
      <c r="C27" s="11" t="s">
        <v>1383</v>
      </c>
      <c r="D27" s="11" t="s">
        <v>1393</v>
      </c>
      <c r="E27" s="11" t="s">
        <v>779</v>
      </c>
      <c r="F27" s="11" t="s">
        <v>1394</v>
      </c>
      <c r="G27" s="11" t="s">
        <v>781</v>
      </c>
      <c r="H27" s="11" t="s">
        <v>1320</v>
      </c>
      <c r="I27" s="18"/>
      <c r="J27" s="11"/>
      <c r="K27" s="11"/>
      <c r="L27" s="11"/>
    </row>
    <row r="28" spans="1:12" ht="171">
      <c r="A28" s="11" t="s">
        <v>1395</v>
      </c>
      <c r="B28" s="11" t="s">
        <v>59</v>
      </c>
      <c r="C28" s="11" t="s">
        <v>765</v>
      </c>
      <c r="D28" s="11" t="s">
        <v>1396</v>
      </c>
      <c r="E28" s="11" t="s">
        <v>2579</v>
      </c>
      <c r="F28" s="11" t="s">
        <v>1397</v>
      </c>
      <c r="G28" s="11" t="s">
        <v>1398</v>
      </c>
      <c r="H28" s="11" t="s">
        <v>1320</v>
      </c>
      <c r="I28" s="18"/>
      <c r="J28" s="11"/>
      <c r="K28" s="11"/>
      <c r="L28" s="11"/>
    </row>
    <row r="29" spans="1:12">
      <c r="A29" s="11" t="s">
        <v>1399</v>
      </c>
      <c r="B29" s="11" t="s">
        <v>59</v>
      </c>
      <c r="C29" s="11" t="s">
        <v>1400</v>
      </c>
      <c r="D29" s="11" t="s">
        <v>1401</v>
      </c>
      <c r="E29" s="11" t="s">
        <v>1402</v>
      </c>
      <c r="F29" s="11" t="s">
        <v>1403</v>
      </c>
      <c r="G29" s="11" t="s">
        <v>1404</v>
      </c>
      <c r="H29" s="11" t="s">
        <v>1320</v>
      </c>
      <c r="I29" s="18"/>
      <c r="J29" s="11"/>
      <c r="K29" s="11"/>
      <c r="L29" s="11"/>
    </row>
    <row r="30" spans="1:12" ht="22.8">
      <c r="A30" s="11" t="s">
        <v>1405</v>
      </c>
      <c r="B30" s="11" t="s">
        <v>59</v>
      </c>
      <c r="C30" s="11" t="s">
        <v>1311</v>
      </c>
      <c r="D30" s="11" t="s">
        <v>1406</v>
      </c>
      <c r="E30" s="11" t="s">
        <v>964</v>
      </c>
      <c r="F30" s="11" t="s">
        <v>1407</v>
      </c>
      <c r="G30" s="11" t="s">
        <v>812</v>
      </c>
      <c r="H30" s="11" t="s">
        <v>1320</v>
      </c>
      <c r="I30" s="18"/>
      <c r="J30" s="11"/>
      <c r="K30" s="11"/>
      <c r="L30" s="11"/>
    </row>
    <row r="31" spans="1:12">
      <c r="A31" s="11" t="s">
        <v>1408</v>
      </c>
      <c r="B31" s="11" t="s">
        <v>60</v>
      </c>
      <c r="C31" s="11" t="s">
        <v>847</v>
      </c>
      <c r="D31" s="11" t="s">
        <v>1409</v>
      </c>
      <c r="E31" s="11" t="s">
        <v>852</v>
      </c>
      <c r="F31" s="11" t="s">
        <v>1410</v>
      </c>
      <c r="G31" s="11" t="s">
        <v>1411</v>
      </c>
      <c r="H31" s="11" t="s">
        <v>1320</v>
      </c>
      <c r="I31" s="18"/>
      <c r="J31" s="11"/>
      <c r="K31" s="11"/>
      <c r="L31" s="11"/>
    </row>
    <row r="32" spans="1:12">
      <c r="A32" s="11" t="s">
        <v>1412</v>
      </c>
      <c r="B32" s="11" t="s">
        <v>60</v>
      </c>
      <c r="C32" s="11" t="s">
        <v>1400</v>
      </c>
      <c r="D32" s="11" t="s">
        <v>1413</v>
      </c>
      <c r="E32" s="11" t="s">
        <v>1414</v>
      </c>
      <c r="F32" s="11" t="s">
        <v>1415</v>
      </c>
      <c r="G32" s="11" t="s">
        <v>1416</v>
      </c>
      <c r="H32" s="11" t="s">
        <v>1320</v>
      </c>
      <c r="I32" s="18"/>
      <c r="J32" s="11"/>
      <c r="K32" s="11"/>
      <c r="L32" s="11"/>
    </row>
    <row r="33" spans="1:12">
      <c r="A33" s="11" t="s">
        <v>1417</v>
      </c>
      <c r="B33" s="11" t="s">
        <v>60</v>
      </c>
      <c r="C33" s="11" t="s">
        <v>1418</v>
      </c>
      <c r="D33" s="11" t="s">
        <v>1419</v>
      </c>
      <c r="E33" s="11" t="s">
        <v>908</v>
      </c>
      <c r="F33" s="11" t="s">
        <v>1420</v>
      </c>
      <c r="G33" s="11" t="s">
        <v>1421</v>
      </c>
      <c r="H33" s="11" t="s">
        <v>1320</v>
      </c>
      <c r="I33" s="18"/>
      <c r="J33" s="11"/>
      <c r="K33" s="11"/>
      <c r="L33" s="11"/>
    </row>
    <row r="34" spans="1:12">
      <c r="A34" s="11" t="s">
        <v>1422</v>
      </c>
      <c r="B34" s="11" t="s">
        <v>60</v>
      </c>
      <c r="C34" s="11" t="s">
        <v>1423</v>
      </c>
      <c r="D34" s="11" t="s">
        <v>1424</v>
      </c>
      <c r="E34" s="11" t="s">
        <v>932</v>
      </c>
      <c r="F34" s="11" t="s">
        <v>1425</v>
      </c>
      <c r="G34" s="11" t="s">
        <v>1426</v>
      </c>
      <c r="H34" s="11" t="s">
        <v>1320</v>
      </c>
      <c r="I34" s="18"/>
      <c r="J34" s="11"/>
      <c r="K34" s="11"/>
      <c r="L34" s="11"/>
    </row>
    <row r="35" spans="1:12">
      <c r="A35" s="11" t="s">
        <v>1427</v>
      </c>
      <c r="B35" s="11" t="s">
        <v>60</v>
      </c>
      <c r="C35" s="11" t="s">
        <v>1354</v>
      </c>
      <c r="D35" s="11" t="s">
        <v>1428</v>
      </c>
      <c r="E35" s="11" t="s">
        <v>944</v>
      </c>
      <c r="F35" s="11" t="s">
        <v>1429</v>
      </c>
      <c r="G35" s="11" t="s">
        <v>946</v>
      </c>
      <c r="H35" s="11" t="s">
        <v>1320</v>
      </c>
      <c r="I35" s="18"/>
      <c r="J35" s="11"/>
      <c r="K35" s="11"/>
      <c r="L35" s="11"/>
    </row>
    <row r="36" spans="1:12" ht="171">
      <c r="A36" s="11" t="s">
        <v>1430</v>
      </c>
      <c r="B36" s="11" t="s">
        <v>60</v>
      </c>
      <c r="C36" s="11" t="s">
        <v>1358</v>
      </c>
      <c r="D36" s="11" t="s">
        <v>1431</v>
      </c>
      <c r="E36" s="11" t="s">
        <v>2346</v>
      </c>
      <c r="F36" s="11" t="s">
        <v>1432</v>
      </c>
      <c r="G36" s="11" t="s">
        <v>956</v>
      </c>
      <c r="H36" s="11" t="s">
        <v>1320</v>
      </c>
      <c r="I36" s="18"/>
      <c r="J36" s="11"/>
      <c r="K36" s="11"/>
      <c r="L36" s="11"/>
    </row>
    <row r="37" spans="1:12" ht="22.8">
      <c r="A37" s="11" t="s">
        <v>1433</v>
      </c>
      <c r="B37" s="11" t="s">
        <v>60</v>
      </c>
      <c r="C37" s="11" t="s">
        <v>1311</v>
      </c>
      <c r="D37" s="11" t="s">
        <v>1434</v>
      </c>
      <c r="E37" s="11" t="s">
        <v>964</v>
      </c>
      <c r="F37" s="11" t="s">
        <v>1435</v>
      </c>
      <c r="G37" s="11" t="s">
        <v>966</v>
      </c>
      <c r="H37" s="11" t="s">
        <v>1320</v>
      </c>
      <c r="I37" s="18"/>
      <c r="J37" s="11"/>
      <c r="K37" s="11"/>
      <c r="L37" s="11"/>
    </row>
    <row r="38" spans="1:12" ht="42" customHeight="1">
      <c r="A38" s="23" t="s">
        <v>1436</v>
      </c>
      <c r="B38" s="23" t="s">
        <v>56</v>
      </c>
      <c r="C38" s="23" t="s">
        <v>1437</v>
      </c>
      <c r="D38" s="23" t="s">
        <v>1438</v>
      </c>
      <c r="E38" s="23" t="s">
        <v>1439</v>
      </c>
      <c r="F38" s="23" t="s">
        <v>1440</v>
      </c>
      <c r="G38" s="23" t="s">
        <v>99</v>
      </c>
      <c r="H38" s="23" t="s">
        <v>1296</v>
      </c>
      <c r="I38" s="25">
        <v>46252</v>
      </c>
      <c r="J38" s="23" t="s">
        <v>1441</v>
      </c>
      <c r="K38" s="23" t="s">
        <v>1442</v>
      </c>
      <c r="L38" s="23" t="s">
        <v>1299</v>
      </c>
    </row>
    <row r="39" spans="1:12" ht="42" customHeight="1">
      <c r="A39" s="22" t="s">
        <v>1443</v>
      </c>
      <c r="B39" s="22" t="s">
        <v>56</v>
      </c>
      <c r="C39" s="22" t="s">
        <v>106</v>
      </c>
      <c r="D39" s="22" t="s">
        <v>1444</v>
      </c>
      <c r="E39" s="22" t="s">
        <v>112</v>
      </c>
      <c r="F39" s="22" t="s">
        <v>1445</v>
      </c>
      <c r="G39" s="22" t="s">
        <v>114</v>
      </c>
      <c r="H39" s="22" t="s">
        <v>1296</v>
      </c>
      <c r="I39" s="26">
        <v>46252</v>
      </c>
      <c r="J39" s="22" t="s">
        <v>1446</v>
      </c>
      <c r="K39" s="22" t="s">
        <v>1447</v>
      </c>
      <c r="L39" s="22" t="s">
        <v>1299</v>
      </c>
    </row>
  </sheetData>
  <mergeCells count="2">
    <mergeCell ref="A1:L1"/>
    <mergeCell ref="A2:L2"/>
  </mergeCells>
  <conditionalFormatting sqref="H6:H37">
    <cfRule type="containsText" dxfId="15" priority="1" operator="containsText" text="Pass"/>
    <cfRule type="containsText" dxfId="14" priority="2" operator="containsText" text="Blocked"/>
    <cfRule type="containsText" dxfId="13" priority="3" operator="containsText" text="In Progress"/>
    <cfRule type="containsText" dxfId="12" priority="4" operator="containsText" text="Ready for Review"/>
  </conditionalFormatting>
  <dataValidations count="2">
    <dataValidation type="list" sqref="H6:H37" xr:uid="{00000000-0002-0000-0B00-000000000000}">
      <formula1>"Not Run,Pass,Fail,Blocked"</formula1>
    </dataValidation>
    <dataValidation type="list" sqref="L6:L37" xr:uid="{00000000-0002-0000-0B00-000001000000}">
      <formula1>"Pending,Approved,Rejected"</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23"/>
  <sheetViews>
    <sheetView showGridLines="0" workbookViewId="0"/>
  </sheetViews>
  <sheetFormatPr defaultRowHeight="13.8"/>
  <cols>
    <col min="1" max="1" width="13" customWidth="1"/>
    <col min="2" max="2" width="32" customWidth="1"/>
    <col min="3" max="3" width="18" customWidth="1"/>
    <col min="4" max="4" width="13" customWidth="1"/>
    <col min="5" max="5" width="42" customWidth="1"/>
    <col min="6" max="6" width="30" customWidth="1"/>
    <col min="7" max="7" width="42" customWidth="1"/>
    <col min="8" max="8" width="38" customWidth="1"/>
    <col min="9" max="9" width="14" customWidth="1"/>
    <col min="10" max="10" width="34" customWidth="1"/>
    <col min="11" max="11" width="30" customWidth="1"/>
  </cols>
  <sheetData>
    <row r="1" spans="1:11" ht="31.95" customHeight="1">
      <c r="A1" s="80" t="s">
        <v>1448</v>
      </c>
      <c r="B1" s="80"/>
      <c r="C1" s="80"/>
      <c r="D1" s="80"/>
      <c r="E1" s="80"/>
      <c r="F1" s="80"/>
      <c r="G1" s="80"/>
      <c r="H1" s="80"/>
      <c r="I1" s="80"/>
      <c r="J1" s="80"/>
      <c r="K1" s="80"/>
    </row>
    <row r="2" spans="1:11" ht="31.95" customHeight="1">
      <c r="A2" s="81" t="s">
        <v>1449</v>
      </c>
      <c r="B2" s="81"/>
      <c r="C2" s="81"/>
      <c r="D2" s="81"/>
      <c r="E2" s="81"/>
      <c r="F2" s="81"/>
      <c r="G2" s="81"/>
      <c r="H2" s="81"/>
      <c r="I2" s="81"/>
      <c r="J2" s="81"/>
      <c r="K2" s="81"/>
    </row>
    <row r="5" spans="1:11" ht="28.05" customHeight="1">
      <c r="A5" s="1" t="s">
        <v>82</v>
      </c>
      <c r="B5" s="2" t="s">
        <v>1450</v>
      </c>
      <c r="C5" s="2" t="s">
        <v>85</v>
      </c>
      <c r="D5" s="2" t="s">
        <v>1451</v>
      </c>
      <c r="E5" s="2" t="s">
        <v>1452</v>
      </c>
      <c r="F5" s="2" t="s">
        <v>1453</v>
      </c>
      <c r="G5" s="2" t="s">
        <v>1454</v>
      </c>
      <c r="H5" s="2" t="s">
        <v>1455</v>
      </c>
      <c r="I5" s="2" t="s">
        <v>34</v>
      </c>
      <c r="J5" s="2" t="s">
        <v>1456</v>
      </c>
      <c r="K5" s="3" t="s">
        <v>1457</v>
      </c>
    </row>
    <row r="6" spans="1:11" ht="22.8">
      <c r="A6" s="10" t="s">
        <v>100</v>
      </c>
      <c r="B6" s="10" t="s">
        <v>1458</v>
      </c>
      <c r="C6" s="10" t="s">
        <v>1459</v>
      </c>
      <c r="D6" s="10" t="s">
        <v>56</v>
      </c>
      <c r="E6" s="10" t="s">
        <v>1460</v>
      </c>
      <c r="F6" s="10" t="s">
        <v>1461</v>
      </c>
      <c r="G6" s="10" t="s">
        <v>1462</v>
      </c>
      <c r="H6" s="10" t="s">
        <v>1463</v>
      </c>
      <c r="I6" s="10" t="s">
        <v>93</v>
      </c>
      <c r="J6" s="10" t="s">
        <v>1464</v>
      </c>
      <c r="K6" s="10"/>
    </row>
    <row r="7" spans="1:11" ht="22.8">
      <c r="A7" s="11" t="s">
        <v>152</v>
      </c>
      <c r="B7" s="11" t="s">
        <v>1465</v>
      </c>
      <c r="C7" s="11" t="s">
        <v>1459</v>
      </c>
      <c r="D7" s="11" t="s">
        <v>56</v>
      </c>
      <c r="E7" s="11" t="s">
        <v>1466</v>
      </c>
      <c r="F7" s="11" t="s">
        <v>1467</v>
      </c>
      <c r="G7" s="11" t="s">
        <v>1468</v>
      </c>
      <c r="H7" s="11" t="s">
        <v>1469</v>
      </c>
      <c r="I7" s="11" t="s">
        <v>93</v>
      </c>
      <c r="J7" s="11" t="s">
        <v>1470</v>
      </c>
      <c r="K7" s="11"/>
    </row>
    <row r="8" spans="1:11" ht="22.8">
      <c r="A8" s="11" t="s">
        <v>279</v>
      </c>
      <c r="B8" s="11" t="s">
        <v>1471</v>
      </c>
      <c r="C8" s="11" t="s">
        <v>1459</v>
      </c>
      <c r="D8" s="11" t="s">
        <v>37</v>
      </c>
      <c r="E8" s="11" t="s">
        <v>1472</v>
      </c>
      <c r="F8" s="11" t="s">
        <v>1473</v>
      </c>
      <c r="G8" s="11" t="s">
        <v>1474</v>
      </c>
      <c r="H8" s="11" t="s">
        <v>1475</v>
      </c>
      <c r="I8" s="11" t="s">
        <v>93</v>
      </c>
      <c r="J8" s="11" t="s">
        <v>1476</v>
      </c>
      <c r="K8" s="11"/>
    </row>
    <row r="9" spans="1:11" ht="22.8">
      <c r="A9" s="11" t="s">
        <v>415</v>
      </c>
      <c r="B9" s="11" t="s">
        <v>1477</v>
      </c>
      <c r="C9" s="11" t="s">
        <v>1459</v>
      </c>
      <c r="D9" s="11" t="s">
        <v>57</v>
      </c>
      <c r="E9" s="11" t="s">
        <v>1478</v>
      </c>
      <c r="F9" s="11" t="s">
        <v>1479</v>
      </c>
      <c r="G9" s="11" t="s">
        <v>1480</v>
      </c>
      <c r="H9" s="11" t="s">
        <v>1481</v>
      </c>
      <c r="I9" s="11" t="s">
        <v>93</v>
      </c>
      <c r="J9" s="11" t="s">
        <v>1482</v>
      </c>
      <c r="K9" s="11"/>
    </row>
    <row r="10" spans="1:11" ht="22.8">
      <c r="A10" s="11" t="s">
        <v>569</v>
      </c>
      <c r="B10" s="11" t="s">
        <v>1483</v>
      </c>
      <c r="C10" s="11" t="s">
        <v>1459</v>
      </c>
      <c r="D10" s="11" t="s">
        <v>58</v>
      </c>
      <c r="E10" s="11" t="s">
        <v>1484</v>
      </c>
      <c r="F10" s="11" t="s">
        <v>1485</v>
      </c>
      <c r="G10" s="11" t="s">
        <v>1486</v>
      </c>
      <c r="H10" s="11" t="s">
        <v>1487</v>
      </c>
      <c r="I10" s="11" t="s">
        <v>93</v>
      </c>
      <c r="J10" s="11" t="s">
        <v>1488</v>
      </c>
      <c r="K10" s="11"/>
    </row>
    <row r="11" spans="1:11" ht="22.8">
      <c r="A11" s="11" t="s">
        <v>327</v>
      </c>
      <c r="B11" s="11" t="s">
        <v>1489</v>
      </c>
      <c r="C11" s="11" t="s">
        <v>1459</v>
      </c>
      <c r="D11" s="11" t="s">
        <v>37</v>
      </c>
      <c r="E11" s="11" t="s">
        <v>1490</v>
      </c>
      <c r="F11" s="11" t="s">
        <v>1491</v>
      </c>
      <c r="G11" s="11" t="s">
        <v>1492</v>
      </c>
      <c r="H11" s="11" t="s">
        <v>1493</v>
      </c>
      <c r="I11" s="11" t="s">
        <v>93</v>
      </c>
      <c r="J11" s="11" t="s">
        <v>1494</v>
      </c>
      <c r="K11" s="11"/>
    </row>
    <row r="12" spans="1:11" ht="22.8">
      <c r="A12" s="11" t="s">
        <v>548</v>
      </c>
      <c r="B12" s="11" t="s">
        <v>1495</v>
      </c>
      <c r="C12" s="11" t="s">
        <v>1459</v>
      </c>
      <c r="D12" s="11" t="s">
        <v>58</v>
      </c>
      <c r="E12" s="11" t="s">
        <v>1496</v>
      </c>
      <c r="F12" s="11" t="s">
        <v>1497</v>
      </c>
      <c r="G12" s="11" t="s">
        <v>1498</v>
      </c>
      <c r="H12" s="11" t="s">
        <v>1499</v>
      </c>
      <c r="I12" s="11" t="s">
        <v>93</v>
      </c>
      <c r="J12" s="11" t="s">
        <v>1500</v>
      </c>
      <c r="K12" s="11"/>
    </row>
    <row r="13" spans="1:11" ht="22.8">
      <c r="A13" s="11" t="s">
        <v>496</v>
      </c>
      <c r="B13" s="11" t="s">
        <v>1501</v>
      </c>
      <c r="C13" s="11" t="s">
        <v>1459</v>
      </c>
      <c r="D13" s="11" t="s">
        <v>57</v>
      </c>
      <c r="E13" s="11" t="s">
        <v>1502</v>
      </c>
      <c r="F13" s="11" t="s">
        <v>1503</v>
      </c>
      <c r="G13" s="11" t="s">
        <v>1504</v>
      </c>
      <c r="H13" s="11" t="s">
        <v>1505</v>
      </c>
      <c r="I13" s="11" t="s">
        <v>93</v>
      </c>
      <c r="J13" s="11" t="s">
        <v>1506</v>
      </c>
      <c r="K13" s="11"/>
    </row>
    <row r="14" spans="1:11" ht="22.8">
      <c r="A14" s="11" t="s">
        <v>198</v>
      </c>
      <c r="B14" s="11" t="s">
        <v>1507</v>
      </c>
      <c r="C14" s="11" t="s">
        <v>1459</v>
      </c>
      <c r="D14" s="11" t="s">
        <v>56</v>
      </c>
      <c r="E14" s="11" t="s">
        <v>1508</v>
      </c>
      <c r="F14" s="11" t="s">
        <v>1509</v>
      </c>
      <c r="G14" s="11" t="s">
        <v>1510</v>
      </c>
      <c r="H14" s="11" t="s">
        <v>1511</v>
      </c>
      <c r="I14" s="11" t="s">
        <v>93</v>
      </c>
      <c r="J14" s="11" t="s">
        <v>1512</v>
      </c>
      <c r="K14" s="11"/>
    </row>
    <row r="15" spans="1:11" ht="22.8">
      <c r="A15" s="11" t="s">
        <v>1513</v>
      </c>
      <c r="B15" s="11" t="s">
        <v>1514</v>
      </c>
      <c r="C15" s="11" t="s">
        <v>1459</v>
      </c>
      <c r="D15" s="11" t="s">
        <v>56</v>
      </c>
      <c r="E15" s="11" t="s">
        <v>1515</v>
      </c>
      <c r="F15" s="11" t="s">
        <v>1516</v>
      </c>
      <c r="G15" s="11" t="s">
        <v>1517</v>
      </c>
      <c r="H15" s="11" t="s">
        <v>1518</v>
      </c>
      <c r="I15" s="11" t="s">
        <v>93</v>
      </c>
      <c r="J15" s="11" t="s">
        <v>1519</v>
      </c>
      <c r="K15" s="11"/>
    </row>
    <row r="16" spans="1:11" ht="22.8">
      <c r="A16" s="11" t="s">
        <v>1520</v>
      </c>
      <c r="B16" s="11" t="s">
        <v>1521</v>
      </c>
      <c r="C16" s="11" t="s">
        <v>1459</v>
      </c>
      <c r="D16" s="11" t="s">
        <v>56</v>
      </c>
      <c r="E16" s="11" t="s">
        <v>1522</v>
      </c>
      <c r="F16" s="11" t="s">
        <v>1523</v>
      </c>
      <c r="G16" s="11" t="s">
        <v>1524</v>
      </c>
      <c r="H16" s="11" t="s">
        <v>1525</v>
      </c>
      <c r="I16" s="11" t="s">
        <v>93</v>
      </c>
      <c r="J16" s="11" t="s">
        <v>1526</v>
      </c>
      <c r="K16" s="11"/>
    </row>
    <row r="17" spans="1:11" ht="22.8">
      <c r="A17" s="11" t="s">
        <v>518</v>
      </c>
      <c r="B17" s="11" t="s">
        <v>1527</v>
      </c>
      <c r="C17" s="11" t="s">
        <v>1459</v>
      </c>
      <c r="D17" s="11" t="s">
        <v>56</v>
      </c>
      <c r="E17" s="11" t="s">
        <v>1528</v>
      </c>
      <c r="F17" s="11" t="s">
        <v>1529</v>
      </c>
      <c r="G17" s="11" t="s">
        <v>1530</v>
      </c>
      <c r="H17" s="11" t="s">
        <v>1531</v>
      </c>
      <c r="I17" s="11" t="s">
        <v>93</v>
      </c>
      <c r="J17" s="11" t="s">
        <v>1532</v>
      </c>
      <c r="K17" s="11"/>
    </row>
    <row r="18" spans="1:11" ht="22.8">
      <c r="A18" s="11" t="s">
        <v>1533</v>
      </c>
      <c r="B18" s="11" t="s">
        <v>1534</v>
      </c>
      <c r="C18" s="11" t="s">
        <v>1459</v>
      </c>
      <c r="D18" s="11" t="s">
        <v>56</v>
      </c>
      <c r="E18" s="11" t="s">
        <v>1535</v>
      </c>
      <c r="F18" s="11" t="s">
        <v>1536</v>
      </c>
      <c r="G18" s="11" t="s">
        <v>1537</v>
      </c>
      <c r="H18" s="11" t="s">
        <v>1538</v>
      </c>
      <c r="I18" s="11" t="s">
        <v>93</v>
      </c>
      <c r="J18" s="11" t="s">
        <v>1539</v>
      </c>
      <c r="K18" s="11"/>
    </row>
    <row r="19" spans="1:11" ht="22.8">
      <c r="A19" s="11" t="s">
        <v>1540</v>
      </c>
      <c r="B19" s="11" t="s">
        <v>1541</v>
      </c>
      <c r="C19" s="11" t="s">
        <v>1459</v>
      </c>
      <c r="D19" s="11" t="s">
        <v>56</v>
      </c>
      <c r="E19" s="11" t="s">
        <v>1542</v>
      </c>
      <c r="F19" s="11" t="s">
        <v>1543</v>
      </c>
      <c r="G19" s="11" t="s">
        <v>1544</v>
      </c>
      <c r="H19" s="11" t="s">
        <v>1545</v>
      </c>
      <c r="I19" s="11" t="s">
        <v>93</v>
      </c>
      <c r="J19" s="11" t="s">
        <v>1546</v>
      </c>
      <c r="K19" s="11"/>
    </row>
    <row r="20" spans="1:11">
      <c r="A20" s="11" t="s">
        <v>855</v>
      </c>
      <c r="B20" s="11" t="s">
        <v>1547</v>
      </c>
      <c r="C20" s="11" t="s">
        <v>1459</v>
      </c>
      <c r="D20" s="11" t="s">
        <v>60</v>
      </c>
      <c r="E20" s="11" t="s">
        <v>1548</v>
      </c>
      <c r="F20" s="11" t="s">
        <v>1549</v>
      </c>
      <c r="G20" s="11" t="s">
        <v>1550</v>
      </c>
      <c r="H20" s="11" t="s">
        <v>1551</v>
      </c>
      <c r="I20" s="11" t="s">
        <v>93</v>
      </c>
      <c r="J20" s="11" t="s">
        <v>1552</v>
      </c>
      <c r="K20" s="11"/>
    </row>
    <row r="21" spans="1:11">
      <c r="A21" s="11" t="s">
        <v>115</v>
      </c>
      <c r="B21" s="11" t="s">
        <v>1553</v>
      </c>
      <c r="C21" s="11" t="s">
        <v>1459</v>
      </c>
      <c r="D21" s="11" t="s">
        <v>56</v>
      </c>
      <c r="E21" s="11" t="s">
        <v>1554</v>
      </c>
      <c r="F21" s="11" t="s">
        <v>1555</v>
      </c>
      <c r="G21" s="11" t="s">
        <v>1556</v>
      </c>
      <c r="H21" s="11" t="s">
        <v>1557</v>
      </c>
      <c r="I21" s="11" t="s">
        <v>93</v>
      </c>
      <c r="J21" s="11" t="s">
        <v>1558</v>
      </c>
      <c r="K21" s="11"/>
    </row>
    <row r="22" spans="1:11" ht="22.8">
      <c r="A22" s="11" t="s">
        <v>164</v>
      </c>
      <c r="B22" s="11" t="s">
        <v>1559</v>
      </c>
      <c r="C22" s="11" t="s">
        <v>1459</v>
      </c>
      <c r="D22" s="11" t="s">
        <v>56</v>
      </c>
      <c r="E22" s="11" t="s">
        <v>1560</v>
      </c>
      <c r="F22" s="11" t="s">
        <v>1561</v>
      </c>
      <c r="G22" s="11" t="s">
        <v>1562</v>
      </c>
      <c r="H22" s="11" t="s">
        <v>1563</v>
      </c>
      <c r="I22" s="11" t="s">
        <v>93</v>
      </c>
      <c r="J22" s="11" t="s">
        <v>1564</v>
      </c>
      <c r="K22" s="11"/>
    </row>
    <row r="23" spans="1:11" ht="22.8">
      <c r="A23" s="11" t="s">
        <v>1565</v>
      </c>
      <c r="B23" s="11" t="s">
        <v>1566</v>
      </c>
      <c r="C23" s="11" t="s">
        <v>1459</v>
      </c>
      <c r="D23" s="11" t="s">
        <v>1567</v>
      </c>
      <c r="E23" s="11" t="s">
        <v>1568</v>
      </c>
      <c r="F23" s="11" t="s">
        <v>1569</v>
      </c>
      <c r="G23" s="11" t="s">
        <v>1570</v>
      </c>
      <c r="H23" s="11" t="s">
        <v>1571</v>
      </c>
      <c r="I23" s="11" t="s">
        <v>93</v>
      </c>
      <c r="J23" s="11" t="s">
        <v>1572</v>
      </c>
      <c r="K23" s="11"/>
    </row>
  </sheetData>
  <mergeCells count="2">
    <mergeCell ref="A1:K1"/>
    <mergeCell ref="A2:K2"/>
  </mergeCells>
  <conditionalFormatting sqref="C6:C23">
    <cfRule type="containsText" dxfId="11" priority="1" operator="containsText" text="Approved"/>
    <cfRule type="containsText" dxfId="10" priority="2" operator="containsText" text="Blocked"/>
    <cfRule type="containsText" dxfId="9" priority="3" operator="containsText" text="In Progress"/>
    <cfRule type="containsText" dxfId="8" priority="4" operator="containsText" text="Ready for Review"/>
  </conditionalFormatting>
  <dataValidations count="1">
    <dataValidation type="list" sqref="C6:C23" xr:uid="{00000000-0002-0000-0C00-000000000000}">
      <formula1>"Baseline Approved,Proposed,Approved,Rejected,Superseded,Revisit"</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J30"/>
  <sheetViews>
    <sheetView showGridLines="0" tabSelected="1" topLeftCell="A4" workbookViewId="0">
      <selection activeCell="A5" sqref="A5:C10"/>
    </sheetView>
  </sheetViews>
  <sheetFormatPr defaultRowHeight="13.8"/>
  <cols>
    <col min="1" max="1" width="13" customWidth="1"/>
    <col min="2" max="2" width="16" customWidth="1"/>
    <col min="3" max="3" width="48" customWidth="1"/>
    <col min="4" max="4" width="12" customWidth="1"/>
    <col min="5" max="5" width="11" customWidth="1"/>
    <col min="6" max="6" width="15" customWidth="1"/>
    <col min="7" max="7" width="14" customWidth="1"/>
    <col min="8" max="8" width="36" customWidth="1"/>
    <col min="9" max="9" width="34" customWidth="1"/>
    <col min="10" max="10" width="15" customWidth="1"/>
  </cols>
  <sheetData>
    <row r="1" spans="1:10" ht="31.95" customHeight="1">
      <c r="A1" s="80" t="s">
        <v>1573</v>
      </c>
      <c r="B1" s="80"/>
      <c r="C1" s="80"/>
      <c r="D1" s="80"/>
      <c r="E1" s="80"/>
      <c r="F1" s="80"/>
      <c r="G1" s="80"/>
      <c r="H1" s="80"/>
      <c r="I1" s="80"/>
      <c r="J1" s="80"/>
    </row>
    <row r="2" spans="1:10" ht="31.95" customHeight="1">
      <c r="A2" s="81" t="s">
        <v>1574</v>
      </c>
      <c r="B2" s="81"/>
      <c r="C2" s="81"/>
      <c r="D2" s="81"/>
      <c r="E2" s="81"/>
      <c r="F2" s="81"/>
      <c r="G2" s="81"/>
      <c r="H2" s="81"/>
      <c r="I2" s="81"/>
      <c r="J2" s="81"/>
    </row>
    <row r="5" spans="1:10" ht="28.05" customHeight="1">
      <c r="A5" s="1" t="s">
        <v>1575</v>
      </c>
      <c r="B5" s="2" t="s">
        <v>1576</v>
      </c>
      <c r="C5" s="2" t="s">
        <v>1577</v>
      </c>
      <c r="D5" s="2" t="s">
        <v>1578</v>
      </c>
      <c r="E5" s="2" t="s">
        <v>1579</v>
      </c>
      <c r="F5" s="2" t="s">
        <v>85</v>
      </c>
      <c r="G5" s="2" t="s">
        <v>34</v>
      </c>
      <c r="H5" s="2" t="s">
        <v>1580</v>
      </c>
      <c r="I5" s="2" t="s">
        <v>1581</v>
      </c>
      <c r="J5" s="3" t="s">
        <v>1582</v>
      </c>
    </row>
    <row r="6" spans="1:10" ht="68.400000000000006" hidden="1">
      <c r="A6" s="10" t="s">
        <v>1583</v>
      </c>
      <c r="B6" s="10" t="s">
        <v>1584</v>
      </c>
      <c r="C6" s="19" t="s">
        <v>1585</v>
      </c>
      <c r="D6" s="10" t="s">
        <v>56</v>
      </c>
      <c r="E6" s="10" t="s">
        <v>1586</v>
      </c>
      <c r="F6" s="10" t="s">
        <v>46</v>
      </c>
      <c r="G6" s="10" t="s">
        <v>35</v>
      </c>
      <c r="H6" s="10" t="s">
        <v>99</v>
      </c>
      <c r="I6" s="19" t="s">
        <v>1587</v>
      </c>
      <c r="J6" s="17">
        <v>46257</v>
      </c>
    </row>
    <row r="7" spans="1:10" ht="68.400000000000006" hidden="1">
      <c r="A7" s="11" t="s">
        <v>1588</v>
      </c>
      <c r="B7" s="11" t="s">
        <v>1589</v>
      </c>
      <c r="C7" s="20" t="s">
        <v>1590</v>
      </c>
      <c r="D7" s="11" t="s">
        <v>56</v>
      </c>
      <c r="E7" s="11" t="s">
        <v>1586</v>
      </c>
      <c r="F7" s="11" t="s">
        <v>46</v>
      </c>
      <c r="G7" s="11" t="s">
        <v>35</v>
      </c>
      <c r="H7" s="11" t="s">
        <v>99</v>
      </c>
      <c r="I7" s="20" t="s">
        <v>1591</v>
      </c>
      <c r="J7" s="18">
        <v>46252</v>
      </c>
    </row>
    <row r="8" spans="1:10" hidden="1">
      <c r="A8" s="11" t="s">
        <v>1592</v>
      </c>
      <c r="B8" s="11" t="s">
        <v>106</v>
      </c>
      <c r="C8" s="20" t="s">
        <v>1593</v>
      </c>
      <c r="D8" s="11" t="s">
        <v>37</v>
      </c>
      <c r="E8" s="11" t="s">
        <v>1586</v>
      </c>
      <c r="F8" s="11" t="s">
        <v>46</v>
      </c>
      <c r="G8" s="11" t="s">
        <v>93</v>
      </c>
      <c r="H8" s="11" t="s">
        <v>1594</v>
      </c>
      <c r="I8" s="20"/>
      <c r="J8" s="18"/>
    </row>
    <row r="9" spans="1:10" hidden="1">
      <c r="A9" s="11" t="s">
        <v>322</v>
      </c>
      <c r="B9" s="11" t="s">
        <v>319</v>
      </c>
      <c r="C9" s="20" t="s">
        <v>1595</v>
      </c>
      <c r="D9" s="11" t="s">
        <v>37</v>
      </c>
      <c r="E9" s="11" t="s">
        <v>1586</v>
      </c>
      <c r="F9" s="11" t="s">
        <v>46</v>
      </c>
      <c r="G9" s="11" t="s">
        <v>93</v>
      </c>
      <c r="H9" s="11" t="s">
        <v>1596</v>
      </c>
      <c r="I9" s="20"/>
      <c r="J9" s="18"/>
    </row>
    <row r="10" spans="1:10">
      <c r="A10" s="11" t="s">
        <v>469</v>
      </c>
      <c r="B10" s="11" t="s">
        <v>1354</v>
      </c>
      <c r="C10" s="20" t="s">
        <v>1597</v>
      </c>
      <c r="D10" s="11" t="s">
        <v>57</v>
      </c>
      <c r="E10" s="11" t="s">
        <v>1586</v>
      </c>
      <c r="F10" s="11" t="s">
        <v>2584</v>
      </c>
      <c r="G10" s="11" t="s">
        <v>93</v>
      </c>
      <c r="H10" s="11" t="s">
        <v>1598</v>
      </c>
      <c r="I10" s="20"/>
      <c r="J10" s="18"/>
    </row>
    <row r="11" spans="1:10" hidden="1">
      <c r="A11" s="11" t="s">
        <v>1599</v>
      </c>
      <c r="B11" s="11" t="s">
        <v>1600</v>
      </c>
      <c r="C11" s="20" t="s">
        <v>1601</v>
      </c>
      <c r="D11" s="11" t="s">
        <v>59</v>
      </c>
      <c r="E11" s="11" t="s">
        <v>1586</v>
      </c>
      <c r="F11" s="11" t="s">
        <v>303</v>
      </c>
      <c r="G11" s="11" t="s">
        <v>93</v>
      </c>
      <c r="H11" s="11" t="s">
        <v>1602</v>
      </c>
      <c r="I11" s="20"/>
      <c r="J11" s="18"/>
    </row>
    <row r="12" spans="1:10" ht="68.400000000000006" hidden="1">
      <c r="A12" s="11" t="s">
        <v>1603</v>
      </c>
      <c r="B12" s="11" t="s">
        <v>1600</v>
      </c>
      <c r="C12" s="20" t="s">
        <v>1604</v>
      </c>
      <c r="D12" s="11" t="s">
        <v>56</v>
      </c>
      <c r="E12" s="11" t="s">
        <v>1586</v>
      </c>
      <c r="F12" s="11" t="s">
        <v>46</v>
      </c>
      <c r="G12" s="11" t="s">
        <v>35</v>
      </c>
      <c r="H12" s="11" t="s">
        <v>1605</v>
      </c>
      <c r="I12" s="20" t="s">
        <v>1606</v>
      </c>
      <c r="J12" s="18">
        <v>46252</v>
      </c>
    </row>
    <row r="13" spans="1:10" ht="22.8" hidden="1">
      <c r="A13" s="11" t="s">
        <v>1607</v>
      </c>
      <c r="B13" s="11" t="s">
        <v>1608</v>
      </c>
      <c r="C13" s="20" t="s">
        <v>1609</v>
      </c>
      <c r="D13" s="11" t="s">
        <v>59</v>
      </c>
      <c r="E13" s="11" t="s">
        <v>1586</v>
      </c>
      <c r="F13" s="11" t="s">
        <v>303</v>
      </c>
      <c r="G13" s="11" t="s">
        <v>93</v>
      </c>
      <c r="H13" s="11" t="s">
        <v>1610</v>
      </c>
      <c r="I13" s="20"/>
      <c r="J13" s="18"/>
    </row>
    <row r="14" spans="1:10" ht="91.2" hidden="1">
      <c r="A14" s="11" t="s">
        <v>125</v>
      </c>
      <c r="B14" s="11" t="s">
        <v>106</v>
      </c>
      <c r="C14" s="20" t="s">
        <v>1611</v>
      </c>
      <c r="D14" s="11" t="s">
        <v>56</v>
      </c>
      <c r="E14" s="11" t="s">
        <v>1586</v>
      </c>
      <c r="F14" s="11" t="s">
        <v>46</v>
      </c>
      <c r="G14" s="11" t="s">
        <v>35</v>
      </c>
      <c r="H14" s="11" t="s">
        <v>1612</v>
      </c>
      <c r="I14" s="20" t="s">
        <v>1613</v>
      </c>
      <c r="J14" s="18">
        <v>46252</v>
      </c>
    </row>
    <row r="15" spans="1:10" hidden="1">
      <c r="A15" s="11" t="s">
        <v>1614</v>
      </c>
      <c r="B15" s="11" t="s">
        <v>1305</v>
      </c>
      <c r="C15" s="20" t="s">
        <v>1615</v>
      </c>
      <c r="D15" s="11" t="s">
        <v>59</v>
      </c>
      <c r="E15" s="11" t="s">
        <v>1586</v>
      </c>
      <c r="F15" s="11" t="s">
        <v>303</v>
      </c>
      <c r="G15" s="11" t="s">
        <v>93</v>
      </c>
      <c r="H15" s="11" t="s">
        <v>1610</v>
      </c>
      <c r="I15" s="20"/>
      <c r="J15" s="18"/>
    </row>
    <row r="16" spans="1:10" hidden="1">
      <c r="A16" s="11" t="s">
        <v>756</v>
      </c>
      <c r="B16" s="11" t="s">
        <v>752</v>
      </c>
      <c r="C16" s="20" t="s">
        <v>1616</v>
      </c>
      <c r="D16" s="11" t="s">
        <v>59</v>
      </c>
      <c r="E16" s="11" t="s">
        <v>1586</v>
      </c>
      <c r="F16" s="11" t="s">
        <v>303</v>
      </c>
      <c r="G16" s="11" t="s">
        <v>93</v>
      </c>
      <c r="H16" s="11" t="s">
        <v>1617</v>
      </c>
      <c r="I16" s="20"/>
      <c r="J16" s="18"/>
    </row>
    <row r="17" spans="1:10">
      <c r="A17" s="11" t="s">
        <v>398</v>
      </c>
      <c r="B17" s="11" t="s">
        <v>1618</v>
      </c>
      <c r="C17" s="20" t="s">
        <v>1619</v>
      </c>
      <c r="D17" s="11" t="s">
        <v>57</v>
      </c>
      <c r="E17" s="11" t="s">
        <v>1586</v>
      </c>
      <c r="F17" s="11" t="s">
        <v>2584</v>
      </c>
      <c r="G17" s="11" t="s">
        <v>93</v>
      </c>
      <c r="H17" s="11" t="s">
        <v>1620</v>
      </c>
      <c r="I17" s="20"/>
      <c r="J17" s="18"/>
    </row>
    <row r="18" spans="1:10" hidden="1">
      <c r="A18" s="11" t="s">
        <v>297</v>
      </c>
      <c r="B18" s="11" t="s">
        <v>1618</v>
      </c>
      <c r="C18" s="20" t="s">
        <v>1621</v>
      </c>
      <c r="D18" s="11" t="s">
        <v>37</v>
      </c>
      <c r="E18" s="11" t="s">
        <v>1586</v>
      </c>
      <c r="F18" s="11" t="s">
        <v>46</v>
      </c>
      <c r="G18" s="11" t="s">
        <v>93</v>
      </c>
      <c r="H18" s="11" t="s">
        <v>1052</v>
      </c>
      <c r="I18" s="20"/>
      <c r="J18" s="18"/>
    </row>
    <row r="19" spans="1:10" hidden="1">
      <c r="A19" s="11" t="s">
        <v>334</v>
      </c>
      <c r="B19" s="11" t="s">
        <v>1400</v>
      </c>
      <c r="C19" s="20" t="s">
        <v>1622</v>
      </c>
      <c r="D19" s="11" t="s">
        <v>37</v>
      </c>
      <c r="E19" s="11" t="s">
        <v>1586</v>
      </c>
      <c r="F19" s="11" t="s">
        <v>46</v>
      </c>
      <c r="G19" s="11" t="s">
        <v>93</v>
      </c>
      <c r="H19" s="11" t="s">
        <v>1623</v>
      </c>
      <c r="I19" s="20"/>
      <c r="J19" s="18"/>
    </row>
    <row r="20" spans="1:10" ht="79.8" hidden="1">
      <c r="A20" s="11" t="s">
        <v>182</v>
      </c>
      <c r="B20" s="11" t="s">
        <v>179</v>
      </c>
      <c r="C20" s="20" t="s">
        <v>1624</v>
      </c>
      <c r="D20" s="11" t="s">
        <v>56</v>
      </c>
      <c r="E20" s="11" t="s">
        <v>1625</v>
      </c>
      <c r="F20" s="11" t="s">
        <v>46</v>
      </c>
      <c r="G20" s="11" t="s">
        <v>35</v>
      </c>
      <c r="H20" s="11" t="s">
        <v>1626</v>
      </c>
      <c r="I20" s="20" t="s">
        <v>1627</v>
      </c>
      <c r="J20" s="18">
        <v>46252</v>
      </c>
    </row>
    <row r="21" spans="1:10" ht="22.8" hidden="1">
      <c r="A21" s="11" t="s">
        <v>524</v>
      </c>
      <c r="B21" s="11" t="s">
        <v>1628</v>
      </c>
      <c r="C21" s="20" t="s">
        <v>1629</v>
      </c>
      <c r="D21" s="11" t="s">
        <v>58</v>
      </c>
      <c r="E21" s="11" t="s">
        <v>1586</v>
      </c>
      <c r="F21" s="11" t="s">
        <v>303</v>
      </c>
      <c r="G21" s="11" t="s">
        <v>93</v>
      </c>
      <c r="H21" s="11" t="s">
        <v>1630</v>
      </c>
      <c r="I21" s="20"/>
      <c r="J21" s="18"/>
    </row>
    <row r="22" spans="1:10" hidden="1">
      <c r="A22" s="11" t="s">
        <v>491</v>
      </c>
      <c r="B22" s="11" t="s">
        <v>1631</v>
      </c>
      <c r="C22" s="20" t="s">
        <v>1632</v>
      </c>
      <c r="D22" s="11" t="s">
        <v>60</v>
      </c>
      <c r="E22" s="11" t="s">
        <v>1586</v>
      </c>
      <c r="F22" s="11" t="s">
        <v>303</v>
      </c>
      <c r="G22" s="11" t="s">
        <v>93</v>
      </c>
      <c r="H22" s="11" t="s">
        <v>1633</v>
      </c>
      <c r="I22" s="20"/>
      <c r="J22" s="18"/>
    </row>
    <row r="23" spans="1:10" hidden="1">
      <c r="A23" s="11" t="s">
        <v>503</v>
      </c>
      <c r="B23" s="11" t="s">
        <v>1418</v>
      </c>
      <c r="C23" s="20" t="s">
        <v>1634</v>
      </c>
      <c r="D23" s="11" t="s">
        <v>60</v>
      </c>
      <c r="E23" s="11" t="s">
        <v>1586</v>
      </c>
      <c r="F23" s="11" t="s">
        <v>303</v>
      </c>
      <c r="G23" s="11" t="s">
        <v>93</v>
      </c>
      <c r="H23" s="11" t="s">
        <v>910</v>
      </c>
      <c r="I23" s="20"/>
      <c r="J23" s="18"/>
    </row>
    <row r="24" spans="1:10" ht="22.8" hidden="1">
      <c r="A24" s="11" t="s">
        <v>598</v>
      </c>
      <c r="B24" s="11" t="s">
        <v>1635</v>
      </c>
      <c r="C24" s="20" t="s">
        <v>1636</v>
      </c>
      <c r="D24" s="11" t="s">
        <v>58</v>
      </c>
      <c r="E24" s="11" t="s">
        <v>1586</v>
      </c>
      <c r="F24" s="11" t="s">
        <v>303</v>
      </c>
      <c r="G24" s="11" t="s">
        <v>93</v>
      </c>
      <c r="H24" s="11" t="s">
        <v>1637</v>
      </c>
      <c r="I24" s="20"/>
      <c r="J24" s="18"/>
    </row>
    <row r="25" spans="1:10" ht="22.8" hidden="1">
      <c r="A25" s="11" t="s">
        <v>838</v>
      </c>
      <c r="B25" s="11" t="s">
        <v>847</v>
      </c>
      <c r="C25" s="20" t="s">
        <v>1638</v>
      </c>
      <c r="D25" s="11" t="s">
        <v>60</v>
      </c>
      <c r="E25" s="11" t="s">
        <v>1586</v>
      </c>
      <c r="F25" s="11" t="s">
        <v>303</v>
      </c>
      <c r="G25" s="11" t="s">
        <v>93</v>
      </c>
      <c r="H25" s="11" t="s">
        <v>1639</v>
      </c>
      <c r="I25" s="20"/>
      <c r="J25" s="18"/>
    </row>
    <row r="26" spans="1:10" hidden="1">
      <c r="A26" s="11" t="s">
        <v>609</v>
      </c>
      <c r="B26" s="11" t="s">
        <v>106</v>
      </c>
      <c r="C26" s="20" t="s">
        <v>1640</v>
      </c>
      <c r="D26" s="11" t="s">
        <v>58</v>
      </c>
      <c r="E26" s="11" t="s">
        <v>1625</v>
      </c>
      <c r="F26" s="11" t="s">
        <v>303</v>
      </c>
      <c r="G26" s="11" t="s">
        <v>93</v>
      </c>
      <c r="H26" s="11" t="s">
        <v>1641</v>
      </c>
      <c r="I26" s="20"/>
      <c r="J26" s="18"/>
    </row>
    <row r="27" spans="1:10" ht="22.8" hidden="1">
      <c r="A27" s="11" t="s">
        <v>930</v>
      </c>
      <c r="B27" s="11" t="s">
        <v>1423</v>
      </c>
      <c r="C27" s="20" t="s">
        <v>1642</v>
      </c>
      <c r="D27" s="11" t="s">
        <v>60</v>
      </c>
      <c r="E27" s="11" t="s">
        <v>1625</v>
      </c>
      <c r="F27" s="11" t="s">
        <v>303</v>
      </c>
      <c r="G27" s="11" t="s">
        <v>93</v>
      </c>
      <c r="H27" s="11" t="s">
        <v>1643</v>
      </c>
      <c r="I27" s="20"/>
      <c r="J27" s="18"/>
    </row>
    <row r="28" spans="1:10" ht="68.400000000000006" hidden="1">
      <c r="A28" s="11" t="s">
        <v>357</v>
      </c>
      <c r="B28" s="11" t="s">
        <v>1644</v>
      </c>
      <c r="C28" s="20" t="s">
        <v>1645</v>
      </c>
      <c r="D28" s="11" t="s">
        <v>56</v>
      </c>
      <c r="E28" s="11" t="s">
        <v>1586</v>
      </c>
      <c r="F28" s="11" t="s">
        <v>46</v>
      </c>
      <c r="G28" s="11" t="s">
        <v>35</v>
      </c>
      <c r="H28" s="11" t="s">
        <v>1646</v>
      </c>
      <c r="I28" s="20" t="s">
        <v>1647</v>
      </c>
      <c r="J28" s="18">
        <v>46252</v>
      </c>
    </row>
    <row r="29" spans="1:10" ht="22.8" hidden="1">
      <c r="A29" s="11" t="s">
        <v>1648</v>
      </c>
      <c r="B29" s="11" t="s">
        <v>319</v>
      </c>
      <c r="C29" s="20" t="s">
        <v>1649</v>
      </c>
      <c r="D29" s="11" t="s">
        <v>59</v>
      </c>
      <c r="E29" s="11" t="s">
        <v>1586</v>
      </c>
      <c r="F29" s="11" t="s">
        <v>303</v>
      </c>
      <c r="G29" s="11" t="s">
        <v>93</v>
      </c>
      <c r="H29" s="11" t="s">
        <v>1650</v>
      </c>
      <c r="I29" s="20"/>
      <c r="J29" s="18"/>
    </row>
    <row r="30" spans="1:10" ht="22.8">
      <c r="A30" s="11" t="s">
        <v>433</v>
      </c>
      <c r="B30" s="11" t="s">
        <v>1651</v>
      </c>
      <c r="C30" s="20" t="s">
        <v>1652</v>
      </c>
      <c r="D30" s="11" t="s">
        <v>57</v>
      </c>
      <c r="E30" s="11" t="s">
        <v>1625</v>
      </c>
      <c r="F30" s="11" t="s">
        <v>2584</v>
      </c>
      <c r="G30" s="11" t="s">
        <v>93</v>
      </c>
      <c r="H30" s="11" t="s">
        <v>1653</v>
      </c>
      <c r="I30" s="20"/>
      <c r="J30" s="18"/>
    </row>
  </sheetData>
  <mergeCells count="2">
    <mergeCell ref="A1:J1"/>
    <mergeCell ref="A2:J2"/>
  </mergeCells>
  <conditionalFormatting sqref="F6:F30">
    <cfRule type="containsText" dxfId="7" priority="1" operator="containsText" text="Done"/>
    <cfRule type="containsText" dxfId="6" priority="2" operator="containsText" text="Blocked"/>
    <cfRule type="containsText" dxfId="5" priority="3" operator="containsText" text="In Progress"/>
    <cfRule type="containsText" dxfId="4" priority="4" operator="containsText" text="Ready for Review"/>
  </conditionalFormatting>
  <dataValidations count="1">
    <dataValidation type="list" sqref="F6:F30" xr:uid="{00000000-0002-0000-0D00-000000000000}">
      <formula1>"Not Started,In Progress,Blocked,Done,Deferred"</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9"/>
  <sheetViews>
    <sheetView showGridLines="0" workbookViewId="0"/>
  </sheetViews>
  <sheetFormatPr defaultRowHeight="13.8"/>
  <cols>
    <col min="1" max="1" width="8" customWidth="1"/>
    <col min="2" max="2" width="44.796875" customWidth="1"/>
    <col min="3" max="3" width="17" customWidth="1"/>
    <col min="4" max="4" width="49.69921875" customWidth="1"/>
    <col min="5" max="5" width="39.796875" customWidth="1"/>
    <col min="9" max="9" width="8.69921875" customWidth="1"/>
  </cols>
  <sheetData>
    <row r="1" spans="1:9" ht="22.8">
      <c r="A1" s="80" t="s">
        <v>1654</v>
      </c>
      <c r="B1" s="80"/>
      <c r="C1" s="80"/>
      <c r="D1" s="80"/>
      <c r="E1" s="80"/>
      <c r="F1" s="80"/>
      <c r="G1" s="80"/>
      <c r="H1" s="80"/>
      <c r="I1" s="80"/>
    </row>
    <row r="2" spans="1:9">
      <c r="A2" s="81" t="s">
        <v>1655</v>
      </c>
      <c r="B2" s="81"/>
      <c r="C2" s="81"/>
      <c r="D2" s="81"/>
      <c r="E2" s="81"/>
      <c r="F2" s="81"/>
      <c r="G2" s="81"/>
      <c r="H2" s="81"/>
      <c r="I2" s="81"/>
    </row>
    <row r="4" spans="1:9">
      <c r="A4" s="74" t="s">
        <v>1656</v>
      </c>
      <c r="B4" s="75"/>
      <c r="C4" s="75"/>
      <c r="D4" s="75"/>
      <c r="E4" s="75"/>
      <c r="F4" s="75"/>
      <c r="G4" s="75"/>
      <c r="H4" s="75"/>
      <c r="I4" s="76"/>
    </row>
    <row r="5" spans="1:9" ht="26.4">
      <c r="A5" s="1" t="s">
        <v>1657</v>
      </c>
      <c r="B5" s="2" t="s">
        <v>1658</v>
      </c>
      <c r="C5" s="2" t="s">
        <v>1659</v>
      </c>
      <c r="D5" s="3" t="s">
        <v>1660</v>
      </c>
      <c r="F5" s="1" t="s">
        <v>1661</v>
      </c>
      <c r="G5" s="2" t="s">
        <v>1662</v>
      </c>
      <c r="H5" s="2" t="s">
        <v>1663</v>
      </c>
      <c r="I5" s="3" t="s">
        <v>1664</v>
      </c>
    </row>
    <row r="6" spans="1:9" ht="91.2">
      <c r="A6" s="10" t="s">
        <v>652</v>
      </c>
      <c r="B6" s="10" t="s">
        <v>1665</v>
      </c>
      <c r="C6" s="10" t="s">
        <v>1666</v>
      </c>
      <c r="D6" s="10" t="s">
        <v>1667</v>
      </c>
      <c r="F6" s="10" t="s">
        <v>1668</v>
      </c>
      <c r="G6" s="10" t="s">
        <v>1669</v>
      </c>
      <c r="H6" s="10" t="s">
        <v>1670</v>
      </c>
      <c r="I6" s="10" t="s">
        <v>1671</v>
      </c>
    </row>
    <row r="7" spans="1:9" ht="125.4">
      <c r="A7" s="11" t="s">
        <v>1672</v>
      </c>
      <c r="B7" s="11" t="s">
        <v>1673</v>
      </c>
      <c r="C7" s="11" t="s">
        <v>1674</v>
      </c>
      <c r="D7" s="11" t="s">
        <v>1675</v>
      </c>
      <c r="F7" s="11" t="s">
        <v>1676</v>
      </c>
      <c r="G7" s="11" t="s">
        <v>1677</v>
      </c>
      <c r="H7" s="11" t="s">
        <v>1678</v>
      </c>
      <c r="I7" s="11" t="s">
        <v>1679</v>
      </c>
    </row>
    <row r="8" spans="1:9" ht="79.8">
      <c r="A8" s="11" t="s">
        <v>1680</v>
      </c>
      <c r="B8" s="11" t="s">
        <v>1681</v>
      </c>
      <c r="C8" s="11" t="s">
        <v>1682</v>
      </c>
      <c r="D8" s="11" t="s">
        <v>1683</v>
      </c>
      <c r="F8" s="11" t="s">
        <v>1684</v>
      </c>
      <c r="G8" s="11" t="s">
        <v>1685</v>
      </c>
      <c r="H8" s="11" t="s">
        <v>1686</v>
      </c>
      <c r="I8" s="11" t="s">
        <v>1687</v>
      </c>
    </row>
    <row r="11" spans="1:9">
      <c r="A11" s="1" t="s">
        <v>1004</v>
      </c>
      <c r="B11" s="2" t="s">
        <v>994</v>
      </c>
      <c r="C11" s="2" t="s">
        <v>1688</v>
      </c>
      <c r="D11" s="2" t="s">
        <v>1689</v>
      </c>
      <c r="E11" s="3" t="s">
        <v>1690</v>
      </c>
    </row>
    <row r="12" spans="1:9" ht="22.8">
      <c r="A12" s="10">
        <v>1</v>
      </c>
      <c r="B12" s="10" t="s">
        <v>1691</v>
      </c>
      <c r="C12" s="10" t="s">
        <v>1685</v>
      </c>
      <c r="D12" s="10" t="s">
        <v>1692</v>
      </c>
      <c r="E12" s="10" t="s">
        <v>1693</v>
      </c>
    </row>
    <row r="13" spans="1:9">
      <c r="A13" s="11">
        <v>2</v>
      </c>
      <c r="B13" s="11" t="s">
        <v>1694</v>
      </c>
      <c r="C13" s="11" t="s">
        <v>1695</v>
      </c>
      <c r="D13" s="11" t="s">
        <v>1696</v>
      </c>
      <c r="E13" s="11" t="s">
        <v>1697</v>
      </c>
    </row>
    <row r="14" spans="1:9">
      <c r="A14" s="11">
        <v>3</v>
      </c>
      <c r="B14" s="11" t="s">
        <v>1698</v>
      </c>
      <c r="C14" s="11" t="s">
        <v>652</v>
      </c>
      <c r="D14" s="11" t="s">
        <v>1699</v>
      </c>
      <c r="E14" s="11" t="s">
        <v>1700</v>
      </c>
    </row>
    <row r="15" spans="1:9" ht="22.8">
      <c r="A15" s="11">
        <v>4</v>
      </c>
      <c r="B15" s="11" t="s">
        <v>1701</v>
      </c>
      <c r="C15" s="11" t="s">
        <v>1672</v>
      </c>
      <c r="D15" s="11" t="s">
        <v>1702</v>
      </c>
      <c r="E15" s="11" t="s">
        <v>1703</v>
      </c>
    </row>
    <row r="16" spans="1:9" ht="22.8">
      <c r="A16" s="11">
        <v>5</v>
      </c>
      <c r="B16" s="11" t="s">
        <v>1704</v>
      </c>
      <c r="C16" s="11" t="s">
        <v>1311</v>
      </c>
      <c r="D16" s="11" t="s">
        <v>1705</v>
      </c>
      <c r="E16" s="11" t="s">
        <v>1706</v>
      </c>
    </row>
    <row r="17" spans="1:9" ht="22.8">
      <c r="A17" s="11">
        <v>6</v>
      </c>
      <c r="B17" s="11" t="s">
        <v>1707</v>
      </c>
      <c r="C17" s="11" t="s">
        <v>1311</v>
      </c>
      <c r="D17" s="11" t="s">
        <v>1708</v>
      </c>
      <c r="E17" s="11" t="s">
        <v>1709</v>
      </c>
    </row>
    <row r="18" spans="1:9" ht="22.8">
      <c r="A18" s="11">
        <v>7</v>
      </c>
      <c r="B18" s="11" t="s">
        <v>1710</v>
      </c>
      <c r="C18" s="11" t="s">
        <v>1311</v>
      </c>
      <c r="D18" s="11" t="s">
        <v>1711</v>
      </c>
      <c r="E18" s="11" t="s">
        <v>1712</v>
      </c>
    </row>
    <row r="19" spans="1:9" ht="22.8">
      <c r="A19" s="11">
        <v>8</v>
      </c>
      <c r="B19" s="11" t="s">
        <v>1713</v>
      </c>
      <c r="C19" s="11" t="s">
        <v>1311</v>
      </c>
      <c r="D19" s="11" t="s">
        <v>1714</v>
      </c>
      <c r="E19" s="11" t="s">
        <v>1715</v>
      </c>
    </row>
    <row r="20" spans="1:9">
      <c r="A20" s="11">
        <v>9</v>
      </c>
      <c r="B20" s="11" t="s">
        <v>1716</v>
      </c>
      <c r="C20" s="11" t="s">
        <v>1311</v>
      </c>
      <c r="D20" s="11" t="s">
        <v>1717</v>
      </c>
      <c r="E20" s="11" t="s">
        <v>1718</v>
      </c>
    </row>
    <row r="21" spans="1:9" ht="22.8">
      <c r="A21" s="11">
        <v>10</v>
      </c>
      <c r="B21" s="11" t="s">
        <v>1719</v>
      </c>
      <c r="C21" s="11" t="s">
        <v>1311</v>
      </c>
      <c r="D21" s="11" t="s">
        <v>1720</v>
      </c>
      <c r="E21" s="11" t="s">
        <v>1721</v>
      </c>
    </row>
    <row r="22" spans="1:9" ht="22.8">
      <c r="A22" s="11">
        <v>11</v>
      </c>
      <c r="B22" s="11" t="s">
        <v>1722</v>
      </c>
      <c r="C22" s="11" t="s">
        <v>1311</v>
      </c>
      <c r="D22" s="11" t="s">
        <v>1723</v>
      </c>
      <c r="E22" s="11" t="s">
        <v>1724</v>
      </c>
    </row>
    <row r="23" spans="1:9">
      <c r="A23" s="11">
        <v>12</v>
      </c>
      <c r="B23" s="11" t="s">
        <v>1725</v>
      </c>
      <c r="C23" s="11" t="s">
        <v>1311</v>
      </c>
      <c r="D23" s="11" t="s">
        <v>1726</v>
      </c>
      <c r="E23" s="11" t="s">
        <v>1727</v>
      </c>
    </row>
    <row r="24" spans="1:9" ht="22.8">
      <c r="A24" s="11">
        <v>13</v>
      </c>
      <c r="B24" s="11" t="s">
        <v>1728</v>
      </c>
      <c r="C24" s="11" t="s">
        <v>1311</v>
      </c>
      <c r="D24" s="11" t="s">
        <v>1729</v>
      </c>
      <c r="E24" s="11" t="s">
        <v>1730</v>
      </c>
    </row>
    <row r="25" spans="1:9">
      <c r="A25" s="11">
        <v>14</v>
      </c>
      <c r="B25" s="11" t="s">
        <v>1731</v>
      </c>
      <c r="C25" s="11" t="s">
        <v>1311</v>
      </c>
      <c r="D25" s="11" t="s">
        <v>1732</v>
      </c>
      <c r="E25" s="11" t="s">
        <v>1733</v>
      </c>
    </row>
    <row r="26" spans="1:9">
      <c r="A26" s="11">
        <v>15</v>
      </c>
      <c r="B26" s="11" t="s">
        <v>1734</v>
      </c>
      <c r="C26" s="11" t="s">
        <v>1311</v>
      </c>
      <c r="D26" s="11" t="s">
        <v>1735</v>
      </c>
      <c r="E26" s="11" t="s">
        <v>1736</v>
      </c>
    </row>
    <row r="27" spans="1:9" ht="22.8">
      <c r="A27" s="11">
        <v>16</v>
      </c>
      <c r="B27" s="11" t="s">
        <v>1737</v>
      </c>
      <c r="C27" s="11" t="s">
        <v>1685</v>
      </c>
      <c r="D27" s="11" t="s">
        <v>1738</v>
      </c>
      <c r="E27" s="11" t="s">
        <v>1739</v>
      </c>
    </row>
    <row r="29" spans="1:9">
      <c r="A29" s="123" t="s">
        <v>1740</v>
      </c>
      <c r="B29" s="124"/>
      <c r="C29" s="124"/>
      <c r="D29" s="124"/>
      <c r="E29" s="124"/>
      <c r="F29" s="124"/>
      <c r="G29" s="124"/>
      <c r="H29" s="124"/>
      <c r="I29" s="125"/>
    </row>
  </sheetData>
  <mergeCells count="4">
    <mergeCell ref="A1:I1"/>
    <mergeCell ref="A2:I2"/>
    <mergeCell ref="A4:I4"/>
    <mergeCell ref="A29:I29"/>
  </mergeCells>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G69"/>
  <sheetViews>
    <sheetView showGridLines="0" workbookViewId="0"/>
  </sheetViews>
  <sheetFormatPr defaultRowHeight="13.8"/>
  <cols>
    <col min="1" max="1" width="19" customWidth="1"/>
    <col min="2" max="2" width="30" customWidth="1"/>
    <col min="3" max="4" width="18" customWidth="1"/>
    <col min="5" max="5" width="42" customWidth="1"/>
    <col min="6" max="6" width="38" customWidth="1"/>
    <col min="7" max="7" width="44" customWidth="1"/>
  </cols>
  <sheetData>
    <row r="1" spans="1:7" ht="31.95" customHeight="1">
      <c r="A1" s="80" t="s">
        <v>1741</v>
      </c>
      <c r="B1" s="80"/>
      <c r="C1" s="80"/>
      <c r="D1" s="80"/>
      <c r="E1" s="80"/>
      <c r="F1" s="80"/>
      <c r="G1" s="80"/>
    </row>
    <row r="2" spans="1:7" ht="31.95" customHeight="1">
      <c r="A2" s="81" t="s">
        <v>1742</v>
      </c>
      <c r="B2" s="81"/>
      <c r="C2" s="81"/>
      <c r="D2" s="81"/>
      <c r="E2" s="81"/>
      <c r="F2" s="81"/>
      <c r="G2" s="81"/>
    </row>
    <row r="5" spans="1:7" ht="28.05" customHeight="1">
      <c r="A5" s="1" t="s">
        <v>1576</v>
      </c>
      <c r="B5" s="2" t="s">
        <v>1743</v>
      </c>
      <c r="C5" s="2" t="s">
        <v>71</v>
      </c>
      <c r="D5" s="2" t="s">
        <v>1744</v>
      </c>
      <c r="E5" s="2" t="s">
        <v>1745</v>
      </c>
      <c r="F5" s="2" t="s">
        <v>1746</v>
      </c>
      <c r="G5" s="3" t="s">
        <v>1747</v>
      </c>
    </row>
    <row r="6" spans="1:7">
      <c r="A6" s="10" t="s">
        <v>1748</v>
      </c>
      <c r="B6" s="10" t="s">
        <v>1749</v>
      </c>
      <c r="C6" s="10" t="s">
        <v>1750</v>
      </c>
      <c r="D6" s="10" t="s">
        <v>1567</v>
      </c>
      <c r="E6" s="10" t="s">
        <v>1751</v>
      </c>
      <c r="F6" s="10" t="s">
        <v>1752</v>
      </c>
      <c r="G6" s="10" t="s">
        <v>1753</v>
      </c>
    </row>
    <row r="7" spans="1:7">
      <c r="A7" s="11" t="s">
        <v>1748</v>
      </c>
      <c r="B7" s="11" t="s">
        <v>1754</v>
      </c>
      <c r="C7" s="11" t="s">
        <v>1750</v>
      </c>
      <c r="D7" s="11" t="s">
        <v>1755</v>
      </c>
      <c r="E7" s="11" t="s">
        <v>1756</v>
      </c>
      <c r="F7" s="11" t="s">
        <v>1757</v>
      </c>
      <c r="G7" s="11" t="s">
        <v>1758</v>
      </c>
    </row>
    <row r="8" spans="1:7">
      <c r="A8" s="11" t="s">
        <v>1748</v>
      </c>
      <c r="B8" s="11" t="s">
        <v>1759</v>
      </c>
      <c r="C8" s="11" t="s">
        <v>1750</v>
      </c>
      <c r="D8" s="11" t="s">
        <v>1755</v>
      </c>
      <c r="E8" s="11" t="s">
        <v>1760</v>
      </c>
      <c r="F8" s="11" t="s">
        <v>1761</v>
      </c>
      <c r="G8" s="11" t="s">
        <v>1762</v>
      </c>
    </row>
    <row r="9" spans="1:7">
      <c r="A9" s="11" t="s">
        <v>1748</v>
      </c>
      <c r="B9" s="11" t="s">
        <v>1763</v>
      </c>
      <c r="C9" s="11" t="s">
        <v>1750</v>
      </c>
      <c r="D9" s="11" t="s">
        <v>1755</v>
      </c>
      <c r="E9" s="11" t="s">
        <v>1764</v>
      </c>
      <c r="F9" s="11" t="s">
        <v>1765</v>
      </c>
      <c r="G9" s="11" t="s">
        <v>1766</v>
      </c>
    </row>
    <row r="10" spans="1:7">
      <c r="A10" s="11" t="s">
        <v>1748</v>
      </c>
      <c r="B10" s="11" t="s">
        <v>1767</v>
      </c>
      <c r="C10" s="11" t="s">
        <v>1750</v>
      </c>
      <c r="D10" s="11" t="s">
        <v>1755</v>
      </c>
      <c r="E10" s="11" t="s">
        <v>1768</v>
      </c>
      <c r="F10" s="11" t="s">
        <v>1769</v>
      </c>
      <c r="G10" s="11" t="s">
        <v>1770</v>
      </c>
    </row>
    <row r="11" spans="1:7">
      <c r="A11" s="11" t="s">
        <v>1771</v>
      </c>
      <c r="B11" s="11" t="s">
        <v>1772</v>
      </c>
      <c r="C11" s="11" t="s">
        <v>89</v>
      </c>
      <c r="D11" s="11" t="s">
        <v>1773</v>
      </c>
      <c r="E11" s="11" t="s">
        <v>1774</v>
      </c>
      <c r="F11" s="11" t="s">
        <v>1775</v>
      </c>
      <c r="G11" s="11" t="s">
        <v>1776</v>
      </c>
    </row>
    <row r="12" spans="1:7">
      <c r="A12" s="11" t="s">
        <v>1771</v>
      </c>
      <c r="B12" s="11" t="s">
        <v>1777</v>
      </c>
      <c r="C12" s="11" t="s">
        <v>89</v>
      </c>
      <c r="D12" s="11" t="s">
        <v>58</v>
      </c>
      <c r="E12" s="11" t="s">
        <v>1778</v>
      </c>
      <c r="F12" s="11" t="s">
        <v>1779</v>
      </c>
      <c r="G12" s="11" t="s">
        <v>1780</v>
      </c>
    </row>
    <row r="13" spans="1:7">
      <c r="A13" s="11" t="s">
        <v>1781</v>
      </c>
      <c r="B13" s="11" t="s">
        <v>1782</v>
      </c>
      <c r="C13" s="11" t="s">
        <v>1750</v>
      </c>
      <c r="D13" s="11" t="s">
        <v>1567</v>
      </c>
      <c r="E13" s="11" t="s">
        <v>1783</v>
      </c>
      <c r="F13" s="11" t="s">
        <v>1784</v>
      </c>
      <c r="G13" s="11" t="s">
        <v>1785</v>
      </c>
    </row>
    <row r="14" spans="1:7">
      <c r="A14" s="11" t="s">
        <v>1781</v>
      </c>
      <c r="B14" s="11" t="s">
        <v>1786</v>
      </c>
      <c r="C14" s="11" t="s">
        <v>1750</v>
      </c>
      <c r="D14" s="11" t="s">
        <v>1567</v>
      </c>
      <c r="E14" s="11" t="s">
        <v>1787</v>
      </c>
      <c r="F14" s="11" t="s">
        <v>1788</v>
      </c>
      <c r="G14" s="11" t="s">
        <v>1789</v>
      </c>
    </row>
    <row r="15" spans="1:7">
      <c r="A15" s="11" t="s">
        <v>1781</v>
      </c>
      <c r="B15" s="11" t="s">
        <v>1790</v>
      </c>
      <c r="C15" s="11" t="s">
        <v>1750</v>
      </c>
      <c r="D15" s="11" t="s">
        <v>1791</v>
      </c>
      <c r="E15" s="11" t="s">
        <v>1792</v>
      </c>
      <c r="F15" s="11" t="s">
        <v>1793</v>
      </c>
      <c r="G15" s="11" t="s">
        <v>1794</v>
      </c>
    </row>
    <row r="16" spans="1:7">
      <c r="A16" s="11" t="s">
        <v>1781</v>
      </c>
      <c r="B16" s="11" t="s">
        <v>1795</v>
      </c>
      <c r="C16" s="11" t="s">
        <v>1750</v>
      </c>
      <c r="D16" s="11" t="s">
        <v>1796</v>
      </c>
      <c r="E16" s="11" t="s">
        <v>1797</v>
      </c>
      <c r="F16" s="11" t="s">
        <v>1798</v>
      </c>
      <c r="G16" s="11" t="s">
        <v>1799</v>
      </c>
    </row>
    <row r="17" spans="1:7">
      <c r="A17" s="11" t="s">
        <v>1800</v>
      </c>
      <c r="B17" s="11" t="s">
        <v>1801</v>
      </c>
      <c r="C17" s="11" t="s">
        <v>1750</v>
      </c>
      <c r="D17" s="11" t="s">
        <v>1802</v>
      </c>
      <c r="E17" s="11" t="s">
        <v>1803</v>
      </c>
      <c r="F17" s="11" t="s">
        <v>1804</v>
      </c>
      <c r="G17" s="11" t="s">
        <v>1805</v>
      </c>
    </row>
    <row r="18" spans="1:7" ht="22.8">
      <c r="A18" s="11" t="s">
        <v>442</v>
      </c>
      <c r="B18" s="11" t="s">
        <v>1806</v>
      </c>
      <c r="C18" s="11" t="s">
        <v>89</v>
      </c>
      <c r="D18" s="11" t="s">
        <v>57</v>
      </c>
      <c r="E18" s="11" t="s">
        <v>1807</v>
      </c>
      <c r="F18" s="11" t="s">
        <v>1808</v>
      </c>
      <c r="G18" s="11" t="s">
        <v>1809</v>
      </c>
    </row>
    <row r="19" spans="1:7">
      <c r="A19" s="11" t="s">
        <v>442</v>
      </c>
      <c r="B19" s="11" t="s">
        <v>1810</v>
      </c>
      <c r="C19" s="11" t="s">
        <v>365</v>
      </c>
      <c r="D19" s="11" t="s">
        <v>1567</v>
      </c>
      <c r="E19" s="11" t="s">
        <v>1811</v>
      </c>
      <c r="F19" s="11" t="s">
        <v>1812</v>
      </c>
      <c r="G19" s="11" t="s">
        <v>1813</v>
      </c>
    </row>
    <row r="20" spans="1:7">
      <c r="A20" s="11" t="s">
        <v>1354</v>
      </c>
      <c r="B20" s="11" t="s">
        <v>1814</v>
      </c>
      <c r="C20" s="11" t="s">
        <v>89</v>
      </c>
      <c r="D20" s="11" t="s">
        <v>57</v>
      </c>
      <c r="E20" s="11" t="s">
        <v>1815</v>
      </c>
      <c r="F20" s="11" t="s">
        <v>1816</v>
      </c>
      <c r="G20" s="11" t="s">
        <v>1817</v>
      </c>
    </row>
    <row r="21" spans="1:7">
      <c r="A21" s="11" t="s">
        <v>1354</v>
      </c>
      <c r="B21" s="11" t="s">
        <v>1818</v>
      </c>
      <c r="C21" s="11" t="s">
        <v>89</v>
      </c>
      <c r="D21" s="11" t="s">
        <v>57</v>
      </c>
      <c r="E21" s="11" t="s">
        <v>1819</v>
      </c>
      <c r="F21" s="11" t="s">
        <v>1820</v>
      </c>
      <c r="G21" s="11" t="s">
        <v>1821</v>
      </c>
    </row>
    <row r="22" spans="1:7">
      <c r="A22" s="11" t="s">
        <v>1354</v>
      </c>
      <c r="B22" s="11" t="s">
        <v>1822</v>
      </c>
      <c r="C22" s="11" t="s">
        <v>365</v>
      </c>
      <c r="D22" s="11" t="s">
        <v>1567</v>
      </c>
      <c r="E22" s="11" t="s">
        <v>1823</v>
      </c>
      <c r="F22" s="11" t="s">
        <v>1824</v>
      </c>
      <c r="G22" s="11" t="s">
        <v>1825</v>
      </c>
    </row>
    <row r="23" spans="1:7">
      <c r="A23" s="11" t="s">
        <v>1826</v>
      </c>
      <c r="B23" s="11" t="s">
        <v>1827</v>
      </c>
      <c r="C23" s="11" t="s">
        <v>89</v>
      </c>
      <c r="D23" s="11" t="s">
        <v>58</v>
      </c>
      <c r="E23" s="11" t="s">
        <v>1828</v>
      </c>
      <c r="F23" s="11" t="s">
        <v>1829</v>
      </c>
      <c r="G23" s="11" t="s">
        <v>1830</v>
      </c>
    </row>
    <row r="24" spans="1:7">
      <c r="A24" s="11" t="s">
        <v>1826</v>
      </c>
      <c r="B24" s="11" t="s">
        <v>1831</v>
      </c>
      <c r="C24" s="11" t="s">
        <v>1750</v>
      </c>
      <c r="D24" s="11" t="s">
        <v>1832</v>
      </c>
      <c r="E24" s="11" t="s">
        <v>1833</v>
      </c>
      <c r="F24" s="11" t="s">
        <v>1834</v>
      </c>
      <c r="G24" s="11" t="s">
        <v>1835</v>
      </c>
    </row>
    <row r="25" spans="1:7">
      <c r="A25" s="11" t="s">
        <v>1826</v>
      </c>
      <c r="B25" s="11" t="s">
        <v>1836</v>
      </c>
      <c r="C25" s="11" t="s">
        <v>1750</v>
      </c>
      <c r="D25" s="11" t="s">
        <v>1832</v>
      </c>
      <c r="E25" s="11" t="s">
        <v>1837</v>
      </c>
      <c r="F25" s="11" t="s">
        <v>1838</v>
      </c>
      <c r="G25" s="11" t="s">
        <v>1839</v>
      </c>
    </row>
    <row r="26" spans="1:7">
      <c r="A26" s="11" t="s">
        <v>1826</v>
      </c>
      <c r="B26" s="11" t="s">
        <v>1840</v>
      </c>
      <c r="C26" s="11" t="s">
        <v>1750</v>
      </c>
      <c r="D26" s="11" t="s">
        <v>1755</v>
      </c>
      <c r="E26" s="11" t="s">
        <v>1841</v>
      </c>
      <c r="F26" s="11" t="s">
        <v>1842</v>
      </c>
      <c r="G26" s="11" t="s">
        <v>1843</v>
      </c>
    </row>
    <row r="27" spans="1:7">
      <c r="A27" s="11" t="s">
        <v>1844</v>
      </c>
      <c r="B27" s="11" t="s">
        <v>1845</v>
      </c>
      <c r="C27" s="11" t="s">
        <v>89</v>
      </c>
      <c r="D27" s="11" t="s">
        <v>1255</v>
      </c>
      <c r="E27" s="11" t="s">
        <v>1846</v>
      </c>
      <c r="F27" s="11" t="s">
        <v>1816</v>
      </c>
      <c r="G27" s="11" t="s">
        <v>1847</v>
      </c>
    </row>
    <row r="28" spans="1:7">
      <c r="A28" s="11" t="s">
        <v>1844</v>
      </c>
      <c r="B28" s="11" t="s">
        <v>1848</v>
      </c>
      <c r="C28" s="11" t="s">
        <v>1750</v>
      </c>
      <c r="D28" s="11" t="s">
        <v>1849</v>
      </c>
      <c r="E28" s="11" t="s">
        <v>1850</v>
      </c>
      <c r="F28" s="11" t="s">
        <v>1851</v>
      </c>
      <c r="G28" s="11" t="s">
        <v>1852</v>
      </c>
    </row>
    <row r="29" spans="1:7">
      <c r="A29" s="11" t="s">
        <v>1853</v>
      </c>
      <c r="B29" s="11" t="s">
        <v>1854</v>
      </c>
      <c r="C29" s="11" t="s">
        <v>365</v>
      </c>
      <c r="D29" s="11" t="s">
        <v>1855</v>
      </c>
      <c r="E29" s="11" t="s">
        <v>1856</v>
      </c>
      <c r="F29" s="11" t="s">
        <v>1857</v>
      </c>
      <c r="G29" s="11" t="s">
        <v>1858</v>
      </c>
    </row>
    <row r="30" spans="1:7">
      <c r="A30" s="11" t="s">
        <v>1853</v>
      </c>
      <c r="B30" s="11" t="s">
        <v>1859</v>
      </c>
      <c r="C30" s="11" t="s">
        <v>1750</v>
      </c>
      <c r="D30" s="11" t="s">
        <v>1855</v>
      </c>
      <c r="E30" s="11" t="s">
        <v>1860</v>
      </c>
      <c r="F30" s="11" t="s">
        <v>1861</v>
      </c>
      <c r="G30" s="11" t="s">
        <v>1862</v>
      </c>
    </row>
    <row r="31" spans="1:7">
      <c r="A31" s="11" t="s">
        <v>1863</v>
      </c>
      <c r="B31" s="11" t="s">
        <v>1864</v>
      </c>
      <c r="C31" s="11" t="s">
        <v>1750</v>
      </c>
      <c r="D31" s="11" t="s">
        <v>1865</v>
      </c>
      <c r="E31" s="11" t="s">
        <v>1866</v>
      </c>
      <c r="F31" s="11" t="s">
        <v>1867</v>
      </c>
      <c r="G31" s="11" t="s">
        <v>1868</v>
      </c>
    </row>
    <row r="32" spans="1:7">
      <c r="A32" s="11" t="s">
        <v>293</v>
      </c>
      <c r="B32" s="11" t="s">
        <v>1869</v>
      </c>
      <c r="C32" s="11" t="s">
        <v>89</v>
      </c>
      <c r="D32" s="11" t="s">
        <v>37</v>
      </c>
      <c r="E32" s="11" t="s">
        <v>1870</v>
      </c>
      <c r="F32" s="11" t="s">
        <v>1871</v>
      </c>
      <c r="G32" s="11" t="s">
        <v>1872</v>
      </c>
    </row>
    <row r="33" spans="1:7">
      <c r="A33" s="11" t="s">
        <v>293</v>
      </c>
      <c r="B33" s="11" t="s">
        <v>1873</v>
      </c>
      <c r="C33" s="11" t="s">
        <v>1750</v>
      </c>
      <c r="D33" s="11" t="s">
        <v>1791</v>
      </c>
      <c r="E33" s="11" t="s">
        <v>1874</v>
      </c>
      <c r="F33" s="11" t="s">
        <v>1875</v>
      </c>
      <c r="G33" s="11" t="s">
        <v>1876</v>
      </c>
    </row>
    <row r="34" spans="1:7">
      <c r="A34" s="11" t="s">
        <v>1877</v>
      </c>
      <c r="B34" s="11" t="s">
        <v>1181</v>
      </c>
      <c r="C34" s="11" t="s">
        <v>89</v>
      </c>
      <c r="D34" s="11" t="s">
        <v>37</v>
      </c>
      <c r="E34" s="11" t="s">
        <v>1878</v>
      </c>
      <c r="F34" s="11" t="s">
        <v>1879</v>
      </c>
      <c r="G34" s="11" t="s">
        <v>1880</v>
      </c>
    </row>
    <row r="35" spans="1:7" ht="22.8">
      <c r="A35" s="11" t="s">
        <v>1877</v>
      </c>
      <c r="B35" s="11" t="s">
        <v>1186</v>
      </c>
      <c r="C35" s="11" t="s">
        <v>1881</v>
      </c>
      <c r="D35" s="11" t="s">
        <v>59</v>
      </c>
      <c r="E35" s="11" t="s">
        <v>1882</v>
      </c>
      <c r="F35" s="11" t="s">
        <v>1883</v>
      </c>
      <c r="G35" s="11" t="s">
        <v>1884</v>
      </c>
    </row>
    <row r="36" spans="1:7">
      <c r="A36" s="11" t="s">
        <v>1877</v>
      </c>
      <c r="B36" s="11" t="s">
        <v>1885</v>
      </c>
      <c r="C36" s="11" t="s">
        <v>1750</v>
      </c>
      <c r="D36" s="11" t="s">
        <v>1886</v>
      </c>
      <c r="E36" s="11" t="s">
        <v>1887</v>
      </c>
      <c r="F36" s="11" t="s">
        <v>1888</v>
      </c>
      <c r="G36" s="11" t="s">
        <v>1889</v>
      </c>
    </row>
    <row r="37" spans="1:7">
      <c r="A37" s="11" t="s">
        <v>1877</v>
      </c>
      <c r="B37" s="11" t="s">
        <v>1890</v>
      </c>
      <c r="C37" s="11" t="s">
        <v>1750</v>
      </c>
      <c r="D37" s="11" t="s">
        <v>1891</v>
      </c>
      <c r="E37" s="11" t="s">
        <v>1892</v>
      </c>
      <c r="F37" s="11" t="s">
        <v>1888</v>
      </c>
      <c r="G37" s="11" t="s">
        <v>1893</v>
      </c>
    </row>
    <row r="38" spans="1:7">
      <c r="A38" s="11" t="s">
        <v>1877</v>
      </c>
      <c r="B38" s="11" t="s">
        <v>1894</v>
      </c>
      <c r="C38" s="11" t="s">
        <v>1750</v>
      </c>
      <c r="D38" s="11" t="s">
        <v>1895</v>
      </c>
      <c r="E38" s="11" t="s">
        <v>1896</v>
      </c>
      <c r="F38" s="11" t="s">
        <v>1897</v>
      </c>
      <c r="G38" s="11" t="s">
        <v>1898</v>
      </c>
    </row>
    <row r="39" spans="1:7">
      <c r="A39" s="11" t="s">
        <v>1877</v>
      </c>
      <c r="B39" s="11" t="s">
        <v>1899</v>
      </c>
      <c r="C39" s="11" t="s">
        <v>1750</v>
      </c>
      <c r="D39" s="11" t="s">
        <v>1900</v>
      </c>
      <c r="E39" s="11" t="s">
        <v>1901</v>
      </c>
      <c r="F39" s="11" t="s">
        <v>1897</v>
      </c>
      <c r="G39" s="11" t="s">
        <v>1902</v>
      </c>
    </row>
    <row r="40" spans="1:7">
      <c r="A40" s="11" t="s">
        <v>1877</v>
      </c>
      <c r="B40" s="11" t="s">
        <v>1903</v>
      </c>
      <c r="C40" s="11" t="s">
        <v>1750</v>
      </c>
      <c r="D40" s="11" t="s">
        <v>1904</v>
      </c>
      <c r="E40" s="11" t="s">
        <v>1905</v>
      </c>
      <c r="F40" s="11" t="s">
        <v>1897</v>
      </c>
      <c r="G40" s="11" t="s">
        <v>1906</v>
      </c>
    </row>
    <row r="41" spans="1:7">
      <c r="A41" s="11" t="s">
        <v>1907</v>
      </c>
      <c r="B41" s="11" t="s">
        <v>1908</v>
      </c>
      <c r="C41" s="11" t="s">
        <v>365</v>
      </c>
      <c r="D41" s="11" t="s">
        <v>1909</v>
      </c>
      <c r="E41" s="11" t="s">
        <v>1910</v>
      </c>
      <c r="F41" s="11" t="s">
        <v>1911</v>
      </c>
      <c r="G41" s="11" t="s">
        <v>1912</v>
      </c>
    </row>
    <row r="42" spans="1:7">
      <c r="A42" s="11" t="s">
        <v>1907</v>
      </c>
      <c r="B42" s="11" t="s">
        <v>1913</v>
      </c>
      <c r="C42" s="11" t="s">
        <v>1750</v>
      </c>
      <c r="D42" s="11" t="s">
        <v>1914</v>
      </c>
      <c r="E42" s="11" t="s">
        <v>1915</v>
      </c>
      <c r="F42" s="11" t="s">
        <v>1916</v>
      </c>
      <c r="G42" s="11" t="s">
        <v>1917</v>
      </c>
    </row>
    <row r="43" spans="1:7">
      <c r="A43" s="11" t="s">
        <v>1907</v>
      </c>
      <c r="B43" s="11" t="s">
        <v>1918</v>
      </c>
      <c r="C43" s="11" t="s">
        <v>1750</v>
      </c>
      <c r="D43" s="11" t="s">
        <v>1919</v>
      </c>
      <c r="E43" s="11" t="s">
        <v>1920</v>
      </c>
      <c r="F43" s="11" t="s">
        <v>1921</v>
      </c>
      <c r="G43" s="11" t="s">
        <v>1922</v>
      </c>
    </row>
    <row r="44" spans="1:7">
      <c r="A44" s="11" t="s">
        <v>1923</v>
      </c>
      <c r="B44" s="11" t="s">
        <v>1924</v>
      </c>
      <c r="C44" s="11" t="s">
        <v>365</v>
      </c>
      <c r="D44" s="11" t="s">
        <v>1909</v>
      </c>
      <c r="E44" s="11" t="s">
        <v>1925</v>
      </c>
      <c r="F44" s="11" t="s">
        <v>1926</v>
      </c>
      <c r="G44" s="11" t="s">
        <v>1927</v>
      </c>
    </row>
    <row r="45" spans="1:7">
      <c r="A45" s="11" t="s">
        <v>1923</v>
      </c>
      <c r="B45" s="11" t="s">
        <v>1928</v>
      </c>
      <c r="C45" s="11" t="s">
        <v>1750</v>
      </c>
      <c r="D45" s="11" t="s">
        <v>1919</v>
      </c>
      <c r="E45" s="11" t="s">
        <v>1929</v>
      </c>
      <c r="F45" s="11" t="s">
        <v>1930</v>
      </c>
      <c r="G45" s="11" t="s">
        <v>1931</v>
      </c>
    </row>
    <row r="46" spans="1:7">
      <c r="A46" s="11" t="s">
        <v>1923</v>
      </c>
      <c r="B46" s="11" t="s">
        <v>1932</v>
      </c>
      <c r="C46" s="11" t="s">
        <v>1750</v>
      </c>
      <c r="D46" s="11" t="s">
        <v>1919</v>
      </c>
      <c r="E46" s="11" t="s">
        <v>1933</v>
      </c>
      <c r="F46" s="11" t="s">
        <v>1934</v>
      </c>
      <c r="G46" s="11" t="s">
        <v>1935</v>
      </c>
    </row>
    <row r="47" spans="1:7">
      <c r="A47" s="11" t="s">
        <v>1936</v>
      </c>
      <c r="B47" s="11" t="s">
        <v>1937</v>
      </c>
      <c r="C47" s="11" t="s">
        <v>365</v>
      </c>
      <c r="D47" s="11" t="s">
        <v>1909</v>
      </c>
      <c r="E47" s="11" t="s">
        <v>1938</v>
      </c>
      <c r="F47" s="11" t="s">
        <v>1939</v>
      </c>
      <c r="G47" s="11" t="s">
        <v>1940</v>
      </c>
    </row>
    <row r="48" spans="1:7">
      <c r="A48" s="11" t="s">
        <v>1936</v>
      </c>
      <c r="B48" s="11" t="s">
        <v>1941</v>
      </c>
      <c r="C48" s="11" t="s">
        <v>1750</v>
      </c>
      <c r="D48" s="11" t="s">
        <v>1942</v>
      </c>
      <c r="E48" s="11" t="s">
        <v>1943</v>
      </c>
      <c r="F48" s="11" t="s">
        <v>1944</v>
      </c>
      <c r="G48" s="11" t="s">
        <v>1945</v>
      </c>
    </row>
    <row r="49" spans="1:7">
      <c r="A49" s="11" t="s">
        <v>106</v>
      </c>
      <c r="B49" s="11" t="s">
        <v>1946</v>
      </c>
      <c r="C49" s="11" t="s">
        <v>89</v>
      </c>
      <c r="D49" s="11" t="s">
        <v>37</v>
      </c>
      <c r="E49" s="11" t="s">
        <v>1947</v>
      </c>
      <c r="F49" s="11" t="s">
        <v>1948</v>
      </c>
      <c r="G49" s="11" t="s">
        <v>1949</v>
      </c>
    </row>
    <row r="50" spans="1:7">
      <c r="A50" s="11" t="s">
        <v>106</v>
      </c>
      <c r="B50" s="11" t="s">
        <v>1950</v>
      </c>
      <c r="C50" s="11" t="s">
        <v>365</v>
      </c>
      <c r="D50" s="11" t="s">
        <v>1909</v>
      </c>
      <c r="E50" s="11" t="s">
        <v>1951</v>
      </c>
      <c r="F50" s="11" t="s">
        <v>1952</v>
      </c>
      <c r="G50" s="11" t="s">
        <v>1953</v>
      </c>
    </row>
    <row r="51" spans="1:7">
      <c r="A51" s="11" t="s">
        <v>1954</v>
      </c>
      <c r="B51" s="11" t="s">
        <v>1231</v>
      </c>
      <c r="C51" s="11" t="s">
        <v>1955</v>
      </c>
      <c r="D51" s="11" t="s">
        <v>60</v>
      </c>
      <c r="E51" s="11" t="s">
        <v>1956</v>
      </c>
      <c r="F51" s="11" t="s">
        <v>1957</v>
      </c>
      <c r="G51" s="11" t="s">
        <v>1958</v>
      </c>
    </row>
    <row r="52" spans="1:7">
      <c r="A52" s="11" t="s">
        <v>1954</v>
      </c>
      <c r="B52" s="11" t="s">
        <v>1959</v>
      </c>
      <c r="C52" s="11" t="s">
        <v>1960</v>
      </c>
      <c r="D52" s="11" t="s">
        <v>1961</v>
      </c>
      <c r="E52" s="11" t="s">
        <v>1962</v>
      </c>
      <c r="F52" s="11" t="s">
        <v>1963</v>
      </c>
      <c r="G52" s="11" t="s">
        <v>1964</v>
      </c>
    </row>
    <row r="53" spans="1:7">
      <c r="A53" s="11" t="s">
        <v>1965</v>
      </c>
      <c r="B53" s="11" t="s">
        <v>1966</v>
      </c>
      <c r="C53" s="11" t="s">
        <v>89</v>
      </c>
      <c r="D53" s="11" t="s">
        <v>57</v>
      </c>
      <c r="E53" s="11" t="s">
        <v>1967</v>
      </c>
      <c r="F53" s="11" t="s">
        <v>1968</v>
      </c>
      <c r="G53" s="11" t="s">
        <v>1969</v>
      </c>
    </row>
    <row r="54" spans="1:7">
      <c r="A54" s="11" t="s">
        <v>1970</v>
      </c>
      <c r="B54" s="11" t="s">
        <v>1971</v>
      </c>
      <c r="C54" s="11" t="s">
        <v>89</v>
      </c>
      <c r="D54" s="11" t="s">
        <v>1240</v>
      </c>
      <c r="E54" s="11" t="s">
        <v>1972</v>
      </c>
      <c r="F54" s="11" t="s">
        <v>1973</v>
      </c>
      <c r="G54" s="11" t="s">
        <v>1974</v>
      </c>
    </row>
    <row r="55" spans="1:7">
      <c r="A55" s="11" t="s">
        <v>1975</v>
      </c>
      <c r="B55" s="11" t="s">
        <v>1976</v>
      </c>
      <c r="C55" s="11" t="s">
        <v>89</v>
      </c>
      <c r="D55" s="11" t="s">
        <v>1977</v>
      </c>
      <c r="E55" s="11" t="s">
        <v>1978</v>
      </c>
      <c r="F55" s="11" t="s">
        <v>1979</v>
      </c>
      <c r="G55" s="11" t="s">
        <v>1980</v>
      </c>
    </row>
    <row r="56" spans="1:7" ht="22.8">
      <c r="A56" s="11" t="s">
        <v>1608</v>
      </c>
      <c r="B56" s="11" t="s">
        <v>1981</v>
      </c>
      <c r="C56" s="11" t="s">
        <v>1982</v>
      </c>
      <c r="D56" s="11" t="s">
        <v>59</v>
      </c>
      <c r="E56" s="11" t="s">
        <v>1983</v>
      </c>
      <c r="F56" s="11" t="s">
        <v>1984</v>
      </c>
      <c r="G56" s="11" t="s">
        <v>1985</v>
      </c>
    </row>
    <row r="57" spans="1:7">
      <c r="A57" s="11" t="s">
        <v>1383</v>
      </c>
      <c r="B57" s="11" t="s">
        <v>1986</v>
      </c>
      <c r="C57" s="11" t="s">
        <v>89</v>
      </c>
      <c r="D57" s="11" t="s">
        <v>1987</v>
      </c>
      <c r="E57" s="11" t="s">
        <v>1988</v>
      </c>
      <c r="F57" s="11" t="s">
        <v>1989</v>
      </c>
      <c r="G57" s="11" t="s">
        <v>1990</v>
      </c>
    </row>
    <row r="58" spans="1:7">
      <c r="A58" s="11" t="s">
        <v>1991</v>
      </c>
      <c r="B58" s="11" t="s">
        <v>1992</v>
      </c>
      <c r="C58" s="11" t="s">
        <v>1750</v>
      </c>
      <c r="D58" s="11" t="s">
        <v>1567</v>
      </c>
      <c r="E58" s="11" t="s">
        <v>1993</v>
      </c>
      <c r="F58" s="11" t="s">
        <v>1994</v>
      </c>
      <c r="G58" s="11" t="s">
        <v>1995</v>
      </c>
    </row>
    <row r="59" spans="1:7">
      <c r="A59" s="11" t="s">
        <v>752</v>
      </c>
      <c r="B59" s="11" t="s">
        <v>1996</v>
      </c>
      <c r="C59" s="11" t="s">
        <v>89</v>
      </c>
      <c r="D59" s="11" t="s">
        <v>59</v>
      </c>
      <c r="E59" s="11" t="s">
        <v>1997</v>
      </c>
      <c r="F59" s="11" t="s">
        <v>1998</v>
      </c>
      <c r="G59" s="11" t="s">
        <v>1999</v>
      </c>
    </row>
    <row r="60" spans="1:7" ht="22.8">
      <c r="A60" s="11" t="s">
        <v>2000</v>
      </c>
      <c r="B60" s="11" t="s">
        <v>2001</v>
      </c>
      <c r="C60" s="11" t="s">
        <v>89</v>
      </c>
      <c r="D60" s="11" t="s">
        <v>1268</v>
      </c>
      <c r="E60" s="11" t="s">
        <v>2002</v>
      </c>
      <c r="F60" s="11" t="s">
        <v>2003</v>
      </c>
      <c r="G60" s="11" t="s">
        <v>2004</v>
      </c>
    </row>
    <row r="61" spans="1:7">
      <c r="A61" s="11" t="s">
        <v>765</v>
      </c>
      <c r="B61" s="11" t="s">
        <v>2005</v>
      </c>
      <c r="C61" s="11" t="s">
        <v>89</v>
      </c>
      <c r="D61" s="11" t="s">
        <v>59</v>
      </c>
      <c r="E61" s="11" t="s">
        <v>2006</v>
      </c>
      <c r="F61" s="11" t="s">
        <v>2007</v>
      </c>
      <c r="G61" s="11" t="s">
        <v>2008</v>
      </c>
    </row>
    <row r="62" spans="1:7">
      <c r="A62" s="11" t="s">
        <v>2009</v>
      </c>
      <c r="B62" s="11" t="s">
        <v>2010</v>
      </c>
      <c r="C62" s="11" t="s">
        <v>89</v>
      </c>
      <c r="D62" s="11" t="s">
        <v>56</v>
      </c>
      <c r="E62" s="11" t="s">
        <v>2011</v>
      </c>
      <c r="F62" s="11" t="s">
        <v>2012</v>
      </c>
      <c r="G62" s="11" t="s">
        <v>2013</v>
      </c>
    </row>
    <row r="63" spans="1:7">
      <c r="A63" s="11" t="s">
        <v>617</v>
      </c>
      <c r="B63" s="11" t="s">
        <v>2014</v>
      </c>
      <c r="C63" s="11" t="s">
        <v>1183</v>
      </c>
      <c r="D63" s="11" t="s">
        <v>60</v>
      </c>
      <c r="E63" s="11" t="s">
        <v>2015</v>
      </c>
      <c r="F63" s="11" t="s">
        <v>2016</v>
      </c>
      <c r="G63" s="11" t="s">
        <v>2017</v>
      </c>
    </row>
    <row r="64" spans="1:7">
      <c r="A64" s="11" t="s">
        <v>617</v>
      </c>
      <c r="B64" s="11" t="s">
        <v>2018</v>
      </c>
      <c r="C64" s="11" t="s">
        <v>1982</v>
      </c>
      <c r="D64" s="11" t="s">
        <v>60</v>
      </c>
      <c r="E64" s="11" t="s">
        <v>2019</v>
      </c>
      <c r="F64" s="11" t="s">
        <v>2020</v>
      </c>
      <c r="G64" s="11" t="s">
        <v>2021</v>
      </c>
    </row>
    <row r="65" spans="1:7">
      <c r="A65" s="11" t="s">
        <v>617</v>
      </c>
      <c r="B65" s="11" t="s">
        <v>2022</v>
      </c>
      <c r="C65" s="11" t="s">
        <v>1750</v>
      </c>
      <c r="D65" s="11" t="s">
        <v>1849</v>
      </c>
      <c r="E65" s="11" t="s">
        <v>2023</v>
      </c>
      <c r="F65" s="11" t="s">
        <v>2024</v>
      </c>
      <c r="G65" s="11" t="s">
        <v>2025</v>
      </c>
    </row>
    <row r="66" spans="1:7">
      <c r="A66" s="11" t="s">
        <v>1418</v>
      </c>
      <c r="B66" s="11" t="s">
        <v>2026</v>
      </c>
      <c r="C66" s="11" t="s">
        <v>2027</v>
      </c>
      <c r="D66" s="11" t="s">
        <v>60</v>
      </c>
      <c r="E66" s="11" t="s">
        <v>2028</v>
      </c>
      <c r="F66" s="11" t="s">
        <v>2029</v>
      </c>
      <c r="G66" s="11" t="s">
        <v>2030</v>
      </c>
    </row>
    <row r="67" spans="1:7">
      <c r="A67" s="11" t="s">
        <v>2031</v>
      </c>
      <c r="B67" s="11" t="s">
        <v>2032</v>
      </c>
      <c r="C67" s="11" t="s">
        <v>365</v>
      </c>
      <c r="D67" s="11" t="s">
        <v>2033</v>
      </c>
      <c r="E67" s="11" t="s">
        <v>2034</v>
      </c>
      <c r="F67" s="11" t="s">
        <v>2035</v>
      </c>
      <c r="G67" s="11" t="s">
        <v>2036</v>
      </c>
    </row>
    <row r="68" spans="1:7">
      <c r="A68" s="11" t="s">
        <v>2037</v>
      </c>
      <c r="B68" s="11" t="s">
        <v>2038</v>
      </c>
      <c r="C68" s="11" t="s">
        <v>2039</v>
      </c>
      <c r="D68" s="11" t="s">
        <v>2040</v>
      </c>
      <c r="E68" s="11" t="s">
        <v>2041</v>
      </c>
      <c r="F68" s="11" t="s">
        <v>2042</v>
      </c>
      <c r="G68" s="11" t="s">
        <v>2043</v>
      </c>
    </row>
    <row r="69" spans="1:7">
      <c r="A69" s="11" t="s">
        <v>765</v>
      </c>
      <c r="B69" s="11" t="s">
        <v>2044</v>
      </c>
      <c r="C69" s="11" t="s">
        <v>1750</v>
      </c>
      <c r="D69" s="11" t="s">
        <v>2045</v>
      </c>
      <c r="E69" s="11" t="s">
        <v>2046</v>
      </c>
      <c r="F69" s="11" t="s">
        <v>2047</v>
      </c>
      <c r="G69" s="11" t="s">
        <v>2048</v>
      </c>
    </row>
  </sheetData>
  <mergeCells count="2">
    <mergeCell ref="A1:G1"/>
    <mergeCell ref="A2:G2"/>
  </mergeCells>
  <conditionalFormatting sqref="C6:C69">
    <cfRule type="containsText" dxfId="3" priority="1" operator="containsText" text="MUST"/>
    <cfRule type="containsText" dxfId="2" priority="2" operator="containsText" text="SHOULD"/>
    <cfRule type="containsText" dxfId="1" priority="3" operator="containsText" text="OPTIONAL"/>
  </conditionalFormatting>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38"/>
  <sheetViews>
    <sheetView showGridLines="0" workbookViewId="0"/>
  </sheetViews>
  <sheetFormatPr defaultRowHeight="13.8"/>
  <cols>
    <col min="1" max="1" width="28" customWidth="1"/>
    <col min="2" max="2" width="18" customWidth="1"/>
    <col min="3" max="3" width="11" customWidth="1"/>
    <col min="4" max="4" width="40" customWidth="1"/>
    <col min="5" max="5" width="14" customWidth="1"/>
    <col min="6" max="6" width="42" customWidth="1"/>
    <col min="7" max="7" width="24" customWidth="1"/>
    <col min="8" max="8" width="32" customWidth="1"/>
  </cols>
  <sheetData>
    <row r="1" spans="1:8" ht="31.95" customHeight="1">
      <c r="A1" s="80" t="s">
        <v>2049</v>
      </c>
      <c r="B1" s="80"/>
      <c r="C1" s="80"/>
      <c r="D1" s="80"/>
      <c r="E1" s="80"/>
      <c r="F1" s="80"/>
      <c r="G1" s="80"/>
      <c r="H1" s="80"/>
    </row>
    <row r="2" spans="1:8" ht="31.95" customHeight="1">
      <c r="A2" s="81" t="s">
        <v>2050</v>
      </c>
      <c r="B2" s="81"/>
      <c r="C2" s="81"/>
      <c r="D2" s="81"/>
      <c r="E2" s="81"/>
      <c r="F2" s="81"/>
      <c r="G2" s="81"/>
      <c r="H2" s="81"/>
    </row>
    <row r="5" spans="1:8" ht="28.05" customHeight="1">
      <c r="A5" s="1" t="s">
        <v>2051</v>
      </c>
      <c r="B5" s="2" t="s">
        <v>90</v>
      </c>
      <c r="C5" s="2" t="s">
        <v>2052</v>
      </c>
      <c r="D5" s="2" t="s">
        <v>2053</v>
      </c>
      <c r="E5" s="2" t="s">
        <v>2054</v>
      </c>
      <c r="F5" s="2" t="s">
        <v>2055</v>
      </c>
      <c r="G5" s="2" t="s">
        <v>2056</v>
      </c>
      <c r="H5" s="3" t="s">
        <v>2057</v>
      </c>
    </row>
    <row r="6" spans="1:8">
      <c r="A6" s="10" t="s">
        <v>2058</v>
      </c>
      <c r="B6" s="10" t="s">
        <v>2059</v>
      </c>
      <c r="C6" s="10" t="s">
        <v>1625</v>
      </c>
      <c r="D6" s="10" t="s">
        <v>2060</v>
      </c>
      <c r="E6" s="10" t="s">
        <v>56</v>
      </c>
      <c r="F6" s="10" t="s">
        <v>2061</v>
      </c>
      <c r="G6" s="10" t="s">
        <v>2062</v>
      </c>
      <c r="H6" s="19"/>
    </row>
    <row r="7" spans="1:8">
      <c r="A7" s="11" t="s">
        <v>2063</v>
      </c>
      <c r="B7" s="11" t="s">
        <v>2059</v>
      </c>
      <c r="C7" s="11" t="s">
        <v>1625</v>
      </c>
      <c r="D7" s="11" t="s">
        <v>2064</v>
      </c>
      <c r="E7" s="11" t="s">
        <v>56</v>
      </c>
      <c r="F7" s="11" t="s">
        <v>2065</v>
      </c>
      <c r="G7" s="11" t="s">
        <v>2062</v>
      </c>
      <c r="H7" s="20"/>
    </row>
    <row r="8" spans="1:8">
      <c r="A8" s="11" t="s">
        <v>2066</v>
      </c>
      <c r="B8" s="11" t="s">
        <v>2067</v>
      </c>
      <c r="C8" s="11" t="s">
        <v>1625</v>
      </c>
      <c r="D8" s="11" t="s">
        <v>2068</v>
      </c>
      <c r="E8" s="11" t="s">
        <v>56</v>
      </c>
      <c r="F8" s="11" t="s">
        <v>2069</v>
      </c>
      <c r="G8" s="11" t="s">
        <v>2070</v>
      </c>
      <c r="H8" s="20"/>
    </row>
    <row r="9" spans="1:8">
      <c r="A9" s="11" t="s">
        <v>2071</v>
      </c>
      <c r="B9" s="11" t="s">
        <v>2072</v>
      </c>
      <c r="C9" s="11" t="s">
        <v>1625</v>
      </c>
      <c r="D9" s="11" t="s">
        <v>2073</v>
      </c>
      <c r="E9" s="11" t="s">
        <v>56</v>
      </c>
      <c r="F9" s="11" t="s">
        <v>2074</v>
      </c>
      <c r="G9" s="11" t="s">
        <v>2075</v>
      </c>
      <c r="H9" s="20"/>
    </row>
    <row r="10" spans="1:8">
      <c r="A10" s="11" t="s">
        <v>2076</v>
      </c>
      <c r="B10" s="11" t="s">
        <v>2059</v>
      </c>
      <c r="C10" s="11" t="s">
        <v>1625</v>
      </c>
      <c r="D10" s="11" t="s">
        <v>2077</v>
      </c>
      <c r="E10" s="11" t="s">
        <v>57</v>
      </c>
      <c r="F10" s="11" t="s">
        <v>2078</v>
      </c>
      <c r="G10" s="11" t="s">
        <v>2079</v>
      </c>
      <c r="H10" s="20"/>
    </row>
    <row r="11" spans="1:8">
      <c r="A11" s="11" t="s">
        <v>2080</v>
      </c>
      <c r="B11" s="11" t="s">
        <v>2059</v>
      </c>
      <c r="C11" s="11" t="s">
        <v>1625</v>
      </c>
      <c r="D11" s="11" t="s">
        <v>2081</v>
      </c>
      <c r="E11" s="11" t="s">
        <v>57</v>
      </c>
      <c r="F11" s="11" t="s">
        <v>2082</v>
      </c>
      <c r="G11" s="11" t="s">
        <v>2083</v>
      </c>
      <c r="H11" s="20"/>
    </row>
    <row r="12" spans="1:8">
      <c r="A12" s="11" t="s">
        <v>2084</v>
      </c>
      <c r="B12" s="11" t="s">
        <v>2059</v>
      </c>
      <c r="C12" s="11" t="s">
        <v>1625</v>
      </c>
      <c r="D12" s="11" t="s">
        <v>2085</v>
      </c>
      <c r="E12" s="11" t="s">
        <v>37</v>
      </c>
      <c r="F12" s="11" t="s">
        <v>2086</v>
      </c>
      <c r="G12" s="11" t="s">
        <v>306</v>
      </c>
      <c r="H12" s="20"/>
    </row>
    <row r="13" spans="1:8">
      <c r="A13" s="11" t="s">
        <v>1052</v>
      </c>
      <c r="B13" s="11" t="s">
        <v>2059</v>
      </c>
      <c r="C13" s="11" t="s">
        <v>1625</v>
      </c>
      <c r="D13" s="11" t="s">
        <v>2087</v>
      </c>
      <c r="E13" s="11" t="s">
        <v>37</v>
      </c>
      <c r="F13" s="11" t="s">
        <v>2088</v>
      </c>
      <c r="G13" s="11" t="s">
        <v>2089</v>
      </c>
      <c r="H13" s="20"/>
    </row>
    <row r="14" spans="1:8">
      <c r="A14" s="11" t="s">
        <v>2090</v>
      </c>
      <c r="B14" s="11" t="s">
        <v>2059</v>
      </c>
      <c r="C14" s="11" t="s">
        <v>1625</v>
      </c>
      <c r="D14" s="11" t="s">
        <v>2091</v>
      </c>
      <c r="E14" s="11" t="s">
        <v>37</v>
      </c>
      <c r="F14" s="11" t="s">
        <v>2092</v>
      </c>
      <c r="G14" s="11" t="s">
        <v>2093</v>
      </c>
      <c r="H14" s="20"/>
    </row>
    <row r="15" spans="1:8">
      <c r="A15" s="11" t="s">
        <v>2094</v>
      </c>
      <c r="B15" s="11" t="s">
        <v>2095</v>
      </c>
      <c r="C15" s="11" t="s">
        <v>1625</v>
      </c>
      <c r="D15" s="11" t="s">
        <v>2096</v>
      </c>
      <c r="E15" s="11" t="s">
        <v>37</v>
      </c>
      <c r="F15" s="11" t="s">
        <v>2097</v>
      </c>
      <c r="G15" s="11" t="s">
        <v>2098</v>
      </c>
      <c r="H15" s="20"/>
    </row>
    <row r="16" spans="1:8">
      <c r="A16" s="11" t="s">
        <v>2099</v>
      </c>
      <c r="B16" s="11" t="s">
        <v>2100</v>
      </c>
      <c r="C16" s="11" t="s">
        <v>1586</v>
      </c>
      <c r="D16" s="11"/>
      <c r="E16" s="11" t="s">
        <v>1567</v>
      </c>
      <c r="F16" s="11" t="s">
        <v>2101</v>
      </c>
      <c r="G16" s="11" t="s">
        <v>2098</v>
      </c>
      <c r="H16" s="20"/>
    </row>
    <row r="17" spans="1:8">
      <c r="A17" s="11" t="s">
        <v>2102</v>
      </c>
      <c r="B17" s="11" t="s">
        <v>2059</v>
      </c>
      <c r="C17" s="11" t="s">
        <v>1625</v>
      </c>
      <c r="D17" s="11"/>
      <c r="E17" s="11" t="s">
        <v>59</v>
      </c>
      <c r="F17" s="11" t="s">
        <v>2103</v>
      </c>
      <c r="G17" s="11" t="s">
        <v>2104</v>
      </c>
      <c r="H17" s="20"/>
    </row>
    <row r="18" spans="1:8">
      <c r="A18" s="11" t="s">
        <v>2105</v>
      </c>
      <c r="B18" s="11" t="s">
        <v>2059</v>
      </c>
      <c r="C18" s="11" t="s">
        <v>1625</v>
      </c>
      <c r="D18" s="11" t="s">
        <v>2106</v>
      </c>
      <c r="E18" s="11" t="s">
        <v>57</v>
      </c>
      <c r="F18" s="11" t="s">
        <v>2107</v>
      </c>
      <c r="G18" s="11" t="s">
        <v>2104</v>
      </c>
      <c r="H18" s="20"/>
    </row>
    <row r="19" spans="1:8">
      <c r="A19" s="11" t="s">
        <v>2108</v>
      </c>
      <c r="B19" s="11" t="s">
        <v>2059</v>
      </c>
      <c r="C19" s="11" t="s">
        <v>1625</v>
      </c>
      <c r="D19" s="11" t="s">
        <v>2109</v>
      </c>
      <c r="E19" s="11" t="s">
        <v>59</v>
      </c>
      <c r="F19" s="11" t="s">
        <v>2110</v>
      </c>
      <c r="G19" s="11" t="s">
        <v>306</v>
      </c>
      <c r="H19" s="20"/>
    </row>
    <row r="20" spans="1:8">
      <c r="A20" s="11" t="s">
        <v>2111</v>
      </c>
      <c r="B20" s="11" t="s">
        <v>2059</v>
      </c>
      <c r="C20" s="11" t="s">
        <v>1625</v>
      </c>
      <c r="D20" s="11" t="s">
        <v>2112</v>
      </c>
      <c r="E20" s="11" t="s">
        <v>59</v>
      </c>
      <c r="F20" s="11" t="s">
        <v>2113</v>
      </c>
      <c r="G20" s="11" t="s">
        <v>2059</v>
      </c>
      <c r="H20" s="20"/>
    </row>
    <row r="21" spans="1:8">
      <c r="A21" s="11" t="s">
        <v>2114</v>
      </c>
      <c r="B21" s="11" t="s">
        <v>2059</v>
      </c>
      <c r="C21" s="11" t="s">
        <v>1625</v>
      </c>
      <c r="D21" s="11" t="s">
        <v>2115</v>
      </c>
      <c r="E21" s="11" t="s">
        <v>57</v>
      </c>
      <c r="F21" s="11" t="s">
        <v>2116</v>
      </c>
      <c r="G21" s="11" t="s">
        <v>2093</v>
      </c>
      <c r="H21" s="20"/>
    </row>
    <row r="22" spans="1:8">
      <c r="A22" s="11" t="s">
        <v>2117</v>
      </c>
      <c r="B22" s="11" t="s">
        <v>2059</v>
      </c>
      <c r="C22" s="11" t="s">
        <v>1625</v>
      </c>
      <c r="D22" s="11" t="s">
        <v>2118</v>
      </c>
      <c r="E22" s="11" t="s">
        <v>57</v>
      </c>
      <c r="F22" s="11" t="s">
        <v>2119</v>
      </c>
      <c r="G22" s="11" t="s">
        <v>2079</v>
      </c>
      <c r="H22" s="20"/>
    </row>
    <row r="23" spans="1:8">
      <c r="A23" s="11" t="s">
        <v>2120</v>
      </c>
      <c r="B23" s="11" t="s">
        <v>2059</v>
      </c>
      <c r="C23" s="11" t="s">
        <v>1625</v>
      </c>
      <c r="D23" s="11" t="s">
        <v>2121</v>
      </c>
      <c r="E23" s="11" t="s">
        <v>57</v>
      </c>
      <c r="F23" s="11" t="s">
        <v>2122</v>
      </c>
      <c r="G23" s="11" t="s">
        <v>2079</v>
      </c>
      <c r="H23" s="20"/>
    </row>
    <row r="24" spans="1:8">
      <c r="A24" s="11" t="s">
        <v>2123</v>
      </c>
      <c r="B24" s="11" t="s">
        <v>2059</v>
      </c>
      <c r="C24" s="11" t="s">
        <v>1625</v>
      </c>
      <c r="D24" s="11" t="s">
        <v>2124</v>
      </c>
      <c r="E24" s="11" t="s">
        <v>58</v>
      </c>
      <c r="F24" s="11" t="s">
        <v>2125</v>
      </c>
      <c r="G24" s="11" t="s">
        <v>1777</v>
      </c>
      <c r="H24" s="20"/>
    </row>
    <row r="25" spans="1:8">
      <c r="A25" s="11" t="s">
        <v>2126</v>
      </c>
      <c r="B25" s="11" t="s">
        <v>2059</v>
      </c>
      <c r="C25" s="11" t="s">
        <v>1625</v>
      </c>
      <c r="D25" s="11" t="s">
        <v>2127</v>
      </c>
      <c r="E25" s="11" t="s">
        <v>58</v>
      </c>
      <c r="F25" s="11" t="s">
        <v>2128</v>
      </c>
      <c r="G25" s="11" t="s">
        <v>2129</v>
      </c>
      <c r="H25" s="20"/>
    </row>
    <row r="26" spans="1:8">
      <c r="A26" s="11" t="s">
        <v>2130</v>
      </c>
      <c r="B26" s="11" t="s">
        <v>2059</v>
      </c>
      <c r="C26" s="11" t="s">
        <v>1625</v>
      </c>
      <c r="D26" s="11" t="s">
        <v>2131</v>
      </c>
      <c r="E26" s="11" t="s">
        <v>58</v>
      </c>
      <c r="F26" s="11" t="s">
        <v>2132</v>
      </c>
      <c r="G26" s="11" t="s">
        <v>1777</v>
      </c>
      <c r="H26" s="20"/>
    </row>
    <row r="27" spans="1:8">
      <c r="A27" s="11" t="s">
        <v>2133</v>
      </c>
      <c r="B27" s="11" t="s">
        <v>2059</v>
      </c>
      <c r="C27" s="11" t="s">
        <v>1625</v>
      </c>
      <c r="D27" s="11" t="s">
        <v>2134</v>
      </c>
      <c r="E27" s="11" t="s">
        <v>58</v>
      </c>
      <c r="F27" s="11" t="s">
        <v>2135</v>
      </c>
      <c r="G27" s="11" t="s">
        <v>1777</v>
      </c>
      <c r="H27" s="20"/>
    </row>
    <row r="28" spans="1:8">
      <c r="A28" s="11" t="s">
        <v>2136</v>
      </c>
      <c r="B28" s="11" t="s">
        <v>2059</v>
      </c>
      <c r="C28" s="11" t="s">
        <v>1625</v>
      </c>
      <c r="D28" s="11" t="s">
        <v>2137</v>
      </c>
      <c r="E28" s="11" t="s">
        <v>57</v>
      </c>
      <c r="F28" s="11" t="s">
        <v>2138</v>
      </c>
      <c r="G28" s="11" t="s">
        <v>487</v>
      </c>
      <c r="H28" s="20"/>
    </row>
    <row r="29" spans="1:8">
      <c r="A29" s="11" t="s">
        <v>2139</v>
      </c>
      <c r="B29" s="11" t="s">
        <v>2059</v>
      </c>
      <c r="C29" s="11" t="s">
        <v>1625</v>
      </c>
      <c r="D29" s="11" t="s">
        <v>2140</v>
      </c>
      <c r="E29" s="11" t="s">
        <v>58</v>
      </c>
      <c r="F29" s="11" t="s">
        <v>2141</v>
      </c>
      <c r="G29" s="11" t="s">
        <v>487</v>
      </c>
      <c r="H29" s="20"/>
    </row>
    <row r="30" spans="1:8">
      <c r="A30" s="11" t="s">
        <v>2142</v>
      </c>
      <c r="B30" s="11" t="s">
        <v>2059</v>
      </c>
      <c r="C30" s="11" t="s">
        <v>1625</v>
      </c>
      <c r="D30" s="11" t="s">
        <v>2143</v>
      </c>
      <c r="E30" s="11" t="s">
        <v>1567</v>
      </c>
      <c r="F30" s="11" t="s">
        <v>2144</v>
      </c>
      <c r="G30" s="11" t="s">
        <v>2145</v>
      </c>
      <c r="H30" s="20"/>
    </row>
    <row r="31" spans="1:8">
      <c r="A31" s="11" t="s">
        <v>2146</v>
      </c>
      <c r="B31" s="11" t="s">
        <v>2100</v>
      </c>
      <c r="C31" s="11" t="s">
        <v>1586</v>
      </c>
      <c r="D31" s="11"/>
      <c r="E31" s="11" t="s">
        <v>1567</v>
      </c>
      <c r="F31" s="11" t="s">
        <v>2147</v>
      </c>
      <c r="G31" s="11" t="s">
        <v>2145</v>
      </c>
      <c r="H31" s="20"/>
    </row>
    <row r="32" spans="1:8">
      <c r="A32" s="11" t="s">
        <v>2148</v>
      </c>
      <c r="B32" s="11" t="s">
        <v>2100</v>
      </c>
      <c r="C32" s="11" t="s">
        <v>1586</v>
      </c>
      <c r="D32" s="11"/>
      <c r="E32" s="11" t="s">
        <v>1791</v>
      </c>
      <c r="F32" s="11" t="s">
        <v>2149</v>
      </c>
      <c r="G32" s="11" t="s">
        <v>2150</v>
      </c>
      <c r="H32" s="20"/>
    </row>
    <row r="33" spans="1:8">
      <c r="A33" s="11" t="s">
        <v>2151</v>
      </c>
      <c r="B33" s="11" t="s">
        <v>2059</v>
      </c>
      <c r="C33" s="11" t="s">
        <v>1625</v>
      </c>
      <c r="D33" s="11" t="s">
        <v>2152</v>
      </c>
      <c r="E33" s="11" t="s">
        <v>1791</v>
      </c>
      <c r="F33" s="11" t="s">
        <v>2153</v>
      </c>
      <c r="G33" s="11" t="s">
        <v>2150</v>
      </c>
      <c r="H33" s="20"/>
    </row>
    <row r="34" spans="1:8">
      <c r="A34" s="11" t="s">
        <v>2154</v>
      </c>
      <c r="B34" s="11" t="s">
        <v>2155</v>
      </c>
      <c r="C34" s="11" t="s">
        <v>1625</v>
      </c>
      <c r="D34" s="11" t="s">
        <v>2156</v>
      </c>
      <c r="E34" s="11" t="s">
        <v>59</v>
      </c>
      <c r="F34" s="11" t="s">
        <v>2157</v>
      </c>
      <c r="G34" s="11" t="s">
        <v>2158</v>
      </c>
      <c r="H34" s="20"/>
    </row>
    <row r="35" spans="1:8">
      <c r="A35" s="11" t="s">
        <v>2159</v>
      </c>
      <c r="B35" s="11" t="s">
        <v>2155</v>
      </c>
      <c r="C35" s="11" t="s">
        <v>1625</v>
      </c>
      <c r="D35" s="11" t="s">
        <v>2160</v>
      </c>
      <c r="E35" s="11" t="s">
        <v>59</v>
      </c>
      <c r="F35" s="11" t="s">
        <v>2161</v>
      </c>
      <c r="G35" s="11" t="s">
        <v>2162</v>
      </c>
      <c r="H35" s="20"/>
    </row>
    <row r="36" spans="1:8">
      <c r="A36" s="11" t="s">
        <v>2163</v>
      </c>
      <c r="B36" s="11" t="s">
        <v>2164</v>
      </c>
      <c r="C36" s="11" t="s">
        <v>1625</v>
      </c>
      <c r="D36" s="11" t="s">
        <v>2165</v>
      </c>
      <c r="E36" s="11" t="s">
        <v>56</v>
      </c>
      <c r="F36" s="11" t="s">
        <v>2166</v>
      </c>
      <c r="G36" s="11" t="s">
        <v>2167</v>
      </c>
      <c r="H36" s="20"/>
    </row>
    <row r="37" spans="1:8">
      <c r="A37" s="11" t="s">
        <v>2168</v>
      </c>
      <c r="B37" s="11" t="s">
        <v>2164</v>
      </c>
      <c r="C37" s="11" t="s">
        <v>1625</v>
      </c>
      <c r="D37" s="11" t="s">
        <v>2169</v>
      </c>
      <c r="E37" s="11" t="s">
        <v>56</v>
      </c>
      <c r="F37" s="11" t="s">
        <v>2170</v>
      </c>
      <c r="G37" s="11" t="s">
        <v>2167</v>
      </c>
      <c r="H37" s="20"/>
    </row>
    <row r="38" spans="1:8">
      <c r="A38" s="11" t="s">
        <v>2171</v>
      </c>
      <c r="B38" s="11" t="s">
        <v>2164</v>
      </c>
      <c r="C38" s="11" t="s">
        <v>1625</v>
      </c>
      <c r="D38" s="11" t="s">
        <v>2172</v>
      </c>
      <c r="E38" s="11" t="s">
        <v>56</v>
      </c>
      <c r="F38" s="11" t="s">
        <v>2173</v>
      </c>
      <c r="G38" s="11" t="s">
        <v>2167</v>
      </c>
      <c r="H38" s="20"/>
    </row>
  </sheetData>
  <mergeCells count="2">
    <mergeCell ref="A1:H1"/>
    <mergeCell ref="A2:H2"/>
  </mergeCells>
  <conditionalFormatting sqref="C6:C38">
    <cfRule type="containsText" dxfId="0" priority="1" operator="containsText" text="Yes"/>
  </conditionalFormatting>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11"/>
  <sheetViews>
    <sheetView showGridLines="0" workbookViewId="0"/>
  </sheetViews>
  <sheetFormatPr defaultRowHeight="13.8"/>
  <cols>
    <col min="1" max="1" width="48" customWidth="1"/>
    <col min="2" max="2" width="20" customWidth="1"/>
    <col min="3" max="3" width="72" customWidth="1"/>
    <col min="4" max="4" width="15" customWidth="1"/>
    <col min="5" max="5" width="48" customWidth="1"/>
    <col min="6" max="6" width="16" customWidth="1"/>
  </cols>
  <sheetData>
    <row r="1" spans="1:6" ht="31.95" customHeight="1">
      <c r="A1" s="80" t="s">
        <v>2174</v>
      </c>
      <c r="B1" s="80"/>
      <c r="C1" s="80"/>
      <c r="D1" s="80"/>
      <c r="E1" s="80"/>
      <c r="F1" s="80"/>
    </row>
    <row r="2" spans="1:6" ht="31.95" customHeight="1">
      <c r="A2" s="81" t="s">
        <v>2175</v>
      </c>
      <c r="B2" s="81"/>
      <c r="C2" s="81"/>
      <c r="D2" s="81"/>
      <c r="E2" s="81"/>
      <c r="F2" s="81"/>
    </row>
    <row r="5" spans="1:6" ht="28.05" customHeight="1">
      <c r="A5" s="1" t="s">
        <v>2176</v>
      </c>
      <c r="B5" s="2" t="s">
        <v>2177</v>
      </c>
      <c r="C5" s="2" t="s">
        <v>2178</v>
      </c>
      <c r="D5" s="2" t="s">
        <v>2179</v>
      </c>
      <c r="E5" s="2" t="s">
        <v>2180</v>
      </c>
      <c r="F5" s="3" t="s">
        <v>2181</v>
      </c>
    </row>
    <row r="6" spans="1:6" ht="22.8">
      <c r="A6" s="10" t="s">
        <v>2182</v>
      </c>
      <c r="B6" s="10" t="s">
        <v>2183</v>
      </c>
      <c r="C6" s="10" t="s">
        <v>2184</v>
      </c>
      <c r="D6" s="10" t="s">
        <v>2185</v>
      </c>
      <c r="E6" s="10" t="s">
        <v>2186</v>
      </c>
      <c r="F6" s="10" t="s">
        <v>2187</v>
      </c>
    </row>
    <row r="7" spans="1:6" ht="22.8">
      <c r="A7" s="11" t="s">
        <v>2188</v>
      </c>
      <c r="B7" s="11" t="s">
        <v>2189</v>
      </c>
      <c r="C7" s="11" t="s">
        <v>2190</v>
      </c>
      <c r="D7" s="11" t="s">
        <v>2191</v>
      </c>
      <c r="E7" s="11" t="s">
        <v>2192</v>
      </c>
      <c r="F7" s="11" t="s">
        <v>2187</v>
      </c>
    </row>
    <row r="8" spans="1:6" ht="45.6">
      <c r="A8" s="11" t="s">
        <v>2193</v>
      </c>
      <c r="B8" s="11" t="s">
        <v>2194</v>
      </c>
      <c r="C8" s="11" t="s">
        <v>2195</v>
      </c>
      <c r="D8" s="11" t="s">
        <v>2196</v>
      </c>
      <c r="E8" s="11" t="s">
        <v>2197</v>
      </c>
      <c r="F8" s="11" t="s">
        <v>2198</v>
      </c>
    </row>
    <row r="11" spans="1:6" ht="46.05" customHeight="1">
      <c r="A11" s="123" t="s">
        <v>2199</v>
      </c>
      <c r="B11" s="124"/>
      <c r="C11" s="124"/>
      <c r="D11" s="124"/>
      <c r="E11" s="124"/>
      <c r="F11" s="125"/>
    </row>
  </sheetData>
  <mergeCells count="3">
    <mergeCell ref="A1:F1"/>
    <mergeCell ref="A2:F2"/>
    <mergeCell ref="A11:F11"/>
  </mergeCells>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H26"/>
  <sheetViews>
    <sheetView showGridLines="0" workbookViewId="0"/>
  </sheetViews>
  <sheetFormatPr defaultRowHeight="13.8"/>
  <cols>
    <col min="1" max="1" width="14" customWidth="1"/>
    <col min="2" max="2" width="24" customWidth="1"/>
    <col min="3" max="6" width="34" customWidth="1"/>
    <col min="7" max="7" width="18" customWidth="1"/>
    <col min="8" max="8" width="16" customWidth="1"/>
  </cols>
  <sheetData>
    <row r="1" spans="1:8" ht="30" customHeight="1">
      <c r="A1" s="126" t="s">
        <v>2200</v>
      </c>
      <c r="B1" s="126"/>
      <c r="C1" s="126"/>
      <c r="D1" s="126"/>
      <c r="E1" s="126"/>
      <c r="F1" s="126"/>
      <c r="G1" s="126"/>
      <c r="H1" s="126"/>
    </row>
    <row r="2" spans="1:8" ht="36" customHeight="1">
      <c r="A2" s="127" t="s">
        <v>2201</v>
      </c>
      <c r="B2" s="127"/>
      <c r="C2" s="127"/>
      <c r="D2" s="127"/>
      <c r="E2" s="127"/>
      <c r="F2" s="127"/>
      <c r="G2" s="127"/>
      <c r="H2" s="127"/>
    </row>
    <row r="3" spans="1:8" ht="15" customHeight="1">
      <c r="A3" s="29"/>
      <c r="B3" s="29"/>
      <c r="C3" s="29"/>
      <c r="D3" s="29"/>
      <c r="E3" s="29"/>
      <c r="F3" s="29"/>
      <c r="G3" s="29"/>
      <c r="H3" s="29"/>
    </row>
    <row r="4" spans="1:8" ht="15" customHeight="1">
      <c r="A4" s="128" t="s">
        <v>2</v>
      </c>
      <c r="B4" s="128"/>
      <c r="C4" s="128"/>
      <c r="D4" s="128"/>
      <c r="E4" s="128"/>
      <c r="F4" s="128"/>
      <c r="G4" s="128"/>
      <c r="H4" s="128"/>
    </row>
    <row r="5" spans="1:8" ht="118.8" customHeight="1">
      <c r="A5" s="36" t="s">
        <v>2202</v>
      </c>
      <c r="B5" s="37" t="s">
        <v>2203</v>
      </c>
      <c r="C5" s="37" t="s">
        <v>2204</v>
      </c>
      <c r="D5" s="37" t="s">
        <v>2205</v>
      </c>
      <c r="E5" s="37" t="s">
        <v>2206</v>
      </c>
      <c r="F5" s="37" t="s">
        <v>2207</v>
      </c>
      <c r="G5" s="37" t="s">
        <v>2208</v>
      </c>
      <c r="H5" s="38" t="s">
        <v>2209</v>
      </c>
    </row>
    <row r="6" spans="1:8" ht="105.6" customHeight="1">
      <c r="A6" s="39" t="s">
        <v>2210</v>
      </c>
      <c r="B6" s="40" t="s">
        <v>2211</v>
      </c>
      <c r="C6" s="40" t="s">
        <v>2212</v>
      </c>
      <c r="D6" s="40" t="s">
        <v>2213</v>
      </c>
      <c r="E6" s="40" t="s">
        <v>2214</v>
      </c>
      <c r="F6" s="40" t="s">
        <v>2215</v>
      </c>
      <c r="G6" s="40" t="s">
        <v>2216</v>
      </c>
      <c r="H6" s="41" t="s">
        <v>2217</v>
      </c>
    </row>
    <row r="7" spans="1:8" ht="132" customHeight="1">
      <c r="A7" s="39" t="s">
        <v>2131</v>
      </c>
      <c r="B7" s="40" t="s">
        <v>2218</v>
      </c>
      <c r="C7" s="40" t="s">
        <v>22</v>
      </c>
      <c r="D7" s="40" t="s">
        <v>2219</v>
      </c>
      <c r="E7" s="40" t="s">
        <v>2220</v>
      </c>
      <c r="F7" s="40" t="s">
        <v>2221</v>
      </c>
      <c r="G7" s="40" t="s">
        <v>2222</v>
      </c>
      <c r="H7" s="41" t="s">
        <v>2223</v>
      </c>
    </row>
    <row r="8" spans="1:8" ht="118.8" customHeight="1">
      <c r="A8" s="39" t="s">
        <v>2224</v>
      </c>
      <c r="B8" s="40" t="s">
        <v>2225</v>
      </c>
      <c r="C8" s="40" t="s">
        <v>2226</v>
      </c>
      <c r="D8" s="40" t="s">
        <v>2227</v>
      </c>
      <c r="E8" s="40" t="s">
        <v>2228</v>
      </c>
      <c r="F8" s="40" t="s">
        <v>2229</v>
      </c>
      <c r="G8" s="40" t="s">
        <v>2230</v>
      </c>
      <c r="H8" s="41" t="s">
        <v>2231</v>
      </c>
    </row>
    <row r="9" spans="1:8" ht="118.8" customHeight="1">
      <c r="A9" s="39" t="s">
        <v>2115</v>
      </c>
      <c r="B9" s="40" t="s">
        <v>2232</v>
      </c>
      <c r="C9" s="40" t="s">
        <v>2233</v>
      </c>
      <c r="D9" s="40" t="s">
        <v>2234</v>
      </c>
      <c r="E9" s="40" t="s">
        <v>2235</v>
      </c>
      <c r="F9" s="40" t="s">
        <v>2236</v>
      </c>
      <c r="G9" s="40" t="s">
        <v>2237</v>
      </c>
      <c r="H9" s="41" t="s">
        <v>2238</v>
      </c>
    </row>
    <row r="10" spans="1:8" ht="132" customHeight="1">
      <c r="A10" s="42" t="s">
        <v>2124</v>
      </c>
      <c r="B10" s="43" t="s">
        <v>2239</v>
      </c>
      <c r="C10" s="43" t="s">
        <v>2240</v>
      </c>
      <c r="D10" s="43" t="s">
        <v>2241</v>
      </c>
      <c r="E10" s="43" t="s">
        <v>241</v>
      </c>
      <c r="F10" s="43" t="s">
        <v>2242</v>
      </c>
      <c r="G10" s="43" t="s">
        <v>2243</v>
      </c>
      <c r="H10" s="44" t="s">
        <v>2244</v>
      </c>
    </row>
    <row r="11" spans="1:8" ht="15" customHeight="1">
      <c r="A11" s="29"/>
      <c r="B11" s="29"/>
      <c r="C11" s="29"/>
      <c r="D11" s="29"/>
      <c r="E11" s="29"/>
      <c r="F11" s="29"/>
      <c r="G11" s="29"/>
      <c r="H11" s="29"/>
    </row>
    <row r="12" spans="1:8" ht="39.6" customHeight="1">
      <c r="A12" s="29" t="s">
        <v>53</v>
      </c>
      <c r="B12" s="29" t="s">
        <v>2245</v>
      </c>
      <c r="C12" s="29" t="s">
        <v>2246</v>
      </c>
      <c r="D12" s="29" t="s">
        <v>2247</v>
      </c>
      <c r="E12" s="29" t="s">
        <v>2248</v>
      </c>
      <c r="F12" s="29" t="s">
        <v>2249</v>
      </c>
      <c r="G12" s="29" t="s">
        <v>2250</v>
      </c>
      <c r="H12" s="29" t="s">
        <v>2251</v>
      </c>
    </row>
    <row r="13" spans="1:8" ht="145.19999999999999" customHeight="1">
      <c r="A13" s="29" t="s">
        <v>56</v>
      </c>
      <c r="B13" s="29" t="s">
        <v>2252</v>
      </c>
      <c r="C13" s="29" t="s">
        <v>2253</v>
      </c>
      <c r="D13" s="29" t="s">
        <v>2254</v>
      </c>
      <c r="E13" s="29" t="s">
        <v>2255</v>
      </c>
      <c r="F13" s="29" t="s">
        <v>2256</v>
      </c>
      <c r="G13" s="29" t="s">
        <v>237</v>
      </c>
      <c r="H13" s="29" t="str">
        <f>IF(COUNTIFS('02 Master Plan'!$B$6:$B$120,A13,'02 Master Plan'!$D$6:$D$120,"MUST",'02 Master Plan'!$S$6:$S$120,"&lt;&gt;Done")=0,"Ready to teach","In progress")</f>
        <v>Ready to teach</v>
      </c>
    </row>
    <row r="14" spans="1:8" ht="145.19999999999999" customHeight="1">
      <c r="A14" s="29" t="s">
        <v>37</v>
      </c>
      <c r="B14" s="29" t="s">
        <v>2257</v>
      </c>
      <c r="C14" s="29" t="s">
        <v>2258</v>
      </c>
      <c r="D14" s="29" t="s">
        <v>2259</v>
      </c>
      <c r="E14" s="29" t="s">
        <v>2260</v>
      </c>
      <c r="F14" s="29" t="s">
        <v>2261</v>
      </c>
      <c r="G14" s="29" t="s">
        <v>386</v>
      </c>
      <c r="H14" s="29" t="str">
        <f>IF(COUNTIFS('02 Master Plan'!$B$6:$B$120,A14,'02 Master Plan'!$D$6:$D$120,"MUST",'02 Master Plan'!$S$6:$S$120,"&lt;&gt;Done")=0,"Ready to teach","In progress")</f>
        <v>Ready to teach</v>
      </c>
    </row>
    <row r="15" spans="1:8" ht="118.8" customHeight="1">
      <c r="A15" s="29" t="s">
        <v>57</v>
      </c>
      <c r="B15" s="29" t="s">
        <v>2262</v>
      </c>
      <c r="C15" s="29" t="s">
        <v>2263</v>
      </c>
      <c r="D15" s="29" t="s">
        <v>2264</v>
      </c>
      <c r="E15" s="29" t="s">
        <v>2265</v>
      </c>
      <c r="F15" s="29" t="s">
        <v>2266</v>
      </c>
      <c r="G15" s="29" t="s">
        <v>531</v>
      </c>
      <c r="H15" s="29" t="str">
        <f>IF(COUNTIFS('02 Master Plan'!$B$6:$B$120,A15,'02 Master Plan'!$D$6:$D$120,"MUST",'02 Master Plan'!$S$6:$S$120,"&lt;&gt;Done")=0,"Ready to teach","In progress")</f>
        <v>In progress</v>
      </c>
    </row>
    <row r="16" spans="1:8" ht="118.8" customHeight="1">
      <c r="A16" s="29" t="s">
        <v>58</v>
      </c>
      <c r="B16" s="29" t="s">
        <v>2267</v>
      </c>
      <c r="C16" s="29" t="s">
        <v>2268</v>
      </c>
      <c r="D16" s="29" t="s">
        <v>2269</v>
      </c>
      <c r="E16" s="29" t="s">
        <v>2270</v>
      </c>
      <c r="F16" s="29" t="s">
        <v>2271</v>
      </c>
      <c r="G16" s="29" t="s">
        <v>672</v>
      </c>
      <c r="H16" s="29" t="str">
        <f>IF(COUNTIFS('02 Master Plan'!$B$6:$B$120,A16,'02 Master Plan'!$D$6:$D$120,"MUST",'02 Master Plan'!$S$6:$S$120,"&lt;&gt;Done")=0,"Ready to teach","In progress")</f>
        <v>In progress</v>
      </c>
    </row>
    <row r="17" spans="1:8" ht="118.8" customHeight="1">
      <c r="A17" s="29" t="s">
        <v>59</v>
      </c>
      <c r="B17" s="29" t="s">
        <v>2272</v>
      </c>
      <c r="C17" s="29" t="s">
        <v>2273</v>
      </c>
      <c r="D17" s="29" t="s">
        <v>2274</v>
      </c>
      <c r="E17" s="29" t="s">
        <v>2275</v>
      </c>
      <c r="F17" s="29" t="s">
        <v>2276</v>
      </c>
      <c r="G17" s="29" t="s">
        <v>826</v>
      </c>
      <c r="H17" s="29" t="str">
        <f>IF(COUNTIFS('02 Master Plan'!$B$6:$B$120,A17,'02 Master Plan'!$D$6:$D$120,"MUST",'02 Master Plan'!$S$6:$S$120,"&lt;&gt;Done")=0,"Ready to teach","In progress")</f>
        <v>In progress</v>
      </c>
    </row>
    <row r="18" spans="1:8" ht="132" customHeight="1">
      <c r="A18" s="29" t="s">
        <v>60</v>
      </c>
      <c r="B18" s="29" t="s">
        <v>2277</v>
      </c>
      <c r="C18" s="29" t="s">
        <v>2278</v>
      </c>
      <c r="D18" s="29" t="s">
        <v>2279</v>
      </c>
      <c r="E18" s="29" t="s">
        <v>2280</v>
      </c>
      <c r="F18" s="29" t="s">
        <v>2281</v>
      </c>
      <c r="G18" s="29" t="s">
        <v>981</v>
      </c>
      <c r="H18" s="29" t="str">
        <f>IF(COUNTIFS('02 Master Plan'!$B$6:$B$120,A18,'02 Master Plan'!$D$6:$D$120,"MUST",'02 Master Plan'!$S$6:$S$120,"&lt;&gt;Done")=0,"Ready to teach","In progress")</f>
        <v>In progress</v>
      </c>
    </row>
    <row r="19" spans="1:8" ht="15" customHeight="1">
      <c r="A19" s="29"/>
      <c r="B19" s="29"/>
      <c r="C19" s="29"/>
      <c r="D19" s="29"/>
      <c r="E19" s="29"/>
      <c r="F19" s="29"/>
      <c r="G19" s="29"/>
      <c r="H19" s="29"/>
    </row>
    <row r="20" spans="1:8" ht="15" customHeight="1">
      <c r="A20" s="128" t="s">
        <v>2282</v>
      </c>
      <c r="B20" s="128"/>
      <c r="C20" s="128"/>
      <c r="D20" s="128"/>
      <c r="E20" s="128"/>
      <c r="F20" s="128"/>
      <c r="G20" s="128"/>
      <c r="H20" s="128"/>
    </row>
    <row r="21" spans="1:8" ht="118.8" customHeight="1">
      <c r="A21" s="45" t="s">
        <v>2283</v>
      </c>
      <c r="B21" s="46" t="s">
        <v>2284</v>
      </c>
      <c r="C21" s="29"/>
      <c r="D21" s="29"/>
      <c r="E21" s="29"/>
      <c r="F21" s="29"/>
      <c r="G21" s="29"/>
      <c r="H21" s="29"/>
    </row>
    <row r="22" spans="1:8" ht="132" customHeight="1">
      <c r="A22" s="47" t="s">
        <v>2285</v>
      </c>
      <c r="B22" s="48" t="s">
        <v>2286</v>
      </c>
      <c r="C22" s="29"/>
      <c r="D22" s="29"/>
      <c r="E22" s="29"/>
      <c r="F22" s="29"/>
      <c r="G22" s="29"/>
      <c r="H22" s="29"/>
    </row>
    <row r="23" spans="1:8" ht="132" customHeight="1">
      <c r="A23" s="47" t="s">
        <v>2287</v>
      </c>
      <c r="B23" s="48" t="s">
        <v>2288</v>
      </c>
      <c r="C23" s="29"/>
      <c r="D23" s="29"/>
      <c r="E23" s="29"/>
      <c r="F23" s="29"/>
      <c r="G23" s="29"/>
      <c r="H23" s="29"/>
    </row>
    <row r="24" spans="1:8" ht="132" customHeight="1">
      <c r="A24" s="47" t="s">
        <v>1631</v>
      </c>
      <c r="B24" s="48" t="s">
        <v>2289</v>
      </c>
      <c r="C24" s="29"/>
      <c r="D24" s="29"/>
      <c r="E24" s="29"/>
      <c r="F24" s="29"/>
      <c r="G24" s="29"/>
      <c r="H24" s="29"/>
    </row>
    <row r="25" spans="1:8" ht="132" customHeight="1">
      <c r="A25" s="47" t="s">
        <v>2290</v>
      </c>
      <c r="B25" s="48" t="s">
        <v>2291</v>
      </c>
      <c r="C25" s="29"/>
      <c r="D25" s="29"/>
      <c r="E25" s="29"/>
      <c r="F25" s="29"/>
      <c r="G25" s="29"/>
      <c r="H25" s="29"/>
    </row>
    <row r="26" spans="1:8" ht="132" customHeight="1">
      <c r="A26" s="49" t="s">
        <v>2292</v>
      </c>
      <c r="B26" s="50" t="s">
        <v>2293</v>
      </c>
      <c r="C26" s="29"/>
      <c r="D26" s="29"/>
      <c r="E26" s="29"/>
      <c r="F26" s="29"/>
      <c r="G26" s="29"/>
      <c r="H26" s="29"/>
    </row>
  </sheetData>
  <mergeCells count="4">
    <mergeCell ref="A1:H1"/>
    <mergeCell ref="A2:H2"/>
    <mergeCell ref="A4:H4"/>
    <mergeCell ref="A20:H20"/>
  </mergeCell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00 Start Here</vt:lpstr>
      <vt:lpstr>01 Dashboard</vt:lpstr>
      <vt:lpstr>02 Master Plan</vt:lpstr>
      <vt:lpstr>03 W1 Control Foundation</vt:lpstr>
      <vt:lpstr>04 W2 Local Retrieval</vt:lpstr>
      <vt:lpstr>05 W3 Cited RAG</vt:lpstr>
      <vt:lpstr>06 W4 API and Agent</vt:lpstr>
      <vt:lpstr>07 W5 AWS Lifecycle</vt:lpstr>
      <vt:lpstr>08 W6 EKS and SRE</vt:lpstr>
      <vt:lpstr>09 Architecture Map</vt:lpstr>
      <vt:lpstr>10 Codex Prompts</vt:lpstr>
      <vt:lpstr>11 Test Evidence</vt:lpstr>
      <vt:lpstr>12 Decision Log</vt:lpstr>
      <vt:lpstr>13 Owner TODOs</vt:lpstr>
      <vt:lpstr>14 Lifecycle</vt:lpstr>
      <vt:lpstr>15 Tech Adoption</vt:lpstr>
      <vt:lpstr>16 Environment Variables</vt:lpstr>
      <vt:lpstr>17 Source Trace</vt:lpstr>
      <vt:lpstr>18 Learning Journey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G P Rai</cp:lastModifiedBy>
  <dcterms:created xsi:type="dcterms:W3CDTF">2026-08-26T03:28:15Z</dcterms:created>
  <dcterms:modified xsi:type="dcterms:W3CDTF">2026-08-26T05:34:29Z</dcterms:modified>
</cp:coreProperties>
</file>