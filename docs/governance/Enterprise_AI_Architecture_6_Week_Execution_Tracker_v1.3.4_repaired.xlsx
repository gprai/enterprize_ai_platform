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CB197E47-3F42-4591-B473-6266D2BA49DA}" xr6:coauthVersionLast="47" xr6:coauthVersionMax="47" xr10:uidLastSave="{00000000-0000-0000-0000-000000000000}"/>
  <bookViews>
    <workbookView xWindow="-108" yWindow="-108" windowWidth="23256" windowHeight="13896" tabRatio="788" firstSheet="6" activeTab="10"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8" i="2" l="1"/>
  <c r="H18" i="2" s="1"/>
  <c r="D13" i="2"/>
  <c r="H13" i="2" s="1"/>
  <c r="D15" i="2"/>
  <c r="H15" i="2" s="1"/>
  <c r="D17" i="2"/>
  <c r="H17" i="2" s="1"/>
  <c r="D16" i="2"/>
  <c r="H16" i="2" s="1"/>
  <c r="D14" i="2"/>
  <c r="H14" i="2" s="1"/>
  <c r="G5" i="2"/>
</calcChain>
</file>

<file path=xl/sharedStrings.xml><?xml version="1.0" encoding="utf-8"?>
<sst xmlns="http://schemas.openxmlformats.org/spreadsheetml/2006/main" count="5453" uniqueCount="2611">
  <si>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</si>
  <si>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</si>
  <si>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</si>
  <si>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</si>
  <si>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</si>
  <si>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</si>
  <si>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</si>
  <si>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</si>
  <si>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</si>
  <si>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</si>
  <si>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</si>
  <si>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</si>
  <si>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</si>
  <si>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</si>
  <si>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</si>
  <si>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</si>
  <si>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</si>
  <si>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</si>
  <si>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</si>
  <si>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</si>
  <si>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</si>
  <si>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</si>
  <si>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</si>
  <si>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</si>
  <si>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</si>
  <si>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</si>
  <si>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</si>
  <si>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</si>
  <si>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</si>
  <si>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</si>
  <si>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</si>
  <si>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</si>
  <si>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</si>
  <si>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</si>
  <si>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</si>
  <si>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</si>
  <si>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</si>
  <si>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</si>
  <si>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</si>
  <si>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</si>
  <si>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</si>
  <si>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</si>
  <si>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</si>
  <si>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</si>
  <si>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</si>
  <si>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</si>
  <si>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</si>
  <si>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</si>
  <si>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</si>
  <si>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</si>
  <si>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</si>
  <si>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</si>
  <si>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</si>
  <si>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</si>
  <si>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</si>
  <si>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</si>
  <si>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</si>
  <si>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</si>
  <si>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</si>
  <si>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</si>
  <si>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</si>
  <si>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</si>
  <si>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</si>
  <si>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</si>
  <si>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</si>
  <si>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</si>
  <si>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</si>
  <si>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</si>
  <si>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</si>
  <si>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</si>
  <si>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</si>
  <si>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</si>
  <si>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</si>
  <si>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</si>
  <si>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</si>
  <si>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</si>
  <si>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</si>
  <si>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</si>
  <si>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</si>
  <si>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</si>
  <si>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</si>
  <si>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</si>
  <si>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</si>
  <si>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</si>
  <si>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</si>
  <si>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</si>
  <si>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</si>
  <si>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</si>
  <si>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</si>
  <si>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</si>
  <si>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</si>
  <si>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</si>
  <si>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</si>
  <si>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</si>
  <si>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</si>
  <si>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</si>
  <si>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</si>
  <si>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</si>
  <si>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</si>
  <si>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</si>
  <si>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</si>
  <si>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</si>
  <si>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</si>
  <si>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</si>
  <si>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</si>
  <si>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</si>
  <si>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</si>
  <si>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</si>
  <si>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</si>
  <si>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</si>
  <si>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</si>
  <si>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</si>
  <si>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</si>
  <si>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</si>
  <si>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</si>
  <si>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</si>
  <si>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</si>
  <si>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</si>
  <si>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</si>
  <si>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</si>
  <si>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</si>
  <si>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</si>
  <si>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</si>
  <si>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</si>
  <si>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</si>
  <si>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</si>
  <si>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</si>
  <si>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</si>
  <si>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</si>
  <si>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</si>
  <si>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</si>
  <si>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</si>
  <si>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</si>
  <si>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</si>
  <si>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</si>
  <si>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</si>
  <si>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</si>
  <si>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</si>
  <si>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</si>
  <si>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</si>
  <si>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</si>
  <si>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</si>
  <si>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</si>
  <si>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</si>
  <si>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</si>
  <si>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</si>
  <si>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</si>
  <si>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</si>
  <si>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</si>
  <si>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</si>
  <si>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</si>
  <si>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</si>
  <si>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</si>
  <si>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</si>
  <si>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</si>
  <si>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</si>
  <si>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</si>
  <si>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</si>
  <si>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</si>
  <si>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</si>
  <si>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</si>
  <si>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</si>
  <si>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</si>
  <si>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</si>
  <si>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</si>
  <si>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</si>
  <si>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</si>
  <si>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</si>
  <si>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</si>
  <si>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</si>
  <si>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</si>
  <si>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</si>
  <si>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</si>
  <si>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</si>
  <si>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</si>
  <si>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</si>
  <si>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</si>
  <si>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</si>
  <si>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</si>
  <si>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</si>
  <si>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</si>
  <si>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</si>
  <si>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</si>
  <si>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</si>
  <si>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</si>
  <si>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</si>
  <si>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</si>
  <si>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</si>
  <si>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</si>
  <si>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</si>
  <si>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</si>
  <si>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</si>
  <si>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</si>
  <si>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</si>
  <si>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</si>
  <si>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</si>
  <si>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</si>
  <si>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</si>
  <si>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</si>
  <si>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</si>
  <si>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</si>
  <si>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</si>
  <si>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</si>
  <si>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</si>
  <si>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</si>
  <si>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</si>
  <si>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</si>
  <si>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</si>
  <si>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</si>
  <si>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</si>
  <si>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</si>
  <si>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</si>
  <si>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</si>
  <si>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</si>
  <si>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</si>
  <si>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</si>
  <si>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</si>
  <si>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</si>
  <si>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</si>
  <si>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</si>
  <si>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</si>
  <si>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</si>
  <si>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</si>
  <si>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</si>
  <si>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</si>
  <si>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</si>
  <si>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</si>
  <si>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</si>
  <si>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</si>
  <si>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All Week 1 TODOs</t>
  </si>
  <si>
    <t>Every MUST step is Done; no blocker or unapproved scope remains.</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</si>
  <si>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</si>
  <si>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</si>
  <si>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</si>
  <si>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</si>
  <si>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</si>
  <si>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</si>
  <si>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</si>
  <si>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</si>
  <si>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</si>
  <si>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</si>
  <si>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</si>
  <si>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</si>
  <si>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</si>
  <si>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</si>
  <si>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</si>
  <si>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</si>
  <si>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</si>
  <si>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</si>
  <si>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</si>
  <si>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</si>
  <si>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</si>
  <si>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</si>
  <si>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</si>
  <si>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</si>
  <si>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</si>
  <si>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</si>
  <si>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</si>
  <si>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</si>
  <si>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</si>
  <si>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</si>
  <si>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</si>
  <si>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</si>
  <si>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</si>
  <si>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</si>
  <si>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</si>
  <si>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</si>
  <si>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</si>
  <si>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</si>
  <si>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</si>
  <si>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</si>
  <si>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</si>
  <si>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</si>
  <si>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</si>
  <si>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</si>
  <si>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</si>
  <si>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</si>
  <si>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Service is healthy; image version is pinned.</t>
  </si>
  <si>
    <t>docs/test-evidence/W2-03-qdrant.txt</t>
  </si>
  <si>
    <t>ADR-003</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</si>
  <si>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</si>
  <si>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</si>
  <si>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</si>
  <si>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</si>
  <si>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</si>
  <si>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</si>
  <si>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</si>
  <si>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</si>
  <si>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</si>
  <si>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</si>
  <si>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</si>
  <si>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</si>
  <si>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</si>
  <si>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</si>
  <si>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</si>
  <si>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</si>
  <si>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</si>
  <si>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</si>
  <si>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</si>
  <si>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</si>
  <si>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</si>
  <si>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</si>
  <si>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</si>
  <si>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Not Started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</si>
  <si>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</si>
  <si>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</si>
  <si>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</si>
  <si>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</si>
  <si>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</si>
  <si>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</si>
  <si>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</si>
  <si>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</si>
  <si>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</si>
  <si>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</si>
  <si>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</si>
  <si>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</si>
  <si>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</si>
  <si>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</si>
  <si>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</si>
  <si>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</si>
  <si>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</si>
  <si>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</si>
  <si>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</si>
  <si>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</si>
  <si>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</si>
  <si>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</si>
  <si>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</si>
  <si>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</si>
  <si>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</si>
  <si>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</si>
  <si>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</si>
  <si>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</si>
  <si>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</si>
  <si>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</si>
  <si>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</si>
  <si>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</si>
  <si>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</si>
  <si>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</si>
  <si>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</si>
  <si>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</si>
  <si>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</si>
  <si>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</si>
  <si>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</si>
  <si>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</si>
  <si>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</si>
  <si>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</si>
  <si>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</si>
  <si>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</si>
  <si>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</si>
  <si>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</si>
  <si>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</si>
  <si>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</si>
  <si>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</si>
  <si>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</si>
  <si>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</si>
  <si>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</si>
  <si>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</si>
  <si>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</si>
  <si>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</si>
  <si>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</si>
  <si>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</si>
  <si>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</si>
  <si>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</si>
  <si>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</si>
  <si>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</si>
  <si>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</si>
  <si>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</si>
  <si>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</si>
  <si>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</si>
  <si>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</si>
  <si>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</si>
  <si>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</si>
  <si>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</si>
  <si>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</si>
  <si>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</si>
  <si>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</si>
  <si>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</si>
  <si>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</si>
  <si>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</si>
  <si>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</si>
  <si>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</si>
  <si>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</si>
  <si>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</si>
  <si>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</si>
  <si>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</si>
  <si>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</si>
  <si>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</si>
  <si>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</si>
  <si>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</si>
  <si>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</si>
  <si>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</si>
  <si>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</si>
  <si>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</si>
  <si>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</si>
  <si>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</si>
  <si>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</si>
  <si>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</si>
  <si>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</si>
  <si>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</si>
  <si>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</si>
  <si>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</si>
  <si>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</si>
  <si>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</si>
  <si>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</si>
  <si>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</si>
  <si>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</si>
  <si>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</si>
  <si>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</si>
  <si>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</si>
  <si>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</si>
  <si>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</si>
  <si>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</si>
  <si>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</si>
  <si>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</si>
  <si>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</si>
  <si>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</si>
  <si>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</si>
  <si>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</si>
  <si>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</si>
  <si>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</si>
  <si>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</si>
  <si>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</si>
  <si>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</si>
  <si>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</si>
  <si>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</si>
  <si>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</si>
  <si>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</si>
  <si>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</si>
  <si>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</si>
  <si>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</si>
  <si>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</si>
  <si>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</si>
  <si>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</si>
  <si>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</si>
  <si>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</si>
  <si>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</si>
  <si>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</si>
  <si>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</si>
  <si>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</si>
  <si>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</si>
  <si>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</si>
  <si>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</si>
  <si>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</si>
  <si>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</si>
  <si>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</si>
  <si>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</si>
  <si>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</si>
  <si>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</si>
  <si>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</si>
  <si>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</si>
  <si>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</si>
  <si>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</si>
  <si>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</si>
  <si>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</si>
  <si>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</si>
  <si>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</si>
  <si>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</si>
  <si>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</si>
  <si>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</si>
  <si>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</si>
  <si>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</si>
  <si>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</si>
  <si>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</si>
  <si>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</si>
  <si>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</si>
  <si>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</si>
  <si>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</si>
  <si>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</si>
  <si>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</si>
  <si>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</si>
  <si>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</si>
  <si>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</si>
  <si>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</si>
  <si>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</si>
  <si>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</si>
  <si>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</si>
  <si>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</si>
  <si>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</si>
  <si>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</si>
  <si>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</si>
  <si>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</si>
  <si>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</si>
  <si>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</si>
  <si>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</si>
  <si>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</si>
  <si>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</si>
  <si>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</si>
  <si>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</si>
  <si>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</si>
  <si>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</si>
  <si>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</si>
  <si>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</si>
  <si>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</si>
  <si>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</si>
  <si>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</si>
  <si>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</si>
  <si>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</si>
  <si>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</si>
  <si>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</si>
  <si>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</si>
  <si>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</si>
  <si>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</si>
  <si>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</si>
  <si>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</si>
  <si>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</si>
  <si>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</si>
  <si>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</si>
  <si>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</si>
  <si>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</si>
  <si>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</si>
  <si>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</si>
  <si>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</si>
  <si>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</si>
  <si>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</si>
  <si>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</si>
  <si>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</si>
  <si>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</si>
  <si>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</si>
  <si>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</si>
  <si>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</si>
  <si>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</si>
  <si>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</si>
  <si>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</si>
  <si>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</si>
  <si>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</si>
  <si>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</si>
  <si>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</si>
  <si>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</si>
  <si>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</si>
  <si>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</si>
  <si>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</si>
  <si>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</si>
  <si>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</si>
  <si>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</si>
  <si>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</si>
  <si>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</si>
  <si>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</si>
  <si>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</si>
  <si>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</si>
  <si>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</si>
  <si>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</si>
  <si>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</si>
  <si>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</si>
  <si>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</si>
  <si>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</si>
  <si>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</si>
  <si>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</si>
  <si>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</si>
  <si>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</si>
  <si>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</si>
  <si>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</si>
  <si>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</si>
  <si>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</si>
  <si>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</si>
  <si>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</si>
  <si>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</si>
  <si>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</si>
  <si>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</si>
  <si>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</si>
  <si>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</si>
  <si>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</si>
  <si>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</si>
  <si>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</si>
  <si>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</si>
  <si>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</si>
  <si>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</si>
  <si>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</si>
  <si>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</si>
  <si>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</si>
  <si>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</si>
  <si>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</si>
  <si>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</si>
  <si>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</si>
  <si>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</si>
  <si>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</si>
  <si>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</si>
  <si>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</si>
  <si>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</si>
  <si>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</si>
  <si>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</si>
  <si>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</si>
  <si>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</si>
  <si>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</si>
  <si>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</si>
  <si>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</si>
  <si>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</si>
  <si>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</si>
  <si>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</si>
  <si>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</si>
  <si>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</si>
  <si>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</si>
  <si>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</si>
  <si>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</si>
  <si>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</si>
  <si>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</si>
  <si>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</si>
  <si>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</si>
  <si>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</si>
  <si>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</si>
  <si>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</si>
  <si>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</si>
  <si>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</si>
  <si>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</si>
  <si>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</si>
  <si>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</si>
  <si>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</si>
  <si>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</si>
  <si>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</si>
  <si>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</si>
  <si>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</si>
  <si>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</si>
  <si>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</si>
  <si>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</si>
  <si>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</si>
  <si>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</si>
  <si>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</si>
  <si>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</si>
  <si>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</si>
  <si>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</si>
  <si>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</si>
  <si>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</si>
  <si>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</si>
  <si>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</si>
  <si>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</si>
  <si>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</si>
  <si>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</si>
  <si>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</si>
  <si>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</si>
  <si>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</si>
  <si>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</si>
  <si>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</si>
  <si>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</si>
  <si>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</si>
  <si>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</si>
  <si>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</si>
  <si>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</si>
  <si>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</si>
  <si>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</si>
  <si>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</si>
  <si>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</si>
  <si>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</si>
  <si>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</si>
  <si>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</si>
  <si>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</si>
  <si>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</si>
  <si>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</si>
  <si>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</si>
  <si>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</si>
  <si>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</si>
  <si>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</si>
  <si>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</si>
  <si>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</si>
  <si>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</si>
  <si>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</si>
  <si>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</si>
  <si>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</si>
  <si>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</si>
  <si>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</si>
  <si>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</si>
  <si>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</si>
  <si>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</si>
  <si>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</si>
  <si>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</si>
  <si>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</si>
  <si>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</si>
  <si>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</si>
  <si>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</si>
  <si>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</si>
  <si>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</si>
  <si>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</si>
  <si>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</si>
  <si>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</si>
  <si>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</si>
  <si>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</si>
  <si>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</si>
  <si>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</si>
  <si>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</si>
  <si>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</si>
  <si>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</si>
  <si>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</si>
  <si>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</si>
  <si>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</si>
  <si>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</si>
  <si>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</si>
  <si>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</si>
  <si>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</si>
  <si>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</si>
  <si>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</si>
  <si>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</si>
  <si>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</si>
  <si>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</si>
  <si>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</si>
  <si>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</si>
  <si>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</si>
  <si>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</si>
  <si>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</si>
  <si>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</si>
  <si>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</si>
  <si>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</si>
  <si>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</si>
  <si>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</si>
  <si>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</si>
  <si>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</si>
  <si>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</si>
  <si>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</si>
  <si>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</si>
  <si>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</si>
  <si>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</si>
  <si>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</si>
  <si>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</si>
  <si>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</si>
  <si>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</si>
  <si>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</si>
  <si>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</si>
  <si>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</si>
  <si>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</si>
  <si>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</si>
  <si>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</si>
  <si>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</si>
  <si>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</si>
  <si>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</si>
  <si>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</si>
  <si>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</si>
  <si>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</si>
  <si>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</si>
  <si>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</si>
  <si>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</si>
  <si>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</si>
  <si>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</si>
  <si>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</si>
  <si>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</si>
  <si>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</si>
  <si>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</si>
  <si>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</si>
  <si>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</si>
  <si>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</si>
  <si>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</si>
  <si>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</si>
  <si>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</si>
  <si>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</si>
  <si>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</si>
  <si>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</si>
  <si>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</si>
  <si>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</si>
  <si>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</si>
  <si>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</si>
  <si>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</si>
  <si>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</si>
  <si>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</si>
  <si>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</si>
  <si>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</si>
  <si>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</si>
  <si>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</si>
  <si>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</si>
  <si>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</si>
  <si>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</si>
  <si>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</si>
  <si>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</si>
  <si>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</si>
  <si>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</si>
  <si>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</si>
  <si>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</si>
  <si>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</si>
  <si>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</si>
  <si>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</si>
  <si>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</si>
  <si>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</si>
  <si>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</si>
  <si>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</si>
  <si>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</si>
  <si>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</si>
  <si>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</si>
  <si>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</si>
  <si>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</si>
  <si>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</si>
  <si>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</si>
  <si>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</si>
  <si>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</si>
  <si>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</si>
  <si>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</si>
  <si>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</si>
  <si>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</si>
  <si>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</si>
  <si>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</si>
  <si>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</si>
  <si>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</si>
  <si>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</si>
  <si>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</si>
  <si>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</si>
  <si>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</si>
  <si>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</si>
  <si>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</si>
  <si>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</si>
  <si>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</si>
  <si>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</si>
  <si>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</si>
  <si>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</si>
  <si>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</si>
  <si>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</si>
  <si>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</si>
  <si>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</si>
  <si>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</si>
  <si>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</si>
  <si>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</si>
  <si>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</si>
  <si>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</si>
  <si>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</si>
  <si>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</si>
  <si>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</si>
  <si>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</si>
  <si>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</si>
  <si>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</si>
  <si>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</si>
  <si>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</si>
  <si>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</si>
  <si>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</si>
  <si>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</si>
  <si>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</si>
  <si>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</si>
  <si>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</si>
  <si>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</si>
  <si>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</si>
  <si>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</si>
  <si>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</si>
  <si>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</si>
  <si>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</si>
  <si>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</si>
  <si>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</si>
  <si>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</si>
  <si>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</si>
  <si>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</si>
  <si>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</si>
  <si>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</si>
  <si>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</si>
  <si>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</si>
  <si>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</si>
  <si>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</si>
  <si>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</si>
  <si>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</si>
  <si>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</si>
  <si>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</si>
  <si>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</si>
  <si>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</si>
  <si>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</si>
  <si>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</si>
  <si>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</si>
  <si>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</si>
  <si>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</si>
  <si>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</si>
  <si>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</si>
  <si>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</si>
  <si>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</si>
  <si>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</si>
  <si>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</si>
  <si>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</si>
  <si>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</si>
  <si>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</si>
  <si>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</si>
  <si>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</si>
  <si>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</si>
  <si>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</si>
  <si>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</si>
  <si>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</si>
  <si>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</si>
  <si>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</si>
  <si>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</si>
  <si>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</si>
  <si>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</si>
  <si>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</si>
  <si>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</si>
  <si>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</si>
  <si>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</si>
  <si>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</si>
  <si>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</si>
  <si>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</si>
  <si>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</si>
  <si>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</si>
  <si>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</si>
  <si>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</si>
  <si>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</si>
  <si>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</si>
  <si>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</si>
  <si>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</si>
  <si>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</si>
  <si>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</si>
  <si>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</si>
  <si>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</si>
  <si>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</si>
  <si>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</si>
  <si>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</si>
  <si>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</si>
  <si>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</si>
  <si>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</si>
  <si>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</si>
  <si>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</si>
  <si>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</si>
  <si>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</si>
  <si>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</si>
  <si>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</si>
  <si>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</si>
  <si>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</si>
  <si>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</si>
  <si>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</si>
  <si>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</si>
  <si>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</si>
  <si>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</si>
  <si>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</si>
  <si>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</si>
  <si>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</si>
  <si>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</si>
  <si>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</si>
  <si>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</si>
  <si>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</si>
  <si>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</si>
  <si>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</si>
  <si>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</si>
  <si>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</si>
  <si>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</si>
  <si>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</si>
  <si>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</si>
  <si>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</si>
  <si>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</si>
  <si>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</si>
  <si>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</si>
  <si>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</si>
  <si>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</si>
  <si>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</si>
  <si>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</si>
  <si>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</si>
  <si>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</si>
  <si>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</si>
  <si>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</si>
  <si>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</si>
  <si>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</si>
  <si>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</si>
  <si>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</si>
  <si>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</si>
  <si>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</si>
  <si>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</si>
  <si>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</si>
  <si>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</si>
  <si>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</si>
  <si>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</si>
  <si>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</si>
  <si>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</si>
  <si>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</si>
  <si>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</si>
  <si>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</si>
  <si>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</si>
  <si>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</si>
  <si>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</si>
  <si>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</si>
  <si>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</si>
  <si>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</si>
  <si>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</si>
  <si>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</si>
  <si>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</si>
  <si>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</si>
  <si>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</si>
  <si>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</si>
  <si>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</si>
  <si>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</si>
  <si>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</si>
  <si>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</si>
  <si>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</si>
  <si>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</si>
  <si>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</si>
  <si>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</si>
  <si>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</si>
  <si>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</si>
  <si>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</si>
  <si>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</si>
  <si>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</si>
  <si>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</si>
  <si>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</si>
  <si>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</si>
  <si>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</si>
  <si>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</si>
  <si>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</si>
  <si>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</si>
  <si>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</si>
  <si>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</si>
  <si>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</si>
  <si>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</si>
  <si>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</si>
  <si>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</si>
  <si>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</si>
  <si>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</si>
  <si>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</si>
  <si>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</si>
  <si>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</si>
  <si>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</si>
  <si>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</si>
  <si>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</si>
  <si>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</si>
  <si>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</si>
  <si>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</si>
  <si>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</si>
  <si>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</si>
  <si>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</si>
  <si>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</si>
  <si>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</si>
  <si>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</si>
  <si>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</si>
  <si>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</si>
  <si>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</si>
  <si>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</si>
  <si>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</si>
  <si>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</si>
  <si>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</si>
  <si>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</si>
  <si>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</si>
  <si>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</si>
  <si>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</si>
  <si>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</si>
  <si>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</si>
  <si>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</si>
  <si>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</si>
  <si>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</si>
  <si>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</si>
  <si>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</si>
  <si>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</si>
  <si>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</si>
  <si>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</si>
  <si>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</si>
  <si>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</si>
  <si>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</si>
  <si>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</si>
  <si>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</si>
  <si>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</si>
  <si>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</si>
  <si>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</si>
  <si>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</si>
  <si>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</si>
  <si>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</si>
  <si>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</si>
  <si>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</si>
  <si>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</si>
  <si>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</si>
  <si>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</si>
  <si>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</si>
  <si>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</si>
  <si>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</si>
  <si>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</si>
  <si>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</si>
  <si>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</si>
  <si>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</si>
  <si>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</si>
  <si>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</si>
  <si>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</si>
  <si>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</si>
  <si>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</si>
  <si>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</si>
  <si>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</si>
  <si>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</si>
  <si>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</si>
  <si>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</si>
  <si>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</si>
  <si>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</si>
  <si>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</si>
  <si>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</si>
  <si>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</si>
  <si>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</si>
  <si>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</si>
  <si>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</si>
  <si>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</si>
  <si>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</si>
  <si>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</si>
  <si>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</si>
  <si>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</si>
  <si>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</si>
  <si>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</si>
  <si>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</si>
  <si>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</si>
  <si>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</si>
  <si>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</si>
  <si>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</si>
  <si>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</si>
  <si>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</si>
  <si>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</si>
  <si>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</si>
  <si>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</si>
  <si>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</si>
  <si>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</si>
  <si>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</si>
  <si>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</si>
  <si>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</si>
  <si>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</si>
  <si>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</si>
  <si>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</si>
  <si>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</si>
  <si>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</si>
  <si>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</si>
  <si>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</si>
  <si>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</si>
  <si>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</si>
  <si>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</si>
  <si>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</si>
  <si>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</si>
  <si>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</si>
  <si>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</si>
  <si>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</si>
  <si>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</si>
  <si>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</si>
  <si>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</si>
  <si>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</si>
  <si>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</si>
  <si>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</si>
  <si>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</si>
  <si>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</si>
  <si>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</si>
  <si>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</si>
  <si>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</si>
  <si>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</si>
  <si>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</si>
  <si>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</si>
  <si>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</si>
  <si>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</si>
  <si>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</si>
  <si>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</si>
  <si>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</si>
  <si>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</si>
  <si>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</si>
  <si>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</si>
  <si>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</si>
  <si>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</si>
  <si>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</si>
  <si>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</si>
  <si>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</si>
  <si>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</si>
  <si>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</si>
  <si>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</si>
  <si>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</si>
  <si>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</si>
  <si>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</si>
  <si>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</si>
  <si>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</si>
  <si>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</si>
  <si>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</si>
  <si>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</si>
  <si>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</si>
  <si>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</si>
  <si>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</si>
  <si>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</si>
  <si>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</si>
  <si>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</si>
  <si>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</si>
  <si>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</si>
  <si>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</si>
  <si>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</si>
  <si>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</si>
  <si>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</si>
  <si>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</si>
  <si>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</si>
  <si>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</si>
  <si>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</si>
  <si>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</si>
  <si>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</si>
  <si>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</si>
  <si>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</si>
  <si>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</si>
  <si>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</si>
  <si>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</si>
  <si>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</si>
  <si>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</si>
  <si>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</si>
  <si>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</si>
  <si>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</si>
  <si>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</si>
  <si>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</si>
  <si>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</si>
  <si>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</si>
  <si>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</si>
  <si>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</si>
  <si>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</si>
  <si>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</si>
  <si>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</si>
  <si>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</si>
  <si>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</si>
  <si>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</si>
  <si>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</si>
  <si>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</si>
  <si>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</si>
  <si>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</si>
  <si>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</si>
  <si>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</si>
  <si>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</si>
  <si>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</si>
  <si>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</si>
  <si>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</si>
  <si>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</si>
  <si>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</si>
  <si>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</si>
  <si>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</si>
  <si>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</si>
  <si>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</si>
  <si>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</si>
  <si>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</si>
  <si>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</si>
  <si>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</si>
  <si>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</si>
  <si>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</si>
  <si>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</si>
  <si>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</si>
  <si>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</si>
  <si>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</si>
  <si>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</si>
  <si>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</si>
  <si>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</si>
  <si>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</si>
  <si>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</si>
  <si>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</si>
  <si>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</si>
  <si>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</si>
  <si>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</si>
  <si>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</si>
  <si>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</si>
  <si>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</si>
  <si>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</si>
  <si>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</si>
  <si>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</si>
  <si>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</si>
  <si>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</si>
  <si>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</si>
  <si>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</si>
  <si>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</si>
  <si>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</si>
  <si>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</si>
  <si>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</si>
  <si>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</si>
  <si>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</si>
  <si>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</si>
  <si>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</si>
  <si>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</si>
  <si>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</si>
  <si>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</si>
  <si>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</si>
  <si>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</si>
  <si>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</si>
  <si>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</si>
  <si>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</si>
  <si>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</si>
  <si>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</si>
  <si>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</si>
  <si>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</si>
  <si>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</si>
  <si>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</si>
  <si>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</si>
  <si>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</si>
  <si>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</si>
  <si>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</si>
  <si>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</si>
  <si>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</si>
  <si>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</si>
  <si>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</si>
  <si>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</si>
  <si>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</si>
  <si>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</si>
  <si>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</si>
  <si>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</si>
  <si>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</si>
  <si>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</si>
  <si>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</si>
  <si>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</si>
  <si>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</si>
  <si>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</si>
  <si>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</si>
  <si>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</si>
  <si>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</si>
  <si>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</si>
  <si>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</si>
  <si>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</si>
  <si>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v1.3.4</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</si>
  <si>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</si>
  <si>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</si>
  <si>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</si>
  <si>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</si>
  <si>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</si>
  <si>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</si>
  <si>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</si>
  <si>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</si>
  <si>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</si>
  <si>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</si>
  <si>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</si>
  <si>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</si>
  <si>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</si>
  <si>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</si>
  <si>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</si>
  <si>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</si>
  <si>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</si>
  <si>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</si>
  <si>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</si>
  <si>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</si>
  <si>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</si>
  <si>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</si>
  <si>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</si>
  <si>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</si>
  <si>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</si>
  <si>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</si>
  <si>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</si>
  <si>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</si>
  <si>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</si>
  <si>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</si>
  <si>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</si>
  <si>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</si>
  <si>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</si>
  <si>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</si>
  <si>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</si>
  <si>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</si>
  <si>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</si>
  <si>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</si>
  <si>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</si>
  <si>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</si>
  <si>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</si>
  <si>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</si>
  <si>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</si>
  <si>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</si>
  <si>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</si>
  <si>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</si>
  <si>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</si>
  <si>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</si>
  <si>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</si>
  <si>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</si>
  <si>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</si>
  <si>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</si>
  <si>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</si>
  <si>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</si>
  <si>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</si>
  <si>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</si>
  <si>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</si>
  <si>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</si>
  <si>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</si>
  <si>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</si>
  <si>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</si>
  <si>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</si>
  <si>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</si>
  <si>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</si>
  <si>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</si>
  <si>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</si>
  <si>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</si>
  <si>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</si>
  <si>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</si>
  <si>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</si>
  <si>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</si>
  <si>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</si>
  <si>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</si>
  <si>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</si>
  <si>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</si>
  <si>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</si>
  <si>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</si>
  <si>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</si>
  <si>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</si>
  <si>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</si>
  <si>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</si>
  <si>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</si>
  <si>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</si>
  <si>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</si>
  <si>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</si>
  <si>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</si>
  <si>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</si>
  <si>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</si>
  <si>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</si>
  <si>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</si>
  <si>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</si>
  <si>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</si>
  <si>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</si>
  <si>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</si>
  <si>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</si>
  <si>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</si>
  <si>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</si>
  <si>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</si>
  <si>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</si>
  <si>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</si>
  <si>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</si>
  <si>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</si>
  <si>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</si>
  <si>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</si>
  <si>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</si>
  <si>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</si>
  <si>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</si>
  <si>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</si>
  <si>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</si>
  <si>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</si>
  <si>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</si>
  <si>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</si>
  <si>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Exit 0</t>
  </si>
  <si>
    <t>docs/test-evidence/W5-terraform.txt</t>
  </si>
  <si>
    <t>T-W5-002</t>
  </si>
  <si>
    <t>Policy</t>
  </si>
  <si>
    <t>tflint/Checkov/OPA</t>
  </si>
  <si>
    <t>Secure config passes; insecure fixtures fail</t>
  </si>
  <si>
    <t>docs/test-evidence/W5-policy.txt</t>
  </si>
  <si>
    <t>T-W5-003</t>
  </si>
  <si>
    <t>Reviewed sandbox plan</t>
  </si>
  <si>
    <t>Only expected resources; no secret values</t>
  </si>
  <si>
    <t>T-W5-004</t>
  </si>
  <si>
    <t>Trivy, Syft and Grype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</si>
  <si>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</si>
  <si>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</si>
  <si>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</si>
  <si>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</si>
  <si>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</si>
  <si>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</si>
  <si>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</si>
  <si>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</si>
  <si>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</si>
  <si>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</si>
  <si>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</si>
  <si>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</si>
  <si>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</si>
  <si>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</si>
  <si>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</si>
  <si>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</si>
  <si>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</si>
  <si>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</si>
  <si>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</si>
  <si>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</si>
  <si>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</si>
  <si>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</si>
  <si>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</si>
  <si>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</si>
  <si>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</si>
  <si>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</si>
  <si>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</si>
  <si>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</si>
  <si>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</si>
  <si>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</si>
  <si>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</si>
  <si>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</si>
  <si>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</si>
  <si>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</si>
  <si>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</si>
  <si>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</si>
  <si>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</si>
  <si>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</si>
  <si>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</si>
  <si>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</si>
  <si>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</si>
  <si>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</si>
  <si>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</si>
  <si>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</si>
  <si>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</si>
  <si>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</si>
  <si>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</si>
  <si>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</si>
  <si>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</si>
  <si>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</si>
  <si>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</si>
  <si>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</si>
  <si>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</si>
  <si>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</si>
  <si>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</si>
  <si>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</si>
  <si>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</si>
  <si>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</si>
  <si>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</si>
  <si>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</si>
  <si>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</si>
  <si>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</si>
  <si>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</si>
  <si>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</si>
  <si>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</si>
  <si>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</si>
  <si>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</si>
  <si>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</si>
  <si>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</si>
  <si>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</si>
  <si>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</si>
  <si>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</si>
  <si>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</si>
  <si>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</si>
  <si>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</si>
  <si>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</si>
  <si>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</si>
  <si>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</si>
  <si>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</si>
  <si>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</si>
  <si>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</si>
  <si>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</si>
  <si>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</si>
  <si>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</si>
  <si>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</si>
  <si>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</si>
  <si>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</si>
  <si>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</si>
  <si>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</si>
  <si>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</si>
  <si>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</si>
  <si>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</si>
  <si>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</si>
  <si>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</si>
  <si>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</si>
  <si>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</si>
  <si>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</si>
  <si>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</si>
  <si>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</si>
  <si>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</si>
  <si>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</si>
  <si>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</si>
  <si>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</si>
  <si>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</si>
  <si>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</si>
  <si>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</si>
  <si>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</si>
  <si>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</si>
  <si>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</si>
  <si>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</si>
  <si>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</si>
  <si>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</si>
  <si>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</si>
  <si>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</si>
  <si>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</si>
  <si>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</si>
  <si>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</si>
  <si>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</si>
  <si>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</si>
  <si>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</si>
  <si>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</si>
  <si>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</si>
  <si>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</si>
  <si>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</si>
  <si>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</si>
  <si>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</si>
  <si>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</si>
  <si>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</si>
  <si>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</si>
  <si>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</si>
  <si>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</si>
  <si>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</si>
  <si>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</si>
  <si>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</si>
  <si>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</si>
  <si>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</si>
  <si>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</si>
  <si>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</si>
  <si>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</si>
  <si>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</si>
  <si>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</si>
  <si>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</si>
  <si>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</si>
  <si>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</si>
  <si>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</si>
  <si>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</si>
  <si>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</si>
  <si>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</si>
  <si>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</si>
  <si>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</si>
  <si>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</si>
  <si>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</si>
  <si>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</si>
  <si>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</si>
  <si>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</si>
  <si>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</si>
  <si>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</si>
  <si>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</si>
  <si>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</si>
  <si>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</si>
  <si>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</si>
  <si>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</si>
  <si>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</si>
  <si>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</si>
  <si>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</si>
  <si>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</si>
  <si>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</si>
  <si>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</si>
  <si>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</si>
  <si>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</si>
  <si>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Post-MVP</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</si>
  <si>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</si>
  <si>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</si>
  <si>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</si>
  <si>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</si>
  <si>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</si>
  <si>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</si>
  <si>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</si>
  <si>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</si>
  <si>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</si>
  <si>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</si>
  <si>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</si>
  <si>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</si>
  <si>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</si>
  <si>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</si>
  <si>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</si>
  <si>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</si>
  <si>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</si>
  <si>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</si>
  <si>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</si>
  <si>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</si>
  <si>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</si>
  <si>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</si>
  <si>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</si>
  <si>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</si>
  <si>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</si>
  <si>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</si>
  <si>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</si>
  <si>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</si>
  <si>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</si>
  <si>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</si>
  <si>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</si>
  <si>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</si>
  <si>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</si>
  <si>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</si>
  <si>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</si>
  <si>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</si>
  <si>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</si>
  <si>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</si>
  <si>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</si>
  <si>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</si>
  <si>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</si>
  <si>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</si>
  <si>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</si>
  <si>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</si>
  <si>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</si>
  <si>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</si>
  <si>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</si>
  <si>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</si>
  <si>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</si>
  <si>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</si>
  <si>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</si>
  <si>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</si>
  <si>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</si>
  <si>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</si>
  <si>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</si>
  <si>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</si>
  <si>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</si>
  <si>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</si>
  <si>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</si>
  <si>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</si>
  <si>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</si>
  <si>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</si>
  <si>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</si>
  <si>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</si>
  <si>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</si>
  <si>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</si>
  <si>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</si>
  <si>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</si>
  <si>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</si>
  <si>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</si>
  <si>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</si>
  <si>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</si>
  <si>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</si>
  <si>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</si>
  <si>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</si>
  <si>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</si>
  <si>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</si>
  <si>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</si>
  <si>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</si>
  <si>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</si>
  <si>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</si>
  <si>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</si>
  <si>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</si>
  <si>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</si>
  <si>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</si>
  <si>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</si>
  <si>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</si>
  <si>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</si>
  <si>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</si>
  <si>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</si>
  <si>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</si>
  <si>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</si>
  <si>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</si>
  <si>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</si>
  <si>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</si>
  <si>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</si>
  <si>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</si>
  <si>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</si>
  <si>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</si>
  <si>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</si>
  <si>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</si>
  <si>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</si>
  <si>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</si>
  <si>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</si>
  <si>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</si>
  <si>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</si>
  <si>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</si>
  <si>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</si>
  <si>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</si>
  <si>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</si>
  <si>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</si>
  <si>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</si>
  <si>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</si>
  <si>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</si>
  <si>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</si>
  <si>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</si>
  <si>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</si>
  <si>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All</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</si>
  <si>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</si>
  <si>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</si>
  <si>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</si>
  <si>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</si>
  <si>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</si>
  <si>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</si>
  <si>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</si>
  <si>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</si>
  <si>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</si>
  <si>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</si>
  <si>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</si>
  <si>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</si>
  <si>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</si>
  <si>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</si>
  <si>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</si>
  <si>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</si>
  <si>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</si>
  <si>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</si>
  <si>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</si>
  <si>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</si>
  <si>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</si>
  <si>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</si>
  <si>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</si>
  <si>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</si>
  <si>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</si>
  <si>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</si>
  <si>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</si>
  <si>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</si>
  <si>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</si>
  <si>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</si>
  <si>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</si>
  <si>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</si>
  <si>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</si>
  <si>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</si>
  <si>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</si>
  <si>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</si>
  <si>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</si>
  <si>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</si>
  <si>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</si>
  <si>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</si>
  <si>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</si>
  <si>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</si>
  <si>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</si>
  <si>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</si>
  <si>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</si>
  <si>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</si>
  <si>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</si>
  <si>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</si>
  <si>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</si>
  <si>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</si>
  <si>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</si>
  <si>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</si>
  <si>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</si>
  <si>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</si>
  <si>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</si>
  <si>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</si>
  <si>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</si>
  <si>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</si>
  <si>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</si>
  <si>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</si>
  <si>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</si>
  <si>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</si>
  <si>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</si>
  <si>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</si>
  <si>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</si>
  <si>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</si>
  <si>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</si>
  <si>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</si>
  <si>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</si>
  <si>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</si>
  <si>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</si>
  <si>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</si>
  <si>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</si>
  <si>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</si>
  <si>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</si>
  <si>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</si>
  <si>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</si>
  <si>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</si>
  <si>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</si>
  <si>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</si>
  <si>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</si>
  <si>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</si>
  <si>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</si>
  <si>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</si>
  <si>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</si>
  <si>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</si>
  <si>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</si>
  <si>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</si>
  <si>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</si>
  <si>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</si>
  <si>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</si>
  <si>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</si>
  <si>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</si>
  <si>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</si>
  <si>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</si>
  <si>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</si>
  <si>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</si>
  <si>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</si>
  <si>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</si>
  <si>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</si>
  <si>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</si>
  <si>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</si>
  <si>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</si>
  <si>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</si>
  <si>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</si>
  <si>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</si>
  <si>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</si>
  <si>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</si>
  <si>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</si>
  <si>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</si>
  <si>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</si>
  <si>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</si>
  <si>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</si>
  <si>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</si>
  <si>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</si>
  <si>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</si>
  <si>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</si>
  <si>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</si>
  <si>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</si>
  <si>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</si>
  <si>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</si>
  <si>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</si>
  <si>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</si>
  <si>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</si>
  <si>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</si>
  <si>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</si>
  <si>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</si>
  <si>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</si>
  <si>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</si>
  <si>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</si>
  <si>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</si>
  <si>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</si>
  <si>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</si>
  <si>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</si>
  <si>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</si>
  <si>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</si>
  <si>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</si>
  <si>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</si>
  <si>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</si>
  <si>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</si>
  <si>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</si>
  <si>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</si>
  <si>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</si>
  <si>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</si>
  <si>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</si>
  <si>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</si>
  <si>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</si>
  <si>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</si>
  <si>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</si>
  <si>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</si>
  <si>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</si>
  <si>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</si>
  <si>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</si>
  <si>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</si>
  <si>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</si>
  <si>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</si>
  <si>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</si>
  <si>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</si>
  <si>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</si>
  <si>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</si>
  <si>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</si>
  <si>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</si>
  <si>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</si>
  <si>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</si>
  <si>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</si>
  <si>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</si>
  <si>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</si>
  <si>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</si>
  <si>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</si>
  <si>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</si>
  <si>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</si>
  <si>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</si>
  <si>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</si>
  <si>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</si>
  <si>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</si>
  <si>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</si>
  <si>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</si>
  <si>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</si>
  <si>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</si>
  <si>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</si>
  <si>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</si>
  <si>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</si>
  <si>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</si>
  <si>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</si>
  <si>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</si>
  <si>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</si>
  <si>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</si>
  <si>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</si>
  <si>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</si>
  <si>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</si>
  <si>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</si>
  <si>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</si>
  <si>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</si>
  <si>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</si>
  <si>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</si>
  <si>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</si>
  <si>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</si>
  <si>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</si>
  <si>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</si>
  <si>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</si>
  <si>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</si>
  <si>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</si>
  <si>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</si>
  <si>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</si>
  <si>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</si>
  <si>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</si>
  <si>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</si>
  <si>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</si>
  <si>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</si>
  <si>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</si>
  <si>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</si>
  <si>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</si>
  <si>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</si>
  <si>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</si>
  <si>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</si>
  <si>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</si>
  <si>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</si>
  <si>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</si>
  <si>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</si>
  <si>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</si>
  <si>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</si>
  <si>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</si>
  <si>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</si>
  <si>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</si>
  <si>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</si>
  <si>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</si>
  <si>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</si>
  <si>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</si>
  <si>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</si>
  <si>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</si>
  <si>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</si>
  <si>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</si>
  <si>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</si>
  <si>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</si>
  <si>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</si>
  <si>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</si>
  <si>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</si>
  <si>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</si>
  <si>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</si>
  <si>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</si>
  <si>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</si>
  <si>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</si>
  <si>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</si>
  <si>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</si>
  <si>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</si>
  <si>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</si>
  <si>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</si>
  <si>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</si>
  <si>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</si>
  <si>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</si>
  <si>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</si>
  <si>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</si>
  <si>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</si>
  <si>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</si>
  <si>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</si>
  <si>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</si>
  <si>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</si>
  <si>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</si>
  <si>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</si>
  <si>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</si>
  <si>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</si>
  <si>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</si>
  <si>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</si>
  <si>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</si>
  <si>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</si>
  <si>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</si>
  <si>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</si>
  <si>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</si>
  <si>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</si>
  <si>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</si>
  <si>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</si>
  <si>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</si>
  <si>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</si>
  <si>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</si>
  <si>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</si>
  <si>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</si>
  <si>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</si>
  <si>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</si>
  <si>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</si>
  <si>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</si>
  <si>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</si>
  <si>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</si>
  <si>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</si>
  <si>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</si>
  <si>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</si>
  <si>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</si>
  <si>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</si>
  <si>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</si>
  <si>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</si>
  <si>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</si>
  <si>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</si>
  <si>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</si>
  <si>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</si>
  <si>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</si>
  <si>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</si>
  <si>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</si>
  <si>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</si>
  <si>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</si>
  <si>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</si>
  <si>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</si>
  <si>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</si>
  <si>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</si>
  <si>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</si>
  <si>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</si>
  <si>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</si>
  <si>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</si>
  <si>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</si>
  <si>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</si>
  <si>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</si>
  <si>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</si>
  <si>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</si>
  <si>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</si>
  <si>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</si>
  <si>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</si>
  <si>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</si>
  <si>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</si>
  <si>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</si>
  <si>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</si>
  <si>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</si>
  <si>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</si>
  <si>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</si>
  <si>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</si>
  <si>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</si>
  <si>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</si>
  <si>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</si>
  <si>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</si>
  <si>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</si>
  <si>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</si>
  <si>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</si>
  <si>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</si>
  <si>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</si>
  <si>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</si>
  <si>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</si>
  <si>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</si>
  <si>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</si>
  <si>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</si>
  <si>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</si>
  <si>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</si>
  <si>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</si>
  <si>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</si>
  <si>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</si>
  <si>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</si>
  <si>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</si>
  <si>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</si>
  <si>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</si>
  <si>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</si>
  <si>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</si>
  <si>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</si>
  <si>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</si>
  <si>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</si>
  <si>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</si>
  <si>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</si>
  <si>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</si>
  <si>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</si>
  <si>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</si>
  <si>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</si>
  <si>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</si>
  <si>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</si>
  <si>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</si>
  <si>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</si>
  <si>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</si>
  <si>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</si>
  <si>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</si>
  <si>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</si>
  <si>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</si>
  <si>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</si>
  <si>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</si>
  <si>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</si>
  <si>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</si>
  <si>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</si>
  <si>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</si>
  <si>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</si>
  <si>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</si>
  <si>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</si>
  <si>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</si>
  <si>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</si>
  <si>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</si>
  <si>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</si>
  <si>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</si>
  <si>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</si>
  <si>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</si>
  <si>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</si>
  <si>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</si>
  <si>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</si>
  <si>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</si>
  <si>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</si>
  <si>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</si>
  <si>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</si>
  <si>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</si>
  <si>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</si>
  <si>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</si>
  <si>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</si>
  <si>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</si>
  <si>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</si>
  <si>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</si>
  <si>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</si>
  <si>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</si>
  <si>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</si>
  <si>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</si>
  <si>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</si>
  <si>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</si>
  <si>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</si>
  <si>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</si>
  <si>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</si>
  <si>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</si>
  <si>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</si>
  <si>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</si>
  <si>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</si>
  <si>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</si>
  <si>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</si>
  <si>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</si>
  <si>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</si>
  <si>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</si>
  <si>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</si>
  <si>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</si>
  <si>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</si>
  <si>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</si>
  <si>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</si>
  <si>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</si>
  <si>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</si>
  <si>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</si>
  <si>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</si>
  <si>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</si>
  <si>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</si>
  <si>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</si>
  <si>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</si>
  <si>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</si>
  <si>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</si>
  <si>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</si>
  <si>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</si>
  <si>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</si>
  <si>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</si>
  <si>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</si>
  <si>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</si>
  <si>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</si>
  <si>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</si>
  <si>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</si>
  <si>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</si>
  <si>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</si>
  <si>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</si>
  <si>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</si>
  <si>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</si>
  <si>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</si>
  <si>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</si>
  <si>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</si>
  <si>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</si>
  <si>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</si>
  <si>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</si>
  <si>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</si>
  <si>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</si>
  <si>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</si>
  <si>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</si>
  <si>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</si>
  <si>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</si>
  <si>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</si>
  <si>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</si>
  <si>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</si>
  <si>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</si>
  <si>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</si>
  <si>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</si>
  <si>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</si>
  <si>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</si>
  <si>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</si>
  <si>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</si>
  <si>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</si>
  <si>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</si>
  <si>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</si>
  <si>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</si>
  <si>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</si>
  <si>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</si>
  <si>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</si>
  <si>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</si>
  <si>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</si>
  <si>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</si>
  <si>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</si>
  <si>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</si>
  <si>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</si>
  <si>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</si>
  <si>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</si>
  <si>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</si>
  <si>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</si>
  <si>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</si>
  <si>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</si>
  <si>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</si>
  <si>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</si>
  <si>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</si>
  <si>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</si>
  <si>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</si>
  <si>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</si>
  <si>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</si>
  <si>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</si>
  <si>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</si>
  <si>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</si>
  <si>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</si>
  <si>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</si>
  <si>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</si>
  <si>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</si>
  <si>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</si>
  <si>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</si>
  <si>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</si>
  <si>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</si>
  <si>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</si>
  <si>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</si>
  <si>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</si>
  <si>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</si>
  <si>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</si>
  <si>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</si>
  <si>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</si>
  <si>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</si>
  <si>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</si>
  <si>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</si>
  <si>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</si>
  <si>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</si>
  <si>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</si>
  <si>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</si>
  <si>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</si>
  <si>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</si>
  <si>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</si>
  <si>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</si>
  <si>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</si>
  <si>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</si>
  <si>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</si>
  <si>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</si>
  <si>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</si>
  <si>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</si>
  <si>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</si>
  <si>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</si>
  <si>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</si>
  <si>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</si>
  <si>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</si>
  <si>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</si>
  <si>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</si>
  <si>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</si>
  <si>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</si>
  <si>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TEST-001</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</si>
  <si>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</si>
  <si>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</si>
  <si>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</si>
  <si>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</si>
  <si>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</si>
  <si>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</si>
  <si>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</si>
  <si>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</si>
  <si>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</si>
  <si>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</si>
  <si>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</si>
  <si>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</si>
  <si>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</si>
  <si>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</si>
  <si>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</si>
  <si>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</si>
  <si>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</si>
  <si>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</si>
  <si>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</si>
  <si>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</si>
  <si>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</si>
  <si>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</si>
  <si>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</si>
  <si>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</si>
  <si>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</si>
  <si>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</si>
  <si>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</si>
  <si>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</si>
  <si>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</si>
  <si>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</si>
  <si>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</si>
  <si>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</si>
  <si>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</si>
  <si>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</si>
  <si>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</si>
  <si>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</si>
  <si>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</si>
  <si>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</si>
  <si>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</si>
  <si>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</si>
  <si>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</si>
  <si>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</si>
  <si>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</si>
  <si>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</si>
  <si>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</si>
  <si>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</si>
  <si>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</si>
  <si>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</si>
  <si>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</si>
  <si>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</si>
  <si>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</si>
  <si>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</si>
  <si>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</si>
  <si>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</si>
  <si>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</si>
  <si>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</si>
  <si>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</si>
  <si>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</si>
  <si>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</si>
  <si>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</si>
  <si>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</si>
  <si>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</si>
  <si>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</si>
  <si>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</si>
  <si>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</si>
  <si>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</si>
  <si>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</si>
  <si>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</si>
  <si>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</si>
  <si>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</si>
  <si>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</si>
  <si>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</si>
  <si>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</si>
  <si>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python -m tools.platformctl validate</t>
  </si>
  <si>
    <t>python -m enterprise_ai_platform.evaluation.runner --dataset configs/eval/golden.jsonl --out reports/eval.json</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</si>
  <si>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</si>
  <si>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</si>
  <si>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</si>
  <si>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</si>
  <si>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</si>
  <si>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</si>
  <si>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
</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</si>
  <si>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</si>
  <si>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</si>
  <si>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</si>
  <si>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</si>
  <si>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Read-only teaching plan → owner teach-back → owner writes the exact weekly evidence note → final teach-back approval → owner tracker update</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</si>
  <si>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</si>
  <si>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</si>
  <si>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</si>
  <si>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Owner completes the teach-back and records notes in docs/learning/W1-learning-review.md</t>
  </si>
  <si>
    <t>Owner completes the teach-back and records notes in docs/learning/W2-learning-review.md</t>
  </si>
  <si>
    <t>Owner completes the teach-back and records notes in docs/learning/W3-learning-review.md</t>
  </si>
  <si>
    <t>Owner completes the teach-back and records notes in docs/learning/W4-learning-review.md</t>
  </si>
  <si>
    <t>Owner completes the teach-back and records notes in docs/learning/W5-learning-review.md</t>
  </si>
  <si>
    <t>Owner completes the teach-back and records notes in docs/learning/W6-learning-review.md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</si>
  <si>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</si>
  <si>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</si>
  <si>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</si>
  <si>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</si>
  <si>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W1-REVIEW-001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</si>
  <si>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</si>
  <si>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</si>
  <si>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</si>
  <si>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</si>
  <si>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</si>
  <si>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records the five-minute teach-back notes in docs/architecture/local-retrieval.md</t>
  </si>
  <si>
    <t>W2-REVIEW-001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</si>
  <si>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</si>
  <si>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</si>
  <si>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W3-REVIEW-001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</si>
  <si>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</si>
  <si>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</si>
  <si>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W4-REVIEW-001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</si>
  <si>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</si>
  <si>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</si>
  <si>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</si>
  <si>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</si>
  <si>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</si>
  <si>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</si>
  <si>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</si>
  <si>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W5-REVIEW-001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</si>
  <si>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</si>
  <si>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Week 1 sheet, evidence register, ADRs, TODOs and owner-supplied results</t>
  </si>
  <si>
    <t>Owner-written evidence: docs/architecture/local-retrieval.md</t>
  </si>
  <si>
    <t>Week 2 sheet, evidence register, ADRs, TODOs and owner-supplied results</t>
  </si>
  <si>
    <t>Week 3 sheet, evidence register, ADRs, TODOs and owner-supplied results</t>
  </si>
  <si>
    <t>Week 4 sheet, evidence register, ADRs, TODOs and owner-supplied results</t>
  </si>
  <si>
    <t>Week 5 sheet, evidence register, ADRs, TODOs and owner-supplied results</t>
  </si>
  <si>
    <t>CTX-001</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</si>
  <si>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</si>
  <si>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</si>
  <si>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</si>
  <si>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</si>
  <si>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v1.3.4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</si>
  <si>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</si>
  <si>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</si>
  <si>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</si>
  <si>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</si>
  <si>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</si>
  <si>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</si>
  <si>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</si>
  <si>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</si>
  <si>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</si>
  <si>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v1.3.4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</si>
  <si>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</si>
  <si>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</si>
  <si>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</si>
  <si>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</si>
  <si>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</si>
  <si>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v1.3.4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</si>
  <si>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</si>
  <si>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v1.3.4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</si>
  <si>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</si>
  <si>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</si>
  <si>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</si>
  <si>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</si>
  <si>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</si>
  <si>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</si>
  <si>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v1.3.4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</si>
  <si>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</si>
  <si>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</si>
  <si>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</si>
  <si>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</si>
  <si>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</si>
  <si>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v1.3.4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</si>
  <si>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</si>
  <si>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</si>
  <si>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</si>
  <si>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</si>
  <si>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</si>
  <si>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v1.3.4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</si>
  <si>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</si>
  <si>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</si>
  <si>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</si>
  <si>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v1.3.4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</si>
  <si>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</si>
  <si>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</si>
  <si>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</si>
  <si>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</si>
  <si>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v1.3.4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</si>
  <si>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</si>
  <si>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</si>
  <si>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</si>
  <si>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</si>
  <si>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</si>
  <si>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</si>
  <si>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</si>
  <si>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v1.3.4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</si>
  <si>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</si>
  <si>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</si>
  <si>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</si>
  <si>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</si>
  <si>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</si>
  <si>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v1.3.4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</si>
  <si>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</si>
  <si>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</si>
  <si>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</si>
  <si>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</si>
  <si>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v1.3.4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</si>
  <si>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</si>
  <si>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</si>
  <si>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</si>
  <si>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</si>
  <si>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</si>
  <si>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</si>
  <si>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</si>
  <si>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</si>
  <si>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v1.3.4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</si>
  <si>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</si>
  <si>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</si>
  <si>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</si>
  <si>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</si>
  <si>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</si>
  <si>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v1.3.4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</si>
  <si>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</si>
  <si>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</si>
  <si>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</si>
  <si>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</si>
  <si>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READY FOR PRE-EDIT REVIEW — W3-001</t>
  </si>
  <si>
    <t>W3-01, W3-02, W3-03, W3-04</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</si>
  <si>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</si>
  <si>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READY FOR PRE-EDIT REVIEW — W3-002</t>
  </si>
  <si>
    <t>W3-06, W3-07, W3-10</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</si>
  <si>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</si>
  <si>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READY FOR PRE-EDIT REVIEW — W3-003</t>
  </si>
  <si>
    <t>W3-05, W3-08</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</si>
  <si>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</si>
  <si>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</si>
  <si>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READY FOR PRE-EDIT REVIEW — W3-ROLLBACK-001</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</si>
  <si>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</si>
  <si>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READY FOR PRE-EDIT REVIEW — W4-001</t>
  </si>
  <si>
    <t>W4-01, W4-02, W4-10</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</si>
  <si>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</si>
  <si>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READY FOR PRE-EDIT REVIEW — W4-002</t>
  </si>
  <si>
    <t>W4-03, W4-04, W4-05, W4-06, W4-07, W4-09</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</si>
  <si>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</si>
  <si>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READY FOR PRE-EDIT REVIEW — W4-003</t>
  </si>
  <si>
    <t>W3-09, W4-08</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</si>
  <si>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</si>
  <si>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READY FOR PRE-EDIT REVIEW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</si>
  <si>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</si>
  <si>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</si>
  <si>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TESTING AND WEEKLY LEARNING — TRACKER v1.3.4
MAIN PROMPT — W5-INPUTS-001
TASK IDENTITY
- Week: Week 5
- Feature/outcome: AWS sandbox input approval
- Business purpose: Capture all non-secret AWS, network, tagging, residency and budget choices before Terraform work.
- Covered tracker steps: W5-01
- Required inputs: AWS-001, AWS-002, NET-001, TAG-001, COST-001 and PRIV-001;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W5-01 — Confirm sandbox account, region, network, tags, data residency and budget ceiling.
  Business reason: Terraform cannot be safely reviewed with ambiguous ownership or cost.
  Acceptance: All variables are non-secret and approved.
  Dependency: W4-13
  Owner verification reference: Review infra/environments/sandbox/terraform.tfvars.example
  Expected result: No credential/secret value is requested.
  Canonical evidence: docs/cost-estimates/W5-inputs.md
  Rollback/teardown: Do not initialize/apply until inputs are approved.
  Current tracker status (read-only historical/current fact): Not Started
  Separate Task Context: 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
Downstream tracker steps identified from recorded dependencies: W5-02, W5-03, W5-04, W5-13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W5-INPUTS-001
The planned Column L content boundary is create only infra/environments/sandbox/terraform.tfvars.example and docs/cost-estimates/W5-inputs.md; their approved parent structure exists. Use TODO placeholders for sandbox account ID, approved region, VPC/subnets, mandatory tags, data-residency/privacy constraints, expiry and monthly budget. Never request, store or display credentials, secret values or live tokens. Do not run terraform init/plan/apply/destroy and do not access AWS. Leave the approval record READY FOR OWNER REVIEW.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Record which later owner-run Terraform/AWS actions remain prohibited until a separate approval; do not provide or execute those actions in this task.
6. Confirm no ignored or Git-invisible residue remains.
TASK-SPECIFIC AMENDMENT — COMPLETE NON-SECRET AWS INPUT GATE
Do not start Terraform design until W4-12 is signed off. Reconcile and obtain owner decisions for AWS-001, AWS-002, NET-001, TAG-001, COST-001, PRIV-001, KMS-001, GHA-001 and BED-001; also identify EKS-001, OBS-001 and SLO-001 as required before W5-13/Week 6. Record account ID, region/service availability, existing-vs-owned VPC/subnets/CIDRs/DNS/egress/endpoints, data residency, mandatory tags/expiry, monthly/daily/paid-evaluation ceilings, KMS deletion window/follow-up owner, GitHub repository/environment/OIDC naming and Bedrock model/quota/fallback—never credentials, role sessions, secret values or live tokens. Validate ownership boundaries so shared networking/EKS resources can never be destroyed. Modify only the two scoped input documents, leave status READY FOR OWNER REVIEW, run no Terraform/AWS/network command and do not infer approval from placeholders.
CONTENT-SPECIFIC READ-ONLY REVIEW — REQUIRED RESPONSE SECTIONS
1. Business and document outcome
Explain the non-secret sandbox variable example and cost/input decision record; Terraform and AWS execution remain outside this task.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infra/environments/sandbox/terraform.tfvars.example
- docs/cost-estimates/W5-inputs.md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Capture all non-secret AWS, network, tagging, residency and budget choices before Terraform work. The primary beneficiaries are cloud owner, security, finance, networking and platform teams.
- Process and risk: This task supports owner-approved non-secret account/network/tag/residency/budget choices -&gt; decision record -&gt; Terraform inputs. Without it, the platform can produce an unauditable, insecure or non-reproducible result at this exact layer.
- Measurable outcome: complete non-secret input record with zero unresolved code-blocking values. It contributes to the MVP by making AWS sandbox input approval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END-TO-END ARCHITECTURE LEARNING
- Position and flow: owner-approved non-secret account/network/tag/residency/budget choices -&gt; decision record -&gt; Terraform inputs.
- Upstream/dependency boundary: W4-13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AWS account/region, VPC/subnets, tags, GitHub OIDC, Bedrock IDs, residency and cost ceiling.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AWS account/region, VPC/subnets, tags, GitHub OIDC, Bedrock IDs, residency and cost ceiling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signed travel authorization before booking anything.
- What goes in / happens / comes out: approved AWS-001, AWS-002, NET-001, TAG-001, COST-001 and PRIV-001; no credentials goes through AWS sandbox input approval; validation and controls run; the output is Approved business-first documentation/decision record only; no code or command execution or a clear, non-fabricated stop.
- Why the business cares: the process becomes explainable, safer and repeatable.
- Adjacent technology: input approval chooses constraints; Terraform later implements them.
ARCHITECTURE DECISIONS AND TRADE-OFFS
- Selected recorded direction: record every cloud boundary before IaC so placeholders cannot become accidental production values.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credentials in workbook/repository; least privilege, residency and budget are explicit. Apply classification, PII handling, tenant isolation, authorization before provider/storage calls, secret exclusion, redacted evidence, residency, retention, provenance and least privilege where applicable.
- Failure/operations: missing or conflicting input blocks Terraform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AWS sandbox input approval addresses capture all non-secret aws, network, tagging, residency and budget choices before terraform work. It makes the result governed, testable and reversible, measured by complete non-secret input record with zero unresolved code-blocking values.
- Two-minute technical explanation: describe AWS account/region, VPC/subnets, tags, GitHub OIDC, Bedrock IDs, residency and cost ceiling; trace owner-approved non-secret account/network/tag/residency/budget choices -&gt; decision record -&gt; Terraform inputs;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AWS sandbox input approval solve?
   Answer points: Connect Capture all non-secret AWS, network, tagging, residency and budget choices before Terraform work. to complete non-secret input record with zero unresolved code-blocking values and identify cloud owner, security, finance, networking and platform teams.
2. Q: Trace the end-to-end flow for W5-INPUTS-001.
   Answer points: Explain owner-approved non-secret account/network/tag/residency/budget choices -&gt; decision record -&gt; Terraform inputs; name upstream dependencies, downstream consumers, trust and state boundaries.
3. Q: Which design decision matters most and what alternative was rejected?
   Answer points: Discuss record every cloud boundary before IaC so placeholders cannot become accidental production values; compare the adjacent alternative and when it could be preferable.
4. Q: How does this task fail safely and how is it recovered?
   Answer points: Use this scenario: missing or conflicting input blocks Terraform approval; distinguish retry, remediation, rollback, teardown and evidence.
5. Q: How are security, privacy and cost controlled?
   Answer points: Explain no credentials in workbook/repository; least privilege, residency and budget are explicit; include least privilege, redaction/residency, bounded resources and owner-only access.
- Design trade-off: volume/latency increases tenfold; explain whether record every cloud boundary before IaC so placeholders cannot become accidental production values still holds and what evidence/ADR/approval must change.
- Failure/remediation: missing or conflicting input blocks Terraform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AWS sandbox input approval. Task — establish the governed contract. Action — map consumers, work within gates, owner-test, diagnose completely and prove lifecycle. Result — report only accepted evidence and complete non-secret input record with zero unresolved code-blocking values.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AWS-001, AWS-002, NET-001, TAG-001, COST-001 and PRIV-001; no credentials.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resource creation and provider/API execution do not apply to this document gate
- Column L activation: no workbook text grants authority until the owner explicitly issues an exact bounded Code or Content Edit Approval after all edit-blocking decisions are resolved and patch contexts are re-read.
End exactly: READY FOR PRE-EDIT REVIEW — W5-INPUTS-001.</t>
  </si>
  <si>
    <t>READY FOR PRE-EDIT REVIEW — W5-INPUTS-001</t>
  </si>
  <si>
    <t xml:space="preserve">COLUMN M — EXACT DOCUMENT WRITING APPROVAL — W5-INPUTS-001
This is a separate owner approval after the bounded edit and owner testing or content review. Classify every path under one—and only one—of the CREATE and UPDATE headings after read-only preflight inspection.
EXACT DOCUMENTATION BOUNDARY
CREATE:
- infra/environments/sandbox/terraform.tfvars.example
- docs/cost-estimates/W5-inputs.md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W5-INPUTS-001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W5-INPUTS-001.
</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</si>
  <si>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</si>
  <si>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 xml:space="preserve">FOUR APPROVAL GATES PLUS OWNER TESTING AND WEEKLY LEARNING — TRACKER v1.3.4
MAIN PROMPT — W5-001
TASK IDENTITY
- Week: Week 5
- Feature/outcome: Terraform AWS sandbox modules
- Business purpose: Produce reviewable infrastructure without secret material.
- Covered tracker steps: W5-02, W5-03, W5-04, W5-05
- Required inputs: TODO account, region, VPC/subnets, GitHub repo, tags, Bedrock models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W5-02 — Build isolated encrypted/versioned S3 state and Terraform 1.5 DynamoDB locking stack.
  Business reason: State must survive platform rollback and be removed last during full teardown.
  Acceptance: fmt/validate/Checkov pass; apply remains manual.
  Dependency: W5-01
  Owner verification reference: terraform -chdir=infra/bootstrap fmt -check &amp;&amp; terraform -chdir=infra/bootstrap validate
  Expected result: Bootstrap plan contains only expected resources.
  Canonical evidence: docs/test-evidence/W5-02-bootstrap.txt
  Rollback/teardown: Destroy platform first; bootstrap destroy is separately reviewed.
  Current tracker status (read-only historical/current fact): Not Started
  Separate Task Context: 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
- W5-03 — Create KMS, private/versioned S3 and secret-metadata modules.
  Business reason: Encryption and secret separation are foundational controls.
  Acceptance: No public access or secret value resource exists.
  Dependency: W5-01,W5-02
  Owner verification reference: terraform -chdir=infra/environments/sandbox validate &amp;&amp; checkov -d infra/modules
  Expected result: Security controls pass; deletion settings are explicit.
  Canonical evidence: docs/test-evidence/W5-03-security.txt
  Rollback/teardown: Apply prior Terraform version; use purge only for disposable sandbox.
  Current tracker status (read-only historical/current fact): Not Started
  Separate Task Context: 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
- W5-04 — Create least-privilege runtime, ingestion and GitHub OIDC roles.
  Business reason: Workloads need short-lived, separated permissions.
  Acceptance: No wildcard action/resource without reviewed exception.
  Dependency: W5-01
  Owner verification reference: checkov -d infra &amp;&amp; opa test policies/opa -v
  Expected result: Trust policies bind approved repo/environment and workload identity.
  Canonical evidence: docs/test-evidence/W5-04-iam.txt
  Rollback/teardown: Disable role session/restore prior policy; do not store keys.
  Current tracker status (read-only historical/current fact): Not Started
  Separate Task Context: 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
- W5-05 — Create private encrypted OpenSearch and ECR modules.
  Business reason: OpenSearch is the AWS vector target; ECR stores immutable images.
  Acceptance: Private network, TLS, encryption, logs and access controls are planned.
  Dependency: W5-03,W5-04
  Owner verification reference: terraform -chdir=infra/environments/sandbox plan -out=tfplan
  Expected result: Plan summary shows only expected resources and estimated baseline cost.
  Canonical evidence: docs/test-evidence/W5-05-platform-plan.txt
  Rollback/teardown: Apply reviewed previous Terraform version or destroy disposable resources in order.
  Current tracker status (read-only historical/current fact): Not Started
  Separate Task Context: 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
Downstream tracker steps identified from recorded dependencies: W5-03, W5-05, W5-06, W5-07, W5-09, W6-03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TASK-SPECIFIC AMENDMENT — TERRAFORM STATIC FOUNDATION AND BOOTSTRAP DEPENDENCY
1. Require W5-INPUTS-001 final approval and exact non-secret inputs. Pin Terraform/provider/module versions; owner-run reviewed initialization may generate exact dependency lock files for a separately reviewed repository update, but Codex does not initialize, stage or commit them.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Produce reviewable infrastructure without secret material. The primary beneficiaries are platform, security, networking, finance and SRE.
- Process and risk: This task supports approved cloud inputs -&gt; Terraform modules -&gt; static/policy validation -&gt; saved plan -&gt; owner review -&gt; later apply. Without it, the platform can produce an unauditable, insecure or non-reproducible result at this exact layer.
- Measurable outcome: reproducible plan with zero critical policy findings and bounded cost. It contributes to the MVP by making Terraform AWS sandbox modules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END-TO-END ARCHITECTURE LEARNING
- Position and flow: approved cloud inputs -&gt; Terraform modules -&gt; static/policy validation -&gt; saved plan -&gt; owner review -&gt; later apply.
- Upstream/dependency boundary: W5-01, W5-01,W5-02, W5-01, W5-03,W5-04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providers, state/bootstrap boundary, network, IAM, KMS, storage/search/compute modules, variables and outputs.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providers, state/bootstrap boundary, network, IAM, KMS, storage/search/compute modules, variables and outputs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engineering blueprint that can be reviewed before machinery builds anything.
- What goes in / happens / comes out: approved TODO account, region, VPC/subnets, GitHub repo, tags, Bedrock models goes through Terraform AWS sandbox modules;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declares infrastructure; deployment applies an approved plan.
ARCHITECTURE DECISIONS AND TRADE-OFFS
- Selected recorded direction: modular IaC, reviewed plans and immutable inputs are selected over console changes.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encryption, private networking, mandatory tags and no secrets in state/code. Apply classification, PII handling, tenant isolation, authorization before provider/storage calls, secret exclusion, redacted evidence, residency, retention, provenance and least privilege where applicable.
- Failure/operations: plan or policy failure blocks apply; rollback uses reviewed prior configuration; teardown is dependency ordered.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Terraform AWS sandbox modules addresses produce reviewable infrastructure without secret material. It makes the result governed, testable and reversible, measured by reproducible plan with zero critical policy findings and bounded cost.
- Two-minute technical explanation: describe providers, state/bootstrap boundary, network, IAM, KMS, storage/search/compute modules, variables and outputs; trace approved cloud inputs -&gt; Terraform modules -&gt; static/policy validation -&gt; saved plan -&gt; owner review -&gt; later apply;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Terraform AWS sandbox modules solve?
   Answer points: Connect Produce reviewable infrastructure without secret material. to reproducible plan with zero critical policy findings and bounded cost and identify platform, security, networking, finance and SRE.
2. Q: Trace the end-to-end flow for W5-001.
   Answer points: Explain approved cloud inputs -&gt; Terraform modules -&gt; static/policy validation -&gt; saved plan -&gt; owner review -&gt; later apply; name upstream dependencies, downstream consumers, trust and state boundaries.
3. Q: Which design decision matters most and what alternative was rejected?
   Answer points: Discuss modular IaC, reviewed plans and immutable inputs are selected over console changes; compare the adjacent alternative and when it could be preferable.
4. Q: How does this task fail safely and how is it recovered?
   Answer points: Use this scenario: plan or policy failure blocks apply; rollback uses reviewed prior configuration; teardown is dependency ordered; distinguish retry, remediation, rollback, teardown and evidence.
5. Q: How are security, privacy and cost controlled?
   Answer points: Explain least privilege, encryption, private networking, mandatory tags and no secrets in state/code; include least privilege, redaction/residency, bounded resources and owner-only access.
- Design trade-off: volume/latency increases tenfold; explain whether modular IaC, reviewed plans and immutable inputs are selected over console changes still holds and what evidence/ADR/approval must change.
- Failure/remediation: plan or policy failure blocks apply; rollback uses reviewed prior configuration; teardown is dependency ordered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Terraform AWS sandbox modules. Task — establish the governed contract. Action — map consumers, work within gates, owner-test, diagnose completely and prove lifecycle. Result — report only accepted evidence and reproducible plan with zero critical policy findings and bounded cost.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TODO account, region, VPC/subnets, GitHub repo, tags, Bedrock models.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W5-001.
</t>
  </si>
  <si>
    <t>READY FOR PRE-EDIT REVIEW — W5-001</t>
  </si>
  <si>
    <t>W5-02, W5-03, W5-04, W5-05</t>
  </si>
  <si>
    <t xml:space="preserve">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
</t>
  </si>
  <si>
    <t xml:space="preserve">FOUR APPROVAL GATES PLUS OWNER TESTING AND WEEKLY LEARNING — TRACKER v1.3.4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</si>
  <si>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READY FOR PRE-EDIT REVIEW — W5-002</t>
  </si>
  <si>
    <t>W5-07, W5-08, W6-01</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</si>
  <si>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</si>
  <si>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FOUR APPROVAL GATES PLUS OWNER TESTING AND WEEKLY LEARNING — TRACKER v1.3.4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</si>
  <si>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</si>
  <si>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</si>
  <si>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</si>
  <si>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 xml:space="preserve">FOUR APPROVAL GATES PLUS OWNER TESTING AND WEEKLY LEARNING — TRACKER v1.3.4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</si>
  <si>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READY FOR PRE-EDIT REVIEW — W5-004</t>
  </si>
  <si>
    <t>W5-09, W5-10, W5-11, W5-12, W6-12</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</si>
  <si>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</si>
  <si>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v1.3.4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</si>
  <si>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</si>
  <si>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</si>
  <si>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</si>
  <si>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v1.3.4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</si>
  <si>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</si>
  <si>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</si>
  <si>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</si>
  <si>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</si>
  <si>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v1.3.4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</si>
  <si>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</si>
  <si>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</si>
  <si>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</si>
  <si>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</si>
  <si>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</si>
  <si>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</si>
  <si>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</si>
  <si>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v1.3.4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</si>
  <si>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</si>
  <si>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</si>
  <si>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</si>
  <si>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</si>
  <si>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</si>
  <si>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</si>
  <si>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v1.3.4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</si>
  <si>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</si>
  <si>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</si>
  <si>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</si>
  <si>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</si>
  <si>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</si>
  <si>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</si>
  <si>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v1.3.4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</si>
  <si>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</si>
  <si>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</si>
  <si>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</si>
  <si>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</si>
  <si>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</si>
  <si>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</si>
  <si>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v1.3.4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</si>
  <si>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</si>
  <si>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</si>
  <si>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</si>
  <si>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</si>
  <si>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</si>
  <si>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</si>
  <si>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v1.3.4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</si>
  <si>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</si>
  <si>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</si>
  <si>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</si>
  <si>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</si>
  <si>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PyTorch Lightning and PEFT/LoRA training lab</t>
  </si>
  <si>
    <t>Learn model development without making it an MVP dependency.</t>
  </si>
  <si>
    <t>Approved model/dataset IDs, license and GPU budget</t>
  </si>
  <si>
    <t xml:space="preserve">FOUR APPROVAL GATES PLUS OWNER TESTING AND WEEKLY LEARNING — TRACKER v1.3.4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</si>
  <si>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</si>
  <si>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</si>
  <si>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</si>
  <si>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</si>
  <si>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</si>
  <si>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</si>
  <si>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</si>
  <si>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v1.3.4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</si>
  <si>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</si>
  <si>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</si>
  <si>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</si>
  <si>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</si>
  <si>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</si>
  <si>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</si>
  <si>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</si>
  <si>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v1.3.4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</si>
  <si>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</si>
  <si>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</si>
  <si>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</si>
  <si>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</si>
  <si>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</si>
  <si>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</si>
  <si>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</si>
  <si>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</si>
  <si>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</si>
  <si>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v1.3.4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</si>
  <si>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Owner learning and teach-back review — WEEKLY-LEARN-001</t>
  </si>
  <si>
    <t>W1-13, W2-13, W3-13, W4-13, W5-14, W6-14</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</si>
  <si>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</si>
  <si>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</si>
  <si>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</si>
  <si>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</si>
  <si>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AND TEARDOWN</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</si>
  <si>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docs/governance/Enterprise_AI_Architecture_6_Week_Execution_Tracker_v1.3.4_repaired.xlsx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</si>
  <si>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In Progress</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</si>
  <si>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</si>
  <si>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OWNER-CONTROLLED WORKFLOW — FOUR APPROVAL GATES PLUS OWNER TESTING AND WEEKLY LEARNING — TRACKER v1.3.4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docs/governance/Enterprise_AI_Architecture_6_Week_Execution_Tracker_v1.3.4_repaired.xlsx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</si>
  <si>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OWNER-CONTROLLED WORKFLOW — FOUR APPROVAL GATES PLUS OWNER TESTING AND LEARNING — TRACKER v1.3.4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docs/governance/Enterprise_AI_Architecture_6_Week_Execution_Tracker_v1.3.4_repaired.xlsx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</si>
  <si>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COLUMN L — COMPLETE BOUNDED CONTENT EDIT APPROVAL — W5-INPUTS-001
APPROVED TASK CONTRACT
- Prompt and tracker steps: W5-INPUTS-001 / W5-01
- Business purpose: Capture all non-secret AWS, network, tagging, residency and budget choices before Terraform work.
- Architecture position and content design: Capture non-secret AWS sandbox choices in a human-readable decision record and a Terraform variable example; neither file grants Terraform or AWS execution authority.
- Exact interfaces, functions and connections: No application function, class, API, service or infrastructure connection is changed. The exact document sections are Account and region placeholders, network identifiers, tags, budget, residency, GitHub/OIDC identifiers, Bedrock model IDs, unresolved owner decisions and explicit no-secret warnings.
- Exact inputs, outputs, errors and invariants: Inputs are limited to AWS-001, AWS-002, NET-001, TAG-001, COST-001 and PRIV-001;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or Terraform-example format; the Terraform example contains placeholders only,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infra/environments/sandbox/terraform.tfvars.example
- docs/cost-estimates/W5-inputs.md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and executable infrastructure other than the exact non-secret Terraform variable example.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Capture all non-secret AWS, network, tagging, residency and budget choices before Terraform work. and measurable acceptance.
2. Architecture position: owner-approved non-secret account/network/tag/residency/budget choices -&gt; decision record -&gt; Terraform inputs,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signed travel authorization before booking anything; what goes in, happens and comes out.
7. Decisions/trade-offs: record every cloud boundary before IaC so placeholders cannot become accidental production values, alternatives, pros/cons, conditions to differ and consequences.
8. Security/privacy/reliability/cost: no credentials in workbook/repository; least privilege, residency and budget are explicit, failure isolation, retained resources and accepted access/cost.
9. Failure/remediation/rollback/teardown: missing or conflicting input blocks Terraform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W5-INPUTS-001.</t>
  </si>
  <si>
    <t>COLUMN L — COMPLETE BOUNDED CODE EDIT APPROVAL — W5-001
APPROVED TASK CONTRACT
- Prompt and tracker steps: W5-001 / W5-02, W5-03, W5-04, W5-05
- Business purpose: Produce reviewable infrastructure without secret material.
- Architecture and design: Separate Terraform bootstrap and sandbox roots compose KMS, storage, secret metadata, IAM, OpenSearch and ECR modules; state remains isolated and removed last.
- Exact interfaces, functions and connections: Typed Terraform variables accept owner-approved account, region, network, tags and service identifiers; module outputs expose only non-secret IDs and ARNs.
- Exact inputs, outputs, errors and invariants: Inputs are limited to TODO account, region, VPC/subnets, GitHub repo, tags, Bedrock models.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no model runtime or local inference control applies.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 inspects expected plan shape; teardown test preserves bootstrap-last boundary.
- Accepted baseline: The inspected repository contains every UPDATE path and does not contain every CREATE path. Historical results remain unchanged; future execution must revalidate content and patch anchors.
EXACT APPROVED PATH MANIFEST
CREATE: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src/enterprise_ai_platform/config.py
- src/enterprise_ai_platform/retrieval/adapters/opensearch.py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</si>
  <si>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L — COMPLETE BOUNDED CODE EDIT APPROVAL — W5-002
APPROVED TASK CONTRACT
- Prompt and tracker steps: W5-002 / W5-07, W5-08, W6-01
- Business purpose: Enforce quality, IaC and supply-chain gates with short-lived identity.
- Architecture and design: GitHub Actions workflows separate pull-request quality gates, sandbox plan, approved deploy, rollback and security scanning through environments and OIDC.
- Exact interfaces, functions and connections: Workflow dispatch inputs carry environment, plan artifact identity and typed confirmation; jobs exchange immutable artifacts and explicit outputs.
- Exact inputs, outputs, errors and invariants: Inputs are limited to GitHub environment, OIDC role ARN, sandbox variables.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YAML workflows pin actions, declare least permissions and artifact retention; secret names are references only and no static credential value is permitted.
- Exact dependency and runtime API rules: GitHub-hosted runners and approved tool versions apply; cloud mutation jobs require the protected environment and owner execution/approval.
- Exact security, privacy, concurrency and operational controls: OIDC trust, least permissions, concurrency groups, timeouts, immutable image digests, scan gates and artifact provenance are mandatory.
- Exact automated-test behavior: Workflow contract tests parse job/permission structure; OIDC security tests reject static keys and broad permissions; release-gate tests prove deploy dependency; teardown tests check retention and no local runner residue.
- Accepted baseline: The inspected repository contains every UPDATE path and does not contain every CREATE path. Historical results remain unchanged; future execution must revalidate content and patch anchors.
EXACT APPROVED PATH MANIFEST
CREATE:
- .github/dependabot.yml
- .github/workflows/ci.yml
- .github/workflows/plan-sandbox.yml
- .github/workflows/deploy-sandbox.yml
- .github/workflows/rollback-sandbox.yml
- .github/workflows/security-scan.yml
- tests/contract/test_workflow_contract.py
- tests/security/test_github_oidc_workflows.py
- tests/feature/test_release_gate_workflows.py
- tests/teardown/test_workflow_artifact_retention.py
UPDATE:
- Makefile
- feature-matrix.yaml
- tools/platformctl/validate.py
- tests/feature/test_feature_matrix.py
- tests/unit/test_platformctl.py
DELETE:
- None
VERIFIED IMPLEMENTED PRODUCERS / UNCHANGED CONSUMERS:
- infra/environments/sandbox/main.tf
REQUIRED UPSTREAM PRODUCERS: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Enforce quality, IaC and supply-chain gates with short-lived identity. and measurable acceptance.
2. Architecture position: Git change -&gt; CI quality/security/IaC gates -&gt; OIDC token -&gt; approved artifact/plan -&gt; environment approval,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automated border checkpoint that verifies every package and temporary pass; what goes in, happens and comes out.
7. Decisions/trade-offs: short-lived OIDC and pinned actions replace stored cloud keys and floating supply-chain dependencies, alternatives, pros/cons, conditions to differ and consequences.
8. Security/privacy/reliability/cost: minimum job permissions, environment approvals and no secret output, failure isolation, retained resources and accepted access/cost.
9. Failure/remediation/rollback/teardown: failed gate prevents promotion; compromised/unverified artifact is rejected;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W5-002.</t>
  </si>
  <si>
    <t>COLUMN L — COMPLETE BOUNDED CODE EDIT APPROVAL — W5-003
APPROVED TASK CONTRACT
- Prompt and tracker steps: W5-003 / W5-06
- Business purpose: Make critical cloud controls executable before apply.
- Architecture and design: Checkov configuration and OPA policies validate Terraform plans for encryption, private access, tagging, region and IAM controls before owner apply.
- Exact interfaces, functions and connections: OPA deny rules accept normalized Terraform-plan JSON and return deterministic policy messages; exception records require policy ID, owner, reason and expiry.
- Exact inputs, outputs, errors and invariants: Inputs are limited to Approved regions, encryption/tag rules, exception process.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Exception JSON has schema version, policy ID, resource scope, approver, expiry and rationale; expired, duplicate or broad exceptions are rejected.
- Exact dependency and runtime API rules: Policy evaluation is offline against files; no Terraform or cloud operation is performed by Codex.
- Exact security, privacy, concurrency and operational controls: Default deny covers public storage/search, missing encryption, wildcard IAM, missing tags and unapproved region; exception use is explicit and auditable.
- Exact automated-test behavior: OPA unit tests cover allow and deny plans; exception contract tests reject invalid records; security tests cover critical controls; feature test proves the gate blocks a violating plan.
- Accepted baseline: The inspected repository contains every UPDATE path and does not contain every CREATE path. Historical results remain unchanged; future execution must revalidate content and patch anchors.
EXACT APPROVED PATH MANIFEST
CREATE:
- .checkov.yml
- policies/opa/terraform.rego
- policies/opa/terraform_test.rego
- policies/opa/exceptions.json
- tests/contract/test_policy_exception_contract.py
- tests/security/test_policy_pack.py
- tests/feature/test_policy_gate.py
UPDATE:
- Makefile
- feature-matrix.yaml
- tools/platformctl/validate.py
- tests/feature/test_feature_matrix.py
- tests/unit/test_platformctl.py
DELETE:
- None
VERIFIED IMPLEMENTED PRODUCERS / UNCHANGED CONSUMERS:
- infra/environments/sandbox/main.tf
REQUIRED UPSTREAM PRODUCERS:
- .github/workflows/security-scan.yml — produced by W5-002;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critical cloud controls executable before apply. and measurable acceptance.
2. Architecture position: Terraform/configuration -&gt; policy checks -&gt; deny findings or approved exception -&gt; release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building inspector applying the same checklist to every blueprint; what goes in, happens and comes out.
7. Decisions/trade-offs: policy-as-code and default deny make cloud controls repeatable, alternatives, pros/cons, conditions to differ and consequences.
8. Security/privacy/reliability/cost: reject public access, missing encryption/tags, wildcard IAM and unapproved regions, failure isolation, retained resources and accepted access/cost.
9. Failure/remediation/rollback/teardown: policy errors or expired exceptions fail the gate; rollback restores the last passing policy pack;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W5-003.</t>
  </si>
  <si>
    <t>COLUMN L — COMPLETE BOUNDED CODE EDIT APPROVAL — W5-004
APPROVED TASK CONTRACT
- Prompt and tracker steps: W5-004 / W5-09, W5-10, W5-11, W5-12, W6-12
- Business purpose: Prove the AWS lifecycle without leaving unmanaged resources.
- Architecture and design: platformctl coordinates saved-plan deployment, rollback, ordered teardown and two-source orphan discovery while Terraform remains the resource authority.
- Exact interfaces, functions and connections: validate_saved_plan, deploy_sandbox, rollback_sandbox, destroy_sandbox and verify_aws_clean accept exact environment and approval data and return typed lifecycle reports.
- Exact inputs, outputs, errors and invariants: Inputs are limited to Approved saved plan; budget ceiling; typed owner confirmations.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Saved-plan contract fixes plan hash, commit, workspace, account, region, cost review and approval; inventory records identify native and tag-derived resources.
- Exact dependency and runtime API rules: AWS and Terraform commands are owner executed; code defaults to dry-run and injected fake inventories; timeouts and retries are bounded.
- Exact security, privacy, concurrency and operational controls: Typed confirmation, account/region/project checks, budget ceiling, dependency-ordered destroy, KMS pending-deletion handling and residual-resource reporting apply.
- Exact automated-test behavior: Saved-plan contract rejects drift; lifecycle and rollback feature tests use fakes; security test rejects unapproved destroy; teardown test reconciles native and tag inventories and distinguishes retained resources.
- Accepted baseline: The inspected repository contains every UPDATE path and does not contain every CREATE path. Historical results remain unchanged; future execution must revalidate content and patch anchors.
EXACT APPROVED PATH MANIFEST
CREATE:
- tests/contract/test_saved_plan_contract.py
- tests/feature/test_aws_lifecycle.py
- tests/feature/test_aws_rollback.py
- tests/security/test_destroy_approval.py
- tests/teardown/test_aws_resource_cleanliness.py
UPDATE:
- tools/platformctl/deploy.py
- tools/platformctl/rollback.py
- tools/platformctl/destroy.py
- tools/platformctl/verify_clean.py
- tools/platformctl/aws_inventory.py
- tools/platformctl/cli.py
- tools/platformctl/contracts.py
- tests/fakes/aws_inventory.py
- Makefile
- feature-matrix.yaml
- tools/platformctl/validate.py
- tests/feature/test_feature_matrix.py
- tests/unit/test_platformctl.py
DELETE:
- None
VERIFIED IMPLEMENTED PRODUCERS / UNCHANGED CONSUMERS:
- infra/bootstrap/main.tf
- infra/environments/sandbox/main.tf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the AWS lifecycle without leaving unmanaged resources. and measurable acceptance.
2. Architecture position: approved saved plan/artifact -&gt; typed owner confirmation -&gt; deploy -&gt; verification -&gt; rollback/teardown -&gt; orphan and cost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launching and recovering a spacecraft using signed go/no-go checklists; what goes in, happens and comes out.
7. Decisions/trade-offs: reviewed immutable inputs and explicit lifecycle checkpoints constrain cloud blast radius, alternatives, pros/cons, conditions to differ and consequences.
8. Security/privacy/reliability/cost: owner credentials stay outside Codex; tags, region, residency and least privilege are verified, failure isolation, retained resources and accepted access/cost.
9. Failure/remediation/rollback/teardown: partial deployment stops; rollback or teardown preserves dependencies and reports residuals;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W5-004.</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</si>
  <si>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</si>
  <si>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</si>
  <si>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</si>
  <si>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</si>
  <si>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</si>
  <si>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</si>
  <si>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</si>
  <si>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</si>
  <si>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</si>
  <si>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</si>
  <si>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</si>
  <si>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</si>
  <si>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</si>
  <si>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FOUR APPROVAL GATES PLUS OWNER TESTING AND WEEKLY LEARNING — TRACKER v1.3.4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</si>
  <si>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</si>
  <si>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FOUR APPROVAL GATES PLUS OWNER TESTING AND WEEKLY LEARNING — TRACKER v1.3.4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</si>
  <si>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</si>
  <si>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</si>
  <si>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Deferred</t>
  </si>
  <si>
    <t>FOUR APPROVAL GATES PLUS OWNER TESTING AND WEEKLY LEARNING — TRACKER v1.3.4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</si>
  <si>
    <t>FINAL W4-001 COLUMN L CODE EDIT APPROVAL
OWNER AUTHORIZATION
This prompt is the complete bounded Code Edit Approval for W4-001.
It authorizes Codex to create or update only the exact code, configuration and automated-test paths listed below. It does not authorize command execution, testing, documentation, evidence writing, service startup, load generation, deployment, rollback execution, teardown execution, Git mutation or Excel editing.
APPROVED BASELINE
Repository root: E:\AI\enterprise_ai_platform
Repository HEAD: 382f2ddd940651669a3318cc5fe323051332ba5d
Branch: main, aligned with origin/main
Tracked working tree: clean at final pre-edit verification
W3-13 canonical record: docs/learning/W3-learning-review.md
W3-13 record SHA-256: be120b416291652670ff5d8e196932b08c2ee5080b2f82fb58395837852a87e
W3-13 status: completed and closed; do not reopen its approval
Approved W3-002 baseline: configs/eval/baselines/w3-002-v1.json
Approved W3-002 baseline SHA-256: 4bbc8f24af911ba09356196e9285d261549926c713110f9549929e1e4ac9086f
Approved latest ordinary-suite evidence: 465 passed, 7 skipped, 4 deselected, 10 subtests passed and 1 accepted TestClient warning
Open Excel processes, the tracker ~$ lock file and uncommitted workbook work are non-blocking and are excluded from this approval.
IMMEDIATE PRE-EDIT REVALIDATION
Immediately before the first edit, Codex must re-read, without executing any project command:
Current complete Git HEAD and tracked status.
All 13 CREATE targets and confirm they remain absent.
All 10 UPDATE targets and confirm their approved patch contexts still match.
Every VERIFIED UNCHANGED consumer required to understand the contract.
W3-13 identity/status and the protected W3-002 baseline hash.
Do not treat an open workbook or lock file as drift.
If HEAD, a patch context, a protected contract, source identity or target classification changed materially, do not edit. End:
BLOCKED — BASELINE CHANGED — W4-001.
APPROVED BUSINESS AND ARCHITECTURE CONTRACT
Implement a thin, typed FastAPI boundary over the approved local RAG service.
The boundary must:
preserve the existing /health contract;
add opt-in /health/live, /health/ready, /v1/query and disabled /v1/agent routes;
construct trusted AuthContext only through an injected authenticator;
deny before RAG, retrieval, provider, graph or tool work;
call RAGService.answer(...) exactly once for an admitted query;
preserve the existing RAG, authorization, guardrail, citation, usage and abstention semantics;
return typed responses and server-generated request IDs;
enforce strict transport, raw-body, deadline and zero-queue concurrency limits;
normalize errors without content leakage;
use deterministic fakes for ordinary tests;
remain disabled by default;
introduce no agent behavior, telemetry, live identity, direct vector access, network call, service lifecycle or cloud activity.
APPROVED API CONTRACT
Configuration
Add exact bounded settings consistent with current repository conventions:
api_routes_enabled = false
api_max_request_body_bytes = 131072
api_readiness_timeout_seconds = 1.0
api_max_inflight_queries = 4
api_query_queue_capacity = 0
request_timeout_seconds = existing 30-second setting used as overall query deadline
Settings must have safe defaults, explicit validation and no secret values.
Existing GET /health
Preserve its existing response status and body fields exactly.
Preserve service and environment values exactly.
When W4 routes are enabled, an additive X-Request-ID header is permitted.
Do not remove or rename the route.
GET /health/live
Available only when api_routes_enabled=true.
Confirms only that the application/event loop can answer.
Makes no dependency, RAG, retrieval, provider, vector-store, network or cloud call.
Returns a strict typed result with a server-generated UUIDv4 request ID.
GET /health/ready
Available only when api_routes_enabled=true.
Calls exactly one injected local query-wiring readiness probe.
Uses a one-second timeout.
Never probes Qdrant, OpenSearch, Bedrock, live models, AWS, cloud or network services.
Returns 503 service_not_ready when degraded or timed out.
POST /v1/query
Available only when api_routes_enabled=true.
Accepts HTTP application/json only.
Rejects unsupported media type or content encoding before authentication-dependent RAG work.
Streams and counts the raw body before full parsing.
Rejects a body larger than 131,072 bytes.
Uses strict_json_loads() or an equivalent existing strict contract to reject malformed JSON, duplicate keys and non-finite values.
Rejects invalid UTF-8.
Validates a strict, extra-forbidden request containing only query: str.
Does not accept tenant, subject, roles, groups, clearance, ACL, issuer, audience, expiry, request ID, citation, usage, model version, retriever version or logical content type from the body.
Passes the raw query string to the approved RAG boundary with content_type="text/plain".
Calls the injected RAG service exactly once after authentication and admission.
Preserves the existing 10,000-Unicode-character guardrail and guardrail_input_invalid code.
Adds no lexical or regex injection blocker.
Answered response
Return only trusted normalized fields supported by the existing result:
{
  "request_id": "UUIDv4",
  "outcome": "answered",
  "answer": "trusted normalized answer",
  "citations": [],
  "prompt_version": "trusted version",
  "usage": null
}
Reuse the existing strict Citation and Usage contracts where compatible.
Preserve exact citation identifiers.
Do not invent model or retriever versions absent from RAGResult.
Optional fields follow existing trusted-result presence rules.
Abstention response
Return HTTP 200.
Preserve the exact existing safe abstention reason and prompt version.
Return no fabricated answer or citation.
POST /v1/agent
Available only when api_routes_enabled=true.
Return HTTP 501 with safe code agent_disabled.
Make zero authenticator, RAG, retriever, provider, graph, approval-store or tool calls.
Add no agent state, budget, graph or tool contract.
Request IDs and proxy trust
Generate a UUIDv4 server-side for every W4-enabled response, including errors.
Return it in X-Request-ID.
Include it in all new response/error bodies.
Ignore inbound X-Request-ID, X-Correlation-ID and X-Forwarded-* values.
Add no trusted-proxy, CORS, public-ingress or TLS-termination configuration.
Documentation surface
When W4 routes are enabled:
disable interactive documentation;
disable the OpenAPI endpoint;
disable slash redirects.
Do not broaden the existing default application surface when api_routes_enabled=false.
APPROVED AUTHENTICATION CONTRACT
Create an injected asynchronous interface equivalent to:
async def authenticate(request: Request) -&gt; AuthContext:
    ...
Requirements:
ordinary tests use a deterministic fake;
the default producer fails closed when no authenticator is configured;
the request body cannot create authority;
no JWT, JWKS, IdP, API-key, session-store or network integration is added;
existing AuthContext and authorization semantics remain unchanged.
Approve exact mappings:
Condition
HTTP/result
Authenticator not configured
503 authentication_not_configured
Authentication missing
401 authentication_required
Authentication invalid
401 authentication_invalid
Explicit operation denial
403 authorization_denied
Authenticated caller with no authorized evidence
HTTP 200 existing no_authorized_evidence abstention
Existing vector-store authorization denial
HTTP 403 using existing safe code
APPROVED ERROR CONTRACT
Use one strict normalized envelope:
{
  "request_id": "UUIDv4",
  "error": {
    "code": "stable_safe_code",
    "message": "safe content-free message"
  }
}
retryable is optional and appears only where an existing approved contract or this policy defines it.
Do not duplicate HTTP status in the body.
Do not expose raw exceptions, stack traces, prompt, query, answer, evidence, citation content, provider response, secret, PII, internal path or endpoint.
Implement the approved mapping:
Outcome
HTTP/safe code
Unsupported media type/content encoding
415 api_unsupported_media_type
Raw body too large
413 api_request_too_large
Malformed/duplicate/non-finite/invalid-UTF-8 JSON
400 api_request_malformed
Missing/wrong/unknown transport field
422 api_request_invalid
Empty/oversized logical query
422 guardrail_input_invalid
Authenticator not configured
503 authentication_not_configured
Missing authentication
401 authentication_required
Invalid authentication
401 authentication_invalid
Explicit operation denial
403 authorization_denied
Valid caller/no authorized evidence
HTTP 200 existing abstention
Vector-store authorization denial
HTTP 403 existing safe code
Vector-store timeout
HTTP 504 existing safe code
Vector-store unavailable
HTTP 503 existing safe code
Vector validation/collection mismatch
HTTP 503 existing safe code
Embedding input/length failure
HTTP 422 existing safe code
Other embedding failure
HTTP 503 existing safe code
RAG configuration invalid
503 rag_configuration_invalid
Invalid RAG/provider output
HTTP 502 existing safe RAG/LLM code
LLM authentication/authorization failure
HTTP 503 existing provider-neutral code
LLM timeout
504 llm_timeout
LLM throttled/unavailable
HTTP 503 existing provider-neutral code
Overall API deadline
504 api_query_deadline_exceeded
Admission capacity exhausted
503 api_overloaded, retryable=true, Retry-After: 1
Readiness degraded/timed out
503 service_not_ready
Disabled agent
501 agent_disabled
Unknown route/method
normalized HTTP 404/405
Unhandled exception/response validation failure
500 internal_error
Task cancellation/client disconnect
propagate cancellation; fabricate no response
Preserve existing content-free codes/messages where the repository already defines them. Do not rename shared errors merely to fit the API.
APPROVED CONCURRENCY, DEADLINE AND CLEANUP CONTRACT
Create a per-application capacity limiter.
Maximum admitted queries: four.
Queue capacity: zero.
Acquisition: atomic and non-waiting.
Rejected requests make no RAG call.
Admitted work runs under the existing 30-second overall timeout.
Release capacity in finally for answer, abstention, error, timeout and cancellation.
Re-raise cancellation.
Create no retry or replacement work after cancellation.
Add no API retry; preserve existing lower-layer retry behavior.
Create no background task, process, socket, cache, canonical report or persistent state.
TELEMETRY AND LOGGING BOUNDARY
W4-003 owns positive telemetry, structured runtime logging, spans, metrics, exporters and audit trails.
W4-001 may return request IDs but must:
add no runtime content logging;
preserve the W3-003 empty/no-content logging contract;
add no OTEL dependency, exporter, span, metric or audit sink;
expose clean dependency seams for later W4-003 instrumentation only.
FEATURE OWNERSHIP
Add feature API-001 in the exact repository-approved feature-matrix structure:
status: In Progress;
tracker steps in exact order: W4-01, W4-02, W4-10;
implementation paths: exact approved W4-001 Column L paths in the repository's required ordering and without duplicates.
W4-10 remains linked but deferred. Do not create its load-test path now.
Synchronize the exact matrix and validator consumers without weakening any earlier feature contract.
docs/adr/ADR-007-api-boundary.md is deferred to later documentation approval. The owner decisions embodied in this Column L approval govern the bounded edit.
FINAL COLUMN L MANIFEST
CREATE — exactly 13
src/enterprise_ai_platform/api/__init__.py
src/enterprise_ai_platform/api/dependencies.py
src/enterprise_ai_platform/api/errors.py
src/enterprise_ai_platform/api/models.py
src/enterprise_ai_platform/api/runtime.py
src/enterprise_ai_platform/api/routes.py
tests/fakes/api.py
tests/unit/test_api.py
tests/contract/test_api_schema.py
tests/integration/test_api_dependency_composition.py
tests/security/test_api_authorization.py
tests/rollback/test_w4_001_api_rollback.py
tests/teardown/test_w4_001_api_cleanliness.py
UPDATE — exactly 10
.env.example
feature-matrix.yaml
src/enterprise_ai_platform/app.py
src/enterprise_ai_platform/config.py
tools/platformctl/validate.py
tests/conftest.py
tests/unit/test_config.py
tests/unit/test_platformctl.py
tests/feature/test_feature_matrix.py
tests/security/test_configuration_security.py
DELETE — exactly 0
None
Manifest reconciliation: 13 CREATE + 10 UPDATE = 23 editable paths; 0 DELETE.
REQUIRED TEST-CODE COVERAGE — WRITE ONLY, DO NOT RUN
tests/unit/test_api.py
Cover:
exact legacy /health compatibility;
routes absent/default health-only behavior when disabled;
live and ready behavior;
readiness timeout/degradation;
answered and abstained query responses;
exactly one RAG call;
server-generated request IDs and ignored inbound IDs;
media type, encoding, raw body, strict JSON and schema validation;
preservation of logical text/plain;
deadline and overload behavior;
cancellation and capacity release;
disabled agent zero-call assertions;
normalized safe error mappings;
no prompt/evidence/exception leakage.
tests/contract/test_api_schema.py
Cover exact fields, literals, strictness, extra rejection, UUID serialization, citation/usage reuse and absence of prompt, evidence, chain-of-thought, internal endpoint, model version and retriever version fields not present in trusted results.
tests/integration/test_api_dependency_composition.py
Compose the injected fake authenticator with the concrete approved RAG service using deterministic fake retrieval/provider dependencies. No external client or service.
tests/security/test_api_authorization.py
Cover missing, invalid, forbidden and expired authentication; body-supplied authority; request-ID/proxy spoofing; prompt-injection-as-data; log/error redaction; and deny-before-RAG/retrieval/provider/tool assertions.
tests/rollback/test_w4_001_api_rollback.py
Prove api_routes_enabled=false restores the exact existing health-only route surface without modifying W3 configuration rollback identities.
tests/teardown/test_w4_001_api_cleanliness.py
Prove no report, evidence, cache, task, socket, process, temporary file or other W4-001 residue remains.
Update the existing configuration, platform and feature-matrix tests only as required by the approved contract. Preserve all earlier assertions.
VERIFIED UNCHANGED CONSUMERS
Inspect and preserve without modification:
pyproject.toml
requirements.txt
requirements-dev.txt
Makefile
src/enterprise_ai_platform/json_contracts.py
src/enterprise_ai_platform/guardrails/errors.py
src/enterprise_ai_platform/guardrails/policy.py
src/enterprise_ai_platform/retrieval/authorization.py
src/enterprise_ai_platform/retrieval/errors.py
src/enterprise_ai_platform/retrieval/models.py
src/enterprise_ai_platform/retrieval/service.py
src/enterprise_ai_platform/retrieval/vector_store.py
src/enterprise_ai_platform/embeddings/errors.py
src/enterprise_ai_platform/llm/errors.py
src/enterprise_ai_platform/llm/models.py
src/enterprise_ai_platform/llm/provider.py
src/enterprise_ai_platform/llm/fake.py
src/enterprise_ai_platform/llm/bedrock.py
src/enterprise_ai_platform/rag/errors.py
src/enterprise_ai_platform/rag/models.py
src/enterprise_ai_platform/rag/service.py
src/enterprise_ai_platform/evaluation/evaluator.py
src/enterprise_ai_platform/evaluation/fixtures.py
tests/unit/test_app.py
tests/feature/test_health_contract.py
tests/integration/test_dependency_contract.py
tests/integration/test_repository_layout.py
tests/unit/test_rag_pipeline.py
tests/contract/test_guardrail_contract.py
tests/contract/test_rag_result.py
tests/security/test_w3_001_cited_rag_security.py
tests/security/test_w3_003_guardrails_security.py
configs/eval/baselines/w3-002-v1.json
configs/eval/golden.jsonl
configs/eval/w3-002.yaml
configs/rag.yaml
configs/rag/versions/w3-002-v1.json
configs/rag/versions/w3-004-synthetic-regression-v1.json
If implementation proves that any listed consumer must change, stop and request a bounded manifest expansion. Do not change it silently.
DEFERRED — NOT AUTHORIZED
tests/feature/test_api_load_smoke.py
docs/test-evidence/W4-001.md
docs/test-evidence/W4-01-api.txt
docs/test-evidence/W4-02-auth.txt
docs/test-evidence/W4-10-load.json
docs/test-evidence/README.md
docs/test-evidence/W4-api.txt
docs/adr/ADR-007-api-boundary.md
docs/learning/W4-learning-review.md
W4-10 code, execution and evidence remain NOT RUN until W4-06 approval.
No Column M documentation is authorized.
Do not create docs/test-evidence/W4-api.txt later unless a new owner decision changes the approved evidence-path reconciliation.
EXCLUDED
Agent graph, state, budgets, approval store and tools.
W4-003 telemetry, logging, spans, metrics, exporters and audit sinks.
Live authentication, JWT, JWKS, IdP, API keys and sessions.
Live Bedrock/model/judge/paid-provider activity.
Direct Qdrant, OpenSearch, vector-store, embedder or ingestion access from routes.
Docker, service startup, network exposure, AWS, EKS, Terraform and registries.
Image build/push, deployment and production performance/SLO claims.
W4 release rollback drill.
W3 dataset, thresholds, baseline, reports, RAG semantics, guardrails and rollback identities.
Documentation, evidence, tracker and Excel changes.
Git staging, commit, push, reset or checkout.
Any path outside the exact 23-path editable manifest.
DEPENDENCY AND SUPPLY-CHAIN BOUNDARY
Add no dependency.
Change no dependency range or lock.
Use the current FastAPI, Starlette, Pydantic and HTTPX APIs supported by the repository's approved ranges.
Retain the accepted TestClient deprecation warning; do not remediate it under W4-001.
Add no package installation or download instruction to the code edit.
NO EXECUTION
Codex must not run:
Python imports or version commands;
Ruff, MyPy, Pytest or platform validation;
a formatter, build or pre-commit hook;
the FastAPI service or any client/load request;
Docker, model, registry, AWS, EKS or Terraform commands;
rollback, teardown or cleanup commands;
Git or Excel mutations.
The owner will execute later commands one at a time under the approved owner-testing workflow.
FAILURE AND PATCH-CONTEXT RULE
If an approved patch context no longer matches:
Stop editing that path.
Do not guess an anchor or reconstruct the file from memory.
Do not create a shadow path or weaken a test.
Preserve any already completed in-scope changes.
Report the exact drift and request a bounded remediation or manifest-expansion approval.
REQUIRED COMPLETION RESPONSE
After completing code writing, return:
Business summary in simple terms.
Exact CREATE/UPDATE/DELETE manifest and counts.
Brief description of each implemented API/security/runtime contract.
Confirmation that VERIFIED UNCHANGED paths were not modified.
Confirmation that W4-10 and all documentation remained deferred.
Confirmation that no tests, commands, service, network, cloud, Git or Excel operation was run.
Any warnings, limitations or decisions discovered without inventing PASS.
Owner-testing plan in order, but do not issue the first command until the owner asks to begin testing.
End exactly:
READY FOR OWNER TESTING — W4-001.
FINAL AUTHORIZATION
I approve this exact W4-001 Column L Code Edit Approval.
Codex may now write only the 23 approved paths and only the contracts described above. No other authority is granted.</t>
  </si>
  <si>
    <t># COLUMN M — EXACT DOCUMENT WRITING APPROVAL — W4-001
## 1. Authorization
This is the owner’s separate Column M approval following completion of the bounded W4-001 implementation and owner-executed testing.
Codex is authorized to perform read-only documentation preflight and then create or update only the documents listed in this prompt.
This approval does not authorize:
* Application, configuration, test, schema or infrastructure changes.
* Test, evaluation, formatter, linter or build execution.
* Service startup or API invocation.
* Network, model, provider, Docker, AWS or cloud activity.
* Deployment or operational rollback.
* Git staging, committing, pushing, tagging or branch mutation.
* Excel tracker modification.
* Creation of W4-10 load-test code or evidence.
An open Excel process, an Excel `~$` lock file or an uncommitted workbook is non-blocking and outside this Column M boundary.
## 2. Exact documentation boundary
### CREATE — exactly 3
```text
docs/test-evidence/W4-001.md
docs/test-evidence/W4-01-api.txt
docs/test-evidence/W4-02-auth.txt
```
### UPDATE — exactly 1
```text
docs/test-evidence/README.md
```
### VERIFIED UNCHANGED
None within the documentation-writing manifest.
Application code, configuration, tests and existing evidence may be inspected read-only as authoritative sources, but they must not be modified.
### DELETE
None.
### EXCLUDED FROM WRITING
Every repository path not listed under CREATE or UPDATE, including:
* `docs/test-evidence/W4-10-load.json`
* Application source code.
* Configuration and schemas.
* Automated tests and test fixtures.
* IaC and deployment files.
* Existing evaluation and rollback artifacts.
* ADRs and learning records.
* Excel workbooks and tracker fields.
* Git metadata.
Manifest reconciliation:
```text
3 CREATE
1 UPDATE
0 DELETE
4 writable documents
```
## 3. W4-10 treatment
W4-10 load testing was explicitly deferred and was not implemented or executed.
Therefore:
* Do not create `docs/test-evidence/W4-10-load.json`.
* Do not invent a load-test result.
* Do not represent W4-10 as PASS or FAIL.
* Record it as `NOT RUN — deferred until W4-06` in:
  * `docs/test-evidence/W4-001.md`
  * `docs/test-evidence/README.md`
* Preserve that production performance and capacity remain unproven.
## 4. Permitted preflight
Before writing, Codex may use read-only filesystem and Git inspection to confirm:
* Each CREATE target is absent.
* Each UPDATE target exists.
* Current content and document structure.
* The owner-supplied W4-001 results.
* The final bounded implementation manifest.
* Relevant implementation and test evidence.
* No requested statement conflicts with repository evidence.
Read-only inspection commands are permitted solely for these checks.
Do not execute:
* Pytest.
* Ruff.
* MyPy.
* Platform validation.
* Application or service commands.
* Load or performance tests.
* Deployment or rollback commands.
* Network or provider operations.
* Commands that modify Git or repository content outside the approved documents.
If a CREATE path already exists, an UPDATE path is absent, owner facts conflict with repository evidence, or documentation cannot be written without changing another path, stop without editing and report:
```text
BLOCKED — DOCUMENT BOUNDARY CHANGED — W4-001.
```
## 5. Exact owner-supplied implementation and test facts
Record the following facts exactly without reinterpretation.
### Final result
```text
W4-001 TEST-001: PASS WITH ACCEPTED WARNINGS
```
### Successful verification
```text
Post-remediation Ruff: PASS
Strict MyPy: PASS — 84 source files
Focused W4 suite: PASS — 108 tests
Protected regressions: PASS — 69 tests
Complete ordinary suite: PASS — 537 tests
Platform validation: PASS
Rollback and cleanliness: PASS — 3 tests
Repository residue: ZERO
Patch integrity: PASS WITH ACCEPTED WARNINGS
```
### NOT RUN results
```text
Skipped tests: 7 — NOT RUN
Deselected tests: 4 — NOT RUN
W4-10 load testing: NOT RUN
Live authentication validation: NOT RUN
Live provider/model validation: NOT RUN
Production performance and capacity validation: NOT RUN
Service startup and deployment validation: NOT RUN
Operational or release rollback: NOT RUN
Cloud lifecycle activity: NOT RUN
```
### INDETERMINATE
```text
Open INDETERMINATE results: none
```
### Historical failures
Preserve these as historical failures that were remediated and subsequently passed:
```text
Initial MyPy: 2 failures — remediated; final strict MyPy PASS
Initial focused suite: 2 failures — remediated; final focused suite PASS
Initial complete suite: 2 stale-consumer failures — remediated; final complete suite PASS
```
Do not erase these failures, classify them as current failures or imply that the first executions passed.
### Accepted warnings
```text
One Starlette/FastAPI TestClient deprecation warning
Git LF-to-CRLF working-copy notices
```
Patch integrity otherwise passed:
* No whitespace error was reported.
* No conflict marker was reported.
### Final implementation manifest
```text
13 CREATE
12 UPDATE
0 DELETE
25 edited implementation paths
```
The two additional UPDATE paths are the owner-directed W2 consumer reconciliations. Obtain their exact paths from the approved implementation diff or remediation record. Do not guess their identities.
### Security, privacy, cost and activity
```text
Network activity: none
Live provider/model activity: none
Docker activity: none
AWS/cloud activity: none
Deployment activity: none
Estimated provider/cloud cost: USD 0
Repository residue: zero
Open INDETERMINATE activity: none
```
No prompt, retrieved evidence, credentials, PII, tenant data, provider response, stack trace or other sensitive content may be copied into the documentation.
### Rollback and teardown interpretation
Record the distinction exactly:
* Deterministic configuration rollback and rollback-disable behavior: PASS.
* Automated cleanliness and residue checks: PASS.
* Unexpected repository residue: zero.
* Operational release rollback: NOT RUN.
* Deployment rollback: NOT RUN.
* Infrastructure or cloud rollback: NOT RUN.
* No service, container, network connection, cloud resource or deployment was created.
* Approved implementation files remain as intended repository resources.
## 6. Document-specific requirements
### `docs/test-evidence/W4-001.md`
Create the aggregate W4-001 implementation and test-evidence record.
It must include:
* Business purpose of the HTTP API boundary.
* Implemented W4-01 and W4-02 scope.
* Default-off API-route behavior.
* Health, query, disabled-agent, authentication, authorization, request-ID, timeout, overload and cancellation boundaries.
* Deterministic local fake-only testing scope.
* Final 13 CREATE, 12 UPDATE, 0 DELETE implementation manifest.
* Exact final PASS results.
* Historical failures and their remediation.
* Accepted warnings.
* PASS, FAIL, NOT RUN and INDETERMINATE classifications.
* W4-10 deferral.
* Security and privacy results.
* Network/provider/cloud activity and cost.
* Deployment, rollback, teardown and residue facts.
* Evidence gaps and limitations.
* A clearly labelled pending Column N section:
```text
## Final Owner Approval
```
Do not claim final owner documentation approval in Column M.
### `docs/test-evidence/W4-01-api.txt`
Create the focused W4-01 API evidence record.
It must document:
* Legacy `/health` compatibility.
* Enabled `/health/live` and `/health/ready` behavior.
* Strict `/v1/query` transport and response boundary.
* Disabled `/v1/agent` behavior.
* Request-body, media-type, JSON and schema validation.
* Server-generated request IDs.
* Timeout, overload, cancellation and capacity-release behavior.
* Safe error normalization.
* Default-off rollback behavior.
* Relevant owner-executed test results.
* Accepted warnings and limitations.
* W4-10 as NOT RUN.
* No live service, network, provider or performance claim.
* Pending Column N section:
```text
FINAL OWNER APPROVAL
```
### `docs/test-evidence/W4-02-auth.txt`
Create the focused W4-02 authentication and authorization evidence record.
It must document:
* Injected authentication interface.
* Fail-closed behavior when authentication is unconfigured.
* Missing, invalid and explicitly forbidden authentication handling.
* Denial before RAG, retrieval, provider or tool work.
* Request bodies cannot create or override trusted identity.
* Inbound request IDs and proxy headers are not trusted.
* Existing tenant, clearance, role, group and ACL enforcement remains downstream.
* No prompt, evidence, credential, PII, tenant data or raw exception exposure.
* Fake-only deterministic authentication testing.
* Live identity provider, JWT, JWKS, API key and session integration as NOT RUN.
* Relevant PASS results, historical failures, warnings and limitations.
* Pending Column N section:
```text
FINAL OWNER APPROVAL
```
### `docs/test-evidence/README.md`
Update the evidence index without rewriting unrelated historical evidence.
The update must:
* Add W4-001 to the evidence index.
* Link W4-01 API evidence.
* Link W4-02 authentication evidence.
* Record `TEST-001 — PASS WITH ACCEPTED WARNINGS`.
* Record 537 passed, 7 skipped and 4 deselected.
* Record W4-10 as NOT RUN and deferred until W4-06.
* State that no `W4-10-load.json` evidence exists.
* Preserve the distinction between deterministic configuration rollback PASS and operational/deployment rollback NOT RUN.
* Preserve production-readiness limitations.
* Add a pending Column N section:
```text
## Final Owner Approval — W4-001
```
Do not alter or reinterpret previous weeks’ approved evidence.
## 7. Documentation quality rules
All four documents must:
* Use business-first, plain language.
* Distinguish current PASS results from historical remediated failures.
* Preserve `PASS`, `FAIL`, `NOT RUN` and `INDETERMINATE` exactly.
* Never convert skipped or deselected tests into PASS.
* Never convert deferred work into PASS.
* Never infer production readiness.
* Never claim live authentication, provider, model, network, deployment or performance validation.
* Never expose sensitive or raw runtime content.
* Reconcile the same implementation counts and test totals.
* Identify warnings and accepted limitations consistently.
* Contain a pending Final Owner Approval section for Column N.
## 8. Mandatory Column M response
After writing and read-only verification, return:
```text
COLUMN M APPROVED DOCUMENT MANIFEST — W4-001
```
Provide exactly one row for each of the four documents, containing:
| Required field                                 |
| ---------------------------------------------- |
| Exact repository path                          |
| CREATE or UPDATE classification                |
| Business purpose                               |
| Owner-supplied implementation and test results |
| Historical failures                            |
| Accepted warnings and risks                    |
| Evidence gaps and limitations                  |
| Network, provider and cost facts               |
| Deployment status                              |
| Rollback status                                |
| Teardown and residual-resource status          |
| Fields pending Column N                        |
| Final Owner Approval section location          |
| Column N closure requirement                   |
The response must reconcile:
```text
3 CREATE
1 UPDATE
0 DELETE
4 documents requiring Column N closure
```
Also list any repository evidence inspected read-only, without adding those paths to the writable documentation manifest.
## 9. Column N boundary
Column M does not authorize Codex to complete final owner approval fields.
The four-document Column M manifest becomes the complete mandatory Column N closure scope.
Column N must later update every one of these documents with owner-supplied:
* Reviewer’s exact name.
* Reviewer’s role.
* Exact approval decision.
* Approval date and time.
* Timezone.
* Accepted warnings, risks and limitations.
* PASS, historical FAIL, NOT RUN and INDETERMINATE facts.
* Evidence gaps.
* Deferred actions and responsible owners.
* Deployment facts.
* Rollback facts.
* Teardown facts.
* Residual-resource facts.
* Approval conditions, or `None`.
* W4-10 and W4-06 handover status.
If any document is omitted or any result conflicts with the owner’s decision, Column N must block.
Do not edit the Excel tracker. After successful Column N closure, instruct the owner to update the tracker separately.
End exactly:
```text
DOCUMENTATION READY FOR OWNER REVIEW — W4-001.
```</t>
  </si>
  <si>
    <t>FOUR APPROVAL GATES PLUS OWNER TESTING AND WEEKLY LEARNING — TRACKER v1.3.4
MAIN PROMPT — W4-002
TASK IDENTITY
Week: Week 4
Feature/outcome: Bounded LangGraph agent controller
Business purpose: Add controlled agent behavior without uncontrolled autonomy.
Covered tracker steps: W4-03, W4-04, W4-05, W4-06, W4-07, W4-09
Required upstream inputs: final-approved W4-001 API/authentication boundary; approved Week 1–3 contracts; exact step/tool/token/time/retry/state/concurrency budgets; APP-001, COST-001 and RET-001 owner decisions
Expected outputs: approved bounded code/configuration/test-code changes; owner execution/remediation/rollback/teardown guide; later evidence and business/technical/layman/interview documentation
Task type: implementation
First permitted activity: Gate 1 read-only impact review
Next possible approval after Gate 1: a separate exact bounded Column L Code Edit Approval supplied by the owner
BUSINESS OUTCOME
Implement a controlled agent workflow behind the approved Week 4 API boundary. The agent must follow an explicit graph, use only allowlisted tools, stop within approved budgets and require durable human approval before even a mocked consequential action.
The implementation must prove that:
the agent is a bounded workflow rather than an autonomous black box;
trusted authentication and authorization are enforced before retrieval or tool activity;
every graph path ends in an explicit safe terminal outcome;
malformed, hostile, duplicate, replayed, expired, rejected, timed-out or over-budget activity fails closed;
read-only and write permissions remain separate;
no write action is executed solely because a model proposed it;
persisted state contains only approved redacted identifiers, decisions and outcomes;
loops, retries, tool calls, tokens, elapsed time, state size and concurrency remain bounded;
ordinary development and owner testing remain deterministic, local, fake-only and network-free;
disabling the agent restores the approved W4-001 behavior without affecting /v1/query.
This task does not implement a real operational write tool, production identity provider, external approval service, live model, live vector service, telemetry exporter, production load test, deployment, Docker lifecycle, AWS resource or cloud mutation.
OWNER-CONTROLLED FIRST RESPONSE — GATE 1 ONLY
When this Main Prompt is first invoked:
Inspect the current repository, repaired tracker v1.3.4, approved decisions and evidence read-only.
Do not create, edit, delete, move, install, download, execute tests, lint, format, build, start a service, invoke an endpoint, deploy, remediate, roll back, tear down, contact a registry/cloud/model service, mutate Git or edit Excel.
Do not assume that any path, symbol, dependency, schema, test count, Git SHA or patch context still matches an earlier conversation.
Re-read every proposed path and every direct and indirect producer/consumer before recommending Column L.
Do not write Column L, code, tests, reports, documentation, evidence or tracker updates during Gate 1.
Return the complete read-only impact analysis, all exact blocking decisions and one reconciled proposed manifest.
An open Excel process, an Excel ~$ lock file or an uncommitted workbook is non-blocking and is not an owner-decision field for Column L. The owner controls tracker saving and Git mutation.
SOURCE PRECEDENCE AND NO SILENT RECONCILIATION
Apply the approved ADR-000 precedence:
Enterprise AI Architecture Source of Truth v1.1.
Approved ADRs and owner decision records.
Coaching Blueprint and approved learning records.
Owner-approved tracker v1.3.4 for task scope, ownership, sequencing and evidence paths.
Approved feature requirements and configurations.
Current implementation and tests as evidence of what exists.
Distinguish governing scope, approved owner facts, current implementation, historical results, proposals, unknown values and deferred work. If sources conflict, report the exact conflict without inventing a reconciliation or reopening a closed approval unnecessarily.
The retained architecture decisions include:
ADR-002: provider-neutral domain interfaces;
ADR-005: LangGraph for a bounded agent workflow;
ADR-006: authorize before retrieval and action;
ADR-012: release rollback, configuration/infrastructure rollback and teardown are separate;
ADR-016: one feature per controlled cycle;
ADR-017: quality, security and rollback are release gates.
Gate 1 must verify the current ADR files and report any missing or superseding decision. Do not reinterpret an ADR merely to make an implementation easier.
CURRENT UPSTREAM FACTS — REVALIDATE, DO NOT REIMPLEMENT
The following are owner-supplied current facts. Gate 1 must verify their repository/evidence counterparts and report only material drift.
Week 1 control foundation
Provider-neutral domain boundaries, typed strict configuration, application factory, health foundation, deterministic fake patterns, test categories and owner-gated mutation controls were implemented and approved.
Ordinary testing excludes AWS and paid activity by default.
Manual approval, saved-plan, rollback-versus-teardown and evidence-governance decisions remain protected.
Do not weaken strict typing, fail-closed configuration, fake-only ordinary tests or zero-secret defaults.
Week 2 retrieval foundation
Local embedding, ingestion, retrieval, authorization, tenant/clearance/ACL and deterministic fake contracts were implemented and approved.
Qdrant remains a controlled local/internal test pattern; OpenSearch remains the later AWS adapter boundary.
W4-002 must not access a vector store, embedder, ingestion pipeline or document corpus directly when an approved service interface exists.
No production identity provider, production data or live vector-service approval may be inferred.
Week 3 cited-RAG foundation
W3-001 through W3-004 were implemented, owner-tested, documented and final-approved in the deterministic local scope.
The recorded ordinary-suite progression was 344, 393, 439 and 465 passed; the W3 closure recorded 465 passed, 7 skipped, 4 deselected, 10 subtests and one accepted warning.
The immutable W3-002 baseline remains configs/eval/baselines/w3-002-v1.json, historically recorded with SHA-256 4bbc8f24af911ba09356196e9285d261549926c713110f9549929e1e4ac9086f; Gate 1 must verify it remains exact.
W3 cited-answer, valid-citation, safe-abstention, authorization, guardrail, evaluation and configuration-rollback contracts are protected consumers.
W3-13 is closed. Do not reopen it merely because older tracker cells remain stale; inspect the current approved learning record and report only a real conflict.
Live Bedrock/model evaluation, external judge evaluation, production performance, deployment and cloud lifecycle remain NOT RUN.
Final-approved W4-001 API and authentication foundation
W4-01 and W4-02 are completed, owner-tested, documented and final-approved.
W4-001 TEST-001 finished PASS WITH ACCEPTED WARNINGS:
Ruff: PASS.
strict MyPy: PASS across 84 source files.
focused W4 tests: 108 passed.
protected regressions: 69 passed.
complete ordinary suite: 537 passed, 7 skipped and 4 deselected.
platform validation: PASS.
rollback/cleanliness: 3 passed.
repository residue: zero.
Historical MyPy, focused-suite and stale-consumer failures were remediated and must remain recorded as historical, not current failures.
Accepted warnings are one Starlette/FastAPI TestClient deprecation warning and Git LF-to-CRLF working-copy notices.
Final W4-001 implementation reconciliation was 13 CREATE, 12 UPDATE and 0 DELETE paths.
Column N closed all four W4-001 evidence documents with owner approval at 2026-08-28 23:56:21 SGT.
W4-001 provides a strict default-off API, injected fail-closed authentication, trusted AuthContext, request IDs, bounded request handling, safe errors, readiness/liveness and a disabled /v1/agent boundary.
/v1/query and its W3 service behavior are protected and must remain unchanged unless a separate owner decision explicitly approves a contract change.
The current /v1/agent response is 501 agent_disabled and invokes no graph, RAG, retriever, provider, approval store or tool.
W4-003 still owns positive telemetry, structured runtime logging and trace correlation.
Production performance, live authentication, live providers and deployment readiness remain unproven.
The repaired tracker may still display earlier Not Started values for completed W4-01/W4-02 or upstream rows. Preserve the tracker-defined scope, but use final-approved evidence as the current implementation fact. Do not ask the owner to re-approve completed work.
ORIGINAL W4-002 TRACKER PLAN — PRESERVE EXACTLY
W4-03 — Agent state
Requirement: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Graph-routing tests pass and Mermaid matches implementation.
Canonical evidence: docs/test-evidence/W4-03-graph.txt
Rollback: Feature flag disables the graph; the query endpoint remains read-only.
W4-04 — Tools
Requirement: Add one read-only status tool with a narrow schema.
Business reason: A read-only tool proves integration at low consequence.
Acceptance: An allowlist and strict argument schema reject malformed calls.
Dependency: W4-03
Owner verification reference: pytest tests/unit/test_agent_tools.py -q
Expected result: Only the allowlisted tool executes; output is normalized and redacted.
Canonical evidence: docs/test-evidence/W4-04-read-tool.txt
Rollback: Remove tool registration and restore the prior graph.
W4-05 — Human approval
Requirement: Add a mocked write tool that requires durable approval.
Business reason: Consequential actions cannot rely on model intent.
Acceptance: Missing, rejected or expired approval prevents execution.
Dependencies: W4-03, W4-04
Owner verification reference: pytest tests/security/test_agent_approval.py -q
Expected result: 100% of mocked write executions have valid approval and an idempotency key.
Canonical evidence: docs/test-evidence/W4-05-approval.txt
Rollback: Disable the write-tool feature flag and invalidate pending approvals.
W4-06 — Budgets
Requirement: Enforce step, tool-call, token/time-deadline and retry limits.
Business reason: Bounds prevent loops, retry storms and unplanned model spend.
Acceptance: Budget-exceeded paths stop safely and record the reason.
Dependency: W4-03
Owner verification reference: pytest tests/unit/test_agent_budgets.py -q
Expected result: No repeated tool execution; timeouts are bounded.
Canonical evidence: docs/test-evidence/W4-06-budgets.txt
Rollback: Reduce limits or disable the agent route.
W4-07 — State security
Requirement: Persist only redacted agent state and audit decisions.
Business reason: Checkpoints must not become a secret or PII store.
Acceptance: State fixtures contain approved IDs and outcomes but no content or secrets.
Dependency: W4-05
Owner verification reference: pytest tests/security/test_agent_state_redaction.py -q
Expected result: Redaction assertions pass.
Canonical evidence: docs/test-evidence/W4-07-state.txt
Rollback: Purge test checkpoints and restore the safe serializer.
W4-09 — Failure testing
Requirement: Exercise denial, malformed arguments, injection, timeout, loop and rejection.
Business reason: Agent safety is proven through negative paths.
Acceptance: Every failure mode terminates without a write side effect.
Recorded dependency: W4-05:W4-08
Owner verification reference: pytest tests/security/test_agent_* tests/feature/test_agent_failures.py -q
Expected result: Audit records show the safe terminal reason.
Canonical evidence: docs/test-evidence/W4-09-failures.txt
Rollback: Disable the agent endpoint and preserve evidence.
Do not remove a step, change its owner, rewrite a dependency or move evidence to another feature.
REQUIRED SEQUENCING RECONCILIATION
W4-09 and W4-08
W4-09 belongs to W4-002, but its tracker dependency extends through W4-08, which belongs to W4-003 and is not yet implemented or approved.
Gate 1 must:
preserve W4-09 ownership under W4-002;
identify which W4-09 code/tests can be prepared safely without W4-08;
recommend either a bounded code-preparation phase or complete W4-09 edit deferral;
keep trace-dependent execution, PASS classification and canonical evidence NOT RUN until W4-08 is approved;
avoid creating telemetry, spans, exporters or W4-08 evidence in W4-002;
ask for one exact owner sequencing decision before Column L.
W4-10 after W4-06
Owner decision D12 under W4-001 explicitly deferred W4-10 until W4-06 is implemented and approved.
W4-10 remains linked to API-001; it was not removed or transferred to W4-002.
Do not create tests/feature/test_api_load_smoke.py under W4-002.
Do not create a skipped placeholder or PASS evidence.
Do not create docs/test-evidence/W4-10-load.json.
W4-10 remains NOT RUN during W4-002.
After approved W4-06 closure, W4-10 still requires a separate execution approval before using its already approved local deterministic profile.
RETAINED TECHNICAL CONTRACT
Explicit graph
Use a typed LangGraph StateGraph with the tracker-preserved logical nodes:
validate_input
authorize
retrieve
grade_evidence
answer
propose_tool
await_human_approval
execute_tool
safe_terminal
Every edge must be explicit and testable. Routing is deterministic except where existing approved evidence grading or answer generation is intentionally probabilistic behind an injected interface. Every route must terminate in an approved final outcome.
Gate 1 must map each node to current repository interfaces. Do not duplicate or weaken W2 authorization or W3 retrieval, RAG, citation, guardrail and provider logic. If the required nodes cannot be implemented without copying existing service logic, report the conflict and recommend a thin adapter/controller boundary for owner approval; do not silently collapse, rename or reinterpret tracker nodes.
Typed agent state
The state contract must be strict, bounded and provider-neutral. Gate 1 must propose exact fields, types, optionality, size rules and invariants for:
server request and run identifiers;
trusted tenant, subject and authorization references;
current node and step count;
approved outcome and safe terminal reason;
evidence/citation references rather than raw protected content;
proposed tool name and normalized-argument identity;
approval identity/status/expiry without secret material;
tool-call, retry, token and elapsed-time counters;
idempotency and replay-protection identity;
redacted audit decisions;
safe normalized result or error reference.
Do not persist raw questions, prompts, retrieved chunks, generated answers, credentials, PII, tenant content, provider envelopes, stack traces or chain-of-thought.
Authentication and authorization
Consume the W4-001 injected Authenticator and trusted AuthContext; do not create authority from request-body fields.
Authentication and explicit operation authorization occur before graph work that could retrieve, call a provider or propose/execute a tool.
Tenant, role, group, clearance and ACL enforcement stay in trusted code.
Admin or approver status gives no implicit cross-tenant authority.
Denied requests must produce no graph, retrieval, provider, approval-store or tool side effect.
Read-only status tool
Implement exactly one local read-only status tool with:
one owner-approved business purpose and exact name;
strict extra-forbidden arguments;
allowlist registration;
deterministic normalized/redacted output;
no filesystem discovery, process execution, network call, secret access or cloud activity;
no mutation and no authority expansion.
Gate 1 must inspect current domain interfaces and recommend the exact schema and data source. Do not invent production status data.
Mocked write tool and durable approval
Implement exactly one mocked write tool. It must create no external or production side effect.
Approval must be durable for the approved local scope and bound to:
tenant;
requesting subject;
authorized approver identity and role;
exact tool name and version;
canonical normalized arguments and their fingerprint;
request/run identity;
idempotency key;
decision, creation time and expiry;
one-time execution state.
Missing, altered, cross-tenant, unauthorized, rejected, expired, duplicate, replayed or already-consumed approval must deny execution. Approval races require atomic one-time consumption. Failure before mocked execution must remain safely retryable only when the owner-approved policy permits it; failure after mocked execution must not repeat the action.
Do not invent the approval-store technology, approver role, TTL, rejection behavior, retry policy or retention. They remain consolidated owner decisions after Gate 1 analysis.
Budgets and cancellation
Enforce exact owner-approved maximums for:
graph steps;
tool calls;
model/provider attempts;
tokens or usage accounting;
wall-clock deadline;
retries;
serialized state size;
concurrent agent runs.
The agent deadline must fit within the existing W4-001 overall API deadline and leave bounded response/cleanup time. Cancellation must propagate, capacity must release in finally, and no new retrieval, provider, approval or tool work may start after timeout or cancellation. No unbounded queue, recursion, loop or background task is permitted.
Redacted state, decisions and cleanup
Persist only an owner-approved allowlist of redacted fields.
Treat audit decisions as bounded local control records, not W4-003 telemetry.
Define exact retention, expiry, purge, corruption and startup behavior.
Reject malformed, duplicate-key, non-finite, unknown-field, version-mismatched or oversized persisted data.
Tests must prove purge and zero unexpected residue.
No checkpoint, cache, database, report or temporary file may survive unless explicitly approved as a retained resource.
API integration and rollback
Preserve /health, /health/live, /health/ready and /v1/query contracts.
Preserve current request-ID, error-envelope, authentication and capacity behavior.
Gate 1 must recommend an exact separate default-off agent activation boundary; do not silently reuse or broaden api_routes_enabled.
When agent behavior is disabled, preserve the approved 501 agent_disabled response and zero downstream calls.
When separately enabled, /v1/agent must authenticate first and invoke the approved controller exactly once.
The exact request/response schemas, status mapping, terminal reasons and error codes require owner approval before editing.
Configuration rollback must restore the approved W4-001 disabled-agent surface without changing W3 configuration identities.
REQUIRED OWNER INPUTS — DO NOT INVENT
The latest tracker records these as unresolved:
APP-001 — blocking
Exact local durable approval-store technology and path.
Store/schema version and canonical serialization.
Approver role and tenant/subject rules.
Approval TTL and clock policy.
Rejection, expiry, cancellation and invalidation behavior.
One-time consumption, idempotency and concurrent decision policy.
Corruption, recovery, purge and rollback behavior.
Agent budgets for W4-06 — blocking
Maximum steps, tool calls, provider attempts, tokens, retries, elapsed time, state bytes and concurrent runs.
Relationship to the W4-001 30-second request deadline and four-request API capacity.
Exact safe terminal reasons when each budget is exceeded.
COST-001 — blocking under the tracker amendment
Monthly sandbox ceiling.
Daily cost alert.
Maximum paid-evaluation spend.
Confirmation that W4-002 ordinary implementation/testing uses deterministic fakes and authorizes no paid call.
RET-001 — required for W4-07
Exact allowlisted persisted fields.
Approval and checkpoint retention period.
Redaction, expiry and purge rules.
Evidence retention ownership.
Residual-resource acceptance.
Additional exact design decisions
Agent activation flag and default.
/v1/agent request/result/error contract.
Read-only tool name, purpose, arguments and deterministic source.
Mocked write-tool name, arguments and side-effect simulation.
Graph/result versioning and safe terminal taxonomy.
W4-09 edit/execution sequencing around W4-08.
LangGraph dependency/version and owner-controlled installation boundary if it is not already available.
Gate 1 must inspect current code and propose exact recommendations, alternatives and trade-offs for one consolidated owner decision. Do not request answers that current approved repository evidence already settles.
EXPLICIT EXCLUSIONS
Exclude from W4-002 Column L unless a later separate task authorizes them:
W4-003 telemetry, OTLP, exporters, runtime logging, spans and W4-08 evidence.
W4-10 test code, execution and load evidence.
W4 release rollback drill and W4 checkpoint/learning documents.
Real write actions or external approval services.
Live JWT/JWKS, identity provider, API key or session integration.
Direct Qdrant, OpenSearch, Bedrock or external model calls.
AWS, Docker, Kubernetes, EKS, registry, deployment or infrastructure lifecycle.
Production SLO, capacity, latency or readiness claims.
Documentation, evidence, ADR, learning record, Excel or Git mutation during Column L.
MANDATORY COMPLETE IMPACT ANALYSIS — GATE 1 RESPONSE
1. Business outcome and measurable acceptance
Explain the business problem, beneficiary, architecture position, included/excluded scope and exact functional, security, privacy, reliability, cost and operational acceptance. Identify blocking prerequisites, safe deferrals and downstream consequences.
2. Governing baseline
Identify the current Git HEAD/status, Source of Truth, approved ADRs, feature records, owner decisions, W1–W4 evidence, protected W3 baseline, W4-001 implementation, dependencies, schemas, configuration and tests. Separate authoritative, historical, proposed, unknown and deferred facts. Do not treat Excel locks as blockers.
3. Producer-consumer impact matrix
For every proposed interface, class, function, schema, field, enum, error code, state key, graph node/edge, tool, approval record, configuration value, dependency and path, provide:
producer/definition;
imports, callers and constructors;
validators and canonical serializers;
API and RAG consumers;
fixtures and duplicated literals;
unit, contract, integration, feature, security, rollback and teardown consumers;
CLI, feature-matrix, validation and documentation consumers;
change required or exact reason unchanged.
Search exact repository paths; never infer filenames or stop after the first consumer.
4. Function and connection map
Map API entry, authentication, controller invocation, graph routing, retrieval/RAG delegation, tool proposal, approval decision/consumption, mocked execution, state persistence and terminal response. Include trust boundaries, state, errors, deadlines, retries, cancellation, concurrency, cleanup and zero-call denial behavior.
5. Exact proposed change boundary
Return repository-relative manifests under:
CREATE
UPDATE
DELETE
VERIFIED UNCHANGED CONSUMERS
DEFERRED
EXCLUDED
List exact files and affected symbols/sections. No wildcard, directory-only or placeholder path is permitted. Explain every included path and why every inspected consumer remains unchanged. Keep W4-09/W4-08 and W4-10 sequencing explicit.
6. Schema, serialization and fixture analysis
Define strict models and canonical ordering/fingerprints for state, tools, approvals, audit decisions and results. Cover missing, duplicated, reordered, altered, unknown, expired, replayed, corrupted, version-mismatched and oversized inputs. Identify mutable versus immutable collection types and every fixture builder/consumer.
7. Dependency and runtime API analysis
Inspect pyproject.toml, requirements/lock files, installed/approved LangGraph and Pydantic APIs, Python compatibility and repository Ruff/MyPy/Pytest scopes. Record exact compatible versions, deprecated APIs, optional dependencies, installation/download/network needs and caches. Do not install or upgrade anything during Gate 1.
8. Concurrency, cancellation and failure analysis
Trace approval races, idempotency, expected-current comparisons, atomic consumption, task cancellation, API/agent deadline nesting, bounded capacity, retry exhaustion, partial failure before/after mocked execution, persistence corruption and cleanup. Explain fail-closed, rollback and teardown behavior for every credible failure.
9. Complete automated-test design
List exact test files and positive/negative cases across graph routing, tools, approval, budgets, state redaction, API composition, authorization, schemas, feature ownership, security, rollback, teardown and cleanliness. Preserve current W4-001 and W1–W3 tests. State which W4-09 cases or evidence remain NOT RUN until W4-08.
10. Owner Execution Guide — planned, not executed
Provide owner-run commands one at a time in final order, derived from current repository configuration. For each command state prerequisites, purpose, expected result, evidence, access, privacy, cost, residue and stop condition. Include version/dependency inspection, cache-safe Ruff, strict MyPy, focused tests, protected regressions, full ordinary suite, platform validation, rollback-disable and zero-residue checks. Do not issue W4-10, service, network, model, Docker or cloud commands.
11. Security, privacy, cost and operational impact
Cover least privilege, trusted identity, tenant isolation, approval authority, replay protection, secret/PII/content exclusion, data residency, retention, local disk/CPU/memory, dependency provenance, paid-service exposure, auditability, rollback, cleanup, retained resources and residual risk.
12. Consolidated owner decisions
Ask one consolidated set of all unresolved decisions. For each provide:
exact decision required;
recommended value or pattern;
credible alternative;
trade-off and risk;
deferral consequence;
whether it blocks Column L, only testing, W4-09 closure, W4-10 or later deployment.
Do not request Column L until the complete producer-consumer surface, manifest, quality gates, rollback and residue paths are reconciled.
APPROVAL AND EXECUTION WORKFLOW
Gate 1 — this prompt's first response
Read-only review and consolidated decisions only. No mutation or execution.
Gate 2 — after owner decisions
Re-read the final HEAD/status, all proposed edit paths, all direct/indirect consumers, exact dependency APIs and patch contexts. Reconcile one exact CREATE/UPDATE/DELETE/unchanged/deferred manifest. Any material drift returns:
BLOCKED — BASELINE CHANGED — W4-002.
Column L — separate owner approval
Only an exact owner-supplied Column L approval may authorize code, configuration and automated-test edits. Column L does not authorize test execution, documentation, evidence, Git, Excel, network, model, Docker, cloud or deployment activity.
TEST-001 — owner execution
The owner executes approved commands one at a time and returns exact outputs. On FAIL or INDETERMINATE, stop and perform a complete read-only root-cause and producer-consumer audit. Propose one consolidated remediation approval; never self-remediate.
Column M — later exact documentation approval
Only after owner results may a separate manifest authorize W4-002 aggregate evidence and the applicable tracker evidence files:
docs/test-evidence/W4-03-graph.txt
docs/test-evidence/W4-04-read-tool.txt
docs/test-evidence/W4-05-approval.txt
docs/test-evidence/W4-06-budgets.txt
docs/test-evidence/W4-07-state.txt
docs/test-evidence/W4-09-failures.txt
The exact aggregate/index paths and W4-09 inclusion depend on actual results and W4-08 sequencing. Do not create them during Column L or assume their final classifications.
Column N — final owner closure
Update every Column M document with the owner's exact reviewer, role, decision, timestamp/timezone, accepted warnings/risks, PASS/FAIL/NOT RUN/INDETERMINATE facts, evidence gaps, deferrals, deployment, rollback, teardown, residue and approval conditions. Tracker update remains owner-controlled.
TASK-SPECIFIC SAFEGUARDS
Preserve one controlled feature cycle and exact tracker ownership.
Use strict typed models and extra-forbidden schemas.
Use canonical JSON/fingerprints for approval-bound values.
Keep provider/vector/approval-store implementations behind injected interfaces.
Enforce authorization before retrieval and action.
Separate read-only and write permissions.
Require durable, atomic, one-time approval for mocked write execution.
Propagate cancellation and prohibit work after deadline/cancellation.
Do not weaken assertions or add skips to hide defects.
Do not log or persist prompts, content, PII, secrets or raw exceptions.
Keep ordinary tests deterministic, local, fake-only and cost-free.
Preserve W3 evaluation/baseline and W4-001 API/authentication contracts.
Define rollback, purge, teardown and zero-residue verification before editing.
NO GUESSING OR FIRST-FILE REMEDIATION
If a later approved patch context does not match, stop editing that path and request fresh owner-approved read-only inspection. Never guess anchors, reconstruct files from memory, append shadow tests or alter consumers opportunistically.
After an owner-reported failure, preserve the exact result, classify it as PASS, FAIL, NOT RUN or INDETERMINATE, audit the full producer-consumer and configured quality-gate surface and request one consolidated remediation approval. Do not patch automatically.
LEARNING GOALS
After the approved implementation, explain:
the business value of bounded agents and human approval;
the graph, state, tool and approval flow;
why model intent cannot authorize an action;
budgets, idempotency, replay protection and failure terminals;
privacy/redaction, retention, rollback and teardown;
alternatives and trade-offs;
a layman analogy and five interview questions with answer points.
INITIAL EXECUTION INSTRUCTION
When this Main Prompt is first invoked, perform Gate 1 only. Do not edit or execute anything. End exactly:
READY FOR PRE-EDIT REVIEW — W4-002.</t>
  </si>
  <si>
    <t>FINAL W4-002 COLUMN L CODE EDIT APPROVAL
OWNER AUTHORIZATION
This prompt is the complete bounded Code Edit Approval for W4-002 / AGENT-001.
It authorizes Codex to create or update only the exact code, configuration and automated-test paths listed below. It does not authorize command execution, testing, dependency installation, documentation, evidence writing, ADR writing, runtime-store creation, endpoint/service startup, W4-09 or W4-10 completion, deployment, rollback execution, teardown execution, Git mutation or Excel editing.
APPROVED BASELINE
Repository root: E:\AI\enterprise_ai_platform
HEAD: 382f2ddd940651669a3318cc5fe323051332ba5d
Branch: main
Existing working tree: owner-approved W4-001 implementation/documentation baseline; 14 modified tracked paths and 17 untracked paths at Gate 1, revalidated unchanged at Gate 2
W4-001 status: implemented, owner-tested, documented and final-approved in the current working tree
Source of Truth SHA-256: d4ce5c6d2cbba3704e8f7f385edeb16573cf21e009b1bf7e87914bace03fb04f
Protected W3-002 baseline SHA-256: 4bbc8f24af911ba09356196e9285d261549926c713110f9549929e1e4ac9086f
Protected W3-13 SHA-256: be120b416291652670ff5d8e196932b08a7e1b6df8d1b933df4c0fd6eef91361
W4-001 evidence SHA-256: 477214dc14287f7164b54820d012efcba05d5fc48f5d12f0b88729164606df59
W4-01 evidence SHA-256: 3a644c792bbceb8037522b363498a9c489213e493bdb1aa6cf878b86fb1664de
W4-02 evidence SHA-256: f17f99f39fefbd68f4b6f46114ba94f19077e6033e1ca94696309e426bea60c4
W4-001 latest recorded ordinary suite: 537 passed, 7 skipped, 4 deselected; accepted TestClient and LF-to-CRLF warnings
Repository target: Python 3.11 semantics
Inspected owner environment: Python 3.13.7
Installed LangGraph: 1.2.11
Installed langgraph-checkpoint: 4.2.0 as the normal LangGraph dependency
langgraph-checkpoint-sqlite and aiosqlite: absent and not required
Approved runtime SQLite database and associated WAL/journal/shared-memory/lock paths: absent
The existing W4-001 changes are protected baseline content, not W4-002 drift. Codex must preserve all unrelated changes in the dirty working tree.
Open Excel processes, the tracker ~$ lock file and uncommitted workbook work are non-blocking, owner-controlled and excluded from this approval.
IMMEDIATE PRE-EDIT REVALIDATION
Immediately before the first edit, use read-only inspection only to confirm:
HEAD and branch still match.
The complete tracked/untracked baseline remains the Gate 2-reviewed W4-001 inventory.
All 22 CREATE targets remain absent.
All 18 UPDATE targets exist and their approved hashes/patch contexts remain viable.
The protected Source of Truth, W3-002, W3-13 and W4-001 evidence hashes remain exact.
The repository dependency files remain unchanged from the Gate 2-reviewed LangGraph boundary; do not execute an import/version probe during Column L.
No approved runtime SQLite or W4-09/W4-10 artifact unexpectedly exists.
Do not treat the Excel process, lock file or owner-controlled workbook changes as drift.
If any material path, hash, contract, dependency API, classification or patch context changed, edit nothing and end:
BLOCKED — BASELINE CHANGED — W4-002.
APPROVED BUSINESS AND ARCHITECTURE CONTRACT
Implement a default-off bounded LangGraph agent controller behind the existing W4-001 /v1/agent boundary.
The controller must:
behave as an explicit governed workflow, not unrestricted autonomy;
authenticate and authorize before graph, gateway, approval-store or tool activity;
consume the existing trusted AuthContext without accepting client-created authority;
preserve /health, /health/live, /health/ready and /v1/query unchanged;
preserve the disabled 501 agent_disabled zero-call contract;
use only injected provider-neutral gateway/status/planner/controller interfaces;
add exactly one read-only tool and one mocked approval-controlled write tool;
enforce strict budgets, deadlines, cancellation and zero-queue capacity;
persist only strict, bounded, redacted state and approval decisions;
prevent cross-tenant approval, self-approval, argument alteration, replay and double execution;
produce no real write, model, vector, network, cloud or deployment side effect;
support configuration rollback to the exact W4-001 disabled-agent surface;
leave zero temporary database/journal/WAL/shared-memory/lock/cache residue after tests.
APPROVED GRAPH CONTRACT
Create a typed LangGraph StateGraph with these exact logical nodes:
validate_input
authorize
retrieve
grade_evidence
answer
propose_tool
await_human_approval
execute_tool
safe_terminal
Requirements:
Every edge is explicit and deterministic except injected evidence grading/answer behavior.
Every route reaches safe_terminal and then END.
The graph has no cycle that can exceed the approved step budget.
Use LangGraph 1.2.11 context_schema; do not use deprecated config_schema.
Compile without a LangGraph checkpointer.
Configure no LangGraph retry policy.
Keep raw query, AuthContext and injected services in run-scoped context only.
Persist only the separately validated redacted application state.
Generated Mermaid must reflect the implemented nodes and edges exactly.
Gateway boundary
Add an injected provider-neutral AgentEvidenceGateway.
Default production dependency is unconfigured and fails closed.
Ordinary tests use a deterministic fake.
retrieve, grade_evidence and answer call only the gateway contract.
Do not split, edit, copy or bypass W2/W3 RAG, retrieval, citation, guardrail, provider, evaluation or baseline implementations.
A live RAG adapter remains deferred.
APPROVED STATE AND SERIALIZATION CONTRACT
Use strict, frozen, extra-forbidden Pydantic models with validated defaults. The persisted allowlist includes only bounded versions of:
schema_version = w4-002.agent-state.v1
graph_version = w4-002.graph.v1
revision
request_id and run_id as server UUIDv4
hashed tenant, subject and authorization references
current_node and step_count
outcome and terminal_reason
maximum five evidence-reference SHA-256 values
allowlisted tool name/version and canonical arguments SHA-256
approval identity/status/expiry
tool/provider/retry/token/elapsed counters
hashed idempotency key
maximum eight redacted audit decisions
result-reference SHA-256
stable safe error code
Never persist raw query, prompt, evidence/chunks, generated answer, tool output, credentials, headers, PII, tenant content, provider envelope, exception text, stack trace or chain-of-thought.
Canonical bytes must use:
UTF-8;
sorted object keys;
JSON separators (",", ":");
ensure_ascii=False;
allow_nan=False;
stable enum string values;
timestamps normalized to UTC;
one trailing newline;
SHA-256 over the exact canonical bytes.
Reject duplicate keys, non-finite values, invalid UTF-8, unknown fields, invalid versions, inconsistent counters and oversized records. Reordered object keys must produce the same fingerprint; altered values must not.
APPROVED AUTHORIZATION AND TOOL CONTRACT
Authority
Read-tool requester: same-tenant trusted READER.
Mock-write requester: same-tenant trusted ADMIN.
Approver: same-tenant trusted REVIEWER and a different subject from the requester.
ADMIN does not imply REVIEWER.
No role provides cross-tenant authority.
Authentication and pure operation authorization complete before controller invocation.
The graph authorize node revalidates the immutable authorization reference as defense in depth.
Denial causes zero graph, gateway, store or tool calls.
Read-only tool
Implement exactly:
name: get_service_status
version: 1.0
arguments: {"component":"query_wiring"}
source: injected local status provider
result: ready or degraded
It performs no mutation, network call, filesystem discovery, process execution, secret access or cloud activity.
Mocked write tool
Implement exactly:
name: mock_set_service_mode
version: 1.0
arguments: {"mode":"maintenance"}
effect: simulated local outcome only
It creates no service, configuration, external, production or cloud mutation.
The immutable tool registry contains exactly these two names. Reject unknown names/versions, missing/extra/wrong arguments and altered argument fingerprints.
APPROVED DURABLE APPROVAL AND SQLITE CONTRACT
Use a separate standard-library SQLite application store; add no package.
schema_version: w4-002.agent-store.v1
runtime_path: E:\AI\.runtime\enterprise_ai_platform\w4-002\agent-control-v1.sqlite3
approval_ttl: 10 minutes
terminal_record_retention: 24 hours
Approval must bind:
server UUIDv4 approval, request and run IDs;
hashed tenant, requester and approver identities;
trusted approver role;
exact tool name/version;
canonical argument fingerprint;
hashed idempotency key;
decision, revision and aware UTC creation/decision/expiry times;
one-time execution and safe result/error reference.
Allowed lifecycle states are:
pending
approved
rejected
expired
cancelled
executing
consumed
execution_unknown
Requirements:
Missing, rejected, expired, cancelled, cross-tenant, self-approved, altered, replayed or consumed approval denies execution.
Atomic expected-current consumption permits exactly one claimant to transition from approved to executing.
No retry is allowed after transition to executing; uncertain completion becomes execution_unknown.
Unknown versions, corruption and unavailable storage fail closed with safe errors.
Purge is explicit and bounded.
Runtime database/WAL/journal/shared-memory/lock files remain outside the repository.
Owner tests use isolated temporary stores and remove all artifacts.
The 24-hour runtime policy does not authorize test residue.
Do not create the approved long-lived runtime path during Column L.
APPROVED BUDGET, CONCURRENCY AND CANCELLATION CONTRACT
maximum_graph_steps = 8
maximum_tool_calls = 1
maximum_provider_attempts = 1
maximum_total_tokens = 4096
graph_retries = 0
agent_deadline_seconds = 25
maximum_serialized_state_bytes = 16384
maximum_concurrent_agent_runs = 1
agent_queue_capacity = 0
combined_api_admission_maximum = 4
The 25-second agent deadline nests inside the existing 30-second API deadline.
The existing four-request API limiter remains the combined outer boundary.
Agent admission is atomic, non-waiting, one-run and zero-queue.
Timeout/cancellation prevents new gateway, approval or tool work.
Cancellation propagates; no fabricated response or replacement work is created.
Capacity is released in finally on success, safe terminal, exception, timeout and cancellation.
Each exceeded budget produces the approved safe terminal reason or safe API error without leaking content.
APPROVED API CONTRACT
Add these independent default-off settings:
agent_enabled = false
agent_mock_write_enabled = false
Add the exact approved budgets, store path, schema version, TTL and retention settings with strict validation and no secrets.
When agent_enabled=false, preserve the existing W4-001 501 agent_disabled envelope with zero authenticator, controller, graph, gateway, store and tool calls.
When separately enabled:
reuse existing strict body/media/JSON handling;
authenticate and authorize before controller invocation;
invoke the injected controller exactly once;
never accept tenant, subject, roles, approver authority or request ID from JSON;
preserve server request-ID and safe error-envelope contracts.
Approve the strict discriminated request union:
{"action":"start","query":"untrusted text"}
or:
{
  "action":"decide",
  "approval_id":"UUID",
  "idempotency_key":"UUID",
  "decision":"approved",
  "tool_name":"mock_set_service_mode",
  "tool_version":"1.0",
  "arguments":{"mode":"maintenance"}
}
Approved mappings:
Condition
Result
Disabled
501 agent_disabled
Controller/store unconfigured
503 agent_not_configured
Missing/invalid authentication
Existing W4-001 401 mapping
Explicit operation denial
Existing 403 authorization_denied
Malformed JSON
Existing 400 api_request_malformed
Invalid strict schema
Existing 422 api_request_invalid
Approval required
202 approval_required
Rejected/expired/cancelled approval
200 safe-terminal result
Altered/replayed/consumed approval
409 agent_approval_conflict
Step/tool/token/state budget exceeded
200 safe-terminal result
Agent deadline exceeded
504 agent_deadline_exceeded
Agent capacity exhausted
503 agent_overloaded, retryable=true, Retry-After: 1
Store corruption/version mismatch/unavailable
503 agent_state_unavailable
Unhandled/response-validation failure
500 internal_error
Cancellation/client disconnect
Propagate cancellation; no replacement work
Return no raw exception, prompt, evidence, answer, arbitrary state, internal object or chain-of-thought.
FEATURE OWNERSHIP
Append after API-001:
feature_id: AGENT-001
status: In Progress
linked_steps: W4-03,W4-04,W4-05,W4-06,W4-07,W4-09
Its implementation paths are exactly the 40 editable paths below, in CREATE order followed by UPDATE order, without duplicates. W4-09 remains linked but NOT RUN pending W4-08.
Synchronize feature-matrix.yaml, its validator and every approved feature/path consumer together.
EXACT APPROVED PATH MANIFEST
CREATE — exactly 22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tests/fakes/agent.py
tests/unit/test_agent_graph.py
tests/unit/test_agent_tools.py
tests/unit/test_agent_budgets.py
tests/unit/test_agent_persistence.py
tests/contract/test_agent_schema.py
tests/integration/test_agent_api_composition.py
tests/security/test_agent_approval.py
tests/security/test_agent_state_redaction.py
tests/rollback/test_w4_002_agent_rollback.py
tests/teardown/test_w4_002_agent_cleanliness.py
UPDATE — exactly 18
.env.example
feature-matrix.yaml
src/enterprise_ai_platform/app.py
src/enterprise_ai_platform/config.py
src/enterprise_ai_platform/api/dependencies.py
src/enterprise_ai_platform/api/errors.py
src/enterprise_ai_platform/api/models.py
src/enterprise_ai_platform/api/runtime.py
src/enterprise_ai_platform/api/routes.py
tools/platformctl/validate.py
tests/conftest.py
tests/unit/test_api.py
tests/contract/test_api_schema.py
tests/security/test_api_authorization.py
tests/unit/test_config.py
tests/unit/test_platformctl.py
tests/feature/test_feature_matrix.py
tests/security/test_configuration_security.py
Approved pre-edit SHA-256 values, in the same order:
0779fd7101ffdc2bffc1a9c6d890d450aa150bb4cd7a94c0278e25e78c75dac2
1d4c3fcdc08d021bec345cdd691f9a71478dc1e63fe10d233cb2eb6d42f5d160
2eae3c1c423363cf5eee25de09924e630ef3e60bb45aa7859e12934cb4b5e4a5
1e5d30a2bf048d3a86a0daac292626086fcc138bf8c5c3de178ac23fa067c673
d950b25e77eac5d2f534f9d87308f6b3bfc8cfff65e6f60dc4d89867ea849f16
57178132018d2119a2cc09cbfd6eb2f694fa82e1eba34630dfc9fdf0073bef52
88ba045a677a2c800f68784098d758afcce3906dff61c6b5950504ccc03a8121
b89a97645a74d8066030e8eb1200885fba47b3dc252194c379b7a155da2343f9
e0394a3bd7e3b340b50a8d7b0c8e040366e980e4eddf134ff59cc697af6290aa
6da6d156b20c9c446b2bb35ce21cd3a3a877b25088d2d1ab826cea40e8cd72d6
d981f1018021fef8eeca33a7f9a701500326c381ddad74127f3680a1d4ee328c
96c5af60ba5a28045a5a7ef647278b556ad0591990d10f60c3ab44c15ec7c3e3
794ed0dd1626ca4b5c30c830ef06db27d96c39709601125380c4da29a40c0f7f
c925106891a2827409a6b12bece7cf9d8db29094f5e7e6359b8e553929acb11d
fa62f9b7dd7223a9ae7f3421d4332227a47db8ec89a94acb741cf8a7cacd2aa0
0854e3cdf8f8b074762bd60551566845682bf7e39ccd94d447365507ef8d89f1
10aef5835cd5b2143cdfca90def8162490b3f6d11a88f4476f6d65d8364153a9
9c5c42b1502f02645c23d427f9a4c3dfa854e5e23d1acca4445ad5f982fe2a1e
DELETE — 0
None.
Manifest reconciliation:
22 CREATE
18 UPDATE
0 DELETE
40 editable paths
VERIFIED UNCHANGED CONSUMERS — EXACTLY 60
pyproject.toml
requirements.txt
requirements-dev.txt
Makefile
src/enterprise_ai_platform/__init__.py
src/enterprise_ai_platform/json_contracts.py
src/enterprise_ai_platform/api/__init__.py
docs/adr/ADR-000-source-precedence.md
docs/adr/ADR-002-provider-boundaries.md
docs/adr/ADR-006-authorization.md
docs/adr/ADR-012-reversibility.md
docs/adr/ADR-016-feature-cycle.md
docs/adr/ADR-017-release-gates.md
docs/governance/Enterprise_AI_Architecture_Source_of_Truth_v1.1.docx
docs/governance/Enterprise_AI_Architecture_Coaching_Blueprint.docx
configs/eval/baselines/w3-002-v1.json
docs/learning/W3-learning-review.md
docs/test-evidence/README.md
docs/test-evidence/W4-001.md
docs/test-evidence/W4-01-api.txt
docs/test-evidence/W4-02-auth.txt
src/enterprise_ai_platform/rag/__init__.py
src/enterprise_ai_platform/rag/config.py
src/enterprise_ai_platform/rag/errors.py
src/enterprise_ai_platform/rag/models.py
src/enterprise_ai_platform/rag/prompt.py
src/enterprise_ai_platform/rag/service.py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src/enterprise_ai_platform/guardrails/__init__.py
src/enterprise_ai_platform/guardrails/adapter.py
src/enterprise_ai_platform/guardrails/errors.py
src/enterprise_ai_platform/guardrails/models.py
src/enterprise_ai_platform/guardrails/policy.py
src/enterprise_ai_platform/llm/__init__.py
src/enterprise_ai_platform/llm/errors.py
src/enterprise_ai_platform/llm/models.py
src/enterprise_ai_platform/llm/provider.py
tests/fakes/api.py
tests/integration/test_api_dependency_composition.py
tests/rollback/test_w4_001_api_rollback.py
tests/teardown/test_w4_001_api_cleanliness.py
tests/unit/test_app.py
tests/feature/test_health_contract.py
tests/security/test_repository_security.py
tests/security/test_platformctl_approval_gates.py
tests/contract/test_rag_result.py
tests/unit/test_rag_pipeline.py
tests/feature/test_w3_001_cited_rag.py
tests/feature/test_w3_002_offline_evaluation.py
tests/feature/test_w3_003_guardrails.py
tests/feature/test_w3_004_rag_rollback.py
tests/security/test_w3_001_cited_rag_security.py
tests/security/test_w3_002_evaluation_security.py
tests/security/test_w3_003_guardrails_security.py
tests/security/test_w3_004_rag_rollback_security.py
These may be read but not edited. W4-002 consumes their approved contracts through injected boundaries and later regression execution.
DEFERRED — EXACTLY 18 ITEMS
Exact paths — 10
docs/adr/ADR-005-langgraph.md
tests/feature/test_agent_failures.py
docs/test-evidence/W4-03-graph.txt
docs/test-evidence/W4-04-read-tool.txt
docs/test-evidence/W4-05-approval.txt
docs/test-evidence/W4-06-budgets.txt
docs/test-evidence/W4-07-state.txt
docs/test-evidence/W4-09-failures.txt
tests/feature/test_api_load_smoke.py
docs/test-evidence/W4-10-load.json
Controlled deferred actions — 8
Live AgentEvidenceGateway/RAG adapter.
W4-003 telemetry, runtime logging, tracing, exporters and W4-08.
Production identity and authentication integration.
Real write tool or external approval service.
Service startup and local, production or cloud deployment.
Separate Python 3.11 compatibility verification before deployment.
W4 release rollback drill and operational teardown.
Week 4 aggregate, index, feature, architecture, checkpoint and learning documentation pending an exact Column M manifest.
W4-09 remains owned by AGENT-001 and NOT RUN. W4-10 remains owned by API-001 and NOT RUN.
EXCLUDED — 9 CATEGORIES
W4-003 telemetry, OTLP, exporters, spans, runtime logging and W4-08 evidence.
W4-10 implementation, execution and load evidence.
W4 release rollback, checkpoint and learning closure.
Real write actions and external approval services.
Live JWT/JWKS, identity-provider, API-key or session integration.
Direct Qdrant, OpenSearch, Bedrock or external-model calls.
AWS, Docker, Kubernetes, EKS, registry, infrastructure and deployment activity.
Production SLO, capacity, latency, readiness or cost claims.
Documentation, evidence, ADR, Excel and Git mutation during Column L.
APPROVED AUTOMATED-TEST CODE
Write tests that prove, without executing them:
exact node/edge set, Mermaid parity, safe termination and no cycles;
strict tool allowlist, schemas and normalized redacted results;
each budget independently stops work without repeated calls;
deadline, cancellation and capacity release;
canonical fingerprints and reordered-key equivalence;
invalid versions, duplicate keys, non-finite values, corruption and size rejection;
SQLite atomic compare-and-swap and exactly-one concurrent approval consumer;
missing, rejected, expired, cancelled, altered, cross-tenant, self-approved, replayed and consumed approval denial;
synthetic query, prompt, chunk, answer, secret and PII sentinels absent from state/store/audit/errors;
disabled and enabled API composition, authentication first and controller exactly once;
/v1/query and all W4-001 contracts unchanged;
both agent flags disabled restore exact W4-001 behavior;
temporary SQLite database, WAL/journal/shared-memory/lock and cache residue removed;
protected W3 identities remain unchanged.
Do not create the dedicated W4-09 test or any W4-10 test. Do not add skips, xfails or weakened assertions to hide deferred work or defects.
DEPENDENCY, SECURITY, COST AND LIFECYCLE BOUNDARY
Add or change no dependency, lock, package range or build configuration.
Use Python 3.11-compatible semantics and current installed LangGraph 1.2.11 APIs.
Do not create a local virtual environment or dependency cache.
Keep trusted identity separate from transport JSON.
Treat hashes as pseudonymous, not anonymous.
Persist no raw content, credential, PII, prompt, evidence or answer.
No data leaves the workstation.
Approved paid-service ceiling and maximum paid evaluation spend: USD 0.
Local CPU, memory, disk and owner time remain real but are not paid-provider cost.
Do not create the approved long-lived runtime store during editing.
Configuration rollback disables both agent flags.
Source/config/test files are intended retained resources.
Operational release rollback, deployment and cloud teardown remain NOT RUN.
NO EXECUTION
Codex must not run:
Python/import/version commands;
Ruff, MyPy, Pytest, platform validation, pre-commit, formatter or build;
the application, API, graph, SQLite store or any endpoint/client;
W4-09 or W4-10 work;
service, network, model, provider, Docker, AWS, EKS or Terraform commands;
rollback, cleanup, teardown or evidence commands;
Git or Excel mutation.
The owner will execute approved TEST-001 commands later, one at a time.
FAILURE AND PATCH-CONTEXT RULE
If an approved patch context no longer matches:
Stop editing that path.
Do not guess an anchor, overwrite owner content or reconstruct the file from memory.
Do not create a shadow path or weaken a test.
Preserve completed in-scope changes.
Report the exact drift and request one bounded remediation or manifest-expansion approval.
Do not modify any path outside the 40-path editable manifest.
REQUIRED COMPLETION RESPONSE
After writing the approved code/configuration/test code, return:
A simple business summary and technical implementation summary.
Exact final CREATE/UPDATE/DELETE manifest and counts.
The implemented graph, state, tool, approval, budget, API, rollback and cleanup contracts.
A complete AGENT-001 ownership/path reconciliation.
Confirmation that all 60 VERIFIED UNCHANGED consumers were not modified.
Confirmation that W4-09, W4-10, ADR/documentation/evidence and live integrations remain deferred/NOT RUN.
Confirmation that no test, command, service, SQLite runtime, dependency, network, provider, cloud, Git or Excel operation was run.
Any warnings, limitations or deviations without inventing PASS.
The planned owner TEST-001 sequence, but do not issue or run the first command until the owner requests testing.
A post-implementation learning summary covering business value, technical flow, layman analogy, key decisions, security/reliability/cost, rollback/teardown and five interview Q&amp;As.
End exactly:
READY FOR OWNER TESTING — W4-002.
FINAL AUTHORIZATION
I approve this exact W4-002 Column L Code Edit Approval.
Codex may now write only the 40 approved paths and only the contracts described above. No other authority is granted.</t>
  </si>
  <si>
    <t>COLUMN M — EXACT DOCUMENT WRITING APPROVAL — W4-002
1. Approval identity and purpose
This is a separate owner authorization to write the approved W4-002 architecture, governance and test-evidence documents after completion of the bounded implementation and owner-executed TEST-001 sequence.
Prompt ID: W4-002-COLUMN-M-001.
This approval authorizes document writing only. It does not authorize application-code, configuration, automated-test, feature-matrix, Excel, Git or runtime changes. It does not authorize another test run, remediation, service startup, database creation, network access, provider/model use, installation, deployment, rollback execution or cloud activity.
The owner-controlled Excel process, workbook state and corresponding ~$ lock file are non-blocking and are outside this approval. They must not be treated as an owner decision or a Column M blocker.
2. Authoritative completed implementation facts
Record the following owner-supplied facts exactly. Do not reinterpret, improve or relabel them:
W4-002 bounded implementation is complete.
Final implementation boundary: 22 CREATE, 20 UPDATE, 0 DELETE; 42 editable implementation paths in total.
The 20 updates comprise the original 18 approved UPDATE paths plus two separately owner-approved remediation paths.
Final path-boundary verification: PASS.
Ruff: PASS.
MyPy: PASS — 95 source files.
Focused functional, security, rollback and cleanliness tests: PASS.
Complete ordinary suite: PASS — 613 passed, 7 skipped, 4 deselected.
Platform validation: PASS.
Zero-residue verification: PASS.
Final whitespace validation: PASS.
Accepted warning: one Starlette httpx deprecation warning.
Open INDETERMINATE results: none.
All failures encountered during TEST-001 were remediated through separately owner-approved bounded changes and their reruns passed.
Historical failures must remain visible:
Initial MyPy run: two failures; later remediated and passed.
Initial focused suite: two failures; later remediated and passed.
Initial complete suite: two stale-consumer failures; later remediated and passed.
W4-09 dedicated failure test, execution and evidence: NOT RUN, deferred until W4-08 is implemented and approved.
W4-10 load test, execution and evidence: NOT RUN, deferred under the existing owner decision until W4-06 is implemented and approved and a separate execution approval is supplied.
Seven skipped and four deselected tests remain NOT RUN; do not classify them as PASS.
Real model, Qdrant, tokenizer, external network, cloud and deployment activity: NOT RUN.
Python 3.11 compatibility execution: NOT RUN; code was authored to Python 3.11 semantics and owner testing used Python 3.13.7.
Production performance, production identity, live model/provider integration, deployment readiness and cloud readiness are not proven.
Provider/cloud cost: USD 0. Local owner time and workstation cost are not represented as zero.
Configuration rollback and automated rollback tests: PASS.
Cleanliness and zero unexpected runtime residue: PASS.
Operational release rollback: NOT RUN.
Operational deployment and teardown: NOT RUN because Column L created no running service, container or cloud resource.
Intended source and test files are retained project artifacts.
The approved long-lived SQLite runtime path was not created during owner testing; temporary test databases and associated journal, WAL, shared-memory and lock artifacts reached zero residue.
The documentation may identify the exact two remediation UPDATE paths only after reading the owner-approved remediation records or the final verified implementation inventory. Do not guess their names. A documentation-path mismatch is a blocker; lack of an invented detail is not permission to infer it.
3. Exact Column M document boundary
CREATE — exactly 10
docs/test-evidence/W4-002.md
docs/adr/ADR-005-langgraph.md
docs/architecture/agent-approval.md
docs/architecture/retention.md
docs/cost-estimates/budget.md
docs/test-evidence/W4-03-graph.txt
docs/test-evidence/W4-04-read-tool.txt
docs/test-evidence/W4-05-approval.txt
docs/test-evidence/W4-06-budgets.txt
docs/test-evidence/W4-07-state.txt
UPDATE — exactly 1
docs/test-evidence/README.md
VERIFIED UNCHANGED
The W4-002 implementation, configuration, test and feature-ownership paths must remain unchanged during Column M. The final implementation inventory remains 22 CREATE, 20 UPDATE, 0 DELETE and must be cited from the approved records without rewriting implementation files.
The following final-approved W4-001 and protected W3 records must be read only when needed for accurate continuity and must remain unchanged:
docs/test-evidence/W4-001.md
docs/test-evidence/W4-01-api.txt
docs/test-evidence/W4-02-auth.txt
docs/learning/W3-learning-review.md
configs/eval/baselines/w3-002-v1.json
PROHIBITED / DEFERRED DOCUMENT PATHS
Do not create or update any of the following under this approval:
docs/test-evidence/W4-09-failures.txt
docs/test-evidence/W4-10-load.json
docs/test-evidence/W4-08-trace.json
docs/rollback-records/W4-release.md
docs/deployment-records/W4-signoff.md
docs/learning/W4-learning-review.md
Any tracker workbook or Excel evidence field.
W4-09 remains owned by AGENT-001 and W4-10 remains owned by API-001. Neither task is removed, transferred, passed or closed by this documentation action.
DELETE — none
EXCLUDED
Every repository path not explicitly classified under CREATE or UPDATE above is excluded from modification.
Manifest reconciliation for this approval: 10 CREATE, 1 UPDATE, 0 DELETE; exactly 11 Column M documents.
4. Mandatory read-only document preflight
Immediately before writing:
Re-read all eleven exact documentation paths and classify their actual existence.
Confirm each CREATE target is absent and the UPDATE target exists and is readable.
Re-read the owner-approved W4-002 Column L, remediation and TEST-001 records needed to support every documented claim.
Confirm the final implementation inventory remains 22 CREATE, 20 UPDATE and 0 DELETE, with no unexpected implementation or runtime-residue path.
Confirm the W4-001 evidence and protected W3 baseline references required for continuity have not been modified by Column M.
Treat an open Excel process, the workbook's uncommitted state and its ~$ lock file as non-blocking and owner-controlled. Do not read, write, checksum-bind or request closure of Excel for this task.
Stop before editing if any approved document target has the wrong existence classification, has conflicting current content, or if the supplied owner facts conflict with the final implementation evidence.
If a real conflict is found, return a precise blocker naming the path and conflicting fact. Do not expand the manifest, silently overwrite an existing CREATE target, invent a replacement path or change implementation content.
5. Governing W4-002 decisions to document
Document the approved decisions without creating new architecture authority:
Feature ownership: AGENT-001, status In Progress, follows API-001, and links exactly W4-03, W4-04, W4-05, W4-06, W4-07, W4-09.
W4-09 remains linked but its dedicated test, execution, PASS classification and evidence are deferred until W4-08.
W4-10 remains linked to API-001, is NOT RUN, and is outside W4-002.
LangGraph version inspected during planning: 1.2.11; use context_schema, not deprecated config_schema.
No LangGraph checkpointer dependency or SQLite checkpointer plugin was added.
Durable approval/state persistence uses the Python standard-library SQLite boundary owned by the application.
The agent consumes evidence through an injected, fake-only AgentEvidenceGateway; the protected W3 RAG, retrieval, guardrail and provider contracts were not redefined.
agent_enabled=false and agent_mock_write_enabled=false are the safe defaults.
The read tool is get_service_status v1.0 with exact argument {"component":"query_wiring"} and an injected local status source.
The mock write tool is mock_set_service_mode v1.0 with exact argument {"mode":"maintenance"} and produces a simulated outcome only.
Read authority requires READER.
A mock-write requester requires same-tenant ADMIN.
An approver requires same-tenant REVIEWER and a different subject from the requester.
Authentication, operation authorization and human approval remain separate controls; model intent cannot grant authority.
Approval IDs are server-generated UUIDv4 values.
Approval TTL is ten minutes.
Approval binds the same tenant and the exact canonical fingerprint of the request, requester, tool version, arguments and idempotency identity.
Rejection and expiry are terminal.
Atomic compare-and-swap consumption prevents replay and concurrent double execution.
No retry occurs after an approval record enters executing or an uncertain post-consumption state.
SQLite schema identity: w4-002.agent-store.v1.
Approved external runtime path: E:\AI\.runtime\enterprise_ai_platform\w4-002\agent-control-v1.sqlite3.
Terminal local records are retained for 24 hours and removed by an explicit bounded purge.
Corrupt or inconsistent persisted state fails closed.
Persisted tenant and subject references are hashed and therefore pseudonymous, not anonymous.
Raw prompts, evidence, answers, credentials, PII and exception content are not persisted.
Exact budgets: 8 steps; 1 tool call; 1 provider attempt; 4,096 tokens; 0 retries; 25-second agent deadline; 16,384-byte state; 1 concurrent agent run; queue capacity 0; combined API admission maximum 4.
The agent deadline remains nested inside the existing 30-second API deadline.
W4-002 paid-provider and paid-evaluation ceiling is USD 0; any non-zero paid spend is outside the approved scope.
Disabling the agent is configuration rollback. Purging records is cleanup. Neither is evidence of a production release rollback or cloud teardown.
6. Required content by document
docs/test-evidence/W4-002.md
Create the aggregate W4-002 implementation and evidence record. Explain the business purpose, delivered agent-control capabilities, final 22 CREATE/20 UPDATE/0 DELETE implementation boundary, owner-executed TEST-001 results, historical failures and successful remediation, accepted warning, security/privacy outcomes, cost, limitations, deferrals, rollback, cleanup, teardown and residual-resource facts. Reconcile W4-03 through W4-07 without duplicating or fabricating W4-09/W4-10 evidence. This is the primary W4-002 handover record for later Week 4 work and final sign-off.
docs/adr/ADR-005-langgraph.md
Record the accepted W4-002 orchestration decision, context, drivers, approved LangGraph boundary, application-owned SQLite persistence, alternatives, trade-offs, consequences, failure behavior, reversibility and deferred live integration. Clearly distinguish LangGraph graph orchestration from approval authorization and durable business state. State that this ADR records the already approved decision; it does not newly approve deployment or production use.
docs/architecture/agent-approval.md
Explain the complete start/decide/execute approval flow, trusted identity boundary, role separation, same-tenant rule, different-subject rule, canonical fingerprint, UUIDv4 approval ID, ten-minute TTL, terminal states, atomic one-time consumption, replay prevention, cancellation behavior and safe error results. State that only the artificial mock write is implemented; there is no real external write action or approval service.
docs/architecture/retention.md
Record the exact SQLite schema identity and approved external runtime path, redacted/pseudonymous persisted fields, excluded raw content, 24-hour terminal-record retention, explicit bounded purge, corruption fail-closed behavior, temporary-test cleanup and verified zero residue. Distinguish retention from backup, deployment, operational teardown and production data governance, none of which were tested here.
docs/cost-estimates/budget.md
Record the exact execution budgets and the W4-002 USD 0 paid-provider/paid-evaluation ceiling. Explain that local CPU, memory, disk, owner time and workstation cost exist but were not monetized. Do not convert deterministic fake-test timings or concurrency into production capacity, latency, SLO or cost claims.
docs/test-evidence/W4-03-graph.txt
Record deterministic graph/controller evidence: bounded states and transitions, one admitted run with zero queue, nested deadline, cancellation/capacity release, fake-only evidence boundary, safe default-disabled behavior and the applicable owner test results. Preserve historical failures and later PASS reruns where they affected this evidence.
docs/test-evidence/W4-04-read-tool.txt
Record the exact read-tool name, version and argument, required READER authority, injected local status source, bounded call budget, safe output, denial-before-tool behavior and lack of live RAG/vector/model/network activity.
docs/test-evidence/W4-05-approval.txt
Record the exact mock-write tool, separation of requester and approver duties, tenant binding, fingerprint binding, TTL, rejection/expiry, compare-and-swap consumption, replay/concurrency controls, redaction and simulated-only outcome. This is the canonical W4-05 evidence path. Do not create or reference W4-approval.txt as if it were the approved evidence artifact.
docs/test-evidence/W4-06-budgets.txt
Record every approved budget and its tested fail-closed behavior. State explicitly that fake/local budget evidence does not prove production latency, capacity or provider behavior.
docs/test-evidence/W4-07-state.txt
Record canonical serialization, strict state schema, redacted durable fields, SQLite lifecycle, atomic state changes, corruption handling, retention/purge policy and zero-residue results. Preserve the limitation that no long-lived runtime database was created or operationally exercised.
docs/test-evidence/README.md
Add a concise W4-002 index entry for the ten new documents, the final implementation/test classification and the precise deferrals. Do not claim W4-09, W4-10, production identity, live providers, Python 3.11 execution, deployment, production performance or cloud readiness. Do not add links to absent evidence files.
7. Evidence-writing rules
Every document must use business-first, plain language while preserving exact technical facts.
For each applicable document, record:
Business purpose.
Technical scope and governing decisions.
Exact owner-executed results.
Current PASS, historical FAIL, NOT RUN and INDETERMINATE classifications.
Accepted warning.
Security and privacy outcomes.
Limitations, evidence gaps and deferred work.
Network, provider/model and cloud activity.
Cost classification.
Configuration rollback, operational rollback, cleanup, teardown and residual-resource facts as distinct concepts.
Retained project artifacts and absence of unexpected runtime residue.
Fields pending final Column N owner approval.
Never:
infer a test result, reviewer fact, approval or deployment outcome;
erase historical failures because later reruns passed;
convert skipped, deselected, deferred or unexecuted work into PASS;
claim the dedicated W4-09 or W4-10 task was implemented or tested;
expose raw prompt, evidence, answer, credential, PII, secret, exception, chain-of-thought or internal dependency content;
claim production readiness, capacity, latency, SLO compliance, live authentication, live provider behavior or cloud readiness;
edit code, configuration, tests, feature ownership, Excel or Git state;
run tests, formatters, linters, validators, services, databases, deployments or network/cloud commands;
create a document outside the eleven-path manifest.
8. Mandatory pending Column N section in every document
Add a clearly identifiable final section to each Markdown document:
### Final Owner Approval — W4-002
Add the equivalent plain-text heading to each .txt document:
FINAL OWNER APPROVAL — W4-002
The section must remain pending and must contain fields for:
Reviewer exact name.
Reviewer role.
Exact approval decision.
Approval date and time.
Timezone.
Accepted warnings and risks.
Evidence gaps and limitations.
Current PASS facts.
Historical FAIL facts and successful remediation.
NOT RUN facts, including W4-09 and W4-10.
INDETERMINATE facts, explicitly None if owner-confirmed.
Deferred actions and responsible owners.
Deployment facts.
Configuration-rollback and operational-rollback facts.
Cleanup, teardown and residual-resource facts.
Approval conditions, or None.
Do not populate owner identity, final decision or approval time unless supplied in a later explicit Column N response. Do not write language that implies final approval before Column N.
9. Validation after writing
After writing, perform read-only content validation only:
Re-read all eleven documents completely.
Confirm ten documents were created, one was updated and no other path changed because of Column M.
Confirm every required identifier, result, warning, limitation and lifecycle classification is present in its applicable document.
Confirm W4-09 and W4-10 remain NOT RUN and that their evidence files remain absent.
Confirm no document claims production, deployment, live-provider, cloud or Python 3.11 compatibility evidence.
Confirm every document contains its pending Final Owner Approval section.
Confirm the README links only to documents that exist.
Confirm no raw sensitive or synthetic request content was copied into documentation.
Confirm implementation files, tests, configuration, Excel and Git state were not mutated.
Do not run the application or any test/tool command for validation. Validate the written documents by reading them.
10. Mandatory Column M response
Return a complete table titled:
COLUMN M APPROVED DOCUMENT MANIFEST — W4-002
The table must contain exactly one row for each of the eleven created or updated documents and include:
Exact path.
Classification: CREATE or UPDATE.
Business purpose.
Technical/decision scope.
Owner results recorded.
Historical failures and current result.
Accepted warnings, risks and limitations.
Evidence gaps and NOT RUN work.
Network/provider/cloud activity and cost.
Deployment facts.
Configuration-rollback and operational-rollback facts.
Cleanup, teardown and residual-resource facts.
Fields pending Column N.
Exact Final Owner Approval section location.
Column N closure requirement.
After the table, report:
Document count: 11.
CREATE count: 10.
UPDATE count: 1.
DELETE count: 0.
Missing documents: 0, or list exact blockers.
Unexpected documents: 0, or list exact blockers.
W4-09 evidence status: absent and NOT RUN.
W4-10 evidence status: absent and NOT RUN.
Complete manifest reconciliation: PASS or the exact conflict.
The returned Column M manifest becomes the complete mandatory Column N closure scope. Column N must update all eleven documents; it may not close only the aggregate record, README or selected evidence files.
11. Column N boundary
Column N is not authorized by this prompt. After owner review of all eleven documents, require one explicit owner response containing every approval fact listed above.
At Column N, block if:
any owner fact is missing;
any of the eleven documents is omitted;
a document differs from the owner-reviewed version;
a documented test/evidence fact conflicts with the proposed approval;
any historical failure, warning, risk, limitation, residual resource or NOT RUN item is omitted;
W4-09 or W4-10 is falsely shown as PASS or closed;
the Column M and Column N manifest paths or counts do not match.
The owner retains responsibility for any later Excel tracker update and Git action. Do not edit the tracker or mutate Git during either Column M or Column N unless separately and explicitly authorized.
End exactly:
DOCUMENTATION READY FOR OWNER REVIEW — W4-002.</t>
  </si>
  <si>
    <t>FINAL COLUMN L — EXACT CODE EDIT APPROVAL — W4-003
1. Approval identity
Prompt ID: W4-003-COLUMN-L-001.
Feature/outcome: Application telemetry and redacted audit trail.
Covered tracker steps: W3-09 and W4-08 only.
Business purpose: Make the approved API, RAG and agent stages operationally explainable through vendor-neutral, redacted and bounded telemetry without exporting protected business content.
This is the exact bounded owner Code Edit Approval following completed Gate 1 decisions, Gate 2 revalidation and the approved complete-impact manifest correction.
2. Baseline binding
This approval is bound to:
Repository: E:\AI\enterprise_ai_platform
HEAD: d89fa573e0e981c43397c0d3ce5499ecf1f6f826
Branch: main
Tracked status at Gate 2: clean
Untracked status at Gate 2: clean
CREATE targets: 12 of 12 absent
UPDATE targets: 20 of 20 present and patch-context ready
DELETE targets: 0
VERIFIED UNCHANGED consumers: 83 of 83 present and re-read
W4-09 and W4-10 implementation/evidence paths: absent and excluded
Protected SHA-256 values:
Source of Truth: d4ce5c6d2cbba3704e8f7f385edeb16573cf21e009b1bf7e87914bace03fb04f
Coaching Blueprint: a46596aed881d0c6a7804ff332013a7e72f465be11810b6be8ac1c103380f59d
W3-002 immutable baseline: 4bbc8f24af911ba09356196e9285d261549926c713110f9549929e1e4ac9086f
W3 learning review: be120b416291652670ff5d8e196932b08a7e1b6df8d1b933df4c0fd6eef91361
W4-001 aggregate evidence: 477214dc14287f7164b54820d012efcba05d5fc48f5d12f0b88729164606df59
W4-002 aggregate evidence: e47c4b8cb9addbd150c64f8d6923001485b2d5fe0b715446b32353c4781cfb5f
Immediately before the first edit, re-read HEAD, tracked/untracked status, all 32 editable paths, all 83 VERIFIED UNCHANGED paths and every approved patch context. Revalidate the protected hashes. An Excel process, workbook state or ~$ lock file is owner-controlled, non-blocking and excluded.
If HEAD, a protected hash, path classification, patch context or material producer/consumer fact has changed, do not edit. End exactly:
BLOCKED — BASELINE CHANGED — W4-003.
3. Authority granted and prohibited activity
Codex is authorized to create or update only the 32 paths enumerated under CREATE and UPDATE below, implementing only the approved W3-09/W4-08 contracts.
Codex must not:
run Python, tests, Ruff, MyPy, validators, formatters, builds or applications;
install, uninstall, upgrade or download a dependency;
execute or contact an OTLP exporter or collector;
start Docker, Jaeger, Prometheus, Grafana, CloudWatch, X-Ray or any service;
use Qdrant, OpenSearch, Bedrock, another model/provider, IdP, approval service, registry, AWS, EKS, Kubernetes or external network;
create documentation or evidence;
implement or execute W4-09 or W4-10;
edit Excel, stage/commit/push Git or mutate external state;
weaken existing schemas, authorization, guardrails, budgets, approval, rollback, cleanliness or test assertions;
modify any path not listed under CREATE or UPDATE.
Code writing and static configuration/test-code authoring are authorized. Execution remains owner-only under TEST-001.
4. Approved architecture and implementation contract
4.1 Scope and ownership
Create feature OBS-001, status In Progress, after the existing Week 4 features in the repository-approved exact order.
Link exactly W3-09 and W4-08.
The feature owns the 32 editable paths in CREATE order followed by UPDATE order, without duplicates.
W4-09 remains owned by AGENT-001/W4-002 and remains NOT RUN.
W4-10 remains owned by API-001/W4-001 and remains NOT RUN.
4.2 Telemetry boundary
Implement a narrow application-facing TelemetryRuntime protocol with null and explicit OpenTelemetry implementations. Business components may submit only normalized enums, safe codes, bounded version identifiers, numeric counts and durations. Raw business/domain objects are not accepted.
The default application composition must be offline and side-effect-free through NullTelemetryRuntime. OpenTelemetry providers/readers/exporters are created only through explicit approved composition or injected deterministic tests.
Use manual ASGI/request instrumentation. Do not use FastAPI auto-instrumentation. Ignore inbound traceparent, tracestate, baggage, X-Request-ID, X-Correlation-ID and X-Forwarded-* identifiers. Preserve the existing server-generated UUIDv4 request ID contract and create a new local root trace per request scenario.
4.3 W4-08 trace acceptance
Implement and test this reconciled acceptance exactly:
One trace is created per request scenario. The deterministic trace set consists of query, agent-start and agent-decision scenarios and collectively covers every required API, authorization, guardrail, retrieval, embedding, LLM, RAG, graph, approval and tool stage. No fabricated span or live AgentEvidenceGateway/RAG adapter is used.
Do not create a production Agent-to-RAG adapter. Use approved real local component composition with deterministic fake dependencies. Every span must correspond to an actual invoked component or stage.
4.4 Metrics
Implement these exact instruments:
enterprise_ai.stage.executions — Counter, unit {execution}
enterprise_ai.stage.duration — Histogram, unit s
enterprise_ai.usage.tokens — Counter, unit {token}
enterprise_ai.retrieval.results — Histogram, unit {item}
enterprise_ai.agent.steps — Histogram, unit {step}
enterprise_ai.agent.tool.calls — Counter, unit {call}
enterprise_ai.telemetry.export.failures — Counter, unit {failure}
enterprise_ai.telemetry.dropped — Counter, unit {item}
Metric labels may contain only finite approved values: stage, operation, outcome, terminal reason, safe error code, token type, signal, drop reason and approved bounded prompt/graph/retriever/model/tool version identifiers.
Request, trace, span, tenant, subject, approval, run, query, source, document and chunk identifiers; exception text; stack traces; content-derived strings; tool arguments/results and arbitrary free text are prohibited as metric labels.
Tests must enforce a finite upper bound derived from the approved instruments, enums and allowlisted attributes. Do not claim a 512-point metrics exporter capacity.
4.5 Spans, events and structured logs
Use the approved exact span names from the Gate 1 contract, including API, authentication, authorization, guardrail, RAG, retrieval, embedding, vector search, LLM, agent/controller nodes, approval and tool execution.
Allowed event names are exactly:
stage.completed
security.decision
approval.decision
telemetry.export_failure
telemetry.record_dropped
Structured logs use schema version w4-003.telemetry.v1 and only these fields:
schema version;
timestamp in Unix nanoseconds;
event name;
service name;
server-generated request ID;
trace ID and span ID;
stage, operation and outcome;
optional finite terminal reason;
optional allowlisted safe error code;
optional duration in milliseconds;
numeric token, result, step and tool-call counts;
approved bounded version identifiers.
Request ID, trace ID and span ID are permitted only in traces/logs, never metric labels.
4.6 Redaction and strict schemas
Implement strict immutable extra="forbid" schemas and a positive attribute/event allowlist before any OpenTelemetry processor, buffer, reader, log sink or exporter receives the observation.
Never emit or retain:
raw prompt/query or answer;
retrieved document/evidence/chunk text;
source/document/chunk identifiers;
tenant, subject, approval or run identifiers;
tool arguments or tool results;
credentials, secrets or PII;
provider envelopes;
exception messages or stack traces;
chain-of-thought or internal reasoning.
Use exactly these artificial security sentinels in automated-test code:
PROMPT_SECRET_W4_003
ANSWER_PII_W4_003
EVIDENCE_TOKEN_W4_003
TOOL_ARGUMENT_W4_003
CREDENTIAL_W4_003
EXCEPTION_DETAIL_W4_003
Tests must prove absence from spans, events, metrics, logs, exporter failures and bounded buffers. The strings are synthetic and contain no real protected data.
4.7 Resource attributes
Create the resource directly from an explicit allowlist. Do not use automatic environment/process resource detectors.
Populate dynamically:
service.name from validated telemetry service configuration;
service.version from enterprise_ai_platform.__version__;
deployment.environment.name from validated Settings.environment, whose current environment-variable boundary is ENTERPRISE_AI_ENVIRONMENT.
Do not duplicate sandbox or 0.1.0 as telemetry-specific hard-coded literals.
4.8 Dependencies
In requirements.txt, declare exactly:
opentelemetry-api&gt;=1.44,&lt;1.45
opentelemetry-sdk&gt;=1.44,&lt;1.45
Remove opentelemetry-instrumentation-fastapi from the declared runtime dependency contract and dependency-test expectation. Do not uninstall the currently installed owner-managed package and do not add an OTLP exporter dependency.
Use lazy application composition so the default null runtime remains import-safe, offline and side-effect-free.
4.9 Bounded application runtime
Implement:
BoundedInMemorySpanExporter: capacity exactly 512 spans;
BoundedInMemoryLogSink: capacity exactly 512 records;
overflow: drop oldest;
safe drop-counter increment;
application telemetry queue capacity: 0;
retry count: 0;
background tasks/threads: 0;
flush deadline: 1.0 second;
shutdown deadline: 1.0 second;
file/socket spill: prohibited.
Use synchronous simple processing behind a safe exporter wrapper. Normalize exporter failures to a finite safe code, increment the safe failure signal when possible and preserve the exact business/security outcome. Never let telemetry trigger RAG, retrieval, provider, graph, approval or tool retry.
Cancellation must propagate. A finalizer may record a finite cancelled outcome, but must re-raise CancelledError and start no replacement work.
The application owns one runtime that it creates and closes once through lifespan. Externally injected runtimes require explicit ownership semantics so they are not double-shut down.
4.10 Collector configuration — config only
Create configs/observability/otel-collector.local.yaml with this exact semantic structure:
receivers:
  otlp:
    protocols:
      grpc:
        endpoint: 127.0.0.1:4317
      http:
        endpoint: 127.0.0.1:4318
processors:
  batch:
    timeout: 1s
    send_batch_size: 64
    send_batch_max_size: 64
exporters:
  debug: {}
service:
  pipelines:
    traces:
      receivers: [otlp]
      processors: [batch]
      exporters: [debug]
    metrics:
      receivers: [otlp]
      processors: [batch]
      exporters: [debug]
    logs:
      receivers: [otlp]
      processors: [batch]
      exporters: [debug]
No memory_limiter processor is permitted. No exporter sending queue is permitted. No additional receiver/listener, processor, exporter, extension, environment substitution, credential, secret or external destination is permitted.
The application must not contact this collector under default settings or ordinary tests. Static YAML/security test code may validate the exact contract. Collector execution, immutable image selection, runtime/schema compatibility and operational teardown remain NOT RUN and deferred.
4.11 Configuration and rollback
Add strict safe-default telemetry settings using the repository’s established settings prefix and validation conventions. Default telemetry is disabled. No active OTLP endpoint is published in .env.example; the tracker’s http://localhost:4317 value remains planning context only.
Settings must bound service-name length, capacities, flush/shutdown timeouts and any approved enum. Reject unsafe endpoints, negative/non-finite values, unknown modes and unexpected configuration.
Disabling telemetry must restore the exact W4-001/W4-002 business behavior. It must not disable authorization, guardrails, RAG, agent budgets, approval or tool restrictions.
5. Exact editable manifest
CREATE — exactly 12
configs/observability/otel-collector.local.yaml
src/enterprise_ai_platform/telemetry/__init__.py
src/enterprise_ai_platform/telemetry/models.py
src/enterprise_ai_platform/telemetry/runtime.py
tests/fakes/telemetry.py
tests/unit/test_telemetry.py
tests/contract/test_telemetry_schema.py
tests/integration/test_telemetry_composition.py
tests/feature/test_trace_correlation.py
tests/security/test_telemetry_redaction.py
tests/rollback/test_w4_003_telemetry_rollback.py
tests/teardown/test_w4_003_telemetry_cleanliness.py
UPDATE — exactly 20
.env.example
feature-matrix.yaml
requirements.txt
src/enterprise_ai_platform/config.py
src/enterprise_ai_platform/app.py
src/enterprise_ai_platform/api/runtime.py
src/enterprise_ai_platform/api/routes.py
src/enterprise_ai_platform/rag/service.py
src/enterprise_ai_platform/retrieval/service.py
src/enterprise_ai_platform/agent/graph.py
src/enterprise_ai_platform/agent/controller.py
tools/platformctl/validate.py
tests/conftest.py
tests/unit/test_config.py
tests/security/test_configuration_security.py
tests/unit/test_platformctl.py
tests/feature/test_feature_matrix.py
tests/feature/test_w2_002_embedder_contract.py
tests/feature/test_w2_003_ingestion_contract.py
tests/integration/test_dependency_contract.py
DELETE — exactly 0
None.
Editable-manifest reconciliation: 12 CREATE, 20 UPDATE, 0 DELETE; exactly 32 editable paths.
6. Exact implementation purpose by path
Collector YAML: exact config-only loopback/debug contract; no execution.
telemetry/__init__.py: explicit public telemetry exports only.
telemetry/models.py: finite enums, strict schemas, metric/span/event names, allowlists and schema version.
telemetry/runtime.py: runtime protocol, null/OpenTelemetry implementations, scope/finalization, bounded span exporter/log sink, safe failure normalization, embedding-recorder adapter and deterministic in-memory composition.
Telemetry fake: deterministic clock/readers/failing exporter and sentinel producer.
Telemetry unit/contract/integration/feature/security tests: exact W3-09/W4-08 functionality, honest trace scenarios, schemas, cardinality, redaction and failure isolation.
Rollback/teardown tests: default-off equivalence, safe shutdown and zero unexpected residue.
.env.example and configuration: strict default-off non-secret local settings without an active endpoint.
Feature matrix/validator and tests: exact OBS-001 ownership and complete path contract.
Requirements/dependency test: approved API/SDK bounds and removal of unused FastAPI instrumentation declaration.
App/API/RAG/retrieval/agent paths: optional null-default instrumentation at actual business stages without changing public business/result schemas.
Shared fixtures/configuration/security tests: deterministic telemetry composition and safe-setting bounds.
W2 feature tests: synchronize the exact feature inventory without weakening protected W2 assertions.
7. VERIFIED UNCHANGED — exactly 83
The following paths were re-read at Gate 2 and must remain unchanged.
Original 59
pyproject.toml
requirements-dev.txt
src/enterprise_ai_platform/api/dependencies.py
src/enterprise_ai_platform/api/models.py
src/enterprise_ai_platform/api/errors.py
src/enterprise_ai_platform/agent/models.py
src/enterprise_ai_platform/agent/contracts.py
src/enterprise_ai_platform/agent/authorization.py
src/enterprise_ai_platform/agent/runtime.py
src/enterprise_ai_platform/agent/persistence.py
src/enterprise_ai_platform/agent/serialization.py
src/enterprise_ai_platform/agent/tools.py
src/enterprise_ai_platform/rag/models.py
src/enterprise_ai_platform/rag/config.py
src/enterprise_ai_platform/rag/prompt.py
src/enterprise_ai_platform/rag/errors.py
src/enterprise_ai_platform/retrieval/models.py
src/enterprise_ai_platform/retrieval/authorization.py
src/enterprise_ai_platform/retrieval/vector_store.py
src/enterprise_ai_platform/retrieval/adapters/fake.py
src/enterprise_ai_platform/retrieval/adapters/qdrant.py
src/enterprise_ai_platform/retrieval/adapters/opensearch.py
src/enterprise_ai_platform/embeddings/base.py
src/enterprise_ai_platform/embeddings/fake.py
src/enterprise_ai_platform/embeddings/sentence_transformer.py
src/enterprise_ai_platform/embeddings/errors.py
src/enterprise_ai_platform/llm/models.py
src/enterprise_ai_platform/llm/provider.py
src/enterprise_ai_platform/llm/fake.py
src/enterprise_ai_platform/llm/bedrock.py
src/enterprise_ai_platform/llm/errors.py
src/enterprise_ai_platform/guardrails/models.py
src/enterprise_ai_platform/guardrails/policy.py
src/enterprise_ai_platform/guardrails/adapter.py
src/enterprise_ai_platform/guardrails/errors.py
tests/unit/test_app.py
tests/unit/test_api.py
tests/contract/test_api_schema.py
tests/integration/test_api_dependency_composition.py
tests/integration/test_agent_api_composition.py
tests/security/test_api_authorization.py
tests/security/test_agent_approval.py
tests/security/test_agent_state_redaction.py
tests/rollback/test_w4_001_api_rollback.py
tests/rollback/test_w4_002_agent_rollback.py
tests/teardown/test_w4_001_api_cleanliness.py
tests/teardown/test_w4_002_agent_cleanliness.py
tests/feature/test_health_contract.py
tests/unit/test_rag_pipeline.py
tests/unit/test_retrieval_service.py
tests/unit/test_embedder.py
tests/integration/test_sentence_transformer_embedder.py
tests/feature/test_w3_001_cited_rag.py
tests/feature/test_w3_003_guardrails.py
tests/security/test_w3_001_cited_rag_security.py
tests/security/test_w3_003_guardrails_security.py
tests/security/test_w3_004_rag_rollback_security.py
tests/feature/test_mvp_001_mapping.py
tests/feature/test_mvp_001_platformctl.py
Approved manifest correction — additional 24
src/enterprise_ai_platform/__init__.py
src/enterprise_ai_platform/api/__init__.py
src/enterprise_ai_platform/embeddings/__init__.py
src/enterprise_ai_platform/evaluation/evaluator.py
src/enterprise_ai_platform/llm/factory.py
src/enterprise_ai_platform/rag/__init__.py
src/enterprise_ai_platform/retrieval/__init__.py
tests/contract/test_guardrail_contract.py
tests/contract/test_retrieval_service.py
tests/feature/test_local_retrieval.py
tests/integration/test_bedrock.py
tests/integration/test_guardrail_composition.py
tests/rollback/test_w3_001_rag_rollback.py
tests/rollback/test_w3_003_guardrails_rollback.py
tests/security/test_repository_security.py
tests/security/test_w2_004_retrieval_security.py
tests/security/test_w3_002_evaluation_security.py
tests/teardown/test_w2_004_retrieval_cleanliness.py
tests/teardown/test_w3_001_rag_cleanliness.py
tests/unit/test_agent_budgets.py
tests/unit/test_agent_graph.py
tests/unit/test_llm_provider.py
tools/platformctl/cli.py
tools/verify_w2_004_local.py
These remain unchanged because telemetry constructor arguments are optional and null-default; public business/result/security schemas stay authoritative; platform CLI consumers use centrally updated feature constants; provider/local-retrieval behavior is not modified; and no live AgentEvidenceGateway adapter is introduced.
8. DEFERRED
docs/test-evidence/W4-003.md, subject to later exact Column M approval.
docs/test-evidence/W3-09-telemetry.txt.
docs/test-evidence/W4-08-trace.json.
docs/adr/ADR-008-otel.md.
docs/test-evidence/README.md and any architecture/security/operations/cost/rollback/learning documentation.
tests/feature/test_agent_failures.py and docs/test-evidence/W4-09-failures.txt.
tests/feature/test_api_load_smoke.py and docs/test-evidence/W4-10-load.json.
Collector execution, immutable collector image/version selection, runtime/schema compatibility and operational teardown.
Jaeger, OTLP exporter package/network mode, CloudWatch, X-Ray, Prometheus, Grafana, dashboards, alerts, SLOs and production retention.
Python 3.11 execution.
Real identity, provider/model, vector-store, approval-service, network/cloud and deployment proof.
W6-06 operational observability platform.
9. EXCLUDED
Every path not enumerated under CREATE or UPDATE.
docs/test-evidence/W4-agent-failures.txt, the stale duplicate evidence path.
W4-09/W4-10 ownership transfer, implementation, execution or evidence.
Application business-result, API-response, authorization, guardrail, approval or tool-policy changes.
Raw content, identity or tool-data export.
Excel and Git mutation.
Dependency installation/uninstallation.
Docker, registry, collector/service startup, network, provider/model, AWS, EKS/Kubernetes, deployment, rollback execution and teardown execution.
Production monitoring, performance, capacity, SLO, residency, retention and cost claims.
10. Automated-test code requirements
Author deterministic automated tests that will later allow the owner to verify:
null runtime and strict schema behavior;
exact metric/span/event names and units;
correct stage, duration, retrieval, token, step and tool-call measurements without double counting;
finite metric-series/cardinality enforcement;
query, agent-start and agent-decision trace scenarios with actual invoked spans;
request/trace/span correlation in safe structured logs;
rejection of missing, extra, malformed, unknown, non-finite, negative, overlength and sensitive observations;
all six synthetic sentinels absent from captured telemetry and buffers;
authorization denial occurs before zero downstream business calls;
safe abstention/error, approval and tool outcomes without raw content;
exporter/schema/log-sink failure preserves the exact business/security outcome;
cancellation propagation and no replacement work;
fixed capacities, drop-oldest and safe drop count;
one owned flush/shutdown and no double shutdown;
exact collector YAML structure, loopback listeners, numeric batch limits and absence of forbidden sections/destinations;
telemetry_enabled=false preserves W4-001/W4-002 behavior;
zero unexpected task, thread, socket, file, cache or telemetry residue;
protected W2/W3/W4 feature and dependency consumers remain valid.
Do not add a permanently skipped W4-09/W4-10 placeholder or weaken an existing assertion.
11. Stop and remediation rules
If an approved patch context no longer matches or an implementation requires another path, dependency, schema change, network behavior or owner decision:
Stop before modifying that path or expanding scope.
Preserve completed approved edits.
Report the exact mismatch and producer/consumer impact.
Request one bounded owner remediation/manifest approval.
Do not guess an anchor, create a shadow file/test or reconstruct content from memory.
Codex may not self-test or self-remediate under this approval.
12. Required completion response
After code writing, return:
Business outcome in simple terms.
Exact created/updated/deleted path manifest and counts.
Confirmation that all 83 VERIFIED UNCHANGED paths were not modified.
Key implementation decisions and security/privacy controls.
Any warning, limitation, deferred item or unresolved risk.
Exact owner TEST-001 guidance, one planned command at a time, beginning with baseline/version inspection and continuing through Ruff, strict MyPy, W3-09, W4-08, changed consumers, protected regressions, full suite, platform validation, rollback, teardown, whitespace and final path-boundary checks.
Explicit statement that no command was executed and no documentation/evidence, Excel, Git, network, collector, model, cloud, deployment, rollback or teardown mutation occurred.
Classify implementation completion separately from testing. Do not claim PASS before owner results.
End exactly:
CODE WRITING COMPLETE — OWNER TESTING REQUIRED — W4-003.</t>
  </si>
  <si>
    <t>FOUR APPROVAL GATES PLUS OWNER TESTING AND WEEKLY LEARNING — TRACKER v1.3.4
REVISED MAIN PROMPT — W4-003
1. Task identity
Week: Week 4
Prompt ID: W4-003
Feature/outcome: Application telemetry and redacted audit trail
Business purpose: Make each RAG and agent stage explainable operationally without exporting protected content.
Original covered tracker steps: W3-09, W4-08
Carried downstream closures: W4-09 and W4-10, each retaining its original feature ownership and requiring a separate bounded approval after its prerequisite is satisfied.
Required input boundary: explicit OpenTelemetry exporter policy; no prompt, answer, retrieved document, evidence, credential, PII, secret or chain-of-thought export.
Expected output: approved code/configuration/automated-test-code changes only; owner-run verification guidance; later separately approved evidence and learning documentation.
Task type: implementation.
First response position: Gate 1 read-only pre-edit review only.
Next possible approval position after Gate 1 decisions and Gate 2 revalidation: exact bounded Column L Code Edit Approval.
2. Owner-controlled first response — Gate 1 only
On the first invocation of this Main Prompt, perform read-only inspection only.
Do not create, edit, delete, install, download, execute application code, run tests, lint, format, type-check, build, start services, create a collector, contact an exporter, use Docker, access a registry, use a model/provider, deploy, remediate, roll back, tear down, edit Excel or mutate Git. Do not stage, commit or push.
Read-only repository inspection commands are permitted only to establish the current baseline, inspect files, search producers and consumers, and compute hashes. Never infer a path, result, owner decision, API, dependency version or runtime connection.
An open Excel process, the workbook's uncommitted state and its ~$ lock file are owner-controlled and non-blocking. Record them only if observed; do not treat them as an owner decision, require Excel closure or checksum-bind the workbook.
3. Source precedence and governing authority
Apply the approved source order:
Enterprise AI Architecture Source of Truth v1.1.
Approved ADRs and owner decision records.
Coaching Blueprint and approved learning records.
Authoritative repaired Execution Tracker v1.3.4.
Approved feature requirements, implementation contracts and evidence.
Later final-approved evidence supersedes stale tracker status cells or historical prompt statements, but it does not silently change the tracker’s task ownership, business purpose or dependency structure.
If sources genuinely conflict, report the exact conflict and stop. Do not silently reconcile architecture, evidence or owner decisions.
4. Current approved baseline facts to verify, not re-approve
Gate 1 must verify these facts against the current repository and final-approved records. They are supplied as current planning context and must not be treated as permission to edit.
Weeks 1–3
Week 1, Week 2 and the implemented Week 3 capabilities are final-approved under their recorded boundaries.
W3-001 cited RAG, W3-002 deterministic evaluation/baseline, W3-003 guardrails and W3-004 RAG configuration rollback are completed and approved.
The protected W3-002 immutable baseline was previously recorded with SHA-256 4bbc8f24af911ba09356196e9285d261549926c713110f9549929e1e4ac9086f; Gate 1 must revalidate the current file rather than assuming the hash.
W3-09 is intentionally carried into W4-003 by the tracker. Its completion must not be inferred from general Week 3 sign-off.
W4-001
The FastAPI service boundary and injected authorization seam are final-approved.
W4-01 and W4-02 are completed.
The last W4-001 ordinary-suite closure recorded 537 passed, 7 skipped and 4 deselected before W4-002 expanded the suite.
W4-10 was explicitly deferred and remains owned by API-001.
W4-002
The bounded LangGraph agent controller is final-approved.
W4-03 through W4-07 are completed.
Final implementation boundary: 22 CREATE, 20 UPDATE and 0 DELETE implementation paths.
Final W4-002 owner results: Ruff PASS; MyPy PASS over 95 source files; focused functional/security/rollback/cleanliness tests PASS; full ordinary suite PASS with 613 passed, 7 skipped and 4 deselected; platform validation PASS; zero-residue verification PASS; whitespace and final path-boundary verification PASS.
Accepted warning: one Starlette httpx deprecation warning.
Historical MyPy, focused-suite and stale-consumer full-suite failures were remediated through separately approved changes and passed their reruns; preserve them as historical FAIL facts.
Open FAIL results: none. Open INDETERMINATE results: none.
Column N is closed across all 11 approved W4-002 documents at 2026-08-29 14:50:21 SGT, reviewer Gyan Prakash Rai, decision FINAL APPROVAL AFTER OWNER TEST — APPROVED.
W4-09 remains owned by AGENT-001, is NOT RUN and has no evidence file.
W4-10 remains owned by API-001, is NOT RUN and has no evidence file.
Real identity/provider/model, Qdrant, network/cloud, deployment, production performance and Python 3.11 compatibility execution remain NOT RUN where recorded.
Current baseline identity
Do not reuse a historical Git SHA. Gate 1 must report the current full HEAD, branch, tracked and untracked status, and hashes of governing W4-001/W4-002 evidence and protected baseline files. Code/configuration/test/document drift is material. The Excel workbook and its ~$ lock remain non-blocking and excluded.
5. Original tracker scope — preserve exactly
W3-09 — application metrics without content
Action: Record retrieval, model, token/usage and guardrail metrics without content.
Business reason: Stage-level data explains latency, errors and cost.
Acceptance: Metrics include approved versions and outcomes and exclude prompt/document text.
Original dependency: W3-04, now final-approved.
Owner verification reference: pytest tests/unit/test_telemetry.py -q.
Expected result: Redaction tests pass and metric names are documented.
Canonical evidence: docs/test-evidence/W3-09-telemetry.txt.
Rollback: Disable the exporter or revert instrumentation without changing the core answer path.
Current status: NOT RUN until owner execution produces evidence.
W4-08 — correlated API/RAG/agent trace
Action: Trace API to authorization, retrieval, embedding where used, LLM, guardrail, approval and tool stages.
Business reason: Correlated traces make probabilistic workflows diagnosable.
Acceptance: Approved deterministic local scenarios prove correlated spans and redacted structured logs across all required stages.
Original dependency: W4-01 through W4-07, now final-approved.
Owner verification reference: pytest tests/feature/test_trace_correlation.py -q.
Expected result: Trace ID links structured logs and spans; protected content is absent.
Canonical evidence: docs/test-evidence/W4-08-trace.json.
Rollback: Disable the exporter while preserving the core API, RAG and agent services.
Current status: NOT RUN until owner execution produces evidence.
Original downstream dependency
W4-09 depends on W4-08 and may not be executed or evidenced until W4-08 is implemented, owner-tested and approved under the required boundary.
W6-06 consumes the vendor-neutral OpenTelemetry contract later and owns CloudWatch/X-Ray plus Prometheus/Grafana/Jaeger deployment choices.
6. Business outcome and measurable acceptance
Deliver a vendor-neutral application observability foundation that allows SRE, security, developers and auditors to answer:
Which request and safe workflow stages ran?
Which stage succeeded, abstained, was denied, was rejected, timed out, exceeded a budget or failed safely?
How much bounded time, tool usage, token usage and approved provider/retrieval activity occurred?
Did telemetry remain correlated and redacted?
Did an exporter failure leave the business request and security controls intact?
Measurable acceptance must include:
Deterministic metrics for the approved W3-09 stages with documented names, units, types and bounded attributes.
Correlated local traces for the approved W4-08 scenarios.
Structured metadata logs containing approved correlation fields and safe event fields only.
Zero prompt, answer, retrieved content, evidence text, tool arguments/results, credentials, secrets, PII, tenant/subject identity, provider envelope, stack trace or chain-of-thought leakage.
No unbounded metric label/cardinality, telemetry queue, retry or background task.
Telemetry/export failure does not change an authorized business outcome, bypass a security control or expose data.
Default operation is local, offline and provider-free.
Clean shutdown and zero unexpected telemetry residue.
No claim of production monitoring, alerting, SLO compliance, capacity or cloud readiness.
7. Technical contract to reconcile at Gate 1
Gate 1 must inspect the actual repository and propose the smallest coherent contract. Do not assert these symbols or paths already exist.
7.1 Telemetry boundary
Recommend a provider-neutral application boundary implemented with the approved OpenTelemetry API/SDK surface only after dependency inspection. Business components may emit approved domain observations but must not depend on CloudWatch, X-Ray, Prometheus, Grafana, Jaeger or a vendor-specific APM API.
The boundary should support:
trace/span creation and context propagation;
counters and histograms with documented units;
structured safe metadata events/log records;
resource/service identity;
explicit exporter configuration;
deterministic in-memory test readers/exporters;
redaction/attribute allowlisting before export;
bounded failure isolation and shutdown.
7.2 Safe telemetry schema
Gate 1 must recommend exact names and schemas. At minimum, analyze:
service name;
operation/stage name;
outcome and safe terminal reason;
safe error code/classification;
duration and unit;
request correlation ID in traces/logs, not as a metric label;
trace ID and span ID in structured logs;
bounded model, prompt, retriever, dataset/configuration or tool version identifiers where already approved and low-cardinality;
numeric token/usage, step and tool-call counts;
approval outcome without approval content;
exporter-drop/failure count.
Never use tenant ID, subject ID, approval ID, request ID, query text, source/document/chunk ID, free-form exception text or other unbounded values as metric labels.
7.3 Redaction model
Prefer a strict attribute/event allowlist over a denylist. Instrumentation must pass normalized enums, counts, durations, versions and safe codes—not raw business objects. Redaction must occur before any processor, log handler, queue or exporter receives the record.
Tests must use artificial secret, PII, prompt, evidence, tool-argument and exception sentinels and prove their absence from:
spans and span events;
metric points and attributes;
structured logs;
exporter errors;
test reports/evidence;
buffers, temporary files and retained state.
7.4 Correlation and trust boundaries
Preserve the W4-001 server-generated request ID policy. Ignore untrusted inbound request, correlation and proxy identifiers. OpenTelemetry trace context acceptance or rejection is an owner decision: Gate 1 must analyze spoofing, trust-boundary and cardinality effects before proposing propagation behavior.
Authentication and authorization must still occur before RAG, agent, retrieval, provider or tool work. Telemetry must observe decisions but never become an authority source.
7.5 One-trace acceptance and W4-002 gateway boundary
The tracker says one local trace contains all required stages, while W4-002 deliberately deferred a live AgentEvidenceGateway/RAG adapter. Gate 1 must inspect the actual interfaces and choose an honest deterministic proof:
Preferred direction: a test-only composition using approved concrete services with fake retrieval/provider/status/tool dependencies, without activating a production Agent-to-RAG adapter; or
If a single real composed trace is incompatible with approved contracts, propose exact separate query and agent trace scenarios and identify the tracker acceptance wording that requires owner reconciliation.
Do not emit fabricated spans merely to satisfy the expected stage list. Do not create a live adapter, network dependency or production route without explicit expanded approval.
7.6 Exporter and collector boundary
The tracker records:
OTEL_SERVICE_NAME=enterprise-ai-api as a non-secret, low-cardinality placeholder;
OTEL_EXPORTER_OTLP_ENDPOINT=http://localhost:4317 as a local placeholder requiring TLS/private routing outside local;
local collector/Jaeger configuration as an expected W4-003 output;
CloudWatch/X-Ray and Prometheus/Grafana/Jaeger operational deployment under W6-06.
Gate 1 must not treat the placeholder endpoint as approved runtime activity. Recommend:
deterministic in-memory exporter/reader for ordinary owner tests;
explicit default-off network export;
no implicit endpoint contact;
no collector or Jaeger process during ordinary tests;
config-only local collector path only if an exact repository path, immutable image identity, bind/exposure policy, cache/provenance boundary and teardown plan are owner-approved;
actual local collector/Jaeger execution only under a separate owner runtime approval.
7.7 Reliability and lifecycle
Telemetry work must be bounded and cancellable. Gate 1 must analyze synchronous versus batch processing, queue size, flush/shutdown deadline, exporter timeout, retry count, drop behavior and task/thread cleanup.
Exporter failure must be observable through a safe bounded signal but must not:
fail an otherwise valid request;
convert a denial into an allowed action;
cause a retry of RAG, provider or tool work;
hold capacity indefinitely;
leak raw exceptions;
leave a thread, task, socket, file, cache, collector or container residue.
8. Included scope
Subject to exact Gate 1 impact analysis and later Column L approval, W4-003 may include:
a vendor-neutral telemetry module and strict schemas;
OpenTelemetry initialization/configuration behind safe defaults;
instrumentation of approved API, authorization, RAG, retrieval, embedding, LLM, guardrail, agent, approval and tool boundaries;
structured redacted metadata logs correlated to spans;
deterministic clocks/readers/exporters and synthetic sentinels for tests;
unit, contract, integration, feature, security, rollback and teardown tests;
configuration and example-environment values required for default-off local behavior;
feature-matrix/validator synchronization if the current repository contract requires a W4-003 feature entry;
an exact local collector configuration file only if owner-approved after Gate 1.
9. Explicit exclusions
Unless separately approved, exclude:
CloudWatch, X-Ray, Prometheus, Grafana, Jaeger or external OpenTelemetry Collector execution;
network export during ordinary tests;
AWS, Docker, registry, Kubernetes, EKS, deployment and cloud lifecycle activity;
LangSmith or another managed APM;
live Bedrock/model, Qdrant/OpenSearch, identity-provider or approval-service integration;
production alert destinations, paging, on-call routing, dashboards, SLOs, retention backends and incident tooling;
raw prompt/document/answer/evidence/tool content export;
sampling, tail-based processing or high-volume production tuning not required by deterministic local proof;
changes to W3/W4 business-result schemas or security decisions merely to simplify telemetry;
W4-09 and W4-10 implementation inside the initial W4-003 Column L manifest;
documentation/evidence, Excel and Git mutation during Column L;
production readiness, capacity, latency or cost claims.
10. Downstream closure sequencing — ownership must not change
W4-09
Original prompt/feature owner: W4-002 / AGENT-001.
Dependency: W4-05 through W4-08.
Current status: NOT RUN.
Dedicated test: tests/feature/test_agent_failures.py plus the approved security scope.
Canonical evidence: docs/test-evidence/W4-09-failures.txt.
Required behavior: denial, malformed arguments, injection, timeout, loop/budget exhaustion and rejection terminate safely with no write side effect; redacted audit/trace records contain safe terminal reasons.
Execution rule: after W4-08 is implemented and owner-approved, request a separate exact W4-09 Code Edit/Execution Approval. Do not create its evidence until actual owner results exist.
The Test Evidence sheet currently contains the older path docs/test-evidence/W4-agent-failures.txt. Preserve the previously approved canonical path docs/test-evidence/W4-09-failures.txt and report the tracker-row reconciliation for later owner update; do not create both.
W4-10
Original prompt/feature owner: W4-001 / API-001.
Dependency: W4-01 and W4-06, now final-approved.
Current status: NOT RUN.
Dedicated test: tests/feature/test_api_load_smoke.py.
Canonical evidence: docs/test-evidence/W4-10-load.json.
Approved planning profile from earlier owner decisions: in-process ASGI; deterministic dependencies; 20 warm-up requests per level; 200 measured requests per level; concurrency 1, 4 and 8; maximum 30 seconds; nearest-rank p50/p95/p99; success, safe-error, overload, total and duration counts; redacted output; zero residue.
Execution rule: request a separate exact W4-10 Code Edit/Execution Approval. Do not include it in W4-003 feature ownership and do not treat local results as a production SLO or capacity claim.
11. Mandatory Gate 1 read-only response
Return all sections below in this order.
11.1 Business outcome and measurable acceptance
Explain the business problem, beneficiaries, architecture position, included/excluded scope, success criteria, privacy, reliability, cost and operational acceptance. Distinguish W3-09, W4-08, W4-09 and W4-10 ownership and evidence.
11.2 Governing baseline and completed-prerequisite reconciliation
Report:
current full Git HEAD and branch;
tracked/untracked status, excluding Excel workbook/lock from blocking classification;
current hashes of the Source of Truth, W3-002 baseline and governing final-approved evidence;
exact W4-001 and W4-002 completion facts;
exact status of W3-09, W4-08, W4-09 and W4-10;
installed and declared Python/OpenTelemetry/logging/test dependencies without installation or network access;
missing ADR/evidence/configuration paths and whether they block code or later documentation;
current caches, telemetry endpoints, services, containers and runtime residue, if any.
11.3 Producer-consumer impact matrix
For every proposed interface, function, class, schema, field, constant, metric, span, event, logger, environment variable, feature record, path and dependency, list:
producer/definition;
imports, callers and constructors;
validators and redaction boundary;
serializers/exporters/readers;
fixtures and duplicated constants;
unit/contract/integration/feature/security/rollback/teardown consumers;
CLI/build/deployment/documentation/evidence consumers;
required change or evidence-based reason unchanged.
Search the exact repository. Do not infer filenames.
11.4 Function, connection and trust map
Map API/query/agent entry points through authorization, RAG, retrieval, embedding, LLM, guardrail, approval and tools. Show where request, trace and span IDs are created and propagated; where metrics/logs are emitted; where redaction occurs; and where exporter failure is isolated.
Enumerate all local calls, files, tasks, threads, sockets, network/service edges, authentication/authorization decisions, timeouts, retries, cancellation and cleanup. State N/A only with evidence.
11.5 Schema, cardinality and redaction analysis
Propose exact metric/span/log names, types, units and allowed attributes. Classify cardinality. Show positive and negative examples using synthetic values. Prove missing, malformed, duplicate, unexpected, reordered, unbounded and sensitive fields fail safely.
11.6 Dependency and runtime API analysis
Inspect pyproject.toml, requirement/lock files and the approved environment. Report exact compatible APIs, optional packages, deprecated/renamed methods, lazy loading, offline behavior and package provenance. Do not install or upgrade. Do not broaden configured Ruff, MyPy or Pytest scopes by guesswork.
11.7 Concurrency, cancellation and exporter-failure analysis
Compare synchronous and batch processing; recommend exact queue, timeout, retry, flush, shutdown and drop behavior. Trace event-loop/thread boundaries and prove telemetry failure cannot change business/security outcomes or leave residue.
11.8 Exact proposed Column L boundary
Return repository-relative manifests under:
CREATE;
UPDATE;
DELETE;
VERIFIED UNCHANGED CONSUMERS;
DEFERRED;
EXCLUDED.
Each editable path must name exact symbols or sections and its purpose. No wildcard, directory-only or placeholder path is acceptable. Reconcile counts exactly. Do not include W4-09/W4-10 tests or evidence in the initial W4-003 manifest.
11.9 Complete automated-test design
List exact tests and scenarios for:
telemetry unit contracts;
metric accuracy and cardinality;
trace correlation;
structured log correlation;
redaction and sentinel absence;
authentication/authorization denial before work;
abstention and safe errors;
approval/tool telemetry without content;
exporter failure isolation;
deadline/cancellation/concurrency cleanup;
feature disable/rollback;
teardown and zero residue;
protected W3/W4 regressions;
full ordinary suite.
Distinguish deterministic in-memory tests, config-only validation and separately approved runtime integration. Do not weaken existing assertions.
11.10 Owner TEST-001 execution guide — planned only
Plan cache-safe, one-at-a-time owner commands derived from actual repository configuration. For each command provide purpose, prerequisites, expected result, access/network/privacy/cost risk, evidence and stop condition.
The planned order should normally cover:
Interpreter and declared/runtime dependency inspection.
Ruff on exact approved changed Python paths.
strict MyPy under repository configuration.
W3-09 telemetry unit/contract/security tests.
W4-08 trace-correlation and redaction tests.
changed direct and indirect consumer regressions.
W4-001/W4-002 protected regression tests.
full ordinary suite.
platform/feature validation.
telemetry-disable rollback and exporter-failure checks.
teardown, zero-residue and final path-boundary verification.
Do not issue or run these commands at Gate 1. W4-09 and W4-10 retain separate approval/execution sequences after their prerequisites.
11.11 Security, privacy, cost and lifecycle impact
Cover least privilege, identity separation, tenant isolation, data classification, PII/content exclusion, secrets, provenance, residency, retention, local CPU/memory/disk, possible network/export cost, deployment blast radius, rollback, cleanup, teardown and retained resources. Do not state USD 0 for owner time or infrastructure unless proven.
11.12 Consolidated owner decisions
Ask once for every unresolved value. At minimum reconcile:
Current baseline HEAD, tracked implementation state and governing hashes.
W3-09/W4-08 sequencing: preserve separate traceable work packages and evidence while permitting one bounded current W4-003 implementation cycle only if the exact manifest and rollback remain coherent.
Exact telemetry feature ownership and feature-matrix status/linked steps.
Exact OpenTelemetry packages and version bounds, if absent or changed.
Metric, span, structured-log and safe-error schema.
Attribute allowlist, cardinality rules and synthetic redaction sentinels.
Trace-context trust policy and server request-ID correlation.
In-memory test exporter/reader and default-off OTLP network policy.
Local collector configuration path and whether its runtime execution is deferred.
Exporter queue, timeout, retry, drop, flush and shutdown limits.
Exporter-failure behavior and safe diagnostic signal.
Honest one-trace test composition without activating the deferred live AgentEvidenceGateway/RAG adapter.
W4-09 separate closure after W4-08, retaining AGENT-001 ownership and canonical evidence path.
W4-10 separate closure, retaining API-001 ownership and the approved local profile.
ADR-008 and later Column M document/evidence scope.
Python 3.11 compatibility timing, accepted local-runtime warnings and deferred production/cloud proof.
For each decision provide the exact question, recommendation, alternative, trade-off and gate impact. Do not request Column L until all edit-blocking decisions and the complete producer-consumer manifest are resolved.
12. Gate 2 and Column L rules
After the owner resolves Gate 1 decisions, perform a separate read-only Gate 2 revalidation:
re-read current HEAD and relevant status;
re-read every proposed editable and verified-unchanged path;
verify patch contexts, dependencies, consumers and exact path counts;
revalidate protected baseline/evidence hashes;
confirm no path drift or conflicting owner fact;
keep Excel/workbook lock non-blocking and excluded.
Gate 2 still does not authorize editing.
Column L requires a separate exact owner Code Edit Approval containing:
current baseline identity;
complete CREATE/UPDATE/DELETE/VERIFIED UNCHANGED/DEFERRED/EXCLUDED manifest;
exact approved decisions;
no documentation/evidence/Excel/Git mutation;
no test, exporter, collector, network, Docker, model, cloud or deployment execution;
stop-on-drift and stop-on-unapproved-path rules.
Codex writes only the approved code, configuration and automated-test code. The owner performs all execution and supplies complete results.
13. Failure and remediation rules
For every owner-executed command, classify the result as PASS, FAIL, NOT RUN or INDETERMINATE.
On FAIL or INDETERMINATE:
Stop the ordered sequence.
Preserve the exact output.
Perform a complete read-only root-cause and producer-consumer audit.
Record every impacted path and historical result.
Request one consolidated bounded remediation approval.
Do not edit or rerun automatically.
After approved remediation, the owner reruns the failed command and all affected downstream checks. Historical failures remain in later evidence.
14. Column M and Column N boundaries
Documentation/evidence is not authorized by the Main Prompt or Column L.
After owner testing, prepare a separate exact Column M manifest based on actual results. Likely tracker-governed evidence includes:
aggregate W4-003 implementation/evidence record if that task pattern is continued;
docs/test-evidence/W3-09-telemetry.txt;
docs/test-evidence/W4-08-trace.json;
docs/adr/ADR-008-otel.md if absent and separately approved;
docs/test-evidence/README.md update;
exact architecture/operations documents only if discovered in governing records and owner-approved.
Do not create W4-09 or W4-10 evidence until those dedicated owner executions occur. Their evidence may be added through their own approved Column M scope after actual results exist.
Column N must later close every document in the exact Column M manifest with owner-supplied reviewer, role, decision, timestamp/timezone, warnings, risks, PASS/FAIL/NOT RUN/INDETERMINATE facts, deferrals, deployment, rollback, teardown, residual resources and conditions. The owner alone updates Excel and controls Git.
15. Learning and interview outcome
The owner should be able to explain:
why observability is part of the application contract, not merely a dashboard;
how traces, metrics and structured logs differ and correlate;
why low-cardinality attributes matter;
why redaction must happen before buffering/export;
why telemetry failure must not break the business or security path;
how local in-memory proof differs from CloudWatch/X-Ray/Prometheus/Grafana production operations;
how W4-08 enables honest W4-09 failure evidence;
why W4-10 local measurements are not production SLOs;
how disabling export rolls back instrumentation risk while preserving the core service.
Layman analogy: install and test a flight recorder that stores instrument readings and safe event codes, not passenger conversations. Cloud dashboards and alerting systems are connected later.
16. Initial execution instruction
When this Main Prompt is first invoked:
perform Gate 1 only;
make no repository or external mutation;
do not run tests, applications or integrations;
return all twelve mandatory Gate 1 sections;
finish with one consolidated owner-decision table;
do not provide or activate Column L.
If a prerequisite, source, evidence fact or baseline is genuinely conflicting, end with:
BLOCKED — &lt;EXACT REASON&gt; — W4-003.
Otherwise end exactly:
READY FOR PRE-EDIT REVIEW — W4-003.</t>
  </si>
  <si>
    <t>RENEWED COLUMN M CONTINUATION APPROVAL — W4-003/W4-09/W4-10
1. Approval identity
Approval ID: W4-003-W4-09-W4-10-COLUMN-M-CONTINUATION-002
The owner renews the previously approved exact Column M document-writing authorization after successful closure of the sole trace-observation blocker.
This continuation supplements and reactivates:
COLUMN_M_W4-003_W4-09_W4-10_DOCUMENT_WRITING_APPROVAL.md
approved SHA-256: 57ab52235b968341aa53890ecfcf68059785d422534bf4f2eb034dbeca571681
It does not replace, reduce or expand that prompt.
2. Closed blocker
The earlier Column M preflight correctly blocked because the owner transcript did not contain exact W4-08 span counts, span-name multiplicities or trace hierarchy.
The separately approved bounded remediation updated only:
tests/feature/test_trace_correlation.py
The owner has now supplied these final remediation facts:
Scoped Ruff: PASS.
Original combined W4-08 scope: PASS — six tests total, comprising one feature trace test and five unchanged integration telemetry-composition tests.
Observation output: exactly one valid redacted W4_08_TRACE_OBSERVATION= JSON line.
Hierarchy/count mathematical reconciliation: PASS.
Sentinel and raw-identifier exclusion: PASS.
Patch integrity: PASS, exit code 0.
Final path boundary: PASS.
Accepted warning: repeated Starlette/httpx deprecation warning.
Open FAIL results: none.
Open INDETERMINATE results: none.
Documentation/evidence: NOT WRITTEN.
Network, provider, collector and cloud activity: none.
Provider/cloud cost: USD 0.
The final worktree contains only the approved W4-003 implementation/test boundary, approved W4-09/W4-10 test boundary, approved trace-reporting test modification and owner-controlled Excel workbook/lock. Excel remains non-blocking and excluded.
3. Exact observation authority
Use the exact W4_08_TRACE_OBSERVATION= JSON line from the owner-executed remediation transcript as the authoritative source for:
exact span count per scenario trace;
exact span-name multiplicities;
root span counts and names;
parent/child edges and multiplicities;
maximum hierarchy depth;
parent resolution and same-trace integrity;
expected span-name presence;
redaction result.
Do not rerun the test, recompute the observation from code, infer values from assertions or replace observed values with planned values.
Before writing, validate read-only that:
exactly one observation line exists in the owner transcript;
its JSON parses strictly;
schema_version is w4-008.trace-observation.v1;
scope is local_deterministic_in_process;
scenario_count and total_trace_count are both 3;
scenarios are exactly query, agent_start, agent_decision, in that order;
for every scenario, the sum of span-name counts equals span count;
the sum of edge multiplicities equals span count minus root-span count;
every parent is resolved and all spans belong to one scenario trace;
no prohibited field, raw identifier, sentinel or protected content appears.
If the exact observation line is unavailable or any check fails, stop without writing:
BLOCKED — TRACE OBSERVATION SOURCE UNAVAILABLE OR INVALID — W4-08.
4. Renewed exact document boundary
The manifest remains unchanged.
CREATE — exactly 6
docs/test-evidence/W4-003.md
docs/test-evidence/W3-09-telemetry.txt
docs/test-evidence/W4-08-trace.json
docs/adr/ADR-008-otel.md
docs/test-evidence/W4-09-failures.txt
docs/test-evidence/W4-10-load.json
UPDATE — exactly 3
docs/test-evidence/W4-001.md
docs/test-evidence/W4-002.md
docs/test-evidence/README.md
DELETE — 0
None.
Reconciliation:
CREATE: 6
UPDATE: 3
documents written: 9
DELETE: 0
mandatory later Column N scope: all 9 documents
No additional document, report, source, test, configuration, Excel or Git path is authorized.
5. W4-08 evidence construction clarification
Create docs/test-evidence/W4-08-trace.json using:
the exact observation values from the owner transcript;
the exact owner command and six-test PASS result;
the chronological remediation facts;
existing owner-supplied W4-003 TEST-001 facts;
the limitations and lifecycle facts in the original Column M approval.
The evidence document may add documentation metadata, ownership, commands, classifications, warnings, risks, limitations, lifecycle facts and a pending final-approval object around the observed trace summary. It must not alter the observed scenario objects or their counts/hierarchy.
Preserve the distinction:
five unchanged integration tests plus one feature test produced the six-pass combined result;
the single feature test emitted the one exact trace-observation JSON line;
no test or span was added merely to manufacture a count;
no single cross-request trace was fabricated;
query, agent-start and agent-decision remain three separate real local traces.
Do not include raw trace IDs, span IDs, request IDs, timestamps, durations, attributes, events, query/answer/evidence/prompt content, identity data, approval/run identifiers, tool data, credentials, PII, exception text or stack traces.
6. All original Column M requirements remain active
Apply every requirement from the original approved Column M prompt, including:
complete W4-003, W3-09, W4-08, W4-09 and W4-10 implementation/test facts;
exact W4-10 owner-generated redacted load JSON;
chronological 679-to-690 full-suite progression;
all historical failures and successful bounded remediation reruns;
accepted Starlette/httpx and CRLF warnings;
seven skips and four deselections preserved as NOT RUN;
W4-001 and W4-002 append-only deferred-test closure addenda;
correct OBS-001, AGENT-001 and API-001 ownership;
no production, network, provider, collector, cloud, deployment or SLO claim;
exact rollback, teardown, cost and residual-resource facts;
Final Owner Approval fields left pending for Column N;
one-row-per-document returned manifest;
all nine documents mandatory in Column N closure.
Historical NOT RUN statements in W4-001 and W4-002 remain historically true and must not be erased. Record later W4-10 and W4-09 PASS closure as subsequent approved facts.
7. Prohibited actions
Do not:
run or rerun a test, linter, type checker, validator, load profile or trace observation;
edit code, tests, configuration, dependencies, feature ownership, Excel or Git;
execute a collector, exporter, application, network, provider, model, cloud or deployment action;
invent missing trace or load values;
create any path beyond the nine documents;
perform Column N closure in this action.
8. Mandatory completion output
After writing, return:
COLUMN M APPROVED DOCUMENT MANIFEST — W4-003/W4-09/W4-10
Include one row for each of the nine documents with every field required by the original Column M approval. Reconcile 6 CREATE, 3 UPDATE, 0 DELETE and 9 mandatory Column N documents exactly.
End exactly:
DOCUMENTATION READY FOR OWNER REVIEW — W4-003/W4-09/W4-10.</t>
  </si>
  <si>
    <t>FOUR APPROVAL GATES PLUS OWNER TESTING AND WEEKLY LEARNING — TRACKER v1.3.4
MAIN PROMPT — W4-ROLLBACK-001
Owner sequencing alias: W4-004. The authoritative tracker identity remains W4-ROLLBACK-001, covering W4-11. Do not create or reinterpret a separate tracker task called W4-004. In the tracker Test Evidence sheet, T-W4-004 is observability and T-W4-005 is immutable application release rollback.
TASK IDENTITY
Week: Week 4
Prompt ID: W4-ROLLBACK-001
Covered tracker step: W4-11
Feature/outcome: Local immutable release rollback drill
Business purpose: Prove application-release rollback separately from RAG configuration rollback and infrastructure rollback.
Required inputs: Approved immutable local release identities N and N+1, an approved safe regression, an exact activation/rollback contract, and completed prerequisite evidence for W4-01 through W4-10.
Expected outcome: The approved synthetic regression is detected in N+1; the exact immutable release N is restored; health, smoke and feature checks pass; rollback duration and residual-resource facts are recorded without changing shared data or infrastructure.
Canonical tracker evidence: docs/rollback-records/W4-release.md
Task type: Implementation plus owner-executed deterministic local rollback drill
Next approval position after Gate 1: Separate exact bounded Code Edit Approval in Column L
OWNER-CONTROLLED FIRST RESPONSE — GATE 1 READ-ONLY PRE-EDIT REVIEW ONLY
On first invocation, perform Gate 1 only.
Inspect the repository and governing records read-only. Do not create, edit, delete, install, uninstall, download, execute tests, lint, format, type-check, build, start, stop, activate a release, introduce a regression, roll back, smoke-test, deploy, remediate, tear down, contact a registry/cloud/model/vector/identity/collector service, or mutate local or external state. Do not edit Excel, stage, commit or push Git changes.
An open Excel process, the workbook's ~$ lock file and an uncommitted workbook are owner-controlled and non-blocking for Column L. Treat them as excluded. Do not request an owner decision about them and do not use them as a baseline-drift blocker. Read only the current saved authoritative tracker content available to the task.
Never invent an owner decision, release identity, digest, checksum, command result, approval, PASS result, duration, evidence path or lifecycle fact. Never silently reconcile conflicting records.
SOURCE PRECEDENCE
Apply the repository-approved source precedence exactly:
Enterprise AI Architecture Source of Truth v1.1.
Approved ADRs and owner decision records.
Coaching Blueprint and approved learning records.
Authoritative repaired tracker v1.3.4.
Approved requirements, implementation, configuration and evidence.
Later owner-approved evidence may supersede stale tracker status text, but it does not silently rewrite the tracker. Report the difference and preserve both facts with their dates and authority.
AUTHORITATIVE TRACKER CONTRACT — DO NOT CHANGE THE PLAN
W4-11 requires:
Action: Deploy local immutable version N+1, force an approved safe regression and restore N.
Business reason: Release rollback is separate from infrastructure rollback.
Acceptance: N becomes healthy and passes feature tests after rollback.
Dependency: W4-01:W4-10.
Owner-run command order: first make rollback-release, then make smoke.
Evidence outcome: rollback duration and health evidence recorded.
Canonical evidence path: docs/rollback-records/W4-release.md.
Failure action: keep the agent route disabled until the failure is fixed.
Downstream tracker consumer: W4-12 Week 4 checkpoint/sign-off.
The original plan is local and deterministic. It does not authorize image push, registry mutation, Kubernetes, EKS, Terraform, AWS, cloud deployment, infrastructure rollback, production data mutation or production-readiness claims.
CURRENT RECORDED IMPLEMENTATION AND TEST CONTEXT — MUST BE REVALIDATED
Treat the following as supplied planning context, not as permission to edit or execute and not as a substitute for reading the current repository and approved evidence.
Week 1 and Week 2 foundations
Week 1 established the governed repository, source precedence, configuration/security boundaries, provider contracts, lifecycle controls and owner-led evidence workflow.
Week 2 established deterministic embedding, ingestion and authorization-aware local retrieval contracts with rollback and cleanliness coverage.
These are protected transitive inputs to the Week 4 application release. W4-ROLLBACK-001 may fingerprint and verify them but must not redefine their business behavior, authorization rules, data contracts or evidence history.
Gate 1 must read their current approved ADRs, feature records, tests and evidence rather than assume filenames or test counts from this summary.
Week 3 foundations
W3-001 implemented authorized cited RAG.
W3-002 implemented deterministic evaluation and promoted an immutable approved baseline.
W3-003 implemented fail-closed input/output guardrails.
W3-004 implemented and owner-tested RAG configuration rollback.
These contracts and their final-approved evidence are protected consumers of the Week 4 release identity. The W4 drill verifies that an application release restores them; it does not reopen or replace them.
W4-001
W4-01 API boundary and W4-02 authentication/authorization boundary were implemented, owner-tested, documented and final-approved.
Recorded final ordinary suite at that closure: 537 passed, 7 skipped and 4 deselected.
Canonical records include docs/test-evidence/W4-001.md, docs/test-evidence/W4-01-api.txt, docs/test-evidence/W4-02-auth.txt and the evidence README.
W4-002
W4-03 through W4-07 agent graph, read tool, approval, budgets and redacted state were implemented, owner-tested, documented and final-approved.
Recorded final ordinary suite at that closure: 613 passed, 7 skipped, 4 deselected and 10 subtests.
Canonical records include docs/test-evidence/W4-002.md, ADR-005, the agent architecture records, W4-03 through W4-07 evidence and the evidence README.
W4-003, W4-09 and W4-10
W3-09 telemetry and W4-08 trace correlation were implemented and owner-tested locally with deterministic in-memory telemetry.
W4-08 was reconciled to one trace per real request scenario: query, agent-start and agent-decision. The three-trace set collectively covers the required API, authorization, guardrail, retrieval, embedding, LLM, RAG, graph, approval and tool stages. Do not fabricate one trace containing mutually separate requests.
W4-09 failure scenarios and W4-10 bounded local load/smoke testing were subsequently implemented and owner-tested under their original owners.
Recorded final ordinary suite after W4-09/W4-10: 690 passed, 7 skipped, 4 deselected and 10 subtests.
Open owner-test FAIL results: none.
Open owner-test INDETERMINATE results: none.
Required NOT RUN checks in that bounded local test cycle: none.
Accepted warning: repeated Starlette/httpx deprecation warning.
Historical Ruff, MyPy, assertion, trace-collection, cleanliness and socket-guard failures remain historical FAIL facts with successful approved remediation reruns.
No production, live-provider, external network, collector runtime, cloud, deployment or production-SLO claim was established.
At prompt-drafting time, owner TEST-001 completion was recorded, while final canonical W4-003/W4-09/W4-10 documentation closure had not yet been supplied in this conversation. Gate 1 must read the current repository and determine whether the relevant Column M/Column N records now exist and are final-approved. Do not rerun completed tests merely because documentation is pending, and do not relabel recorded PASS results as unproven.
Protected prior baseline
W3-002 has an approved immutable evaluation baseline and must remain unchanged.
W3-004 proved RAG configuration rollback. W4-ROLLBACK-001 must not duplicate or replace it.
Week 4 release rollback must cover the application release composition containing the approved API, agent, guardrails, evaluation and telemetry contracts, without redefining those contracts.
EXACT SCOPE DISTINCTIONS
This task implements and proves
A local immutable release identity for approved known-good release N.
A separate immutable candidate/regression release identity N+1.
Exact content-addressed or checksum-bound release composition and provenance.
A safe, synthetic, deterministic regression that cannot mutate production or shared business data.
A bounded local activation mechanism.
Detection that N+1 violates the approved release gate.
Atomic, concurrency-safe restoration of exact release N.
Owner-run health, smoke, feature, security and cleanup verification.
Rollback duration and redacted evidence suitable for the canonical rollback record.
This task does not implement or prove
W3 RAG configuration rollback; that is already closed under W3-004.
Git rollback, branch reset, source deletion or editing forward under incident pressure.
Database, vector-index or business-data rollback.
Infrastructure rollback, Terraform rollback or cloud-resource replacement.
Container registry promotion, image push/pull, Kubernetes or EKS rollout/rollback.
Production traffic shifting, production SLOs, disaster recovery, multi-region failover or cloud teardown.
New API, agent, RAG, guardrail, evaluation or telemetry business behavior.
A live provider, Qdrant/OpenSearch, Bedrock, identity provider, collector or external exporter.
W4-12 checkpoint/sign-off, tracker editing or Git mutation.
IMMUTABILITY AND TRUST CONTRACT
Gate 1 must inspect the actual repository and propose the smallest design that satisfies the tracker. Do not assume filenames, schemas or symbols before inspection.
The proposed design must ensure:
N and N+1 have separate deterministic identities derived from an exact canonical payload.
Release identity includes every transitive application/configuration artifact required to reproduce the approved local behavior, or explicitly explains why a consumer is excluded.
Mutable paths, timestamps, runtime duration and owner annotations are not part of semantic identity unless explicitly approved.
The active release pointer is not itself the immutable release.
Activation validates the target before changing the pointer.
The last-known-good release is never overwritten, mutated or deleted by rollback.
A failed N+1 remains blocked and cannot be relabelled as healthy.
Rollback restores exact N; it does not construct a new approximation of N.
Shared data, approved evaluation baselines and protected prior evidence remain unchanged.
All errors and reports are content-free, redacted and deterministic.
SAFE REGRESSION CONTRACT
Gate 1 must identify and obtain approval for one exact synthetic regression. It must:
Be deterministic, local, reversible and impossible to confuse with production data.
Exercise a meaningful Week 4 release gate, preferably a safe response/citation/authentication/agent/telemetry invariant already covered by tests.
Change only the approved N+1 release artifact or activation input.
Produce a known safe failure signal before rollback.
Require no secret, real PII, live model, external service, network or cloud resource.
Leave immutable N unchanged.
Be removed or rendered inactive after rollback according to the approved cleanup contract.
Do not use arbitrary source corruption, weaken assertions, expose invalid citations, bypass authorization, execute a real write tool, or introduce a regression that can escape the deterministic local drill.
ACTIVATION, CONCURRENCY AND FAILURE CONTRACT
Gate 1 must inspect current implementation patterns and propose exact controls for:
Exclusive writer locking with a bounded acquisition timeout.
Expected-current compare-and-swap before activation or rollback.
Same-directory atomic replacement of the active pointer/state.
Revalidation of release identity immediately before and after activation.
Monotonic generation or equivalent stale-writer protection.
Idempotent already-active behavior.
Fail-closed handling of missing, malformed, duplicated, reordered, unexpected, modified or unauthorized release data.
Cancellation and timeout behavior that cannot leave a half-written active state.
No automatic fallback that hides an unsuccessful activation or rollback.
Forward remediation only after a failed restored-N verification; never mutate N automatically.
Exact cleanup and zero-residue rules for temporary files, locks, reports and task-owned local resources.
MANDATORY GATE 1 OUTPUT — COMPLETE IMPACT REVIEW
Return the following sections in order.
1. Business outcome and measurable acceptance
Explain the business problem, beneficiaries, architecture position and failure risk. Define measurable functional, security, privacy, reliability, cost, rollback-duration and residue acceptance. State which measures are hard gates and which are report-only.
2. Governing baseline and prerequisite reconciliation
Read and report:
Current repository root, full HEAD, branch and complete tracked/untracked status.
Source of Truth, ADR-000 source precedence, ADR-012 reversibility, ADR-016 feature cycle, ADR-017 release gates and every directly governing decision.
Current feature matrix, validator, Makefile and platform CLI behavior.
Approved W3 evaluation baseline and W3 RAG rollback artifacts.
W4-001 and W4-002 final approvals.
Current W4-003, W4-09 and W4-10 implementation, owner-test and documentation-closure state.
Current tracker status versus later approved repository evidence.
Existing release, rollback, smoke, activation, versioning, manifest, report and cleanup mechanisms.
Caches, ignored paths, temporary files and local resources that can affect or survive the drill.
Do not use Excel process state, the ~$ lock or uncommitted workbook content as a blocker or owner decision.
If a protected code/evidence baseline has materially changed, identify the exact changed facts and stop with:
BLOCKED — BASELINE CHANGED — W4-ROLLBACK-001.
3. Existing-prompt and current-state reconciliation
Compare this prompt with the existing tracker prompt and current repository. Separate:
Unchanged original requirements.
Stale tracker statuses superseded by later approved evidence.
Newly completed prerequisites.
Still-pending documentation or owner decisions.
Historical statements retained for audit.
Any conflict that cannot be reconciled without owner authority.
4. Release identity and schema analysis
For N, N+1, the active pointer, regression identity and rollback record, propose the exact schema, canonical serialization, ordering, SHA-256 calculation, version fields, transitive producer fingerprints and immutable/mutable boundaries. Cover missing, malformed, duplicate, reordered, modified and unexpected fields.
5. End-to-end function and connection map
Trace:
approved N -&gt; construct/validate N+1 -&gt; activate N+1 -&gt; run safe regression check -&gt; detect failure -&gt; rollback request -&gt; lock/CAS -&gt; restore N -&gt; health/smoke/feature checks -&gt; evidence -&gt; cleanup
Map every entry point, function, class, file/state boundary, authenticator/authorization check, timeout, lock, cancellation point, error, retry policy and cleanup action. Identify network/service edges and prove why they remain unused.
6. Producer-consumer impact matrix
For every proposed interface, function, class, schema, field, constant, environment value, Make target, CLI command, feature record, release artifact, report and evidence path, list:
Producer or definition.
Imports, callers and constructors.
Validators and canonical serializers.
Fixtures and duplicated literals.
Unit, contract, integration, feature, security, rollback, teardown and cleanliness consumers.
CLI, Makefile, platform validation and documentation consumers.
Required change or evidence-based reason to remain unchanged.
Search exact repository paths. Never infer a filename or omit a discovered consumer.
7. Exact proposed Column L boundary
Return complete repository-relative manifests under:
CREATE
UPDATE
DELETE
VERIFIED UNCHANGED CONSUMERS
DEFERRED
EXCLUDED
Give exact path counts and the exact symbol/section purpose for every editable path. Use no wildcards, directory-only entries, placeholders or duplicate classifications. Documentation and canonical evidence remain outside Column L.
8. Dependency and runtime API analysis
Inspect pyproject.toml, requirement/lock files, current tool configuration and actual approved APIs. State whether any new dependency is necessary. Prefer standard-library and existing repository mechanisms. Record runtime compatibility, optional/lazy loading, network/download/cache behavior and provenance. Do not install, download or mutate the environment.
9. Complete automated-test design
Propose exact test paths and positive/negative cases for:
Canonical release identity and transitive fingerprinting.
Immutable N and N+1 validation.
Approved safe N+1 regression and failure detection.
Atomic activation and rollback.
Lock timeout, compare-and-swap conflict and generation recheck.
Idempotent already-active rollback.
Malformed, missing, duplicate, reordered, unexpected and changed data.
Preserved API, authentication, RAG, evaluation, guardrail, agent, telemetry, W4-09 and W4-10 contracts.
Failed rollback and restored-N verification failure.
Cancellation, timeout, partial write and report-write failure.
Rollback duration measurement.
Cleanup, teardown and zero residue.
Feature matrix and platform validation.
Full ordinary regression suite.
Do not weaken prior tests or create evidence through test fixtures.
10. Owner TEST-001 execution guide — planned only
Derive exact cache-safe commands from the inspected repository. Preserve the tracker-required order:
make rollback-release
make smoke
If prerequisites, focused tests, static checks, baseline capture, regression activation, rollback preparation, integrity verification or cleanup require separate commands, explain their exact placement without replacing or reversing the two tracker commands.
For every command provide:
Topic and exact command.
Purpose.
Preconditions and required access.
Expected output and PASS criteria.
FAIL/NOT RUN/INDETERMINATE classification.
Network, privacy, cost and mutation impact.
Stop condition.
Evidence to retain.
The owner runs one command at a time and returns complete output. On FAIL or INDETERMINATE, stop; perform read-only root-cause and complete producer-consumer analysis; request one consolidated remediation approval; never self-remediate.
11. Security, privacy, cost and lifecycle impact
Cover authorization to activate/rollback, release provenance, secret/PII/content exclusion, tenant isolation, safe error handling, local disk/CPU/memory, any network or paid-service exposure, retained reports/releases, rollback duration, cleanup, teardown and residual risks. Do not claim owner time or local infrastructure cost is USD 0. Provider/cloud cost may be reported as USD 0 only when the approved execution proves no provider/cloud activity.
12. Column M and Column N planning boundary
Do not write documentation at Gate 1 or Column L.
After owner execution, propose a separate exact Column M manifest based on actual repository state and owner results. It must include the tracker-required docs/rollback-records/W4-release.md and any aggregate/index/security/operations/learning document genuinely required by current repository conventions. Do not invent or pre-authorize paths.
Column M must record exact release identities and hashes, regression trigger, command results, rollback duration, health/smoke/feature results, PASS/FAIL/NOT RUN/INDETERMINATE facts, warnings, limitations, cost, network/provider activity, rollback, teardown and residual resources.
Column N must close every Column M document with the owner-supplied reviewer, role, exact decision, timestamp/timezone, accepted risks, limitations, deferred actions and lifecycle facts. Tracker update remains owner-only.
13. Consolidated owner decisions
Ask once for every unresolved decision. At minimum reconcile:
Exact immutable identity and composition of approved release N.
Exact immutable identity and composition of N+1.
Canonical serialization, checksum and transitive fingerprint rules.
Exact active-pointer/state path and lifecycle.
Locking, compare-and-swap, generation and atomic-replace contract.
Exact safe regression and expected failure signal.
Exact restored-N health, smoke, feature, security and telemetry gates.
Rollback-duration start/end definition and whether a target is a hard gate or report-only.
Exact local reports/state, no-overwrite behavior, retention and cleanup.
Failed rollback and restored-N verification-failure policy.
Feature ownership/status/path reconciliation for W4-11.
Local-only execution boundary and explicit cloud/registry/container exclusions.
Exact proposed Column L path manifest.
Any prerequisite evidence closure that remains pending without reopening completed implementation or tests.
For each decision provide the exact question, recommendation, alternatives, trade-off and whether it blocks editing or only later execution/documentation. Reuse owner-approved values and do not ask them again.
COLUMN L RULES — NOT ACTIVE IN THIS PROMPT
No tracker text or Main Prompt grants edit authority. Column L begins only after:
Gate 1 is complete.
Every edit-blocking owner decision is resolved.
The current HEAD, path classifications, direct/indirect consumers and patch contexts are re-read.
The owner supplies a separate exact bounded Code Edit Approval.
Column L may change only its exact approved code/configuration/automated-test paths. It must not run tests or commands, activate a release, introduce the regression, roll back, write evidence, edit Excel or mutate Git.
POST-EDIT HANDOFF AND OWNER LEARNING
After an approved Column L edit, return a business-first handoff without claiming execution results:
Business use case and measurable acceptance.
Difference between RAG configuration, application release and infrastructure rollback.
Release identity, activation and rollback components.
End-to-end control/failure flow.
Immutability, locking, compare-and-swap and idempotency.
Safe regression and negative tests.
Security, privacy, reliability, cost and residue controls.
Owner TEST-001 commands, expected results and stop conditions.
Rollback, teardown and residual-resource distinctions.
Interview-ready 30-second, two-minute and five-minute explanations.
Layman analogy: switching a railway signal back from a faulty new track to the exact previously inspected track, then proving trains can safely run again. The track is the application release; changing a signal is not rebuilding the railway infrastructure.
GATE 1 STATUS RULES
If the baseline and prerequisites can be inspected and all remaining decisions can be presented for owner review, end exactly:
READY FOR PRE-EDIT REVIEW — W4-ROLLBACK-001.
If a protected baseline or approved path changed materially, end exactly:
BLOCKED — BASELINE CHANGED — W4-ROLLBACK-001.
If a required source or current repository state is unavailable, name the exact missing input and end exactly:
BLOCKED — REQUIRED INPUT MISSING — W4-ROLLBACK-001.
When this Main Prompt is first invoked, perform Gate 1 only. Do not edit or execute anything.</t>
  </si>
  <si>
    <t>COLUMN L — FINAL BOUNDED CODE EDIT APPROVAL — W4-ROLLBACK-001
APPROVAL IDENTITY
Prompt ID: W4-ROLLBACK-001
Owner sequencing alias: W4-004 only
Authoritative tracker step: W4-11
Feature: REL-001
Feature status during implementation: In Progress
Business purpose: Prove that a deliberately defective but safe local immutable application release N+1 can be rejected and the exact approved release N restored without changing source, shared data, infrastructure or prior evidence.
Task boundary: Local immutable application-release rollback only
This is not W3 RAG-configuration rollback, Git rollback, data rollback, infrastructure rollback, Kubernetes/EKS rollback or cloud rollback.
GATE 2 BASELINE — OWNER APPROVED
Gate 2 passed and this approval is bound to:
Repository root: E:\AI\enterprise_ai_platform
HEAD: faf5552f1eb8f2aaa884a9a68a3e3f8a38bec496
Branch: main
Unexpected status paths: 0
CREATE targets absent: 20/20
UPDATE targets present: 9/9
VERIFIED UNCHANGED paths present: 139/139
DEFERRED repository paths: 4
EXCLUDED tracked paths: 239
Release payload paths: 99
Release composition SHA-256: 5340439d876036885558c32738416dd908a27f763bd87fc5e43fd1690f08dbdc
All approved protected hashes remain exact. The owner-controlled tracker workbook and any Excel lock are non-blocking and excluded. Do not inspect, modify or use them as an edit blocker.
Immediately before the first edit, re-read the current HEAD, complete status, all 20 CREATE targets, all nine UPDATE files and patch contexts, the 139 VERIFIED UNCHANGED paths, the 99-file release payload and protected hashes. If any material value differs, edit nothing and return exactly:
BLOCKED — BASELINE CHANGED — W4-ROLLBACK-001.
AUTHORIZED OWNER DECISIONS
D1–D18 are approved exactly as recorded.
Feature ownership
Create REL-001, status In Progress, positioned immediately after OBS-001, linked only to W4-11, with the 29 editable implementation paths listed in this approval in CREATE order followed by UPDATE order.
Immutable release N
N is the final-approved application at:
repository_commit_sha = faf5552f1eb8f2aaa884a9a68a3e3f8a38bec496
package_version = 0.1.0
release_version = w4-known-good-v1
composition_algorithm = sha256-canonical-artifact-set-v1
composition_sha256 = 5340439d876036885558c32738416dd908a27f763bd87fc5e43fd1690f08dbdc
artifact_count = 99
The W4 release-control implementation added under this approval is control-plane tooling and is excluded from the immutable N application payload.
Synthetic release N+1
N+1 has the same repository commit, package version, 99 artifacts, per-artifact fingerprints and composition hash as N. Its only approved behavioral difference is:
release_version = w4-synthetic-regression-v1
agent_enabled = false
regression_profile = w4-011.agent-route-disabled.v1
expected_gate = FAIL
expected_safe_error_code = agent_disabled
The deterministic candidate probe must observe HTTP 501 and safe code agent_disabled, with zero RAG, retrieval, embedding, provider, graph, approval and tool calls; no network or shared-data mutation is permitted.
Canonical identity
Release descriptors must use:
Strict UTF-8 JSON without BOM.
Object keys sorted canonically.
Artifact entries sorted by exact repository-relative POSIX path.
Compact , and : separators.
Non-ASCII characters preserved.
Non-finite numbers prohibited.
Exactly one final newline.
SHA-256 over the complete canonical bytes.
Stored bytes exactly equal to canonical bytes.
Duplicate keys rejected with the existing strict JSON contract.
Missing, extra, malformed, reordered, reformatted, absolute, traversing, case-ambiguous, symlinked or unexpected paths rejected before activation.
Every referenced artifact rehashed immediately before activation and after restoration.
Mutable runtime boundary
Only these runtime paths are approved:
reports/w4-release/active.json
reports/w4-release/regression.json
reports/w4-release/rollback.json
reports/w4-release/smoke.json
reports/w4-release/activation.lock
reports/w4-release/&lt;exact same-directory atomic temporary files&gt;
Runtime state and reports are not release identity inputs. They must be atomically created without overwrite where applicable and remain Git-ignored.
Concurrency, atomicity and safety
Implement:
Exclusive writer lock.
Maximum lock-acquisition wait of 1.0 second.
Monotonic polling every 10 milliseconds.
Expected-current compare-and-swap.
Generation recheck before publication.
Same-directory atomic replacement.
Post-write identity verification.
Idempotent already-active behavior.
No automatic stale-lock deletion.
No automatic fallback, hidden retry or edit-forward behavior.
Cancellation and failure cleanup that cannot publish partial state.
Active state must keep:
agent_route_allowed = false
until every approved make smoke recipe succeeds. Rollback failure, report failure, timeout, cancellation or restored-N verification failure must keep the latch false, preserve N+1 as failed, leave N immutable and require separate bounded remediation approval.
Rollback duration
Timing starts immediately before rollback identity validation and lock acquisition. It stops after atomic restoration and successful post-read identity revalidation of N.
Hard maximum rollback duration: 30,000 ms
Smoke and feature-verification duration is measured separately and remains report-only.
Restored-N smoke gates
The owner-run smoke flow must later verify:
Exact health response.
Route and runtime-profile integrity.
Restored release identity and generation.
W3 cited RAG.
W3 deterministic evaluation and protected baseline.
W3 guardrails.
W4 agent failure behavior.
API authentication and authorization.
Telemetry correlation and redaction.
Bounded API load smoke.
Cleanup and zero unexpected residue.
Column L implements these checks but does not execute them.
EXACT COLUMN L PATH MANIFEST
CREATE — exactly 20
configs/releases/versions/w4-known-good-v1.json
configs/releases/versions/w4-synthetic-regression-v1.json
src/enterprise_ai_platform/release_rollback/__init__.py
src/enterprise_ai_platform/release_rollback/errors.py
src/enterprise_ai_platform/release_rollback/models.py
src/enterprise_ai_platform/release_rollback/identity.py
src/enterprise_ai_platform/release_rollback/state.py
src/enterprise_ai_platform/release_rollback/probe.py
src/enterprise_ai_platform/release_rollback/service.py
tools/releasectl.py
tests/fakes/release_rollback.py
tests/unit/test_release_rollback_identity.py
tests/unit/test_release_rollback_state.py
tests/contract/test_release_rollback_contract.py
tests/integration/test_release_rollback_composition.py
tests/feature/test_w4_011_release_rollback.py
tests/smoke/test_w4_011_release_smoke.py
tests/security/test_w4_011_release_rollback_security.py
tests/rollback/test_w4_011_release_rollback.py
tests/teardown/test_w4_011_release_rollback_cleanliness.py
UPDATE — exactly 9
.gitignore
Makefile
feature-matrix.yaml
pyproject.toml
tools/platformctl/validate.py
tests/unit/test_platformctl.py
tests/feature/test_feature_matrix.py
tests/feature/test_w2_002_embedder_contract.py
tests/feature/test_w2_003_ingestion_contract.py
DELETE — exactly 0
None.
VERIFIED UNCHANGED — exactly 139
The following paths may be read and verified but must not be edited.
Package root — 4
src/enterprise_ai_platform/__init__.py
src/enterprise_ai_platform/app.py
src/enterprise_ai_platform/config.py
src/enterprise_ai_platform/json_contracts.py
Agent — 11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API — 6
src/enterprise_ai_platform/api/__init__.py
src/enterprise_ai_platform/api/dependencies.py
src/enterprise_ai_platform/api/errors.py
src/enterprise_ai_platform/api/models.py
src/enterprise_ai_platform/api/routes.py
src/enterprise_ai_platform/api/runtime.py
Embeddings — 5
src/enterprise_ai_platform/embeddings/__init__.py
src/enterprise_ai_platform/embeddings/base.py
src/enterprise_ai_platform/embeddings/errors.py
src/enterprise_ai_platform/embeddings/fake.py
src/enterprise_ai_platform/embeddings/sentence_transformer.py
Evaluation — 12
src/enterprise_ai_platform/evaluation/__init__.py
src/enterprise_ai_platform/evaluation/baseline.py
src/enterprise_ai_platform/evaluation/config.py
src/enterprise_ai_platform/evaluation/dataset.py
src/enterprise_ai_platform/evaluation/errors.py
src/enterprise_ai_platform/evaluation/evaluator.py
src/enterprise_ai_platform/evaluation/fixtures.py
src/enterprise_ai_platform/evaluation/metrics.py
src/enterprise_ai_platform/evaluation/models.py
src/enterprise_ai_platform/evaluation/promotion.py
src/enterprise_ai_platform/evaluation/report.py
src/enterprise_ai_platform/evaluation/runner.py
Guardrails — 5
src/enterprise_ai_platform/guardrails/__init__.py
src/enterprise_ai_platform/guardrails/adapter.py
src/enterprise_ai_platform/guardrails/errors.py
src/enterprise_ai_platform/guardrails/models.py
src/enterprise_ai_platform/guardrails/policy.py
Ingestion — 10
src/enterprise_ai_platform/ingestion/__init__.py
src/enterprise_ai_platform/ingestion/chunking.py
src/enterprise_ai_platform/ingestion/errors.py
src/enterprise_ai_platform/ingestion/identity.py
src/enterprise_ai_platform/ingestion/loaders.py
src/enterprise_ai_platform/ingestion/models.py
src/enterprise_ai_platform/ingestion/normalization.py
src/enterprise_ai_platform/ingestion/pii.py
src/enterprise_ai_platform/ingestion/pipeline.py
src/enterprise_ai_platform/ingestion/tokenizer.py
LLM — 7
src/enterprise_ai_platform/llm/__init__.py
src/enterprise_ai_platform/llm/bedrock.py
src/enterprise_ai_platform/llm/errors.py
src/enterprise_ai_platform/llm/factory.py
src/enterprise_ai_platform/llm/fake.py
src/enterprise_ai_platform/llm/models.py
src/enterprise_ai_platform/llm/provider.py
Existing W3 RAG rollback — 6
src/enterprise_ai_platform/rag_rollback/__init__.py
src/enterprise_ai_platform/rag_rollback/errors.py
src/enterprise_ai_platform/rag_rollback/identity.py
src/enterprise_ai_platform/rag_rollback/models.py
src/enterprise_ai_platform/rag_rollback/service.py
src/enterprise_ai_platform/rag_rollback/state.py
RAG — 6
src/enterprise_ai_platform/rag/__init__.py
src/enterprise_ai_platform/rag/config.py
src/enterprise_ai_platform/rag/errors.py
src/enterprise_ai_platform/rag/models.py
src/enterprise_ai_platform/rag/prompt.py
src/enterprise_ai_platform/rag/service.py
Retrieval — 10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src/enterprise_ai_platform/retrieval/adapters/__init__.py
src/enterprise_ai_platform/retrieval/adapters/fake.py
src/enterprise_ai_platform/retrieval/adapters/opensearch.py
src/enterprise_ai_platform/retrieval/adapters/qdrant.py
Telemetry — 3
src/enterprise_ai_platform/telemetry/__init__.py
src/enterprise_ai_platform/telemetry/models.py
src/enterprise_ai_platform/telemetry/runtime.py
Configuration, data and dependency release inputs — 14
configs/eval/baselines/w3-002-v1.json
configs/eval/golden.jsonl
configs/eval/w2-starter.jsonl
configs/eval/w3-002.yaml
configs/observability/otel-collector.local.yaml
configs/pii-policy.yaml
configs/rag.yaml
configs/rag/versions/w3-002-v1.json
configs/rag/versions/w3-004-synthetic-regression-v1.json
data/sample/approved/coaching-blueprint.md
data/sample/approved/source-of-truth-v1.1.md
data/sample/corpus-manifest.json
data/sample/restricted-fixtures/restricted-test.txt
requirements.txt
The 99 paths above are the exact immutable release-fingerprint inputs.
Additional unchanged consumers and governing records — 40
tools/platformctl/cli.py
tools/platformctl/rollback.py
tools/ragrollbackctl.py
tests/integration/test_repository_layout.py
tests/smoke/test_platformctl_help.py
tests/security/test_repository_security.py
tests/teardown/test_repository_cleanliness.py
tests/feature/test_health_contract.py
tests/feature/test_w3_001_cited_rag.py
tests/feature/test_w3_002_offline_evaluation.py
tests/feature/test_w3_003_guardrails.py
tests/feature/test_trace_correlation.py
tests/feature/test_agent_failures.py
tests/feature/test_api_load_smoke.py
tests/security/test_api_authorization.py
tests/security/test_telemetry_redaction.py
tests/security/test_agent_approval.py
tests/security/test_agent_state_redaction.py
tests/rollback/test_w4_001_api_rollback.py
tests/rollback/test_w4_002_agent_rollback.py
tests/rollback/test_w4_003_telemetry_rollback.py
docs/test-evidence/W3-004.md
docs/rollback-records/W3-rag.md
docs/test-evidence/W4-001.md
docs/test-evidence/W4-002.md
docs/test-evidence/W4-003.md
docs/test-evidence/W4-09-failures.txt
docs/test-evidence/W4-10-load.json
docs/adr/ADR-000-source-precedence.md
docs/adr/ADR-005-langgraph.md
docs/adr/ADR-006-authorization.md
docs/adr/ADR-008-otel.md
docs/adr/ADR-011-manual-mutations.md
docs/adr/ADR-012-reversibility.md
docs/adr/ADR-013-cleanup-verification.md
docs/adr/ADR-016-feature-cycle.md
docs/adr/ADR-017-release-gates.md
docs/governance/Enterprise_AI_Architecture_Source_of_Truth_v1.1.docx
docs/governance/Enterprise_AI_Architecture_Coaching_Blueprint.docx
docs/learning/W3-learning-review.md
DEFERRED — exactly 4 repository paths
docs/rollback-records/W4-release.md
docs/test-evidence/README.md
docs/deployment-records/W4-signoff.md
docs/learning/W4-learning-review.md
Classification:
docs/rollback-records/W4-release.md is the required later W4-11 Column M record.
docs/test-evidence/README.md may be updated only under the later exact Column M manifest.
docs/deployment-records/W4-signoff.md belongs to W4-12.
docs/learning/W4-learning-review.md belongs to the later Week 4 learning gate.
Also deferred: command execution, runtime reports, regression activation, rollback, smoke, evidence writing, documentation closure, final approval, tracker reconciliation, Git mutation, Python 3.11 execution, deployment, production validation, Docker, registry, Kubernetes, EKS, AWS, cloud and infrastructure lifecycle activity.
EXCLUDED
Every path not classified above is excluded. The approved tracked exclusion inventory contains 239 paths and has sorted newline-delimited SHA-256:
80b47a7c35f66ac573c926d7982965a9056d3b09e6816c55878628ab121ca264
Material exclusions include:
.env.example; no new runtime environment value is authorized.
Dockerfiles and Docker Compose files.
Terraform, infrastructure, policies, registry and cloud paths.
Generated or stale src/enterprise_ai_platform.egg-info/* metadata.
The tracker workbook, historical workbooks and office lock files.
Obsolete/absent docs/test-evidence/W4-api.txt, W4-approval.txt, W4-agent-failures.txt, W4-trace.json and tests/security/test_log_redaction.py.
Source/Git rollback, database/vector rollback, W3 RAG rollback modification, infrastructure rollback and W4-12 implementation.
REQUIRED IMPLEMENTATION
Implement only the approved paths and contracts.
Release descriptors
Create strict immutable N and N+1 descriptor files using the approved schema, exact 99-file set, current per-file hashes, approved composition hash and runtime profiles. Do not include new release-control files in the N or N+1 application payload.
Release-control package
Implement:
Finite content-free error codes.
Frozen, strict, extra-forbidden models.
Canonical serialization and raw-byte equality validation.
Artifact path and fingerprint validation.
Release identity loading and comparison.
Bounded exclusive locking.
Atomic active-state/report publishing.
Expected-current CAS and generation controls.
Candidate regression probing.
Restored-N health/smoke probing.
Fail-closed orchestration and lifecycle policy.
Exact cleanup and zero-residue support.
Do not change W1 platformctl rollback or W3 ragrollbackctl behavior.
CLI and Make targets
Create tools/releasectl.py as the only W4-11 local CLI and place it in strict repository MyPy scope.
Add exact Make targets:
rollback-release
smoke
The tracker-required owner execution order remains:
make rollback-release
make smoke
Do not execute either target during Column L.
Feature ownership and validation
Add REL-001 after OBS-001, status In Progress, linked only to W4-11, with the exact 29 implementation paths. Synchronize the central validator and every approved hard-coded feature consumer.
Automated-test code
Create tests for:
Exact 99-file composition and canonical hash.
N/N+1 equivalence except the approved regression profile.
Modified, missing, extra, reordered, duplicate, noncanonical and unsafe artifact identities.
Initialization, activation, restoration and generation changes.
Lock timeout, stale CAS, generation conflict and idempotency.
Atomic state/report failure and post-write verification.
Expected agent_disabled regression and zero downstream calls.
Complete N → N+1 → detected failure → N restore lifecycle using temporary directories and deterministic fakes.
Exact health/route/profile/restored-identity smoke behavior.
Traversal, symlink, case ambiguity and protected-content exclusion.
Failed rollback, restored-N verification failure and report failure.
No automatic fallback or mutation of N.
Cleanup, lock/temp removal and zero residue.
Exact feature order, path ownership and platform validation.
Tests must not weaken or replace existing assertions. Test fixtures must not become canonical evidence.
CODE-QUALITY REQUIREMENTS
Preserve repository Python 3.11 target compatibility.
Use existing approved dependencies only.
Add no package, download, network client, service or external cache.
Preserve strict MyPy, Ruff and Pytest repository configuration.
Preserve public API, RAG, retrieval, guardrail, evaluation, agent and telemetry business schemas.
Use standard-library filesystem, hashing, JSON, locking/timing and atomic-replace capabilities where sufficient.
Do not introduce content, secrets, PII, tenant IDs, query/evidence text, tool arguments/results or raw exceptions into errors or runtime reports.
AUTHORIZED ACTION
Codex may create and update only the 29 paths classified under CREATE and UPDATE.
Codex may read the approved baseline, verified consumers and governing files to implement accurately.
If an approved patch anchor no longer matches, stop without guessing, editing another path, appending shadow logic or reconstructing content from memory. Return:
BLOCKED — BASELINE CHANGED — W4-ROLLBACK-001.
PROHIBITED DURING COLUMN L
Do not:
Run Ruff, MyPy, Pytest, platform validation, Make or the CLI.
Initialize or activate release state.
Introduce the N+1 regression.
Execute rollback, smoke, cleanup or teardown.
Create runtime reports, locks or temporary state.
Create or update documentation or canonical evidence.
Edit W1/W2/W3/W4 protected producer behavior.
Edit Excel or any office lock file.
Stage, commit, reset, checkout, clean, push or otherwise mutate Git.
Install/uninstall dependencies or modify the virtual environment.
Start services, containers or collectors.
Use network, provider/model, Qdrant/OpenSearch, Bedrock, Docker, registry, Kubernetes, EKS, AWS or cloud resources.
Claim PASS, FAIL, NOT RUN or INDETERMINATE execution results that the owner has not supplied.
Claim production readiness, SLO compliance, deployment, operational rollback or cloud teardown.
REQUIRED POST-EDIT HANDOFF
After writing, stop before any command execution and return:
Final CREATE/UPDATE/DELETE counts and every changed path.
Any path that remained unchanged with the reason.
Release N/N+1 identity summary and exact composition hash.
Implemented function and connection flow.
Security, privacy, failure, concurrency and cleanup behavior.
Exact owner TEST-001 topics and commands, one at a time, without executing them.
Expected result and stop condition for each command.
Rollback, smoke, cleanup and zero-residue distinction.
Business, technical, layman and interview explanations.
Confirmation that documentation, evidence, Excel and Git were unchanged.
Do not write Column M documentation until the owner completes TEST-001 and supplies a separate exact Column M approval.
After successful bounded writing, end exactly:
CODE EDIT COMPLETE — READY FOR OWNER TEST — W4-ROLLBACK-001.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</si>
</sst>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3">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4" fillId="13" borderId="0" xfId="0" applyFont="1" applyFill="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1" fillId="2" borderId="0" xfId="0" applyFont="1" applyFill="1" applyAlignment="1">
      <alignment vertical="center"/>
    </xf>
    <xf numFmtId="0" fontId="2" fillId="3" borderId="0" xfId="0" applyFont="1" applyFill="1" applyAlignment="1">
      <alignment vertical="center"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9">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alignment horizontal="general"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0.92307692307692313</c:v>
                </c:pt>
                <c:pt idx="3">
                  <c:v>0.76923076923076927</c:v>
                </c:pt>
                <c:pt idx="4">
                  <c:v>0</c:v>
                </c:pt>
                <c:pt idx="5">
                  <c:v>0</c:v>
                </c:pt>
              </c:numCache>
            </c:numRef>
          </c:val>
          <c:extLst>
            <c:ext xmlns:c16="http://schemas.microsoft.com/office/drawing/2014/chart" uri="{C3380CC4-5D6E-409C-BE32-E72D297353CC}">
              <c16:uniqueId val="{00000000-C879-4CFA-B124-97E34B2B3D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4"/>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dataDxfId="4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3"/>
        <filter val="Week 4"/>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59" t="s">
        <v>0</v>
      </c>
      <c r="B1" s="59"/>
      <c r="C1" s="59"/>
      <c r="D1" s="59"/>
      <c r="E1" s="59"/>
      <c r="F1" s="59"/>
      <c r="G1" s="59"/>
      <c r="H1" s="59"/>
      <c r="I1" s="59"/>
      <c r="J1" s="59"/>
    </row>
    <row r="2" spans="1:10">
      <c r="A2" s="60" t="s">
        <v>1</v>
      </c>
      <c r="B2" s="60"/>
      <c r="C2" s="60"/>
      <c r="D2" s="60"/>
      <c r="E2" s="60"/>
      <c r="F2" s="60"/>
      <c r="G2" s="60"/>
      <c r="H2" s="60"/>
      <c r="I2" s="60"/>
      <c r="J2" s="60"/>
    </row>
    <row r="4" spans="1:10">
      <c r="A4" s="61" t="s">
        <v>2</v>
      </c>
      <c r="B4" s="62"/>
      <c r="C4" s="62"/>
      <c r="D4" s="62"/>
      <c r="E4" s="61" t="s">
        <v>3</v>
      </c>
      <c r="F4" s="62"/>
      <c r="G4" s="62"/>
      <c r="H4" s="62"/>
      <c r="I4" s="62"/>
      <c r="J4" s="63"/>
    </row>
    <row r="5" spans="1:10" ht="39.6">
      <c r="A5" s="21">
        <v>1</v>
      </c>
      <c r="B5" s="4" t="s">
        <v>4</v>
      </c>
      <c r="C5" s="4" t="s">
        <v>5</v>
      </c>
      <c r="E5" s="64" t="s">
        <v>6</v>
      </c>
      <c r="F5" s="65"/>
      <c r="G5" s="65"/>
      <c r="H5" s="65"/>
      <c r="I5" s="65"/>
      <c r="J5" s="66"/>
    </row>
    <row r="6" spans="1:10" ht="39.6">
      <c r="A6" s="21">
        <v>2</v>
      </c>
      <c r="B6" s="5" t="s">
        <v>7</v>
      </c>
      <c r="C6" s="5" t="s">
        <v>8</v>
      </c>
      <c r="E6" s="67" t="s">
        <v>9</v>
      </c>
      <c r="F6" s="68"/>
      <c r="G6" s="68"/>
      <c r="H6" s="68"/>
      <c r="I6" s="68"/>
      <c r="J6" s="69"/>
    </row>
    <row r="7" spans="1:10" ht="66">
      <c r="A7" s="21">
        <v>3</v>
      </c>
      <c r="B7" s="5" t="s">
        <v>10</v>
      </c>
      <c r="C7" s="5" t="s">
        <v>11</v>
      </c>
      <c r="E7" s="67" t="s">
        <v>12</v>
      </c>
      <c r="F7" s="68"/>
      <c r="G7" s="68"/>
      <c r="H7" s="68"/>
      <c r="I7" s="68"/>
      <c r="J7" s="69"/>
    </row>
    <row r="8" spans="1:10" ht="79.2">
      <c r="A8" s="21">
        <v>4</v>
      </c>
      <c r="B8" s="5" t="s">
        <v>13</v>
      </c>
      <c r="C8" s="5" t="s">
        <v>14</v>
      </c>
      <c r="E8" s="67" t="s">
        <v>15</v>
      </c>
      <c r="F8" s="68"/>
      <c r="G8" s="68"/>
      <c r="H8" s="68"/>
      <c r="I8" s="68"/>
      <c r="J8" s="69"/>
    </row>
    <row r="9" spans="1:10" ht="66">
      <c r="A9" s="21">
        <v>5</v>
      </c>
      <c r="B9" s="5" t="s">
        <v>16</v>
      </c>
      <c r="C9" s="5" t="s">
        <v>17</v>
      </c>
      <c r="E9" s="67" t="s">
        <v>18</v>
      </c>
      <c r="F9" s="68"/>
      <c r="G9" s="68"/>
      <c r="H9" s="68"/>
      <c r="I9" s="68"/>
      <c r="J9" s="69"/>
    </row>
    <row r="10" spans="1:10" ht="79.2">
      <c r="A10" s="21">
        <v>6</v>
      </c>
      <c r="B10" s="5" t="s">
        <v>19</v>
      </c>
      <c r="C10" s="5" t="s">
        <v>20</v>
      </c>
      <c r="E10" s="67" t="s">
        <v>21</v>
      </c>
      <c r="F10" s="68"/>
      <c r="G10" s="68"/>
      <c r="H10" s="68"/>
      <c r="I10" s="68"/>
      <c r="J10" s="69"/>
    </row>
    <row r="11" spans="1:10" ht="92.4">
      <c r="A11" s="21">
        <v>7</v>
      </c>
      <c r="B11" s="5" t="s">
        <v>22</v>
      </c>
      <c r="C11" s="5" t="s">
        <v>23</v>
      </c>
      <c r="E11" s="76" t="s">
        <v>24</v>
      </c>
      <c r="F11" s="77"/>
      <c r="G11" s="77"/>
      <c r="H11" s="77"/>
      <c r="I11" s="77"/>
      <c r="J11" s="78"/>
    </row>
    <row r="12" spans="1:10" ht="66">
      <c r="A12" s="21">
        <v>8</v>
      </c>
      <c r="B12" s="5" t="s">
        <v>25</v>
      </c>
      <c r="C12" s="5" t="s">
        <v>26</v>
      </c>
      <c r="E12" t="s">
        <v>27</v>
      </c>
    </row>
    <row r="13" spans="1:10" ht="66">
      <c r="A13" s="21">
        <v>9</v>
      </c>
      <c r="B13" s="5" t="s">
        <v>28</v>
      </c>
      <c r="C13" s="5" t="s">
        <v>29</v>
      </c>
      <c r="E13" s="61" t="s">
        <v>30</v>
      </c>
      <c r="F13" s="62"/>
      <c r="G13" s="62"/>
      <c r="H13" s="62"/>
      <c r="I13" s="62"/>
      <c r="J13" s="63"/>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70" t="s">
        <v>42</v>
      </c>
      <c r="B19" s="71"/>
      <c r="C19" s="71"/>
      <c r="D19" s="71"/>
      <c r="E19" s="71"/>
      <c r="F19" s="71"/>
      <c r="G19" s="71"/>
      <c r="H19" s="71"/>
      <c r="I19" s="71"/>
      <c r="J19" s="72"/>
    </row>
    <row r="20" spans="1:10">
      <c r="A20" s="73"/>
      <c r="B20" s="74"/>
      <c r="C20" s="74"/>
      <c r="D20" s="74"/>
      <c r="E20" s="74"/>
      <c r="F20" s="74"/>
      <c r="G20" s="74"/>
      <c r="H20" s="74"/>
      <c r="I20" s="74"/>
      <c r="J20" s="75"/>
    </row>
  </sheetData>
  <mergeCells count="12">
    <mergeCell ref="E13:J13"/>
    <mergeCell ref="A19:J20"/>
    <mergeCell ref="E7:J7"/>
    <mergeCell ref="E8:J8"/>
    <mergeCell ref="E9:J9"/>
    <mergeCell ref="E10:J10"/>
    <mergeCell ref="E11:J11"/>
    <mergeCell ref="A1:J1"/>
    <mergeCell ref="A2:J2"/>
    <mergeCell ref="A4:J4"/>
    <mergeCell ref="E5:J5"/>
    <mergeCell ref="E6:J6"/>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election activeCell="M6" sqref="M6"/>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9" t="s">
        <v>43</v>
      </c>
      <c r="B1" s="59"/>
      <c r="C1" s="59"/>
      <c r="D1" s="59"/>
      <c r="E1" s="59"/>
      <c r="F1" s="59"/>
      <c r="G1" s="59"/>
      <c r="H1" s="59"/>
      <c r="I1" s="59"/>
      <c r="J1" s="59"/>
      <c r="K1" s="59"/>
      <c r="L1" s="59"/>
      <c r="M1" s="59"/>
      <c r="N1" s="59"/>
      <c r="O1" s="59"/>
      <c r="P1" s="59"/>
    </row>
    <row r="2" spans="1:16" ht="31.95" customHeight="1">
      <c r="A2" s="60" t="s">
        <v>44</v>
      </c>
      <c r="B2" s="60"/>
      <c r="C2" s="60"/>
      <c r="D2" s="60"/>
      <c r="E2" s="60"/>
      <c r="F2" s="60"/>
      <c r="G2" s="60"/>
      <c r="H2" s="60"/>
      <c r="I2" s="60"/>
      <c r="J2" s="60"/>
      <c r="K2" s="60"/>
      <c r="L2" s="60"/>
      <c r="M2" s="60"/>
      <c r="N2" s="60"/>
      <c r="O2" s="60"/>
      <c r="P2" s="60"/>
    </row>
    <row r="4" spans="1:16">
      <c r="A4" s="79" t="s">
        <v>45</v>
      </c>
      <c r="B4" s="79"/>
      <c r="D4" s="79" t="s">
        <v>46</v>
      </c>
      <c r="E4" s="79"/>
      <c r="G4" s="79" t="s">
        <v>47</v>
      </c>
      <c r="H4" s="79"/>
      <c r="J4" s="79" t="s">
        <v>48</v>
      </c>
      <c r="K4" s="79"/>
    </row>
    <row r="5" spans="1:16">
      <c r="A5" s="80">
        <f>COUNTA('02 Master Plan'!$A$6:$A$120)</f>
        <v>80</v>
      </c>
      <c r="B5" s="81"/>
      <c r="D5" s="80">
        <f>COUNTIF('02 Master Plan'!$S$6:$S$120,"Done")</f>
        <v>48</v>
      </c>
      <c r="E5" s="81"/>
      <c r="G5" s="84">
        <f>IF(A5=0,0,D5/A5)</f>
        <v>0.6</v>
      </c>
      <c r="H5" s="85"/>
      <c r="J5" s="80">
        <f>COUNTIF('02 Master Plan'!$S$6:$S$120,"Blocked")</f>
        <v>0</v>
      </c>
      <c r="K5" s="81"/>
    </row>
    <row r="6" spans="1:16">
      <c r="A6" s="82"/>
      <c r="B6" s="83"/>
      <c r="D6" s="82"/>
      <c r="E6" s="83"/>
      <c r="G6" s="86"/>
      <c r="H6" s="87"/>
      <c r="J6" s="82"/>
      <c r="K6" s="83"/>
    </row>
    <row r="7" spans="1:16">
      <c r="A7" s="79" t="s">
        <v>49</v>
      </c>
      <c r="B7" s="79"/>
      <c r="D7" s="79" t="s">
        <v>50</v>
      </c>
      <c r="E7" s="79"/>
      <c r="G7" s="79" t="s">
        <v>51</v>
      </c>
      <c r="H7" s="79"/>
      <c r="J7" s="79" t="s">
        <v>52</v>
      </c>
      <c r="K7" s="79"/>
    </row>
    <row r="8" spans="1:16">
      <c r="A8" s="80">
        <f>COUNTIFS('13 Owner TODOs'!$F$6:$F$80,"&lt;&gt;Done",'13 Owner TODOs'!$A$6:$A$80,"&lt;&gt;")</f>
        <v>14</v>
      </c>
      <c r="B8" s="81"/>
      <c r="D8" s="80">
        <f>COUNTIF('11 Test Evidence'!$H$6:$H$80,"Pass")</f>
        <v>6</v>
      </c>
      <c r="E8" s="81"/>
      <c r="G8" s="80">
        <f>COUNTIF('12 Decision Log'!$C$6:$C$60,"Baseline Approved")+COUNTIF('12 Decision Log'!$C$6:$C$60,"Approved")</f>
        <v>18</v>
      </c>
      <c r="H8" s="81"/>
      <c r="J8" s="80">
        <f>COUNTIFS('11 Test Evidence'!$C$6:$C$80,"Teardown",'11 Test Evidence'!$H$6:$H$80,"Pass")</f>
        <v>1</v>
      </c>
      <c r="K8" s="81"/>
    </row>
    <row r="9" spans="1:16">
      <c r="A9" s="82"/>
      <c r="B9" s="83"/>
      <c r="D9" s="82"/>
      <c r="E9" s="83"/>
      <c r="G9" s="82"/>
      <c r="H9" s="83"/>
      <c r="J9" s="82"/>
      <c r="K9" s="83"/>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12</v>
      </c>
      <c r="D15" s="13">
        <f t="shared" si="0"/>
        <v>0.92307692307692313</v>
      </c>
      <c r="E15" s="11">
        <f>COUNTIFS('02 Master Plan'!$B$6:$B$120,A15,'02 Master Plan'!$S$6:$S$120,"Blocked")</f>
        <v>0</v>
      </c>
      <c r="G15" t="str">
        <f t="shared" si="1"/>
        <v>Week 3</v>
      </c>
      <c r="H15" s="14">
        <f t="shared" si="2"/>
        <v>0.92307692307692313</v>
      </c>
    </row>
    <row r="16" spans="1:16">
      <c r="A16" s="11" t="s">
        <v>58</v>
      </c>
      <c r="B16" s="11">
        <f>COUNTIF('02 Master Plan'!$B$6:$B$120,A16)</f>
        <v>13</v>
      </c>
      <c r="C16" s="11">
        <f>COUNTIFS('02 Master Plan'!$B$6:$B$120,A16,'02 Master Plan'!$S$6:$S$120,"Done")</f>
        <v>10</v>
      </c>
      <c r="D16" s="13">
        <f t="shared" si="0"/>
        <v>0.76923076923076927</v>
      </c>
      <c r="E16" s="11">
        <f>COUNTIFS('02 Master Plan'!$B$6:$B$120,A16,'02 Master Plan'!$S$6:$S$120,"Blocked")</f>
        <v>0</v>
      </c>
      <c r="G16" t="str">
        <f t="shared" si="1"/>
        <v>Week 4</v>
      </c>
      <c r="H16" s="14">
        <f t="shared" si="2"/>
        <v>0.76923076923076927</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61" t="s">
        <v>61</v>
      </c>
      <c r="B21" s="62"/>
      <c r="C21" s="62"/>
      <c r="D21" s="62"/>
      <c r="E21" s="62"/>
      <c r="F21" s="62"/>
      <c r="G21" s="62"/>
      <c r="H21" s="63"/>
    </row>
    <row r="22" spans="1:8" ht="30" customHeight="1">
      <c r="A22" s="94" t="s">
        <v>62</v>
      </c>
      <c r="B22" s="95"/>
      <c r="C22" s="95"/>
      <c r="D22" s="95"/>
      <c r="E22" s="95"/>
      <c r="F22" s="95"/>
      <c r="G22" s="95"/>
      <c r="H22" s="96"/>
    </row>
    <row r="23" spans="1:8" ht="30" customHeight="1">
      <c r="A23" s="88" t="s">
        <v>63</v>
      </c>
      <c r="B23" s="89"/>
      <c r="C23" s="89"/>
      <c r="D23" s="89"/>
      <c r="E23" s="89"/>
      <c r="F23" s="89"/>
      <c r="G23" s="89"/>
      <c r="H23" s="90"/>
    </row>
    <row r="24" spans="1:8" ht="30" customHeight="1">
      <c r="A24" s="88" t="s">
        <v>64</v>
      </c>
      <c r="B24" s="89"/>
      <c r="C24" s="89"/>
      <c r="D24" s="89"/>
      <c r="E24" s="89"/>
      <c r="F24" s="89"/>
      <c r="G24" s="89"/>
      <c r="H24" s="90"/>
    </row>
    <row r="25" spans="1:8" ht="30" customHeight="1">
      <c r="A25" s="88" t="s">
        <v>65</v>
      </c>
      <c r="B25" s="89"/>
      <c r="C25" s="89"/>
      <c r="D25" s="89"/>
      <c r="E25" s="89"/>
      <c r="F25" s="89"/>
      <c r="G25" s="89"/>
      <c r="H25" s="90"/>
    </row>
    <row r="26" spans="1:8" ht="30" customHeight="1">
      <c r="A26" s="91" t="s">
        <v>66</v>
      </c>
      <c r="B26" s="92"/>
      <c r="C26" s="92"/>
      <c r="D26" s="92"/>
      <c r="E26" s="92"/>
      <c r="F26" s="92"/>
      <c r="G26" s="92"/>
      <c r="H26" s="93"/>
    </row>
  </sheetData>
  <mergeCells count="24">
    <mergeCell ref="A24:H24"/>
    <mergeCell ref="A25:H25"/>
    <mergeCell ref="A26:H26"/>
    <mergeCell ref="J7:K7"/>
    <mergeCell ref="J8:K9"/>
    <mergeCell ref="A21:H21"/>
    <mergeCell ref="A22:H22"/>
    <mergeCell ref="A23:H23"/>
    <mergeCell ref="A7:B7"/>
    <mergeCell ref="A8:B9"/>
    <mergeCell ref="D7:E7"/>
    <mergeCell ref="D8:E9"/>
    <mergeCell ref="G7:H7"/>
    <mergeCell ref="G8:H9"/>
    <mergeCell ref="A1:P1"/>
    <mergeCell ref="A2:P2"/>
    <mergeCell ref="A4:B4"/>
    <mergeCell ref="A5:B6"/>
    <mergeCell ref="D4:E4"/>
    <mergeCell ref="D5:E6"/>
    <mergeCell ref="G4:H4"/>
    <mergeCell ref="G5:H6"/>
    <mergeCell ref="J4:K4"/>
    <mergeCell ref="J5:K6"/>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G53" workbookViewId="0">
      <selection activeCell="T55" sqref="T55"/>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59" t="s">
        <v>67</v>
      </c>
      <c r="B1" s="59"/>
      <c r="C1" s="59"/>
      <c r="D1" s="59"/>
      <c r="E1" s="59"/>
      <c r="F1" s="59"/>
      <c r="G1" s="59"/>
      <c r="H1" s="59"/>
      <c r="I1" s="59"/>
      <c r="J1" s="59"/>
      <c r="K1" s="59"/>
      <c r="L1" s="59"/>
      <c r="M1" s="59"/>
      <c r="N1" s="59"/>
      <c r="O1" s="59"/>
      <c r="P1" s="59"/>
      <c r="Q1" s="59"/>
      <c r="R1" s="59"/>
      <c r="S1" s="59"/>
      <c r="T1" s="59"/>
    </row>
    <row r="2" spans="1:21" ht="31.95" customHeight="1">
      <c r="A2" s="60" t="s">
        <v>68</v>
      </c>
      <c r="B2" s="60"/>
      <c r="C2" s="60"/>
      <c r="D2" s="60"/>
      <c r="E2" s="60"/>
      <c r="F2" s="60"/>
      <c r="G2" s="60"/>
      <c r="H2" s="60"/>
      <c r="I2" s="60"/>
      <c r="J2" s="60"/>
      <c r="K2" s="60"/>
      <c r="L2" s="60"/>
      <c r="M2" s="60"/>
      <c r="N2" s="60"/>
      <c r="O2" s="60"/>
      <c r="P2" s="60"/>
      <c r="Q2" s="60"/>
      <c r="R2" s="60"/>
      <c r="S2" s="60"/>
      <c r="T2" s="60"/>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8"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8"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8"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8"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2294</v>
      </c>
      <c r="N9" s="11" t="s">
        <v>139</v>
      </c>
      <c r="O9" s="11" t="s">
        <v>140</v>
      </c>
      <c r="P9" s="11" t="s">
        <v>115</v>
      </c>
      <c r="Q9" s="11" t="s">
        <v>119</v>
      </c>
      <c r="R9" s="11" t="s">
        <v>141</v>
      </c>
      <c r="S9" s="11" t="s">
        <v>46</v>
      </c>
      <c r="T9" s="11" t="s">
        <v>131</v>
      </c>
      <c r="U9" s="28" t="s">
        <v>142</v>
      </c>
    </row>
    <row r="10" spans="1:21" ht="193.8" hidden="1">
      <c r="A10" s="11" t="s">
        <v>143</v>
      </c>
      <c r="B10" s="11" t="s">
        <v>56</v>
      </c>
      <c r="C10" s="11">
        <v>5</v>
      </c>
      <c r="D10" s="11" t="s">
        <v>89</v>
      </c>
      <c r="E10" s="11" t="s">
        <v>144</v>
      </c>
      <c r="F10" s="11" t="s">
        <v>145</v>
      </c>
      <c r="G10" s="11" t="s">
        <v>146</v>
      </c>
      <c r="H10" s="11" t="s">
        <v>123</v>
      </c>
      <c r="I10" s="16">
        <v>1.5</v>
      </c>
      <c r="J10" s="11" t="s">
        <v>147</v>
      </c>
      <c r="K10" s="11" t="s">
        <v>148</v>
      </c>
      <c r="L10" s="11" t="s">
        <v>149</v>
      </c>
      <c r="M10" s="11" t="s">
        <v>2317</v>
      </c>
      <c r="N10" s="11" t="s">
        <v>150</v>
      </c>
      <c r="O10" s="11" t="s">
        <v>151</v>
      </c>
      <c r="P10" s="11" t="s">
        <v>152</v>
      </c>
      <c r="Q10" s="11" t="s">
        <v>119</v>
      </c>
      <c r="R10" s="11" t="s">
        <v>153</v>
      </c>
      <c r="S10" s="11" t="s">
        <v>46</v>
      </c>
      <c r="T10" s="11" t="s">
        <v>131</v>
      </c>
      <c r="U10" s="28" t="s">
        <v>154</v>
      </c>
    </row>
    <row r="11" spans="1:21" ht="96.6" hidden="1">
      <c r="A11" s="11" t="s">
        <v>155</v>
      </c>
      <c r="B11" s="11" t="s">
        <v>56</v>
      </c>
      <c r="C11" s="11">
        <v>6</v>
      </c>
      <c r="D11" s="11" t="s">
        <v>89</v>
      </c>
      <c r="E11" s="11" t="s">
        <v>156</v>
      </c>
      <c r="F11" s="11" t="s">
        <v>157</v>
      </c>
      <c r="G11" s="11" t="s">
        <v>158</v>
      </c>
      <c r="H11" s="11" t="s">
        <v>123</v>
      </c>
      <c r="I11" s="16">
        <v>1.25</v>
      </c>
      <c r="J11" s="11" t="s">
        <v>159</v>
      </c>
      <c r="K11" s="11" t="s">
        <v>101</v>
      </c>
      <c r="L11" s="11" t="s">
        <v>160</v>
      </c>
      <c r="M11" s="11" t="s">
        <v>161</v>
      </c>
      <c r="N11" s="11" t="s">
        <v>162</v>
      </c>
      <c r="O11" s="11" t="s">
        <v>163</v>
      </c>
      <c r="P11" s="11" t="s">
        <v>164</v>
      </c>
      <c r="Q11" s="11" t="s">
        <v>165</v>
      </c>
      <c r="R11" s="11" t="s">
        <v>166</v>
      </c>
      <c r="S11" s="11" t="s">
        <v>46</v>
      </c>
      <c r="T11" s="11" t="s">
        <v>131</v>
      </c>
      <c r="U11" s="28" t="s">
        <v>167</v>
      </c>
    </row>
    <row r="12" spans="1:21" ht="193.8" hidden="1">
      <c r="A12" s="11" t="s">
        <v>168</v>
      </c>
      <c r="B12" s="11" t="s">
        <v>56</v>
      </c>
      <c r="C12" s="11">
        <v>7</v>
      </c>
      <c r="D12" s="11" t="s">
        <v>89</v>
      </c>
      <c r="E12" s="11" t="s">
        <v>169</v>
      </c>
      <c r="F12" s="11" t="s">
        <v>170</v>
      </c>
      <c r="G12" s="11" t="s">
        <v>171</v>
      </c>
      <c r="H12" s="11" t="s">
        <v>123</v>
      </c>
      <c r="I12" s="16">
        <v>1</v>
      </c>
      <c r="J12" s="11" t="s">
        <v>124</v>
      </c>
      <c r="K12" s="11" t="s">
        <v>101</v>
      </c>
      <c r="L12" s="11" t="s">
        <v>172</v>
      </c>
      <c r="M12" s="11" t="s">
        <v>2318</v>
      </c>
      <c r="N12" s="11" t="s">
        <v>173</v>
      </c>
      <c r="O12" s="11" t="s">
        <v>174</v>
      </c>
      <c r="P12" s="11" t="s">
        <v>175</v>
      </c>
      <c r="Q12" s="11" t="s">
        <v>119</v>
      </c>
      <c r="R12" s="11" t="s">
        <v>176</v>
      </c>
      <c r="S12" s="11" t="s">
        <v>46</v>
      </c>
      <c r="T12" s="11" t="s">
        <v>131</v>
      </c>
      <c r="U12" s="28" t="s">
        <v>177</v>
      </c>
    </row>
    <row r="13" spans="1:21" ht="110.4" hidden="1">
      <c r="A13" s="11" t="s">
        <v>178</v>
      </c>
      <c r="B13" s="11" t="s">
        <v>56</v>
      </c>
      <c r="C13" s="11">
        <v>8</v>
      </c>
      <c r="D13" s="11" t="s">
        <v>89</v>
      </c>
      <c r="E13" s="11" t="s">
        <v>179</v>
      </c>
      <c r="F13" s="11" t="s">
        <v>180</v>
      </c>
      <c r="G13" s="11" t="s">
        <v>181</v>
      </c>
      <c r="H13" s="11" t="s">
        <v>123</v>
      </c>
      <c r="I13" s="16">
        <v>1</v>
      </c>
      <c r="J13" s="11" t="s">
        <v>159</v>
      </c>
      <c r="K13" s="11" t="s">
        <v>182</v>
      </c>
      <c r="L13" s="11" t="s">
        <v>183</v>
      </c>
      <c r="M13" s="11" t="s">
        <v>184</v>
      </c>
      <c r="N13" s="11" t="s">
        <v>185</v>
      </c>
      <c r="O13" s="11" t="s">
        <v>186</v>
      </c>
      <c r="P13" s="11" t="s">
        <v>164</v>
      </c>
      <c r="Q13" s="11" t="s">
        <v>143</v>
      </c>
      <c r="R13" s="11" t="s">
        <v>187</v>
      </c>
      <c r="S13" s="11" t="s">
        <v>46</v>
      </c>
      <c r="T13" s="11" t="s">
        <v>131</v>
      </c>
      <c r="U13" s="28" t="s">
        <v>188</v>
      </c>
    </row>
    <row r="14" spans="1:21" ht="193.8" hidden="1">
      <c r="A14" s="11" t="s">
        <v>189</v>
      </c>
      <c r="B14" s="11" t="s">
        <v>56</v>
      </c>
      <c r="C14" s="11">
        <v>9</v>
      </c>
      <c r="D14" s="11" t="s">
        <v>89</v>
      </c>
      <c r="E14" s="11" t="s">
        <v>190</v>
      </c>
      <c r="F14" s="11" t="s">
        <v>191</v>
      </c>
      <c r="G14" s="11" t="s">
        <v>192</v>
      </c>
      <c r="H14" s="11" t="s">
        <v>123</v>
      </c>
      <c r="I14" s="16">
        <v>1.25</v>
      </c>
      <c r="J14" s="11" t="s">
        <v>193</v>
      </c>
      <c r="K14" s="11" t="s">
        <v>194</v>
      </c>
      <c r="L14" s="11" t="s">
        <v>195</v>
      </c>
      <c r="M14" s="11" t="s">
        <v>2319</v>
      </c>
      <c r="N14" s="11" t="s">
        <v>196</v>
      </c>
      <c r="O14" s="11" t="s">
        <v>197</v>
      </c>
      <c r="P14" s="11" t="s">
        <v>198</v>
      </c>
      <c r="Q14" s="11" t="s">
        <v>119</v>
      </c>
      <c r="R14" s="11" t="s">
        <v>199</v>
      </c>
      <c r="S14" s="11" t="s">
        <v>46</v>
      </c>
      <c r="T14" s="11" t="s">
        <v>200</v>
      </c>
      <c r="U14" s="28" t="s">
        <v>201</v>
      </c>
    </row>
    <row r="15" spans="1:21" ht="193.8" hidden="1">
      <c r="A15" s="11" t="s">
        <v>202</v>
      </c>
      <c r="B15" s="11" t="s">
        <v>56</v>
      </c>
      <c r="C15" s="11">
        <v>10</v>
      </c>
      <c r="D15" s="11" t="s">
        <v>89</v>
      </c>
      <c r="E15" s="11" t="s">
        <v>203</v>
      </c>
      <c r="F15" s="11" t="s">
        <v>204</v>
      </c>
      <c r="G15" s="11" t="s">
        <v>205</v>
      </c>
      <c r="H15" s="11" t="s">
        <v>123</v>
      </c>
      <c r="I15" s="16">
        <v>1.5</v>
      </c>
      <c r="J15" s="11" t="s">
        <v>193</v>
      </c>
      <c r="K15" s="11" t="s">
        <v>206</v>
      </c>
      <c r="L15" s="11" t="s">
        <v>207</v>
      </c>
      <c r="M15" s="11" t="s">
        <v>2320</v>
      </c>
      <c r="N15" s="11" t="s">
        <v>208</v>
      </c>
      <c r="O15" s="11" t="s">
        <v>209</v>
      </c>
      <c r="P15" s="11" t="s">
        <v>210</v>
      </c>
      <c r="Q15" s="11" t="s">
        <v>189</v>
      </c>
      <c r="R15" s="11" t="s">
        <v>211</v>
      </c>
      <c r="S15" s="11" t="s">
        <v>46</v>
      </c>
      <c r="T15" s="11" t="s">
        <v>200</v>
      </c>
      <c r="U15" s="28" t="s">
        <v>212</v>
      </c>
    </row>
    <row r="16" spans="1:21" ht="125.4" hidden="1">
      <c r="A16" s="11" t="s">
        <v>213</v>
      </c>
      <c r="B16" s="11" t="s">
        <v>56</v>
      </c>
      <c r="C16" s="11">
        <v>11</v>
      </c>
      <c r="D16" s="11" t="s">
        <v>89</v>
      </c>
      <c r="E16" s="11" t="s">
        <v>214</v>
      </c>
      <c r="F16" s="11" t="s">
        <v>215</v>
      </c>
      <c r="G16" s="11" t="s">
        <v>216</v>
      </c>
      <c r="H16" s="11" t="s">
        <v>123</v>
      </c>
      <c r="I16" s="16">
        <v>1</v>
      </c>
      <c r="J16" s="11" t="s">
        <v>193</v>
      </c>
      <c r="K16" s="11" t="s">
        <v>217</v>
      </c>
      <c r="L16" s="11" t="s">
        <v>218</v>
      </c>
      <c r="M16" s="11" t="s">
        <v>219</v>
      </c>
      <c r="N16" s="11" t="s">
        <v>220</v>
      </c>
      <c r="O16" s="11" t="s">
        <v>221</v>
      </c>
      <c r="P16" s="11" t="s">
        <v>222</v>
      </c>
      <c r="Q16" s="11" t="s">
        <v>202</v>
      </c>
      <c r="R16" s="11" t="s">
        <v>223</v>
      </c>
      <c r="S16" s="11" t="s">
        <v>46</v>
      </c>
      <c r="T16" s="11" t="s">
        <v>200</v>
      </c>
      <c r="U16" s="28" t="s">
        <v>224</v>
      </c>
    </row>
    <row r="17" spans="1:21" ht="193.8" hidden="1">
      <c r="A17" s="11" t="s">
        <v>225</v>
      </c>
      <c r="B17" s="11" t="s">
        <v>56</v>
      </c>
      <c r="C17" s="11">
        <v>12</v>
      </c>
      <c r="D17" s="11" t="s">
        <v>89</v>
      </c>
      <c r="E17" s="11" t="s">
        <v>226</v>
      </c>
      <c r="F17" s="11" t="s">
        <v>227</v>
      </c>
      <c r="G17" s="11" t="s">
        <v>228</v>
      </c>
      <c r="H17" s="11" t="s">
        <v>93</v>
      </c>
      <c r="I17" s="16">
        <v>1</v>
      </c>
      <c r="J17" s="11" t="s">
        <v>2321</v>
      </c>
      <c r="K17" s="11" t="s">
        <v>229</v>
      </c>
      <c r="L17" s="11" t="s">
        <v>230</v>
      </c>
      <c r="M17" s="11" t="s">
        <v>2322</v>
      </c>
      <c r="N17" s="11" t="s">
        <v>231</v>
      </c>
      <c r="O17" s="11" t="s">
        <v>232</v>
      </c>
      <c r="P17" s="11" t="s">
        <v>115</v>
      </c>
      <c r="Q17" s="11" t="s">
        <v>233</v>
      </c>
      <c r="R17" s="11" t="s">
        <v>234</v>
      </c>
      <c r="S17" s="11" t="s">
        <v>46</v>
      </c>
      <c r="T17" s="11" t="s">
        <v>235</v>
      </c>
      <c r="U17" s="28" t="s">
        <v>236</v>
      </c>
    </row>
    <row r="18" spans="1:21" ht="69" hidden="1">
      <c r="A18" s="11" t="s">
        <v>237</v>
      </c>
      <c r="B18" s="11" t="s">
        <v>56</v>
      </c>
      <c r="C18" s="11">
        <v>13</v>
      </c>
      <c r="D18" s="11" t="s">
        <v>89</v>
      </c>
      <c r="E18" s="11" t="s">
        <v>238</v>
      </c>
      <c r="F18" s="11" t="s">
        <v>239</v>
      </c>
      <c r="G18" s="11" t="s">
        <v>240</v>
      </c>
      <c r="H18" s="11" t="s">
        <v>109</v>
      </c>
      <c r="I18" s="16">
        <v>1</v>
      </c>
      <c r="J18" s="11" t="s">
        <v>241</v>
      </c>
      <c r="K18" s="11" t="s">
        <v>101</v>
      </c>
      <c r="L18" s="11" t="s">
        <v>242</v>
      </c>
      <c r="M18" s="11" t="s">
        <v>2311</v>
      </c>
      <c r="N18" s="11" t="s">
        <v>243</v>
      </c>
      <c r="O18" s="11" t="s">
        <v>244</v>
      </c>
      <c r="P18" s="11" t="s">
        <v>245</v>
      </c>
      <c r="Q18" s="11" t="s">
        <v>225</v>
      </c>
      <c r="R18" s="11" t="s">
        <v>246</v>
      </c>
      <c r="S18" s="11" t="s">
        <v>46</v>
      </c>
      <c r="T18" s="11" t="s">
        <v>247</v>
      </c>
      <c r="U18" s="28" t="s">
        <v>248</v>
      </c>
    </row>
    <row r="19" spans="1:21" ht="110.4" hidden="1">
      <c r="A19" s="11" t="s">
        <v>249</v>
      </c>
      <c r="B19" s="11" t="s">
        <v>37</v>
      </c>
      <c r="C19" s="11">
        <v>1</v>
      </c>
      <c r="D19" s="11" t="s">
        <v>89</v>
      </c>
      <c r="E19" s="11" t="s">
        <v>250</v>
      </c>
      <c r="F19" s="11" t="s">
        <v>251</v>
      </c>
      <c r="G19" s="11" t="s">
        <v>252</v>
      </c>
      <c r="H19" s="11" t="s">
        <v>123</v>
      </c>
      <c r="I19" s="16">
        <v>1</v>
      </c>
      <c r="J19" s="11" t="s">
        <v>253</v>
      </c>
      <c r="K19" s="11" t="s">
        <v>254</v>
      </c>
      <c r="L19" s="11" t="s">
        <v>255</v>
      </c>
      <c r="M19" s="11" t="s">
        <v>256</v>
      </c>
      <c r="N19" s="11" t="s">
        <v>257</v>
      </c>
      <c r="O19" s="11" t="s">
        <v>258</v>
      </c>
      <c r="P19" s="11" t="s">
        <v>152</v>
      </c>
      <c r="Q19" s="11" t="s">
        <v>237</v>
      </c>
      <c r="R19" s="11" t="s">
        <v>259</v>
      </c>
      <c r="S19" s="11" t="s">
        <v>46</v>
      </c>
      <c r="T19" s="11"/>
      <c r="U19" s="28" t="s">
        <v>260</v>
      </c>
    </row>
    <row r="20" spans="1:21" ht="110.4" hidden="1">
      <c r="A20" s="11" t="s">
        <v>261</v>
      </c>
      <c r="B20" s="11" t="s">
        <v>37</v>
      </c>
      <c r="C20" s="11">
        <v>2</v>
      </c>
      <c r="D20" s="11" t="s">
        <v>89</v>
      </c>
      <c r="E20" s="11" t="s">
        <v>262</v>
      </c>
      <c r="F20" s="11" t="s">
        <v>263</v>
      </c>
      <c r="G20" s="11" t="s">
        <v>264</v>
      </c>
      <c r="H20" s="11" t="s">
        <v>123</v>
      </c>
      <c r="I20" s="16">
        <v>1.25</v>
      </c>
      <c r="J20" s="11" t="s">
        <v>253</v>
      </c>
      <c r="K20" s="11" t="s">
        <v>101</v>
      </c>
      <c r="L20" s="11" t="s">
        <v>265</v>
      </c>
      <c r="M20" s="11" t="s">
        <v>266</v>
      </c>
      <c r="N20" s="11" t="s">
        <v>267</v>
      </c>
      <c r="O20" s="11" t="s">
        <v>268</v>
      </c>
      <c r="P20" s="11" t="s">
        <v>269</v>
      </c>
      <c r="Q20" s="11" t="s">
        <v>249</v>
      </c>
      <c r="R20" s="11" t="s">
        <v>270</v>
      </c>
      <c r="S20" s="11" t="s">
        <v>46</v>
      </c>
      <c r="T20" s="11"/>
      <c r="U20" s="28" t="s">
        <v>271</v>
      </c>
    </row>
    <row r="21" spans="1:21" ht="330.6" hidden="1">
      <c r="A21" s="11" t="s">
        <v>272</v>
      </c>
      <c r="B21" s="11" t="s">
        <v>37</v>
      </c>
      <c r="C21" s="11">
        <v>3</v>
      </c>
      <c r="D21" s="11" t="s">
        <v>89</v>
      </c>
      <c r="E21" s="11" t="s">
        <v>273</v>
      </c>
      <c r="F21" s="11" t="s">
        <v>274</v>
      </c>
      <c r="G21" s="11" t="s">
        <v>275</v>
      </c>
      <c r="H21" s="11" t="s">
        <v>123</v>
      </c>
      <c r="I21" s="16">
        <v>1</v>
      </c>
      <c r="J21" s="11" t="s">
        <v>253</v>
      </c>
      <c r="K21" s="11" t="s">
        <v>101</v>
      </c>
      <c r="L21" s="11" t="s">
        <v>276</v>
      </c>
      <c r="M21" s="11" t="s">
        <v>2323</v>
      </c>
      <c r="N21" s="11" t="s">
        <v>277</v>
      </c>
      <c r="O21" s="11" t="s">
        <v>278</v>
      </c>
      <c r="P21" s="11" t="s">
        <v>279</v>
      </c>
      <c r="Q21" s="11" t="s">
        <v>225</v>
      </c>
      <c r="R21" s="11" t="s">
        <v>2324</v>
      </c>
      <c r="S21" s="11" t="s">
        <v>46</v>
      </c>
      <c r="T21" s="11"/>
      <c r="U21" s="28" t="s">
        <v>280</v>
      </c>
    </row>
    <row r="22" spans="1:21" ht="330.6" hidden="1">
      <c r="A22" s="11" t="s">
        <v>281</v>
      </c>
      <c r="B22" s="11" t="s">
        <v>37</v>
      </c>
      <c r="C22" s="11">
        <v>4</v>
      </c>
      <c r="D22" s="11" t="s">
        <v>89</v>
      </c>
      <c r="E22" s="11" t="s">
        <v>282</v>
      </c>
      <c r="F22" s="11" t="s">
        <v>283</v>
      </c>
      <c r="G22" s="11" t="s">
        <v>284</v>
      </c>
      <c r="H22" s="11" t="s">
        <v>123</v>
      </c>
      <c r="I22" s="16">
        <v>1.5</v>
      </c>
      <c r="J22" s="11" t="s">
        <v>253</v>
      </c>
      <c r="K22" s="11" t="s">
        <v>285</v>
      </c>
      <c r="L22" s="11" t="s">
        <v>286</v>
      </c>
      <c r="M22" s="11" t="s">
        <v>2323</v>
      </c>
      <c r="N22" s="11" t="s">
        <v>287</v>
      </c>
      <c r="O22" s="11" t="s">
        <v>288</v>
      </c>
      <c r="P22" s="11" t="s">
        <v>279</v>
      </c>
      <c r="Q22" s="11" t="s">
        <v>289</v>
      </c>
      <c r="R22" s="11" t="s">
        <v>290</v>
      </c>
      <c r="S22" s="11" t="s">
        <v>46</v>
      </c>
      <c r="T22" s="11"/>
      <c r="U22" s="28" t="s">
        <v>291</v>
      </c>
    </row>
    <row r="23" spans="1:21" ht="110.4" hidden="1">
      <c r="A23" s="11" t="s">
        <v>292</v>
      </c>
      <c r="B23" s="11" t="s">
        <v>37</v>
      </c>
      <c r="C23" s="11">
        <v>5</v>
      </c>
      <c r="D23" s="11" t="s">
        <v>89</v>
      </c>
      <c r="E23" s="11" t="s">
        <v>293</v>
      </c>
      <c r="F23" s="11" t="s">
        <v>294</v>
      </c>
      <c r="G23" s="11" t="s">
        <v>295</v>
      </c>
      <c r="H23" s="11" t="s">
        <v>123</v>
      </c>
      <c r="I23" s="16">
        <v>1.25</v>
      </c>
      <c r="J23" s="11" t="s">
        <v>296</v>
      </c>
      <c r="K23" s="11" t="s">
        <v>297</v>
      </c>
      <c r="L23" s="11" t="s">
        <v>298</v>
      </c>
      <c r="M23" s="11" t="s">
        <v>299</v>
      </c>
      <c r="N23" s="11" t="s">
        <v>300</v>
      </c>
      <c r="O23" s="11" t="s">
        <v>301</v>
      </c>
      <c r="P23" s="11" t="s">
        <v>152</v>
      </c>
      <c r="Q23" s="11" t="s">
        <v>249</v>
      </c>
      <c r="R23" s="11" t="s">
        <v>302</v>
      </c>
      <c r="S23" s="11" t="s">
        <v>46</v>
      </c>
      <c r="T23" s="11"/>
      <c r="U23" s="28" t="s">
        <v>304</v>
      </c>
    </row>
    <row r="24" spans="1:21" ht="110.4" hidden="1">
      <c r="A24" s="11" t="s">
        <v>305</v>
      </c>
      <c r="B24" s="11" t="s">
        <v>37</v>
      </c>
      <c r="C24" s="11">
        <v>6</v>
      </c>
      <c r="D24" s="11" t="s">
        <v>89</v>
      </c>
      <c r="E24" s="11" t="s">
        <v>306</v>
      </c>
      <c r="F24" s="11" t="s">
        <v>307</v>
      </c>
      <c r="G24" s="11" t="s">
        <v>308</v>
      </c>
      <c r="H24" s="11" t="s">
        <v>123</v>
      </c>
      <c r="I24" s="16">
        <v>1.5</v>
      </c>
      <c r="J24" s="11" t="s">
        <v>309</v>
      </c>
      <c r="K24" s="11" t="s">
        <v>310</v>
      </c>
      <c r="L24" s="11" t="s">
        <v>311</v>
      </c>
      <c r="M24" s="11" t="s">
        <v>312</v>
      </c>
      <c r="N24" s="11" t="s">
        <v>313</v>
      </c>
      <c r="O24" s="11" t="s">
        <v>314</v>
      </c>
      <c r="P24" s="11" t="s">
        <v>164</v>
      </c>
      <c r="Q24" s="11" t="s">
        <v>315</v>
      </c>
      <c r="R24" s="11" t="s">
        <v>316</v>
      </c>
      <c r="S24" s="11" t="s">
        <v>46</v>
      </c>
      <c r="T24" s="11"/>
      <c r="U24" s="28" t="s">
        <v>317</v>
      </c>
    </row>
    <row r="25" spans="1:21" ht="96.6" hidden="1">
      <c r="A25" s="11" t="s">
        <v>318</v>
      </c>
      <c r="B25" s="11" t="s">
        <v>37</v>
      </c>
      <c r="C25" s="11">
        <v>7</v>
      </c>
      <c r="D25" s="11" t="s">
        <v>89</v>
      </c>
      <c r="E25" s="11" t="s">
        <v>319</v>
      </c>
      <c r="F25" s="11" t="s">
        <v>320</v>
      </c>
      <c r="G25" s="11" t="s">
        <v>321</v>
      </c>
      <c r="H25" s="11" t="s">
        <v>123</v>
      </c>
      <c r="I25" s="16">
        <v>1</v>
      </c>
      <c r="J25" s="11" t="s">
        <v>309</v>
      </c>
      <c r="K25" s="11" t="s">
        <v>322</v>
      </c>
      <c r="L25" s="11" t="s">
        <v>323</v>
      </c>
      <c r="M25" s="11" t="s">
        <v>324</v>
      </c>
      <c r="N25" s="11" t="s">
        <v>325</v>
      </c>
      <c r="O25" s="11" t="s">
        <v>326</v>
      </c>
      <c r="P25" s="11" t="s">
        <v>327</v>
      </c>
      <c r="Q25" s="11" t="s">
        <v>305</v>
      </c>
      <c r="R25" s="11" t="s">
        <v>328</v>
      </c>
      <c r="S25" s="11" t="s">
        <v>46</v>
      </c>
      <c r="T25" s="11"/>
      <c r="U25" s="28" t="s">
        <v>329</v>
      </c>
    </row>
    <row r="26" spans="1:21" ht="110.4" hidden="1">
      <c r="A26" s="11" t="s">
        <v>330</v>
      </c>
      <c r="B26" s="11" t="s">
        <v>37</v>
      </c>
      <c r="C26" s="11">
        <v>8</v>
      </c>
      <c r="D26" s="11" t="s">
        <v>89</v>
      </c>
      <c r="E26" s="11" t="s">
        <v>331</v>
      </c>
      <c r="F26" s="11" t="s">
        <v>332</v>
      </c>
      <c r="G26" s="11" t="s">
        <v>333</v>
      </c>
      <c r="H26" s="11" t="s">
        <v>123</v>
      </c>
      <c r="I26" s="16">
        <v>1</v>
      </c>
      <c r="J26" s="11" t="s">
        <v>253</v>
      </c>
      <c r="K26" s="11" t="s">
        <v>334</v>
      </c>
      <c r="L26" s="11" t="s">
        <v>335</v>
      </c>
      <c r="M26" s="11" t="s">
        <v>336</v>
      </c>
      <c r="N26" s="11" t="s">
        <v>337</v>
      </c>
      <c r="O26" s="11" t="s">
        <v>338</v>
      </c>
      <c r="P26" s="11" t="s">
        <v>327</v>
      </c>
      <c r="Q26" s="11" t="s">
        <v>281</v>
      </c>
      <c r="R26" s="11" t="s">
        <v>339</v>
      </c>
      <c r="S26" s="11" t="s">
        <v>46</v>
      </c>
      <c r="T26" s="11"/>
      <c r="U26" s="28" t="s">
        <v>340</v>
      </c>
    </row>
    <row r="27" spans="1:21" ht="205.2" hidden="1">
      <c r="A27" s="11" t="s">
        <v>341</v>
      </c>
      <c r="B27" s="11" t="s">
        <v>37</v>
      </c>
      <c r="C27" s="11">
        <v>9</v>
      </c>
      <c r="D27" s="11" t="s">
        <v>89</v>
      </c>
      <c r="E27" s="11" t="s">
        <v>342</v>
      </c>
      <c r="F27" s="11" t="s">
        <v>343</v>
      </c>
      <c r="G27" s="11" t="s">
        <v>344</v>
      </c>
      <c r="H27" s="11" t="s">
        <v>109</v>
      </c>
      <c r="I27" s="16">
        <v>1</v>
      </c>
      <c r="J27" s="11" t="s">
        <v>345</v>
      </c>
      <c r="K27" s="11" t="s">
        <v>346</v>
      </c>
      <c r="L27" s="11" t="s">
        <v>347</v>
      </c>
      <c r="M27" s="11" t="s">
        <v>2325</v>
      </c>
      <c r="N27" s="11" t="s">
        <v>348</v>
      </c>
      <c r="O27" s="11" t="s">
        <v>349</v>
      </c>
      <c r="P27" s="11" t="s">
        <v>350</v>
      </c>
      <c r="Q27" s="11" t="s">
        <v>351</v>
      </c>
      <c r="R27" s="11" t="s">
        <v>352</v>
      </c>
      <c r="S27" s="11" t="s">
        <v>46</v>
      </c>
      <c r="T27" s="11"/>
      <c r="U27" s="28" t="s">
        <v>353</v>
      </c>
    </row>
    <row r="28" spans="1:21" ht="205.2" hidden="1">
      <c r="A28" s="11" t="s">
        <v>354</v>
      </c>
      <c r="B28" s="11" t="s">
        <v>37</v>
      </c>
      <c r="C28" s="11">
        <v>10</v>
      </c>
      <c r="D28" s="11" t="s">
        <v>89</v>
      </c>
      <c r="E28" s="11" t="s">
        <v>203</v>
      </c>
      <c r="F28" s="11" t="s">
        <v>355</v>
      </c>
      <c r="G28" s="11" t="s">
        <v>356</v>
      </c>
      <c r="H28" s="11" t="s">
        <v>109</v>
      </c>
      <c r="I28" s="16">
        <v>1</v>
      </c>
      <c r="J28" s="11" t="s">
        <v>345</v>
      </c>
      <c r="K28" s="11" t="s">
        <v>357</v>
      </c>
      <c r="L28" s="11" t="s">
        <v>358</v>
      </c>
      <c r="M28" s="11" t="s">
        <v>2326</v>
      </c>
      <c r="N28" s="11" t="s">
        <v>359</v>
      </c>
      <c r="O28" s="11" t="s">
        <v>360</v>
      </c>
      <c r="P28" s="11" t="s">
        <v>361</v>
      </c>
      <c r="Q28" s="11" t="s">
        <v>341</v>
      </c>
      <c r="R28" s="11" t="s">
        <v>362</v>
      </c>
      <c r="S28" s="11" t="s">
        <v>46</v>
      </c>
      <c r="T28" s="11"/>
      <c r="U28" s="28" t="s">
        <v>363</v>
      </c>
    </row>
    <row r="29" spans="1:21" ht="110.4" hidden="1">
      <c r="A29" s="11" t="s">
        <v>364</v>
      </c>
      <c r="B29" s="11" t="s">
        <v>37</v>
      </c>
      <c r="C29" s="11">
        <v>11</v>
      </c>
      <c r="D29" s="11" t="s">
        <v>365</v>
      </c>
      <c r="E29" s="11" t="s">
        <v>366</v>
      </c>
      <c r="F29" s="11" t="s">
        <v>367</v>
      </c>
      <c r="G29" s="11" t="s">
        <v>368</v>
      </c>
      <c r="H29" s="11" t="s">
        <v>93</v>
      </c>
      <c r="I29" s="16">
        <v>0.75</v>
      </c>
      <c r="J29" s="11" t="s">
        <v>369</v>
      </c>
      <c r="K29" s="11" t="s">
        <v>101</v>
      </c>
      <c r="L29" s="11" t="s">
        <v>370</v>
      </c>
      <c r="M29" s="11" t="s">
        <v>2327</v>
      </c>
      <c r="N29" s="11" t="s">
        <v>371</v>
      </c>
      <c r="O29" s="11" t="s">
        <v>372</v>
      </c>
      <c r="P29" s="11" t="s">
        <v>373</v>
      </c>
      <c r="Q29" s="11" t="s">
        <v>341</v>
      </c>
      <c r="R29" s="11" t="s">
        <v>374</v>
      </c>
      <c r="S29" s="11" t="s">
        <v>46</v>
      </c>
      <c r="T29" s="11"/>
      <c r="U29" s="28" t="s">
        <v>375</v>
      </c>
    </row>
    <row r="30" spans="1:21" ht="193.8" hidden="1">
      <c r="A30" s="11" t="s">
        <v>376</v>
      </c>
      <c r="B30" s="11" t="s">
        <v>37</v>
      </c>
      <c r="C30" s="11">
        <v>12</v>
      </c>
      <c r="D30" s="11" t="s">
        <v>89</v>
      </c>
      <c r="E30" s="11" t="s">
        <v>226</v>
      </c>
      <c r="F30" s="11" t="s">
        <v>377</v>
      </c>
      <c r="G30" s="11" t="s">
        <v>378</v>
      </c>
      <c r="H30" s="11" t="s">
        <v>93</v>
      </c>
      <c r="I30" s="16">
        <v>0.75</v>
      </c>
      <c r="J30" s="11" t="s">
        <v>2328</v>
      </c>
      <c r="K30" s="11" t="s">
        <v>379</v>
      </c>
      <c r="L30" s="11" t="s">
        <v>380</v>
      </c>
      <c r="M30" s="11" t="s">
        <v>2329</v>
      </c>
      <c r="N30" s="11" t="s">
        <v>381</v>
      </c>
      <c r="O30" s="11" t="s">
        <v>382</v>
      </c>
      <c r="P30" s="11" t="s">
        <v>115</v>
      </c>
      <c r="Q30" s="11" t="s">
        <v>383</v>
      </c>
      <c r="R30" s="11" t="s">
        <v>384</v>
      </c>
      <c r="S30" s="11" t="s">
        <v>46</v>
      </c>
      <c r="T30" s="11"/>
      <c r="U30" s="28" t="s">
        <v>385</v>
      </c>
    </row>
    <row r="31" spans="1:21" ht="69" hidden="1">
      <c r="A31" s="11" t="s">
        <v>386</v>
      </c>
      <c r="B31" s="11" t="s">
        <v>37</v>
      </c>
      <c r="C31" s="11">
        <v>13</v>
      </c>
      <c r="D31" s="11" t="s">
        <v>89</v>
      </c>
      <c r="E31" s="11" t="s">
        <v>238</v>
      </c>
      <c r="F31" s="11" t="s">
        <v>387</v>
      </c>
      <c r="G31" s="11" t="s">
        <v>388</v>
      </c>
      <c r="H31" s="11" t="s">
        <v>109</v>
      </c>
      <c r="I31" s="16">
        <v>1</v>
      </c>
      <c r="J31" s="11" t="s">
        <v>241</v>
      </c>
      <c r="K31" s="11" t="s">
        <v>101</v>
      </c>
      <c r="L31" s="11" t="s">
        <v>389</v>
      </c>
      <c r="M31" s="11" t="s">
        <v>2312</v>
      </c>
      <c r="N31" s="11" t="s">
        <v>243</v>
      </c>
      <c r="O31" s="11" t="s">
        <v>390</v>
      </c>
      <c r="P31" s="11" t="s">
        <v>373</v>
      </c>
      <c r="Q31" s="11" t="s">
        <v>376</v>
      </c>
      <c r="R31" s="11" t="s">
        <v>246</v>
      </c>
      <c r="S31" s="11" t="s">
        <v>46</v>
      </c>
      <c r="T31" s="11" t="s">
        <v>391</v>
      </c>
      <c r="U31" s="28" t="s">
        <v>392</v>
      </c>
    </row>
    <row r="32" spans="1:21" ht="110.4" hidden="1">
      <c r="A32" s="11" t="s">
        <v>393</v>
      </c>
      <c r="B32" s="11" t="s">
        <v>57</v>
      </c>
      <c r="C32" s="11">
        <v>1</v>
      </c>
      <c r="D32" s="11" t="s">
        <v>89</v>
      </c>
      <c r="E32" s="11" t="s">
        <v>394</v>
      </c>
      <c r="F32" s="11" t="s">
        <v>395</v>
      </c>
      <c r="G32" s="11" t="s">
        <v>396</v>
      </c>
      <c r="H32" s="11" t="s">
        <v>123</v>
      </c>
      <c r="I32" s="16">
        <v>1</v>
      </c>
      <c r="J32" s="11" t="s">
        <v>397</v>
      </c>
      <c r="K32" s="11" t="s">
        <v>398</v>
      </c>
      <c r="L32" s="11" t="s">
        <v>399</v>
      </c>
      <c r="M32" s="11" t="s">
        <v>400</v>
      </c>
      <c r="N32" s="11" t="s">
        <v>401</v>
      </c>
      <c r="O32" s="11" t="s">
        <v>402</v>
      </c>
      <c r="P32" s="11" t="s">
        <v>403</v>
      </c>
      <c r="Q32" s="11" t="s">
        <v>386</v>
      </c>
      <c r="R32" s="11" t="s">
        <v>404</v>
      </c>
      <c r="S32" s="11" t="s">
        <v>46</v>
      </c>
      <c r="T32" s="11"/>
      <c r="U32" s="28" t="s">
        <v>405</v>
      </c>
    </row>
    <row r="33" spans="1:21" ht="110.4" hidden="1">
      <c r="A33" s="11" t="s">
        <v>406</v>
      </c>
      <c r="B33" s="11" t="s">
        <v>57</v>
      </c>
      <c r="C33" s="11">
        <v>2</v>
      </c>
      <c r="D33" s="11" t="s">
        <v>89</v>
      </c>
      <c r="E33" s="11" t="s">
        <v>407</v>
      </c>
      <c r="F33" s="11" t="s">
        <v>408</v>
      </c>
      <c r="G33" s="11" t="s">
        <v>409</v>
      </c>
      <c r="H33" s="11" t="s">
        <v>123</v>
      </c>
      <c r="I33" s="16">
        <v>1.25</v>
      </c>
      <c r="J33" s="11" t="s">
        <v>397</v>
      </c>
      <c r="K33" s="11" t="s">
        <v>410</v>
      </c>
      <c r="L33" s="11" t="s">
        <v>411</v>
      </c>
      <c r="M33" s="11" t="s">
        <v>412</v>
      </c>
      <c r="N33" s="11" t="s">
        <v>413</v>
      </c>
      <c r="O33" s="11" t="s">
        <v>414</v>
      </c>
      <c r="P33" s="11" t="s">
        <v>415</v>
      </c>
      <c r="Q33" s="11" t="s">
        <v>393</v>
      </c>
      <c r="R33" s="11" t="s">
        <v>416</v>
      </c>
      <c r="S33" s="11" t="s">
        <v>46</v>
      </c>
      <c r="T33" s="11"/>
      <c r="U33" s="28" t="s">
        <v>417</v>
      </c>
    </row>
    <row r="34" spans="1:21" ht="96.6" hidden="1">
      <c r="A34" s="11" t="s">
        <v>418</v>
      </c>
      <c r="B34" s="11" t="s">
        <v>57</v>
      </c>
      <c r="C34" s="11">
        <v>3</v>
      </c>
      <c r="D34" s="11" t="s">
        <v>89</v>
      </c>
      <c r="E34" s="11" t="s">
        <v>419</v>
      </c>
      <c r="F34" s="11" t="s">
        <v>420</v>
      </c>
      <c r="G34" s="11" t="s">
        <v>421</v>
      </c>
      <c r="H34" s="11" t="s">
        <v>123</v>
      </c>
      <c r="I34" s="16">
        <v>0.75</v>
      </c>
      <c r="J34" s="11" t="s">
        <v>397</v>
      </c>
      <c r="K34" s="11" t="s">
        <v>101</v>
      </c>
      <c r="L34" s="11" t="s">
        <v>422</v>
      </c>
      <c r="M34" s="11" t="s">
        <v>423</v>
      </c>
      <c r="N34" s="11" t="s">
        <v>424</v>
      </c>
      <c r="O34" s="11" t="s">
        <v>425</v>
      </c>
      <c r="P34" s="11" t="s">
        <v>426</v>
      </c>
      <c r="Q34" s="11" t="s">
        <v>393</v>
      </c>
      <c r="R34" s="11" t="s">
        <v>427</v>
      </c>
      <c r="S34" s="11" t="s">
        <v>46</v>
      </c>
      <c r="T34" s="11"/>
      <c r="U34" s="28" t="s">
        <v>428</v>
      </c>
    </row>
    <row r="35" spans="1:21" ht="110.4" hidden="1">
      <c r="A35" s="11" t="s">
        <v>429</v>
      </c>
      <c r="B35" s="11" t="s">
        <v>57</v>
      </c>
      <c r="C35" s="11">
        <v>4</v>
      </c>
      <c r="D35" s="11" t="s">
        <v>89</v>
      </c>
      <c r="E35" s="11" t="s">
        <v>430</v>
      </c>
      <c r="F35" s="11" t="s">
        <v>431</v>
      </c>
      <c r="G35" s="11" t="s">
        <v>432</v>
      </c>
      <c r="H35" s="11" t="s">
        <v>123</v>
      </c>
      <c r="I35" s="16">
        <v>1.5</v>
      </c>
      <c r="J35" s="11" t="s">
        <v>397</v>
      </c>
      <c r="K35" s="11" t="s">
        <v>433</v>
      </c>
      <c r="L35" s="11" t="s">
        <v>434</v>
      </c>
      <c r="M35" s="11" t="s">
        <v>435</v>
      </c>
      <c r="N35" s="11" t="s">
        <v>436</v>
      </c>
      <c r="O35" s="11" t="s">
        <v>437</v>
      </c>
      <c r="P35" s="11" t="s">
        <v>426</v>
      </c>
      <c r="Q35" s="11" t="s">
        <v>438</v>
      </c>
      <c r="R35" s="11" t="s">
        <v>439</v>
      </c>
      <c r="S35" s="11" t="s">
        <v>46</v>
      </c>
      <c r="T35" s="11"/>
      <c r="U35" s="28" t="s">
        <v>440</v>
      </c>
    </row>
    <row r="36" spans="1:21" ht="110.4" hidden="1">
      <c r="A36" s="11" t="s">
        <v>441</v>
      </c>
      <c r="B36" s="11" t="s">
        <v>57</v>
      </c>
      <c r="C36" s="11">
        <v>5</v>
      </c>
      <c r="D36" s="11" t="s">
        <v>89</v>
      </c>
      <c r="E36" s="11" t="s">
        <v>442</v>
      </c>
      <c r="F36" s="11" t="s">
        <v>443</v>
      </c>
      <c r="G36" s="11" t="s">
        <v>444</v>
      </c>
      <c r="H36" s="11" t="s">
        <v>123</v>
      </c>
      <c r="I36" s="16">
        <v>1</v>
      </c>
      <c r="J36" s="11" t="s">
        <v>445</v>
      </c>
      <c r="K36" s="11" t="s">
        <v>446</v>
      </c>
      <c r="L36" s="11" t="s">
        <v>447</v>
      </c>
      <c r="M36" s="11" t="s">
        <v>448</v>
      </c>
      <c r="N36" s="11" t="s">
        <v>449</v>
      </c>
      <c r="O36" s="11" t="s">
        <v>450</v>
      </c>
      <c r="P36" s="11" t="s">
        <v>327</v>
      </c>
      <c r="Q36" s="11" t="s">
        <v>429</v>
      </c>
      <c r="R36" s="11" t="s">
        <v>451</v>
      </c>
      <c r="S36" s="11" t="s">
        <v>46</v>
      </c>
      <c r="T36" s="11"/>
      <c r="U36" s="28" t="s">
        <v>452</v>
      </c>
    </row>
    <row r="37" spans="1:21" ht="110.4" hidden="1">
      <c r="A37" s="11" t="s">
        <v>453</v>
      </c>
      <c r="B37" s="11" t="s">
        <v>57</v>
      </c>
      <c r="C37" s="11">
        <v>6</v>
      </c>
      <c r="D37" s="11" t="s">
        <v>89</v>
      </c>
      <c r="E37" s="11" t="s">
        <v>454</v>
      </c>
      <c r="F37" s="11" t="s">
        <v>455</v>
      </c>
      <c r="G37" s="11" t="s">
        <v>456</v>
      </c>
      <c r="H37" s="11" t="s">
        <v>93</v>
      </c>
      <c r="I37" s="16">
        <v>1.25</v>
      </c>
      <c r="J37" s="11" t="s">
        <v>457</v>
      </c>
      <c r="K37" s="11" t="s">
        <v>458</v>
      </c>
      <c r="L37" s="11" t="s">
        <v>459</v>
      </c>
      <c r="M37" s="11" t="s">
        <v>460</v>
      </c>
      <c r="N37" s="11" t="s">
        <v>461</v>
      </c>
      <c r="O37" s="11" t="s">
        <v>462</v>
      </c>
      <c r="P37" s="11" t="s">
        <v>164</v>
      </c>
      <c r="Q37" s="11" t="s">
        <v>341</v>
      </c>
      <c r="R37" s="11" t="s">
        <v>463</v>
      </c>
      <c r="S37" s="11" t="s">
        <v>46</v>
      </c>
      <c r="T37" s="11"/>
      <c r="U37" s="28" t="s">
        <v>464</v>
      </c>
    </row>
    <row r="38" spans="1:21" ht="110.4" hidden="1">
      <c r="A38" s="11" t="s">
        <v>465</v>
      </c>
      <c r="B38" s="11" t="s">
        <v>57</v>
      </c>
      <c r="C38" s="11">
        <v>7</v>
      </c>
      <c r="D38" s="11" t="s">
        <v>89</v>
      </c>
      <c r="E38" s="11" t="s">
        <v>466</v>
      </c>
      <c r="F38" s="11" t="s">
        <v>467</v>
      </c>
      <c r="G38" s="11" t="s">
        <v>468</v>
      </c>
      <c r="H38" s="11" t="s">
        <v>123</v>
      </c>
      <c r="I38" s="16">
        <v>1.5</v>
      </c>
      <c r="J38" s="11" t="s">
        <v>457</v>
      </c>
      <c r="K38" s="11" t="s">
        <v>469</v>
      </c>
      <c r="L38" s="11" t="s">
        <v>470</v>
      </c>
      <c r="M38" s="11" t="s">
        <v>2295</v>
      </c>
      <c r="N38" s="11" t="s">
        <v>471</v>
      </c>
      <c r="O38" s="11" t="s">
        <v>472</v>
      </c>
      <c r="P38" s="11" t="s">
        <v>164</v>
      </c>
      <c r="Q38" s="11" t="s">
        <v>473</v>
      </c>
      <c r="R38" s="11" t="s">
        <v>474</v>
      </c>
      <c r="S38" s="11" t="s">
        <v>46</v>
      </c>
      <c r="T38" s="11"/>
      <c r="U38" s="28" t="s">
        <v>475</v>
      </c>
    </row>
    <row r="39" spans="1:21" ht="110.4" hidden="1">
      <c r="A39" s="11" t="s">
        <v>476</v>
      </c>
      <c r="B39" s="11" t="s">
        <v>57</v>
      </c>
      <c r="C39" s="11">
        <v>8</v>
      </c>
      <c r="D39" s="11" t="s">
        <v>89</v>
      </c>
      <c r="E39" s="11" t="s">
        <v>477</v>
      </c>
      <c r="F39" s="11" t="s">
        <v>478</v>
      </c>
      <c r="G39" s="11" t="s">
        <v>479</v>
      </c>
      <c r="H39" s="11" t="s">
        <v>123</v>
      </c>
      <c r="I39" s="16">
        <v>1</v>
      </c>
      <c r="J39" s="11" t="s">
        <v>445</v>
      </c>
      <c r="K39" s="11" t="s">
        <v>334</v>
      </c>
      <c r="L39" s="11" t="s">
        <v>480</v>
      </c>
      <c r="M39" s="11" t="s">
        <v>481</v>
      </c>
      <c r="N39" s="11" t="s">
        <v>482</v>
      </c>
      <c r="O39" s="11" t="s">
        <v>483</v>
      </c>
      <c r="P39" s="11" t="s">
        <v>327</v>
      </c>
      <c r="Q39" s="11" t="s">
        <v>441</v>
      </c>
      <c r="R39" s="11" t="s">
        <v>484</v>
      </c>
      <c r="S39" s="11" t="s">
        <v>46</v>
      </c>
      <c r="T39" s="11"/>
      <c r="U39" s="28" t="s">
        <v>485</v>
      </c>
    </row>
    <row r="40" spans="1:21" ht="110.4" hidden="1">
      <c r="A40" s="11" t="s">
        <v>486</v>
      </c>
      <c r="B40" s="11" t="s">
        <v>57</v>
      </c>
      <c r="C40" s="11">
        <v>9</v>
      </c>
      <c r="D40" s="11" t="s">
        <v>89</v>
      </c>
      <c r="E40" s="11" t="s">
        <v>487</v>
      </c>
      <c r="F40" s="11" t="s">
        <v>488</v>
      </c>
      <c r="G40" s="11" t="s">
        <v>489</v>
      </c>
      <c r="H40" s="11" t="s">
        <v>123</v>
      </c>
      <c r="I40" s="16">
        <v>0.75</v>
      </c>
      <c r="J40" s="11" t="s">
        <v>490</v>
      </c>
      <c r="K40" s="11" t="s">
        <v>491</v>
      </c>
      <c r="L40" s="11" t="s">
        <v>492</v>
      </c>
      <c r="M40" s="11" t="s">
        <v>493</v>
      </c>
      <c r="N40" s="11" t="s">
        <v>494</v>
      </c>
      <c r="O40" s="11" t="s">
        <v>495</v>
      </c>
      <c r="P40" s="11" t="s">
        <v>496</v>
      </c>
      <c r="Q40" s="11" t="s">
        <v>429</v>
      </c>
      <c r="R40" s="11" t="s">
        <v>497</v>
      </c>
      <c r="S40" s="11" t="s">
        <v>2599</v>
      </c>
      <c r="T40" s="11"/>
      <c r="U40" s="28" t="s">
        <v>498</v>
      </c>
    </row>
    <row r="41" spans="1:21" ht="110.4" hidden="1">
      <c r="A41" s="11" t="s">
        <v>499</v>
      </c>
      <c r="B41" s="11" t="s">
        <v>57</v>
      </c>
      <c r="C41" s="11">
        <v>10</v>
      </c>
      <c r="D41" s="11" t="s">
        <v>89</v>
      </c>
      <c r="E41" s="11" t="s">
        <v>500</v>
      </c>
      <c r="F41" s="11" t="s">
        <v>501</v>
      </c>
      <c r="G41" s="11" t="s">
        <v>502</v>
      </c>
      <c r="H41" s="11" t="s">
        <v>109</v>
      </c>
      <c r="I41" s="16">
        <v>0.75</v>
      </c>
      <c r="J41" s="11" t="s">
        <v>457</v>
      </c>
      <c r="K41" s="11" t="s">
        <v>503</v>
      </c>
      <c r="L41" s="11" t="s">
        <v>504</v>
      </c>
      <c r="M41" s="11" t="s">
        <v>505</v>
      </c>
      <c r="N41" s="11" t="s">
        <v>506</v>
      </c>
      <c r="O41" s="11" t="s">
        <v>507</v>
      </c>
      <c r="P41" s="11" t="s">
        <v>164</v>
      </c>
      <c r="Q41" s="11" t="s">
        <v>465</v>
      </c>
      <c r="R41" s="11" t="s">
        <v>508</v>
      </c>
      <c r="S41" s="11" t="s">
        <v>46</v>
      </c>
      <c r="T41" s="11"/>
      <c r="U41" s="28" t="s">
        <v>509</v>
      </c>
    </row>
    <row r="42" spans="1:21" ht="193.8" hidden="1">
      <c r="A42" s="11" t="s">
        <v>510</v>
      </c>
      <c r="B42" s="11" t="s">
        <v>57</v>
      </c>
      <c r="C42" s="11">
        <v>11</v>
      </c>
      <c r="D42" s="11" t="s">
        <v>89</v>
      </c>
      <c r="E42" s="11" t="s">
        <v>511</v>
      </c>
      <c r="F42" s="11" t="s">
        <v>512</v>
      </c>
      <c r="G42" s="11" t="s">
        <v>513</v>
      </c>
      <c r="H42" s="11" t="s">
        <v>109</v>
      </c>
      <c r="I42" s="16">
        <v>1</v>
      </c>
      <c r="J42" s="11" t="s">
        <v>514</v>
      </c>
      <c r="K42" s="11" t="s">
        <v>101</v>
      </c>
      <c r="L42" s="11" t="s">
        <v>515</v>
      </c>
      <c r="M42" s="11" t="s">
        <v>2330</v>
      </c>
      <c r="N42" s="11" t="s">
        <v>516</v>
      </c>
      <c r="O42" s="11" t="s">
        <v>517</v>
      </c>
      <c r="P42" s="11" t="s">
        <v>518</v>
      </c>
      <c r="Q42" s="11" t="s">
        <v>499</v>
      </c>
      <c r="R42" s="11" t="s">
        <v>519</v>
      </c>
      <c r="S42" s="11" t="s">
        <v>46</v>
      </c>
      <c r="T42" s="11"/>
      <c r="U42" s="28" t="s">
        <v>520</v>
      </c>
    </row>
    <row r="43" spans="1:21" ht="193.8" hidden="1">
      <c r="A43" s="11" t="s">
        <v>521</v>
      </c>
      <c r="B43" s="11" t="s">
        <v>57</v>
      </c>
      <c r="C43" s="11">
        <v>12</v>
      </c>
      <c r="D43" s="11" t="s">
        <v>89</v>
      </c>
      <c r="E43" s="11" t="s">
        <v>226</v>
      </c>
      <c r="F43" s="11" t="s">
        <v>522</v>
      </c>
      <c r="G43" s="11" t="s">
        <v>523</v>
      </c>
      <c r="H43" s="11" t="s">
        <v>93</v>
      </c>
      <c r="I43" s="16">
        <v>0.75</v>
      </c>
      <c r="J43" s="11" t="s">
        <v>2331</v>
      </c>
      <c r="K43" s="11" t="s">
        <v>524</v>
      </c>
      <c r="L43" s="11" t="s">
        <v>525</v>
      </c>
      <c r="M43" s="11" t="s">
        <v>2332</v>
      </c>
      <c r="N43" s="11" t="s">
        <v>526</v>
      </c>
      <c r="O43" s="11" t="s">
        <v>527</v>
      </c>
      <c r="P43" s="11" t="s">
        <v>115</v>
      </c>
      <c r="Q43" s="11" t="s">
        <v>528</v>
      </c>
      <c r="R43" s="11" t="s">
        <v>529</v>
      </c>
      <c r="S43" s="11" t="s">
        <v>46</v>
      </c>
      <c r="T43" s="11"/>
      <c r="U43" s="28" t="s">
        <v>530</v>
      </c>
    </row>
    <row r="44" spans="1:21" ht="69" hidden="1">
      <c r="A44" s="11" t="s">
        <v>531</v>
      </c>
      <c r="B44" s="11" t="s">
        <v>57</v>
      </c>
      <c r="C44" s="11">
        <v>13</v>
      </c>
      <c r="D44" s="11" t="s">
        <v>89</v>
      </c>
      <c r="E44" s="11" t="s">
        <v>238</v>
      </c>
      <c r="F44" s="11" t="s">
        <v>532</v>
      </c>
      <c r="G44" s="11" t="s">
        <v>533</v>
      </c>
      <c r="H44" s="11" t="s">
        <v>109</v>
      </c>
      <c r="I44" s="16">
        <v>1</v>
      </c>
      <c r="J44" s="11" t="s">
        <v>241</v>
      </c>
      <c r="K44" s="11" t="s">
        <v>101</v>
      </c>
      <c r="L44" s="11" t="s">
        <v>534</v>
      </c>
      <c r="M44" s="11" t="s">
        <v>2313</v>
      </c>
      <c r="N44" s="11" t="s">
        <v>243</v>
      </c>
      <c r="O44" s="11" t="s">
        <v>535</v>
      </c>
      <c r="P44" s="11" t="s">
        <v>536</v>
      </c>
      <c r="Q44" s="11" t="s">
        <v>521</v>
      </c>
      <c r="R44" s="11" t="s">
        <v>246</v>
      </c>
      <c r="S44" s="11" t="s">
        <v>46</v>
      </c>
      <c r="T44" s="11" t="s">
        <v>537</v>
      </c>
      <c r="U44" s="28" t="s">
        <v>538</v>
      </c>
    </row>
    <row r="45" spans="1:21" ht="110.4">
      <c r="A45" s="11" t="s">
        <v>539</v>
      </c>
      <c r="B45" s="11" t="s">
        <v>58</v>
      </c>
      <c r="C45" s="11">
        <v>1</v>
      </c>
      <c r="D45" s="11" t="s">
        <v>89</v>
      </c>
      <c r="E45" s="11" t="s">
        <v>540</v>
      </c>
      <c r="F45" s="11" t="s">
        <v>541</v>
      </c>
      <c r="G45" s="11" t="s">
        <v>542</v>
      </c>
      <c r="H45" s="11" t="s">
        <v>123</v>
      </c>
      <c r="I45" s="16">
        <v>1.5</v>
      </c>
      <c r="J45" s="11" t="s">
        <v>543</v>
      </c>
      <c r="K45" s="11" t="s">
        <v>334</v>
      </c>
      <c r="L45" s="11" t="s">
        <v>544</v>
      </c>
      <c r="M45" s="11" t="s">
        <v>545</v>
      </c>
      <c r="N45" s="11" t="s">
        <v>546</v>
      </c>
      <c r="O45" s="11" t="s">
        <v>547</v>
      </c>
      <c r="P45" s="11" t="s">
        <v>548</v>
      </c>
      <c r="Q45" s="11" t="s">
        <v>531</v>
      </c>
      <c r="R45" s="11" t="s">
        <v>549</v>
      </c>
      <c r="S45" s="11" t="s">
        <v>46</v>
      </c>
      <c r="T45" s="11"/>
      <c r="U45" s="28" t="s">
        <v>550</v>
      </c>
    </row>
    <row r="46" spans="1:21" ht="110.4">
      <c r="A46" s="11" t="s">
        <v>551</v>
      </c>
      <c r="B46" s="11" t="s">
        <v>58</v>
      </c>
      <c r="C46" s="11">
        <v>2</v>
      </c>
      <c r="D46" s="11" t="s">
        <v>89</v>
      </c>
      <c r="E46" s="11" t="s">
        <v>331</v>
      </c>
      <c r="F46" s="11" t="s">
        <v>552</v>
      </c>
      <c r="G46" s="11" t="s">
        <v>553</v>
      </c>
      <c r="H46" s="11" t="s">
        <v>123</v>
      </c>
      <c r="I46" s="16">
        <v>1</v>
      </c>
      <c r="J46" s="11" t="s">
        <v>543</v>
      </c>
      <c r="K46" s="11" t="s">
        <v>334</v>
      </c>
      <c r="L46" s="11" t="s">
        <v>554</v>
      </c>
      <c r="M46" s="11" t="s">
        <v>555</v>
      </c>
      <c r="N46" s="11" t="s">
        <v>556</v>
      </c>
      <c r="O46" s="11" t="s">
        <v>557</v>
      </c>
      <c r="P46" s="11" t="s">
        <v>327</v>
      </c>
      <c r="Q46" s="11" t="s">
        <v>539</v>
      </c>
      <c r="R46" s="11" t="s">
        <v>558</v>
      </c>
      <c r="S46" s="11" t="s">
        <v>46</v>
      </c>
      <c r="T46" s="11"/>
      <c r="U46" s="28" t="s">
        <v>559</v>
      </c>
    </row>
    <row r="47" spans="1:21" ht="110.4">
      <c r="A47" s="11" t="s">
        <v>560</v>
      </c>
      <c r="B47" s="11" t="s">
        <v>58</v>
      </c>
      <c r="C47" s="11">
        <v>3</v>
      </c>
      <c r="D47" s="11" t="s">
        <v>89</v>
      </c>
      <c r="E47" s="11" t="s">
        <v>561</v>
      </c>
      <c r="F47" s="11" t="s">
        <v>562</v>
      </c>
      <c r="G47" s="11" t="s">
        <v>563</v>
      </c>
      <c r="H47" s="11" t="s">
        <v>123</v>
      </c>
      <c r="I47" s="16">
        <v>1.25</v>
      </c>
      <c r="J47" s="11" t="s">
        <v>564</v>
      </c>
      <c r="K47" s="11" t="s">
        <v>524</v>
      </c>
      <c r="L47" s="11" t="s">
        <v>565</v>
      </c>
      <c r="M47" s="11" t="s">
        <v>566</v>
      </c>
      <c r="N47" s="11" t="s">
        <v>567</v>
      </c>
      <c r="O47" s="11" t="s">
        <v>568</v>
      </c>
      <c r="P47" s="11" t="s">
        <v>569</v>
      </c>
      <c r="Q47" s="11" t="s">
        <v>551</v>
      </c>
      <c r="R47" s="11" t="s">
        <v>570</v>
      </c>
      <c r="S47" s="11" t="s">
        <v>46</v>
      </c>
      <c r="T47" s="11"/>
      <c r="U47" s="28" t="s">
        <v>571</v>
      </c>
    </row>
    <row r="48" spans="1:21" ht="96.6">
      <c r="A48" s="11" t="s">
        <v>572</v>
      </c>
      <c r="B48" s="11" t="s">
        <v>58</v>
      </c>
      <c r="C48" s="11">
        <v>4</v>
      </c>
      <c r="D48" s="11" t="s">
        <v>89</v>
      </c>
      <c r="E48" s="11" t="s">
        <v>573</v>
      </c>
      <c r="F48" s="11" t="s">
        <v>574</v>
      </c>
      <c r="G48" s="11" t="s">
        <v>575</v>
      </c>
      <c r="H48" s="11" t="s">
        <v>123</v>
      </c>
      <c r="I48" s="16">
        <v>0.75</v>
      </c>
      <c r="J48" s="11" t="s">
        <v>564</v>
      </c>
      <c r="K48" s="11" t="s">
        <v>101</v>
      </c>
      <c r="L48" s="11" t="s">
        <v>576</v>
      </c>
      <c r="M48" s="11" t="s">
        <v>577</v>
      </c>
      <c r="N48" s="11" t="s">
        <v>578</v>
      </c>
      <c r="O48" s="11" t="s">
        <v>579</v>
      </c>
      <c r="P48" s="11" t="s">
        <v>569</v>
      </c>
      <c r="Q48" s="11" t="s">
        <v>560</v>
      </c>
      <c r="R48" s="11" t="s">
        <v>580</v>
      </c>
      <c r="S48" s="11" t="s">
        <v>46</v>
      </c>
      <c r="T48" s="11"/>
      <c r="U48" s="28" t="s">
        <v>581</v>
      </c>
    </row>
    <row r="49" spans="1:21" ht="96.6">
      <c r="A49" s="11" t="s">
        <v>582</v>
      </c>
      <c r="B49" s="11" t="s">
        <v>58</v>
      </c>
      <c r="C49" s="11">
        <v>5</v>
      </c>
      <c r="D49" s="11" t="s">
        <v>89</v>
      </c>
      <c r="E49" s="11" t="s">
        <v>583</v>
      </c>
      <c r="F49" s="11" t="s">
        <v>584</v>
      </c>
      <c r="G49" s="11" t="s">
        <v>585</v>
      </c>
      <c r="H49" s="11" t="s">
        <v>123</v>
      </c>
      <c r="I49" s="16">
        <v>1.25</v>
      </c>
      <c r="J49" s="11" t="s">
        <v>564</v>
      </c>
      <c r="K49" s="11" t="s">
        <v>524</v>
      </c>
      <c r="L49" s="11" t="s">
        <v>586</v>
      </c>
      <c r="M49" s="11" t="s">
        <v>587</v>
      </c>
      <c r="N49" s="11" t="s">
        <v>588</v>
      </c>
      <c r="O49" s="11" t="s">
        <v>589</v>
      </c>
      <c r="P49" s="11" t="s">
        <v>590</v>
      </c>
      <c r="Q49" s="11" t="s">
        <v>591</v>
      </c>
      <c r="R49" s="11" t="s">
        <v>592</v>
      </c>
      <c r="S49" s="11" t="s">
        <v>46</v>
      </c>
      <c r="T49" s="11"/>
      <c r="U49" s="28" t="s">
        <v>593</v>
      </c>
    </row>
    <row r="50" spans="1:21" ht="110.4">
      <c r="A50" s="11" t="s">
        <v>594</v>
      </c>
      <c r="B50" s="11" t="s">
        <v>58</v>
      </c>
      <c r="C50" s="11">
        <v>6</v>
      </c>
      <c r="D50" s="11" t="s">
        <v>89</v>
      </c>
      <c r="E50" s="11" t="s">
        <v>595</v>
      </c>
      <c r="F50" s="11" t="s">
        <v>596</v>
      </c>
      <c r="G50" s="11" t="s">
        <v>597</v>
      </c>
      <c r="H50" s="11" t="s">
        <v>123</v>
      </c>
      <c r="I50" s="16">
        <v>1</v>
      </c>
      <c r="J50" s="11" t="s">
        <v>564</v>
      </c>
      <c r="K50" s="11" t="s">
        <v>598</v>
      </c>
      <c r="L50" s="11" t="s">
        <v>599</v>
      </c>
      <c r="M50" s="11" t="s">
        <v>600</v>
      </c>
      <c r="N50" s="11" t="s">
        <v>601</v>
      </c>
      <c r="O50" s="11" t="s">
        <v>602</v>
      </c>
      <c r="P50" s="11" t="s">
        <v>569</v>
      </c>
      <c r="Q50" s="11" t="s">
        <v>560</v>
      </c>
      <c r="R50" s="11" t="s">
        <v>603</v>
      </c>
      <c r="S50" s="11" t="s">
        <v>46</v>
      </c>
      <c r="T50" s="11"/>
      <c r="U50" s="28" t="s">
        <v>604</v>
      </c>
    </row>
    <row r="51" spans="1:21" ht="96.6">
      <c r="A51" s="11" t="s">
        <v>605</v>
      </c>
      <c r="B51" s="11" t="s">
        <v>58</v>
      </c>
      <c r="C51" s="11">
        <v>7</v>
      </c>
      <c r="D51" s="11" t="s">
        <v>89</v>
      </c>
      <c r="E51" s="11" t="s">
        <v>606</v>
      </c>
      <c r="F51" s="11" t="s">
        <v>607</v>
      </c>
      <c r="G51" s="11" t="s">
        <v>608</v>
      </c>
      <c r="H51" s="11" t="s">
        <v>123</v>
      </c>
      <c r="I51" s="16">
        <v>0.75</v>
      </c>
      <c r="J51" s="11" t="s">
        <v>564</v>
      </c>
      <c r="K51" s="11" t="s">
        <v>609</v>
      </c>
      <c r="L51" s="11" t="s">
        <v>610</v>
      </c>
      <c r="M51" s="11" t="s">
        <v>611</v>
      </c>
      <c r="N51" s="11" t="s">
        <v>612</v>
      </c>
      <c r="O51" s="11" t="s">
        <v>613</v>
      </c>
      <c r="P51" s="11" t="s">
        <v>327</v>
      </c>
      <c r="Q51" s="11" t="s">
        <v>582</v>
      </c>
      <c r="R51" s="11" t="s">
        <v>614</v>
      </c>
      <c r="S51" s="11" t="s">
        <v>46</v>
      </c>
      <c r="T51" s="11"/>
      <c r="U51" s="28" t="s">
        <v>615</v>
      </c>
    </row>
    <row r="52" spans="1:21" ht="110.4">
      <c r="A52" s="11" t="s">
        <v>616</v>
      </c>
      <c r="B52" s="11" t="s">
        <v>58</v>
      </c>
      <c r="C52" s="11">
        <v>8</v>
      </c>
      <c r="D52" s="11" t="s">
        <v>89</v>
      </c>
      <c r="E52" s="11" t="s">
        <v>617</v>
      </c>
      <c r="F52" s="11" t="s">
        <v>618</v>
      </c>
      <c r="G52" s="11" t="s">
        <v>619</v>
      </c>
      <c r="H52" s="11" t="s">
        <v>123</v>
      </c>
      <c r="I52" s="16">
        <v>1</v>
      </c>
      <c r="J52" s="11" t="s">
        <v>490</v>
      </c>
      <c r="K52" s="11" t="s">
        <v>491</v>
      </c>
      <c r="L52" s="11" t="s">
        <v>620</v>
      </c>
      <c r="M52" s="11" t="s">
        <v>621</v>
      </c>
      <c r="N52" s="11" t="s">
        <v>622</v>
      </c>
      <c r="O52" s="11" t="s">
        <v>623</v>
      </c>
      <c r="P52" s="11" t="s">
        <v>496</v>
      </c>
      <c r="Q52" s="11" t="s">
        <v>624</v>
      </c>
      <c r="R52" s="11" t="s">
        <v>625</v>
      </c>
      <c r="S52" s="11" t="s">
        <v>46</v>
      </c>
      <c r="T52" s="11"/>
      <c r="U52" s="28" t="s">
        <v>626</v>
      </c>
    </row>
    <row r="53" spans="1:21" ht="110.4">
      <c r="A53" s="11" t="s">
        <v>627</v>
      </c>
      <c r="B53" s="11" t="s">
        <v>58</v>
      </c>
      <c r="C53" s="11">
        <v>9</v>
      </c>
      <c r="D53" s="11" t="s">
        <v>89</v>
      </c>
      <c r="E53" s="11" t="s">
        <v>628</v>
      </c>
      <c r="F53" s="11" t="s">
        <v>629</v>
      </c>
      <c r="G53" s="11" t="s">
        <v>630</v>
      </c>
      <c r="H53" s="11" t="s">
        <v>123</v>
      </c>
      <c r="I53" s="16">
        <v>1</v>
      </c>
      <c r="J53" s="11" t="s">
        <v>564</v>
      </c>
      <c r="K53" s="11" t="s">
        <v>101</v>
      </c>
      <c r="L53" s="11" t="s">
        <v>631</v>
      </c>
      <c r="M53" s="11" t="s">
        <v>632</v>
      </c>
      <c r="N53" s="11" t="s">
        <v>633</v>
      </c>
      <c r="O53" s="11" t="s">
        <v>634</v>
      </c>
      <c r="P53" s="11" t="s">
        <v>635</v>
      </c>
      <c r="Q53" s="11" t="s">
        <v>636</v>
      </c>
      <c r="R53" s="11" t="s">
        <v>637</v>
      </c>
      <c r="S53" s="11" t="s">
        <v>46</v>
      </c>
      <c r="T53" s="11"/>
      <c r="U53" s="28" t="s">
        <v>638</v>
      </c>
    </row>
    <row r="54" spans="1:21" ht="110.4">
      <c r="A54" s="11" t="s">
        <v>639</v>
      </c>
      <c r="B54" s="11" t="s">
        <v>58</v>
      </c>
      <c r="C54" s="11">
        <v>10</v>
      </c>
      <c r="D54" s="11" t="s">
        <v>365</v>
      </c>
      <c r="E54" s="11" t="s">
        <v>640</v>
      </c>
      <c r="F54" s="11" t="s">
        <v>641</v>
      </c>
      <c r="G54" s="11" t="s">
        <v>642</v>
      </c>
      <c r="H54" s="11" t="s">
        <v>123</v>
      </c>
      <c r="I54" s="16">
        <v>0.75</v>
      </c>
      <c r="J54" s="11" t="s">
        <v>543</v>
      </c>
      <c r="K54" s="11" t="s">
        <v>598</v>
      </c>
      <c r="L54" s="11" t="s">
        <v>643</v>
      </c>
      <c r="M54" s="11" t="s">
        <v>644</v>
      </c>
      <c r="N54" s="11" t="s">
        <v>645</v>
      </c>
      <c r="O54" s="11" t="s">
        <v>646</v>
      </c>
      <c r="P54" s="11" t="s">
        <v>647</v>
      </c>
      <c r="Q54" s="11" t="s">
        <v>648</v>
      </c>
      <c r="R54" s="11" t="s">
        <v>649</v>
      </c>
      <c r="S54" s="11" t="s">
        <v>46</v>
      </c>
      <c r="T54" s="11"/>
      <c r="U54" s="28" t="s">
        <v>650</v>
      </c>
    </row>
    <row r="55" spans="1:21" ht="193.8">
      <c r="A55" s="11" t="s">
        <v>651</v>
      </c>
      <c r="B55" s="11" t="s">
        <v>58</v>
      </c>
      <c r="C55" s="11">
        <v>11</v>
      </c>
      <c r="D55" s="11" t="s">
        <v>89</v>
      </c>
      <c r="E55" s="11" t="s">
        <v>652</v>
      </c>
      <c r="F55" s="11" t="s">
        <v>653</v>
      </c>
      <c r="G55" s="11" t="s">
        <v>654</v>
      </c>
      <c r="H55" s="11" t="s">
        <v>109</v>
      </c>
      <c r="I55" s="16">
        <v>1</v>
      </c>
      <c r="J55" s="11" t="s">
        <v>655</v>
      </c>
      <c r="K55" s="11" t="s">
        <v>101</v>
      </c>
      <c r="L55" s="11" t="s">
        <v>656</v>
      </c>
      <c r="M55" s="11" t="s">
        <v>2333</v>
      </c>
      <c r="N55" s="11" t="s">
        <v>657</v>
      </c>
      <c r="O55" s="11" t="s">
        <v>658</v>
      </c>
      <c r="P55" s="11" t="s">
        <v>518</v>
      </c>
      <c r="Q55" s="11" t="s">
        <v>659</v>
      </c>
      <c r="R55" s="11" t="s">
        <v>660</v>
      </c>
      <c r="S55" s="11" t="s">
        <v>2572</v>
      </c>
      <c r="T55" s="11"/>
      <c r="U55" s="28" t="s">
        <v>661</v>
      </c>
    </row>
    <row r="56" spans="1:21" ht="193.8">
      <c r="A56" s="11" t="s">
        <v>662</v>
      </c>
      <c r="B56" s="11" t="s">
        <v>58</v>
      </c>
      <c r="C56" s="11">
        <v>12</v>
      </c>
      <c r="D56" s="11" t="s">
        <v>89</v>
      </c>
      <c r="E56" s="11" t="s">
        <v>226</v>
      </c>
      <c r="F56" s="11" t="s">
        <v>663</v>
      </c>
      <c r="G56" s="11" t="s">
        <v>664</v>
      </c>
      <c r="H56" s="11" t="s">
        <v>93</v>
      </c>
      <c r="I56" s="16">
        <v>0.75</v>
      </c>
      <c r="J56" s="11" t="s">
        <v>2334</v>
      </c>
      <c r="K56" s="11" t="s">
        <v>665</v>
      </c>
      <c r="L56" s="11" t="s">
        <v>666</v>
      </c>
      <c r="M56" s="11" t="s">
        <v>2335</v>
      </c>
      <c r="N56" s="11" t="s">
        <v>667</v>
      </c>
      <c r="O56" s="11" t="s">
        <v>668</v>
      </c>
      <c r="P56" s="11" t="s">
        <v>115</v>
      </c>
      <c r="Q56" s="11" t="s">
        <v>669</v>
      </c>
      <c r="R56" s="11" t="s">
        <v>670</v>
      </c>
      <c r="S56" s="11" t="s">
        <v>303</v>
      </c>
      <c r="T56" s="11"/>
      <c r="U56" s="28" t="s">
        <v>671</v>
      </c>
    </row>
    <row r="57" spans="1:21" ht="69">
      <c r="A57" s="11" t="s">
        <v>672</v>
      </c>
      <c r="B57" s="11" t="s">
        <v>58</v>
      </c>
      <c r="C57" s="11">
        <v>13</v>
      </c>
      <c r="D57" s="11" t="s">
        <v>89</v>
      </c>
      <c r="E57" s="11" t="s">
        <v>238</v>
      </c>
      <c r="F57" s="11" t="s">
        <v>673</v>
      </c>
      <c r="G57" s="11" t="s">
        <v>674</v>
      </c>
      <c r="H57" s="11" t="s">
        <v>109</v>
      </c>
      <c r="I57" s="16">
        <v>1</v>
      </c>
      <c r="J57" s="11" t="s">
        <v>241</v>
      </c>
      <c r="K57" s="11" t="s">
        <v>101</v>
      </c>
      <c r="L57" s="11" t="s">
        <v>675</v>
      </c>
      <c r="M57" s="11" t="s">
        <v>2314</v>
      </c>
      <c r="N57" s="11" t="s">
        <v>243</v>
      </c>
      <c r="O57" s="11" t="s">
        <v>676</v>
      </c>
      <c r="P57" s="11" t="s">
        <v>677</v>
      </c>
      <c r="Q57" s="11" t="s">
        <v>662</v>
      </c>
      <c r="R57" s="11" t="s">
        <v>246</v>
      </c>
      <c r="S57" s="11" t="s">
        <v>303</v>
      </c>
      <c r="T57" s="11" t="s">
        <v>678</v>
      </c>
      <c r="U57" s="28" t="s">
        <v>679</v>
      </c>
    </row>
    <row r="58" spans="1:21" ht="96.6" hidden="1">
      <c r="A58" s="11" t="s">
        <v>680</v>
      </c>
      <c r="B58" s="11" t="s">
        <v>59</v>
      </c>
      <c r="C58" s="11">
        <v>1</v>
      </c>
      <c r="D58" s="11" t="s">
        <v>89</v>
      </c>
      <c r="E58" s="11" t="s">
        <v>681</v>
      </c>
      <c r="F58" s="11" t="s">
        <v>682</v>
      </c>
      <c r="G58" s="11" t="s">
        <v>683</v>
      </c>
      <c r="H58" s="11" t="s">
        <v>93</v>
      </c>
      <c r="I58" s="16">
        <v>1</v>
      </c>
      <c r="J58" s="11" t="s">
        <v>684</v>
      </c>
      <c r="K58" s="11" t="s">
        <v>685</v>
      </c>
      <c r="L58" s="11" t="s">
        <v>686</v>
      </c>
      <c r="M58" s="11" t="s">
        <v>687</v>
      </c>
      <c r="N58" s="11" t="s">
        <v>688</v>
      </c>
      <c r="O58" s="11" t="s">
        <v>689</v>
      </c>
      <c r="P58" s="11" t="s">
        <v>175</v>
      </c>
      <c r="Q58" s="11" t="s">
        <v>672</v>
      </c>
      <c r="R58" s="11" t="s">
        <v>690</v>
      </c>
      <c r="S58" s="11" t="s">
        <v>303</v>
      </c>
      <c r="T58" s="11"/>
      <c r="U58" s="28" t="s">
        <v>691</v>
      </c>
    </row>
    <row r="59" spans="1:21" ht="193.8" hidden="1">
      <c r="A59" s="11" t="s">
        <v>692</v>
      </c>
      <c r="B59" s="11" t="s">
        <v>59</v>
      </c>
      <c r="C59" s="11">
        <v>2</v>
      </c>
      <c r="D59" s="11" t="s">
        <v>89</v>
      </c>
      <c r="E59" s="11" t="s">
        <v>693</v>
      </c>
      <c r="F59" s="11" t="s">
        <v>694</v>
      </c>
      <c r="G59" s="11" t="s">
        <v>695</v>
      </c>
      <c r="H59" s="11" t="s">
        <v>123</v>
      </c>
      <c r="I59" s="16">
        <v>1.25</v>
      </c>
      <c r="J59" s="11" t="s">
        <v>696</v>
      </c>
      <c r="K59" s="11" t="s">
        <v>194</v>
      </c>
      <c r="L59" s="11" t="s">
        <v>697</v>
      </c>
      <c r="M59" s="11" t="s">
        <v>2336</v>
      </c>
      <c r="N59" s="11" t="s">
        <v>698</v>
      </c>
      <c r="O59" s="11" t="s">
        <v>699</v>
      </c>
      <c r="P59" s="11" t="s">
        <v>198</v>
      </c>
      <c r="Q59" s="11" t="s">
        <v>680</v>
      </c>
      <c r="R59" s="11" t="s">
        <v>700</v>
      </c>
      <c r="S59" s="11" t="s">
        <v>303</v>
      </c>
      <c r="T59" s="11"/>
      <c r="U59" s="28" t="s">
        <v>701</v>
      </c>
    </row>
    <row r="60" spans="1:21" ht="193.8" hidden="1">
      <c r="A60" s="11" t="s">
        <v>702</v>
      </c>
      <c r="B60" s="11" t="s">
        <v>59</v>
      </c>
      <c r="C60" s="11">
        <v>3</v>
      </c>
      <c r="D60" s="11" t="s">
        <v>89</v>
      </c>
      <c r="E60" s="11" t="s">
        <v>703</v>
      </c>
      <c r="F60" s="11" t="s">
        <v>704</v>
      </c>
      <c r="G60" s="11" t="s">
        <v>705</v>
      </c>
      <c r="H60" s="11" t="s">
        <v>123</v>
      </c>
      <c r="I60" s="16">
        <v>1.25</v>
      </c>
      <c r="J60" s="11" t="s">
        <v>696</v>
      </c>
      <c r="K60" s="11" t="s">
        <v>706</v>
      </c>
      <c r="L60" s="11" t="s">
        <v>707</v>
      </c>
      <c r="M60" s="11" t="s">
        <v>2337</v>
      </c>
      <c r="N60" s="11" t="s">
        <v>708</v>
      </c>
      <c r="O60" s="11" t="s">
        <v>709</v>
      </c>
      <c r="P60" s="11" t="s">
        <v>710</v>
      </c>
      <c r="Q60" s="11" t="s">
        <v>711</v>
      </c>
      <c r="R60" s="11" t="s">
        <v>712</v>
      </c>
      <c r="S60" s="11" t="s">
        <v>303</v>
      </c>
      <c r="T60" s="11"/>
      <c r="U60" s="28" t="s">
        <v>713</v>
      </c>
    </row>
    <row r="61" spans="1:21" ht="193.8" hidden="1">
      <c r="A61" s="11" t="s">
        <v>714</v>
      </c>
      <c r="B61" s="11" t="s">
        <v>59</v>
      </c>
      <c r="C61" s="11">
        <v>4</v>
      </c>
      <c r="D61" s="11" t="s">
        <v>89</v>
      </c>
      <c r="E61" s="11" t="s">
        <v>715</v>
      </c>
      <c r="F61" s="11" t="s">
        <v>716</v>
      </c>
      <c r="G61" s="11" t="s">
        <v>717</v>
      </c>
      <c r="H61" s="11" t="s">
        <v>123</v>
      </c>
      <c r="I61" s="16">
        <v>1.25</v>
      </c>
      <c r="J61" s="11" t="s">
        <v>696</v>
      </c>
      <c r="K61" s="11" t="s">
        <v>718</v>
      </c>
      <c r="L61" s="11" t="s">
        <v>719</v>
      </c>
      <c r="M61" s="11" t="s">
        <v>2338</v>
      </c>
      <c r="N61" s="11" t="s">
        <v>720</v>
      </c>
      <c r="O61" s="11" t="s">
        <v>721</v>
      </c>
      <c r="P61" s="11" t="s">
        <v>722</v>
      </c>
      <c r="Q61" s="11" t="s">
        <v>680</v>
      </c>
      <c r="R61" s="11" t="s">
        <v>723</v>
      </c>
      <c r="S61" s="11" t="s">
        <v>303</v>
      </c>
      <c r="T61" s="11"/>
      <c r="U61" s="28" t="s">
        <v>724</v>
      </c>
    </row>
    <row r="62" spans="1:21" ht="110.4" hidden="1">
      <c r="A62" s="11" t="s">
        <v>725</v>
      </c>
      <c r="B62" s="11" t="s">
        <v>59</v>
      </c>
      <c r="C62" s="11">
        <v>5</v>
      </c>
      <c r="D62" s="11" t="s">
        <v>89</v>
      </c>
      <c r="E62" s="11" t="s">
        <v>726</v>
      </c>
      <c r="F62" s="11" t="s">
        <v>727</v>
      </c>
      <c r="G62" s="11" t="s">
        <v>728</v>
      </c>
      <c r="H62" s="11" t="s">
        <v>123</v>
      </c>
      <c r="I62" s="16">
        <v>1.5</v>
      </c>
      <c r="J62" s="11" t="s">
        <v>696</v>
      </c>
      <c r="K62" s="11" t="s">
        <v>729</v>
      </c>
      <c r="L62" s="11" t="s">
        <v>730</v>
      </c>
      <c r="M62" s="11" t="s">
        <v>731</v>
      </c>
      <c r="N62" s="11" t="s">
        <v>732</v>
      </c>
      <c r="O62" s="11" t="s">
        <v>733</v>
      </c>
      <c r="P62" s="11" t="s">
        <v>734</v>
      </c>
      <c r="Q62" s="11" t="s">
        <v>735</v>
      </c>
      <c r="R62" s="11" t="s">
        <v>736</v>
      </c>
      <c r="S62" s="11" t="s">
        <v>303</v>
      </c>
      <c r="T62" s="11"/>
      <c r="U62" s="28" t="s">
        <v>737</v>
      </c>
    </row>
    <row r="63" spans="1:21" ht="193.8" hidden="1">
      <c r="A63" s="11" t="s">
        <v>738</v>
      </c>
      <c r="B63" s="11" t="s">
        <v>59</v>
      </c>
      <c r="C63" s="11">
        <v>6</v>
      </c>
      <c r="D63" s="11" t="s">
        <v>89</v>
      </c>
      <c r="E63" s="11" t="s">
        <v>739</v>
      </c>
      <c r="F63" s="11" t="s">
        <v>740</v>
      </c>
      <c r="G63" s="11" t="s">
        <v>741</v>
      </c>
      <c r="H63" s="11" t="s">
        <v>123</v>
      </c>
      <c r="I63" s="16">
        <v>1</v>
      </c>
      <c r="J63" s="11" t="s">
        <v>742</v>
      </c>
      <c r="K63" s="11" t="s">
        <v>743</v>
      </c>
      <c r="L63" s="11" t="s">
        <v>744</v>
      </c>
      <c r="M63" s="11" t="s">
        <v>2339</v>
      </c>
      <c r="N63" s="11" t="s">
        <v>745</v>
      </c>
      <c r="O63" s="11" t="s">
        <v>746</v>
      </c>
      <c r="P63" s="11" t="s">
        <v>747</v>
      </c>
      <c r="Q63" s="11" t="s">
        <v>748</v>
      </c>
      <c r="R63" s="11" t="s">
        <v>749</v>
      </c>
      <c r="S63" s="11" t="s">
        <v>303</v>
      </c>
      <c r="T63" s="11"/>
      <c r="U63" s="28" t="s">
        <v>750</v>
      </c>
    </row>
    <row r="64" spans="1:21" ht="110.4" hidden="1">
      <c r="A64" s="11" t="s">
        <v>751</v>
      </c>
      <c r="B64" s="11" t="s">
        <v>59</v>
      </c>
      <c r="C64" s="11">
        <v>7</v>
      </c>
      <c r="D64" s="11" t="s">
        <v>89</v>
      </c>
      <c r="E64" s="11" t="s">
        <v>752</v>
      </c>
      <c r="F64" s="11" t="s">
        <v>753</v>
      </c>
      <c r="G64" s="11" t="s">
        <v>754</v>
      </c>
      <c r="H64" s="11" t="s">
        <v>123</v>
      </c>
      <c r="I64" s="16">
        <v>1.5</v>
      </c>
      <c r="J64" s="11" t="s">
        <v>755</v>
      </c>
      <c r="K64" s="11" t="s">
        <v>756</v>
      </c>
      <c r="L64" s="11" t="s">
        <v>757</v>
      </c>
      <c r="M64" s="11" t="s">
        <v>758</v>
      </c>
      <c r="N64" s="11" t="s">
        <v>759</v>
      </c>
      <c r="O64" s="11" t="s">
        <v>760</v>
      </c>
      <c r="P64" s="11" t="s">
        <v>175</v>
      </c>
      <c r="Q64" s="11" t="s">
        <v>761</v>
      </c>
      <c r="R64" s="11" t="s">
        <v>762</v>
      </c>
      <c r="S64" s="11" t="s">
        <v>303</v>
      </c>
      <c r="T64" s="11"/>
      <c r="U64" s="28" t="s">
        <v>763</v>
      </c>
    </row>
    <row r="65" spans="1:21" ht="193.8" hidden="1">
      <c r="A65" s="11" t="s">
        <v>764</v>
      </c>
      <c r="B65" s="11" t="s">
        <v>59</v>
      </c>
      <c r="C65" s="11">
        <v>8</v>
      </c>
      <c r="D65" s="11" t="s">
        <v>89</v>
      </c>
      <c r="E65" s="11" t="s">
        <v>765</v>
      </c>
      <c r="F65" s="11" t="s">
        <v>766</v>
      </c>
      <c r="G65" s="11" t="s">
        <v>767</v>
      </c>
      <c r="H65" s="11" t="s">
        <v>123</v>
      </c>
      <c r="I65" s="16">
        <v>1</v>
      </c>
      <c r="J65" s="11" t="s">
        <v>755</v>
      </c>
      <c r="K65" s="11" t="s">
        <v>101</v>
      </c>
      <c r="L65" s="11" t="s">
        <v>768</v>
      </c>
      <c r="M65" s="11" t="s">
        <v>2340</v>
      </c>
      <c r="N65" s="11" t="s">
        <v>769</v>
      </c>
      <c r="O65" s="11" t="s">
        <v>770</v>
      </c>
      <c r="P65" s="11" t="s">
        <v>164</v>
      </c>
      <c r="Q65" s="11" t="s">
        <v>751</v>
      </c>
      <c r="R65" s="11" t="s">
        <v>771</v>
      </c>
      <c r="S65" s="11" t="s">
        <v>303</v>
      </c>
      <c r="T65" s="11"/>
      <c r="U65" s="28" t="s">
        <v>772</v>
      </c>
    </row>
    <row r="66" spans="1:21" ht="110.4" hidden="1">
      <c r="A66" s="11" t="s">
        <v>773</v>
      </c>
      <c r="B66" s="11" t="s">
        <v>59</v>
      </c>
      <c r="C66" s="11">
        <v>9</v>
      </c>
      <c r="D66" s="11" t="s">
        <v>89</v>
      </c>
      <c r="E66" s="11" t="s">
        <v>774</v>
      </c>
      <c r="F66" s="11" t="s">
        <v>775</v>
      </c>
      <c r="G66" s="11" t="s">
        <v>776</v>
      </c>
      <c r="H66" s="11" t="s">
        <v>109</v>
      </c>
      <c r="I66" s="16">
        <v>1</v>
      </c>
      <c r="J66" s="11" t="s">
        <v>777</v>
      </c>
      <c r="K66" s="11" t="s">
        <v>598</v>
      </c>
      <c r="L66" s="11" t="s">
        <v>778</v>
      </c>
      <c r="M66" s="11" t="s">
        <v>779</v>
      </c>
      <c r="N66" s="11" t="s">
        <v>780</v>
      </c>
      <c r="O66" s="11" t="s">
        <v>781</v>
      </c>
      <c r="P66" s="11" t="s">
        <v>175</v>
      </c>
      <c r="Q66" s="11" t="s">
        <v>782</v>
      </c>
      <c r="R66" s="11" t="s">
        <v>783</v>
      </c>
      <c r="S66" s="11" t="s">
        <v>303</v>
      </c>
      <c r="T66" s="11"/>
      <c r="U66" s="28" t="s">
        <v>784</v>
      </c>
    </row>
    <row r="67" spans="1:21" ht="124.2" hidden="1">
      <c r="A67" s="11" t="s">
        <v>785</v>
      </c>
      <c r="B67" s="11" t="s">
        <v>59</v>
      </c>
      <c r="C67" s="11">
        <v>10</v>
      </c>
      <c r="D67" s="11" t="s">
        <v>89</v>
      </c>
      <c r="E67" s="11" t="s">
        <v>786</v>
      </c>
      <c r="F67" s="11" t="s">
        <v>787</v>
      </c>
      <c r="G67" s="11" t="s">
        <v>788</v>
      </c>
      <c r="H67" s="11" t="s">
        <v>93</v>
      </c>
      <c r="I67" s="16">
        <v>1.5</v>
      </c>
      <c r="J67" s="11" t="s">
        <v>777</v>
      </c>
      <c r="K67" s="11" t="s">
        <v>357</v>
      </c>
      <c r="L67" s="11" t="s">
        <v>789</v>
      </c>
      <c r="M67" s="11" t="s">
        <v>790</v>
      </c>
      <c r="N67" s="11" t="s">
        <v>791</v>
      </c>
      <c r="O67" s="11" t="s">
        <v>792</v>
      </c>
      <c r="P67" s="11" t="s">
        <v>518</v>
      </c>
      <c r="Q67" s="11" t="s">
        <v>773</v>
      </c>
      <c r="R67" s="11" t="s">
        <v>793</v>
      </c>
      <c r="S67" s="11" t="s">
        <v>303</v>
      </c>
      <c r="T67" s="11"/>
      <c r="U67" s="28" t="s">
        <v>794</v>
      </c>
    </row>
    <row r="68" spans="1:21" ht="110.4" hidden="1">
      <c r="A68" s="11" t="s">
        <v>795</v>
      </c>
      <c r="B68" s="11" t="s">
        <v>59</v>
      </c>
      <c r="C68" s="11">
        <v>11</v>
      </c>
      <c r="D68" s="11" t="s">
        <v>89</v>
      </c>
      <c r="E68" s="11" t="s">
        <v>796</v>
      </c>
      <c r="F68" s="11" t="s">
        <v>797</v>
      </c>
      <c r="G68" s="11" t="s">
        <v>798</v>
      </c>
      <c r="H68" s="11" t="s">
        <v>109</v>
      </c>
      <c r="I68" s="16">
        <v>0.75</v>
      </c>
      <c r="J68" s="11" t="s">
        <v>777</v>
      </c>
      <c r="K68" s="11" t="s">
        <v>357</v>
      </c>
      <c r="L68" s="11" t="s">
        <v>799</v>
      </c>
      <c r="M68" s="11" t="s">
        <v>800</v>
      </c>
      <c r="N68" s="11" t="s">
        <v>801</v>
      </c>
      <c r="O68" s="11" t="s">
        <v>802</v>
      </c>
      <c r="P68" s="11" t="s">
        <v>803</v>
      </c>
      <c r="Q68" s="11" t="s">
        <v>785</v>
      </c>
      <c r="R68" s="11" t="s">
        <v>804</v>
      </c>
      <c r="S68" s="11" t="s">
        <v>303</v>
      </c>
      <c r="T68" s="11"/>
      <c r="U68" s="28" t="s">
        <v>805</v>
      </c>
    </row>
    <row r="69" spans="1:21" ht="193.8" hidden="1">
      <c r="A69" s="11" t="s">
        <v>806</v>
      </c>
      <c r="B69" s="11" t="s">
        <v>59</v>
      </c>
      <c r="C69" s="11">
        <v>12</v>
      </c>
      <c r="D69" s="11" t="s">
        <v>89</v>
      </c>
      <c r="E69" s="11" t="s">
        <v>807</v>
      </c>
      <c r="F69" s="11" t="s">
        <v>808</v>
      </c>
      <c r="G69" s="11" t="s">
        <v>809</v>
      </c>
      <c r="H69" s="11" t="s">
        <v>109</v>
      </c>
      <c r="I69" s="16">
        <v>1</v>
      </c>
      <c r="J69" s="11" t="s">
        <v>777</v>
      </c>
      <c r="K69" s="11" t="s">
        <v>217</v>
      </c>
      <c r="L69" s="11" t="s">
        <v>810</v>
      </c>
      <c r="M69" s="11" t="s">
        <v>2341</v>
      </c>
      <c r="N69" s="11" t="s">
        <v>811</v>
      </c>
      <c r="O69" s="11" t="s">
        <v>812</v>
      </c>
      <c r="P69" s="11" t="s">
        <v>222</v>
      </c>
      <c r="Q69" s="11" t="s">
        <v>795</v>
      </c>
      <c r="R69" s="11" t="s">
        <v>813</v>
      </c>
      <c r="S69" s="11" t="s">
        <v>303</v>
      </c>
      <c r="T69" s="11"/>
      <c r="U69" s="28" t="s">
        <v>814</v>
      </c>
    </row>
    <row r="70" spans="1:21" ht="96.6" hidden="1">
      <c r="A70" s="11" t="s">
        <v>815</v>
      </c>
      <c r="B70" s="11" t="s">
        <v>59</v>
      </c>
      <c r="C70" s="11">
        <v>13</v>
      </c>
      <c r="D70" s="11" t="s">
        <v>89</v>
      </c>
      <c r="E70" s="11" t="s">
        <v>226</v>
      </c>
      <c r="F70" s="11" t="s">
        <v>816</v>
      </c>
      <c r="G70" s="11" t="s">
        <v>817</v>
      </c>
      <c r="H70" s="11" t="s">
        <v>93</v>
      </c>
      <c r="I70" s="16">
        <v>0.75</v>
      </c>
      <c r="J70" s="11" t="s">
        <v>2342</v>
      </c>
      <c r="K70" s="11" t="s">
        <v>818</v>
      </c>
      <c r="L70" s="11" t="s">
        <v>819</v>
      </c>
      <c r="M70" s="11" t="s">
        <v>820</v>
      </c>
      <c r="N70" s="11" t="s">
        <v>821</v>
      </c>
      <c r="O70" s="11" t="s">
        <v>822</v>
      </c>
      <c r="P70" s="11" t="s">
        <v>115</v>
      </c>
      <c r="Q70" s="11" t="s">
        <v>823</v>
      </c>
      <c r="R70" s="11" t="s">
        <v>824</v>
      </c>
      <c r="S70" s="11" t="s">
        <v>303</v>
      </c>
      <c r="T70" s="11"/>
      <c r="U70" s="28" t="s">
        <v>825</v>
      </c>
    </row>
    <row r="71" spans="1:21" ht="69" hidden="1">
      <c r="A71" s="11" t="s">
        <v>826</v>
      </c>
      <c r="B71" s="11" t="s">
        <v>59</v>
      </c>
      <c r="C71" s="11">
        <v>14</v>
      </c>
      <c r="D71" s="11" t="s">
        <v>89</v>
      </c>
      <c r="E71" s="11" t="s">
        <v>238</v>
      </c>
      <c r="F71" s="11" t="s">
        <v>827</v>
      </c>
      <c r="G71" s="11" t="s">
        <v>828</v>
      </c>
      <c r="H71" s="11" t="s">
        <v>109</v>
      </c>
      <c r="I71" s="16">
        <v>1</v>
      </c>
      <c r="J71" s="11" t="s">
        <v>241</v>
      </c>
      <c r="K71" s="11" t="s">
        <v>101</v>
      </c>
      <c r="L71" s="11" t="s">
        <v>829</v>
      </c>
      <c r="M71" s="11" t="s">
        <v>2315</v>
      </c>
      <c r="N71" s="11" t="s">
        <v>243</v>
      </c>
      <c r="O71" s="11" t="s">
        <v>830</v>
      </c>
      <c r="P71" s="11" t="s">
        <v>831</v>
      </c>
      <c r="Q71" s="11" t="s">
        <v>815</v>
      </c>
      <c r="R71" s="11" t="s">
        <v>246</v>
      </c>
      <c r="S71" s="11" t="s">
        <v>303</v>
      </c>
      <c r="T71" s="11" t="s">
        <v>832</v>
      </c>
      <c r="U71" s="28" t="s">
        <v>833</v>
      </c>
    </row>
    <row r="72" spans="1:21" ht="110.4" hidden="1">
      <c r="A72" s="11" t="s">
        <v>834</v>
      </c>
      <c r="B72" s="11" t="s">
        <v>60</v>
      </c>
      <c r="C72" s="11">
        <v>1</v>
      </c>
      <c r="D72" s="11" t="s">
        <v>89</v>
      </c>
      <c r="E72" s="11" t="s">
        <v>835</v>
      </c>
      <c r="F72" s="11" t="s">
        <v>836</v>
      </c>
      <c r="G72" s="11" t="s">
        <v>837</v>
      </c>
      <c r="H72" s="11" t="s">
        <v>109</v>
      </c>
      <c r="I72" s="16">
        <v>0.75</v>
      </c>
      <c r="J72" s="11" t="s">
        <v>755</v>
      </c>
      <c r="K72" s="11" t="s">
        <v>838</v>
      </c>
      <c r="L72" s="11" t="s">
        <v>839</v>
      </c>
      <c r="M72" s="11" t="s">
        <v>840</v>
      </c>
      <c r="N72" s="11" t="s">
        <v>841</v>
      </c>
      <c r="O72" s="11" t="s">
        <v>842</v>
      </c>
      <c r="P72" s="11" t="s">
        <v>843</v>
      </c>
      <c r="Q72" s="11" t="s">
        <v>826</v>
      </c>
      <c r="R72" s="11" t="s">
        <v>844</v>
      </c>
      <c r="S72" s="11" t="s">
        <v>303</v>
      </c>
      <c r="T72" s="11"/>
      <c r="U72" s="28" t="s">
        <v>845</v>
      </c>
    </row>
    <row r="73" spans="1:21" ht="110.4" hidden="1">
      <c r="A73" s="11" t="s">
        <v>846</v>
      </c>
      <c r="B73" s="11" t="s">
        <v>60</v>
      </c>
      <c r="C73" s="11">
        <v>2</v>
      </c>
      <c r="D73" s="11" t="s">
        <v>89</v>
      </c>
      <c r="E73" s="11" t="s">
        <v>847</v>
      </c>
      <c r="F73" s="11" t="s">
        <v>848</v>
      </c>
      <c r="G73" s="11" t="s">
        <v>849</v>
      </c>
      <c r="H73" s="11" t="s">
        <v>123</v>
      </c>
      <c r="I73" s="16">
        <v>1.5</v>
      </c>
      <c r="J73" s="11" t="s">
        <v>850</v>
      </c>
      <c r="K73" s="11" t="s">
        <v>838</v>
      </c>
      <c r="L73" s="11" t="s">
        <v>851</v>
      </c>
      <c r="M73" s="11" t="s">
        <v>852</v>
      </c>
      <c r="N73" s="11" t="s">
        <v>853</v>
      </c>
      <c r="O73" s="11" t="s">
        <v>854</v>
      </c>
      <c r="P73" s="11" t="s">
        <v>855</v>
      </c>
      <c r="Q73" s="11" t="s">
        <v>834</v>
      </c>
      <c r="R73" s="11" t="s">
        <v>856</v>
      </c>
      <c r="S73" s="11" t="s">
        <v>303</v>
      </c>
      <c r="T73" s="11"/>
      <c r="U73" s="28" t="s">
        <v>857</v>
      </c>
    </row>
    <row r="74" spans="1:21" ht="110.4" hidden="1">
      <c r="A74" s="11" t="s">
        <v>858</v>
      </c>
      <c r="B74" s="11" t="s">
        <v>60</v>
      </c>
      <c r="C74" s="11">
        <v>3</v>
      </c>
      <c r="D74" s="11" t="s">
        <v>89</v>
      </c>
      <c r="E74" s="11" t="s">
        <v>859</v>
      </c>
      <c r="F74" s="11" t="s">
        <v>860</v>
      </c>
      <c r="G74" s="11" t="s">
        <v>861</v>
      </c>
      <c r="H74" s="11" t="s">
        <v>123</v>
      </c>
      <c r="I74" s="16">
        <v>1</v>
      </c>
      <c r="J74" s="11" t="s">
        <v>850</v>
      </c>
      <c r="K74" s="11" t="s">
        <v>862</v>
      </c>
      <c r="L74" s="11" t="s">
        <v>863</v>
      </c>
      <c r="M74" s="11" t="s">
        <v>864</v>
      </c>
      <c r="N74" s="11" t="s">
        <v>865</v>
      </c>
      <c r="O74" s="11" t="s">
        <v>866</v>
      </c>
      <c r="P74" s="11" t="s">
        <v>327</v>
      </c>
      <c r="Q74" s="11" t="s">
        <v>867</v>
      </c>
      <c r="R74" s="11" t="s">
        <v>868</v>
      </c>
      <c r="S74" s="11" t="s">
        <v>303</v>
      </c>
      <c r="T74" s="11"/>
      <c r="U74" s="28" t="s">
        <v>869</v>
      </c>
    </row>
    <row r="75" spans="1:21" ht="110.4" hidden="1">
      <c r="A75" s="11" t="s">
        <v>870</v>
      </c>
      <c r="B75" s="11" t="s">
        <v>60</v>
      </c>
      <c r="C75" s="11">
        <v>4</v>
      </c>
      <c r="D75" s="11" t="s">
        <v>89</v>
      </c>
      <c r="E75" s="11" t="s">
        <v>871</v>
      </c>
      <c r="F75" s="11" t="s">
        <v>872</v>
      </c>
      <c r="G75" s="11" t="s">
        <v>873</v>
      </c>
      <c r="H75" s="11" t="s">
        <v>123</v>
      </c>
      <c r="I75" s="16">
        <v>1</v>
      </c>
      <c r="J75" s="11" t="s">
        <v>850</v>
      </c>
      <c r="K75" s="11" t="s">
        <v>874</v>
      </c>
      <c r="L75" s="11" t="s">
        <v>875</v>
      </c>
      <c r="M75" s="11" t="s">
        <v>876</v>
      </c>
      <c r="N75" s="11" t="s">
        <v>877</v>
      </c>
      <c r="O75" s="11" t="s">
        <v>878</v>
      </c>
      <c r="P75" s="11" t="s">
        <v>879</v>
      </c>
      <c r="Q75" s="11" t="s">
        <v>858</v>
      </c>
      <c r="R75" s="11" t="s">
        <v>880</v>
      </c>
      <c r="S75" s="11" t="s">
        <v>303</v>
      </c>
      <c r="T75" s="11"/>
      <c r="U75" s="28" t="s">
        <v>881</v>
      </c>
    </row>
    <row r="76" spans="1:21" ht="110.4" hidden="1">
      <c r="A76" s="11" t="s">
        <v>882</v>
      </c>
      <c r="B76" s="11" t="s">
        <v>60</v>
      </c>
      <c r="C76" s="11">
        <v>5</v>
      </c>
      <c r="D76" s="11" t="s">
        <v>89</v>
      </c>
      <c r="E76" s="11" t="s">
        <v>883</v>
      </c>
      <c r="F76" s="11" t="s">
        <v>884</v>
      </c>
      <c r="G76" s="11" t="s">
        <v>885</v>
      </c>
      <c r="H76" s="11" t="s">
        <v>123</v>
      </c>
      <c r="I76" s="16">
        <v>1</v>
      </c>
      <c r="J76" s="11" t="s">
        <v>850</v>
      </c>
      <c r="K76" s="11" t="s">
        <v>503</v>
      </c>
      <c r="L76" s="11" t="s">
        <v>886</v>
      </c>
      <c r="M76" s="11" t="s">
        <v>852</v>
      </c>
      <c r="N76" s="11" t="s">
        <v>887</v>
      </c>
      <c r="O76" s="11" t="s">
        <v>888</v>
      </c>
      <c r="P76" s="11" t="s">
        <v>855</v>
      </c>
      <c r="Q76" s="11" t="s">
        <v>846</v>
      </c>
      <c r="R76" s="11" t="s">
        <v>889</v>
      </c>
      <c r="S76" s="11" t="s">
        <v>303</v>
      </c>
      <c r="T76" s="11"/>
      <c r="U76" s="28" t="s">
        <v>890</v>
      </c>
    </row>
    <row r="77" spans="1:21" ht="110.4" hidden="1">
      <c r="A77" s="11" t="s">
        <v>891</v>
      </c>
      <c r="B77" s="11" t="s">
        <v>60</v>
      </c>
      <c r="C77" s="11">
        <v>6</v>
      </c>
      <c r="D77" s="11" t="s">
        <v>89</v>
      </c>
      <c r="E77" s="11" t="s">
        <v>892</v>
      </c>
      <c r="F77" s="11" t="s">
        <v>893</v>
      </c>
      <c r="G77" s="11" t="s">
        <v>894</v>
      </c>
      <c r="H77" s="11" t="s">
        <v>123</v>
      </c>
      <c r="I77" s="16">
        <v>1.25</v>
      </c>
      <c r="J77" s="11" t="s">
        <v>895</v>
      </c>
      <c r="K77" s="11" t="s">
        <v>491</v>
      </c>
      <c r="L77" s="11" t="s">
        <v>896</v>
      </c>
      <c r="M77" s="11" t="s">
        <v>621</v>
      </c>
      <c r="N77" s="11" t="s">
        <v>897</v>
      </c>
      <c r="O77" s="11" t="s">
        <v>898</v>
      </c>
      <c r="P77" s="11" t="s">
        <v>496</v>
      </c>
      <c r="Q77" s="11" t="s">
        <v>899</v>
      </c>
      <c r="R77" s="11" t="s">
        <v>900</v>
      </c>
      <c r="S77" s="11" t="s">
        <v>303</v>
      </c>
      <c r="T77" s="11"/>
      <c r="U77" s="28" t="s">
        <v>901</v>
      </c>
    </row>
    <row r="78" spans="1:21" ht="110.4" hidden="1">
      <c r="A78" s="11" t="s">
        <v>902</v>
      </c>
      <c r="B78" s="11" t="s">
        <v>60</v>
      </c>
      <c r="C78" s="11">
        <v>7</v>
      </c>
      <c r="D78" s="11" t="s">
        <v>89</v>
      </c>
      <c r="E78" s="11" t="s">
        <v>903</v>
      </c>
      <c r="F78" s="11" t="s">
        <v>904</v>
      </c>
      <c r="G78" s="11" t="s">
        <v>905</v>
      </c>
      <c r="H78" s="11" t="s">
        <v>109</v>
      </c>
      <c r="I78" s="16">
        <v>1</v>
      </c>
      <c r="J78" s="11" t="s">
        <v>895</v>
      </c>
      <c r="K78" s="11" t="s">
        <v>906</v>
      </c>
      <c r="L78" s="11" t="s">
        <v>907</v>
      </c>
      <c r="M78" s="11" t="s">
        <v>908</v>
      </c>
      <c r="N78" s="11" t="s">
        <v>909</v>
      </c>
      <c r="O78" s="11" t="s">
        <v>910</v>
      </c>
      <c r="P78" s="11" t="s">
        <v>164</v>
      </c>
      <c r="Q78" s="11" t="s">
        <v>891</v>
      </c>
      <c r="R78" s="11" t="s">
        <v>911</v>
      </c>
      <c r="S78" s="11" t="s">
        <v>303</v>
      </c>
      <c r="T78" s="11"/>
      <c r="U78" s="28" t="s">
        <v>912</v>
      </c>
    </row>
    <row r="79" spans="1:21" ht="96.6" hidden="1">
      <c r="A79" s="11" t="s">
        <v>913</v>
      </c>
      <c r="B79" s="11" t="s">
        <v>60</v>
      </c>
      <c r="C79" s="11">
        <v>8</v>
      </c>
      <c r="D79" s="11" t="s">
        <v>89</v>
      </c>
      <c r="E79" s="11" t="s">
        <v>914</v>
      </c>
      <c r="F79" s="11" t="s">
        <v>915</v>
      </c>
      <c r="G79" s="11" t="s">
        <v>916</v>
      </c>
      <c r="H79" s="11" t="s">
        <v>917</v>
      </c>
      <c r="I79" s="16">
        <v>1</v>
      </c>
      <c r="J79" s="11" t="s">
        <v>895</v>
      </c>
      <c r="K79" s="11" t="s">
        <v>491</v>
      </c>
      <c r="L79" s="11" t="s">
        <v>918</v>
      </c>
      <c r="M79" s="11" t="s">
        <v>919</v>
      </c>
      <c r="N79" s="11" t="s">
        <v>920</v>
      </c>
      <c r="O79" s="11" t="s">
        <v>921</v>
      </c>
      <c r="P79" s="11" t="s">
        <v>922</v>
      </c>
      <c r="Q79" s="11" t="s">
        <v>923</v>
      </c>
      <c r="R79" s="11" t="s">
        <v>924</v>
      </c>
      <c r="S79" s="11" t="s">
        <v>303</v>
      </c>
      <c r="T79" s="11"/>
      <c r="U79" s="28" t="s">
        <v>925</v>
      </c>
    </row>
    <row r="80" spans="1:21" ht="110.4" hidden="1">
      <c r="A80" t="s">
        <v>926</v>
      </c>
      <c r="B80" t="s">
        <v>60</v>
      </c>
      <c r="C80">
        <v>9</v>
      </c>
      <c r="D80" t="s">
        <v>89</v>
      </c>
      <c r="E80" t="s">
        <v>927</v>
      </c>
      <c r="F80" t="s">
        <v>928</v>
      </c>
      <c r="G80" t="s">
        <v>929</v>
      </c>
      <c r="H80" t="s">
        <v>109</v>
      </c>
      <c r="I80">
        <v>1</v>
      </c>
      <c r="J80" t="s">
        <v>895</v>
      </c>
      <c r="K80" t="s">
        <v>930</v>
      </c>
      <c r="L80" t="s">
        <v>931</v>
      </c>
      <c r="M80" t="s">
        <v>932</v>
      </c>
      <c r="N80" t="s">
        <v>933</v>
      </c>
      <c r="O80" t="s">
        <v>934</v>
      </c>
      <c r="P80" t="s">
        <v>164</v>
      </c>
      <c r="Q80" t="s">
        <v>935</v>
      </c>
      <c r="R80" t="s">
        <v>936</v>
      </c>
      <c r="S80" t="s">
        <v>303</v>
      </c>
      <c r="U80" s="28" t="s">
        <v>937</v>
      </c>
    </row>
    <row r="81" spans="1:21" ht="110.4" hidden="1">
      <c r="A81" t="s">
        <v>938</v>
      </c>
      <c r="B81" t="s">
        <v>60</v>
      </c>
      <c r="C81">
        <v>10</v>
      </c>
      <c r="D81" t="s">
        <v>89</v>
      </c>
      <c r="E81" t="s">
        <v>939</v>
      </c>
      <c r="F81" t="s">
        <v>940</v>
      </c>
      <c r="G81" t="s">
        <v>941</v>
      </c>
      <c r="H81" t="s">
        <v>109</v>
      </c>
      <c r="I81">
        <v>1.25</v>
      </c>
      <c r="J81" t="s">
        <v>942</v>
      </c>
      <c r="K81" t="s">
        <v>469</v>
      </c>
      <c r="L81" t="s">
        <v>943</v>
      </c>
      <c r="M81" t="s">
        <v>944</v>
      </c>
      <c r="N81" t="s">
        <v>945</v>
      </c>
      <c r="O81" t="s">
        <v>946</v>
      </c>
      <c r="P81" t="s">
        <v>164</v>
      </c>
      <c r="Q81" t="s">
        <v>947</v>
      </c>
      <c r="R81" t="s">
        <v>948</v>
      </c>
      <c r="S81" t="s">
        <v>303</v>
      </c>
      <c r="U81" s="28" t="s">
        <v>949</v>
      </c>
    </row>
    <row r="82" spans="1:21" ht="110.4" hidden="1">
      <c r="A82" t="s">
        <v>950</v>
      </c>
      <c r="B82" t="s">
        <v>60</v>
      </c>
      <c r="C82">
        <v>11</v>
      </c>
      <c r="D82" t="s">
        <v>89</v>
      </c>
      <c r="E82" t="s">
        <v>951</v>
      </c>
      <c r="F82" t="s">
        <v>952</v>
      </c>
      <c r="G82" t="s">
        <v>953</v>
      </c>
      <c r="H82" t="s">
        <v>93</v>
      </c>
      <c r="I82">
        <v>0.75</v>
      </c>
      <c r="J82" t="s">
        <v>942</v>
      </c>
      <c r="K82" t="s">
        <v>357</v>
      </c>
      <c r="L82" t="s">
        <v>954</v>
      </c>
      <c r="M82" t="s">
        <v>2343</v>
      </c>
      <c r="N82" t="s">
        <v>955</v>
      </c>
      <c r="O82" t="s">
        <v>956</v>
      </c>
      <c r="P82" t="s">
        <v>518</v>
      </c>
      <c r="Q82" t="s">
        <v>938</v>
      </c>
      <c r="R82" t="s">
        <v>957</v>
      </c>
      <c r="S82" t="s">
        <v>303</v>
      </c>
      <c r="U82" s="28" t="s">
        <v>958</v>
      </c>
    </row>
    <row r="83" spans="1:21" ht="110.4" hidden="1">
      <c r="A83" t="s">
        <v>959</v>
      </c>
      <c r="B83" t="s">
        <v>60</v>
      </c>
      <c r="C83">
        <v>12</v>
      </c>
      <c r="D83" t="s">
        <v>89</v>
      </c>
      <c r="E83" t="s">
        <v>960</v>
      </c>
      <c r="F83" t="s">
        <v>961</v>
      </c>
      <c r="G83" t="s">
        <v>962</v>
      </c>
      <c r="H83" t="s">
        <v>93</v>
      </c>
      <c r="I83">
        <v>1.25</v>
      </c>
      <c r="J83" t="s">
        <v>777</v>
      </c>
      <c r="K83" t="s">
        <v>206</v>
      </c>
      <c r="L83" t="s">
        <v>963</v>
      </c>
      <c r="M83" t="s">
        <v>964</v>
      </c>
      <c r="N83" t="s">
        <v>965</v>
      </c>
      <c r="O83" t="s">
        <v>966</v>
      </c>
      <c r="P83" t="s">
        <v>967</v>
      </c>
      <c r="Q83" t="s">
        <v>950</v>
      </c>
      <c r="R83" t="s">
        <v>968</v>
      </c>
      <c r="S83" t="s">
        <v>303</v>
      </c>
      <c r="U83" s="28" t="s">
        <v>969</v>
      </c>
    </row>
    <row r="84" spans="1:21" ht="110.4" hidden="1">
      <c r="A84" t="s">
        <v>970</v>
      </c>
      <c r="B84" t="s">
        <v>60</v>
      </c>
      <c r="C84">
        <v>13</v>
      </c>
      <c r="D84" t="s">
        <v>89</v>
      </c>
      <c r="E84" t="s">
        <v>971</v>
      </c>
      <c r="F84" t="s">
        <v>972</v>
      </c>
      <c r="G84" t="s">
        <v>973</v>
      </c>
      <c r="H84" t="s">
        <v>93</v>
      </c>
      <c r="I84">
        <v>1</v>
      </c>
      <c r="J84" t="s">
        <v>942</v>
      </c>
      <c r="K84" t="s">
        <v>101</v>
      </c>
      <c r="L84" t="s">
        <v>974</v>
      </c>
      <c r="M84" t="s">
        <v>975</v>
      </c>
      <c r="N84" t="s">
        <v>976</v>
      </c>
      <c r="O84" t="s">
        <v>977</v>
      </c>
      <c r="P84" t="s">
        <v>115</v>
      </c>
      <c r="Q84" t="s">
        <v>978</v>
      </c>
      <c r="R84" t="s">
        <v>979</v>
      </c>
      <c r="S84" t="s">
        <v>303</v>
      </c>
      <c r="U84" s="28" t="s">
        <v>980</v>
      </c>
    </row>
    <row r="85" spans="1:21" ht="69" hidden="1">
      <c r="A85" t="s">
        <v>981</v>
      </c>
      <c r="B85" t="s">
        <v>60</v>
      </c>
      <c r="C85">
        <v>14</v>
      </c>
      <c r="D85" t="s">
        <v>89</v>
      </c>
      <c r="E85" t="s">
        <v>238</v>
      </c>
      <c r="F85" t="s">
        <v>982</v>
      </c>
      <c r="G85" t="s">
        <v>983</v>
      </c>
      <c r="H85" t="s">
        <v>109</v>
      </c>
      <c r="I85">
        <v>1.5</v>
      </c>
      <c r="J85" t="s">
        <v>241</v>
      </c>
      <c r="K85" t="s">
        <v>101</v>
      </c>
      <c r="L85" t="s">
        <v>984</v>
      </c>
      <c r="M85" t="s">
        <v>2316</v>
      </c>
      <c r="N85" t="s">
        <v>985</v>
      </c>
      <c r="O85" t="s">
        <v>986</v>
      </c>
      <c r="P85" t="s">
        <v>987</v>
      </c>
      <c r="Q85" t="s">
        <v>970</v>
      </c>
      <c r="R85" t="s">
        <v>246</v>
      </c>
      <c r="S85" t="s">
        <v>303</v>
      </c>
      <c r="T85" t="s">
        <v>988</v>
      </c>
      <c r="U85" s="28" t="s">
        <v>989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topLeftCell="A20" workbookViewId="0">
      <selection activeCell="M10" sqref="M10:M2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9" t="s">
        <v>990</v>
      </c>
      <c r="B1" s="59"/>
      <c r="C1" s="59"/>
      <c r="D1" s="59"/>
      <c r="E1" s="59"/>
      <c r="F1" s="59"/>
      <c r="G1" s="59"/>
      <c r="H1" s="59"/>
      <c r="I1" s="59"/>
      <c r="J1" s="59"/>
      <c r="K1" s="59"/>
      <c r="L1" s="59"/>
      <c r="M1" s="59"/>
      <c r="N1" s="59"/>
      <c r="O1" s="59"/>
    </row>
    <row r="2" spans="1:16" ht="31.95" customHeight="1">
      <c r="A2" s="60" t="s">
        <v>991</v>
      </c>
      <c r="B2" s="60"/>
      <c r="C2" s="60"/>
      <c r="D2" s="60"/>
      <c r="E2" s="60"/>
      <c r="F2" s="60"/>
      <c r="G2" s="60"/>
      <c r="H2" s="60"/>
      <c r="I2" s="60"/>
      <c r="J2" s="60"/>
      <c r="K2" s="60"/>
      <c r="L2" s="60"/>
      <c r="M2" s="60"/>
      <c r="N2" s="60"/>
      <c r="O2" s="60"/>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0.56521739130434778</v>
      </c>
      <c r="B5" s="100"/>
      <c r="D5" s="103">
        <f>COUNTIF(O10:O40,"Blocked")</f>
        <v>0</v>
      </c>
      <c r="E5" s="104"/>
      <c r="G5" s="107" t="s">
        <v>993</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2294</v>
      </c>
      <c r="M13" s="11" t="s">
        <v>140</v>
      </c>
      <c r="N13" s="11" t="s">
        <v>141</v>
      </c>
      <c r="O13" s="11" t="s">
        <v>46</v>
      </c>
      <c r="P13" s="29" t="s">
        <v>142</v>
      </c>
    </row>
    <row r="14" spans="1:16" ht="193.8">
      <c r="A14" s="11" t="s">
        <v>143</v>
      </c>
      <c r="B14" s="11">
        <v>5</v>
      </c>
      <c r="C14" s="11" t="s">
        <v>89</v>
      </c>
      <c r="D14" s="11" t="s">
        <v>144</v>
      </c>
      <c r="E14" s="11" t="s">
        <v>145</v>
      </c>
      <c r="F14" s="11" t="s">
        <v>146</v>
      </c>
      <c r="G14" s="11" t="s">
        <v>123</v>
      </c>
      <c r="H14" s="16">
        <v>1.5</v>
      </c>
      <c r="I14" s="11" t="s">
        <v>147</v>
      </c>
      <c r="J14" s="11" t="s">
        <v>148</v>
      </c>
      <c r="K14" s="11" t="s">
        <v>149</v>
      </c>
      <c r="L14" s="11" t="s">
        <v>2317</v>
      </c>
      <c r="M14" s="11" t="s">
        <v>151</v>
      </c>
      <c r="N14" s="11" t="s">
        <v>153</v>
      </c>
      <c r="O14" s="11" t="s">
        <v>46</v>
      </c>
      <c r="P14" s="29" t="s">
        <v>154</v>
      </c>
    </row>
    <row r="15" spans="1:16" ht="110.4">
      <c r="A15" s="11" t="s">
        <v>155</v>
      </c>
      <c r="B15" s="11">
        <v>6</v>
      </c>
      <c r="C15" s="11" t="s">
        <v>89</v>
      </c>
      <c r="D15" s="11" t="s">
        <v>156</v>
      </c>
      <c r="E15" s="11" t="s">
        <v>157</v>
      </c>
      <c r="F15" s="11" t="s">
        <v>158</v>
      </c>
      <c r="G15" s="11" t="s">
        <v>123</v>
      </c>
      <c r="H15" s="16">
        <v>1.25</v>
      </c>
      <c r="I15" s="11" t="s">
        <v>159</v>
      </c>
      <c r="J15" s="11" t="s">
        <v>101</v>
      </c>
      <c r="K15" s="11" t="s">
        <v>160</v>
      </c>
      <c r="L15" s="11" t="s">
        <v>161</v>
      </c>
      <c r="M15" s="11" t="s">
        <v>163</v>
      </c>
      <c r="N15" s="11" t="s">
        <v>166</v>
      </c>
      <c r="O15" s="11" t="s">
        <v>46</v>
      </c>
      <c r="P15" s="29" t="s">
        <v>167</v>
      </c>
    </row>
    <row r="16" spans="1:16" ht="193.8">
      <c r="A16" s="11" t="s">
        <v>168</v>
      </c>
      <c r="B16" s="11">
        <v>7</v>
      </c>
      <c r="C16" s="11" t="s">
        <v>89</v>
      </c>
      <c r="D16" s="11" t="s">
        <v>169</v>
      </c>
      <c r="E16" s="11" t="s">
        <v>170</v>
      </c>
      <c r="F16" s="11" t="s">
        <v>171</v>
      </c>
      <c r="G16" s="11" t="s">
        <v>123</v>
      </c>
      <c r="H16" s="16">
        <v>1</v>
      </c>
      <c r="I16" s="11" t="s">
        <v>124</v>
      </c>
      <c r="J16" s="11" t="s">
        <v>101</v>
      </c>
      <c r="K16" s="11" t="s">
        <v>172</v>
      </c>
      <c r="L16" s="11" t="s">
        <v>2318</v>
      </c>
      <c r="M16" s="11" t="s">
        <v>174</v>
      </c>
      <c r="N16" s="11" t="s">
        <v>176</v>
      </c>
      <c r="O16" s="11" t="s">
        <v>46</v>
      </c>
      <c r="P16" s="29" t="s">
        <v>177</v>
      </c>
    </row>
    <row r="17" spans="1:16" ht="110.4">
      <c r="A17" s="11" t="s">
        <v>178</v>
      </c>
      <c r="B17" s="11">
        <v>8</v>
      </c>
      <c r="C17" s="11" t="s">
        <v>89</v>
      </c>
      <c r="D17" s="11" t="s">
        <v>179</v>
      </c>
      <c r="E17" s="11" t="s">
        <v>180</v>
      </c>
      <c r="F17" s="11" t="s">
        <v>181</v>
      </c>
      <c r="G17" s="11" t="s">
        <v>123</v>
      </c>
      <c r="H17" s="16">
        <v>1</v>
      </c>
      <c r="I17" s="11" t="s">
        <v>159</v>
      </c>
      <c r="J17" s="11" t="s">
        <v>182</v>
      </c>
      <c r="K17" s="11" t="s">
        <v>183</v>
      </c>
      <c r="L17" s="11" t="s">
        <v>184</v>
      </c>
      <c r="M17" s="11" t="s">
        <v>186</v>
      </c>
      <c r="N17" s="11" t="s">
        <v>187</v>
      </c>
      <c r="O17" s="11" t="s">
        <v>46</v>
      </c>
      <c r="P17" s="29" t="s">
        <v>188</v>
      </c>
    </row>
    <row r="18" spans="1:16" ht="205.2">
      <c r="A18" s="11" t="s">
        <v>189</v>
      </c>
      <c r="B18" s="11">
        <v>9</v>
      </c>
      <c r="C18" s="11" t="s">
        <v>89</v>
      </c>
      <c r="D18" s="11" t="s">
        <v>190</v>
      </c>
      <c r="E18" s="11" t="s">
        <v>191</v>
      </c>
      <c r="F18" s="11" t="s">
        <v>192</v>
      </c>
      <c r="G18" s="11" t="s">
        <v>123</v>
      </c>
      <c r="H18" s="16">
        <v>1.25</v>
      </c>
      <c r="I18" s="11" t="s">
        <v>193</v>
      </c>
      <c r="J18" s="11" t="s">
        <v>194</v>
      </c>
      <c r="K18" s="11" t="s">
        <v>195</v>
      </c>
      <c r="L18" s="11" t="s">
        <v>2319</v>
      </c>
      <c r="M18" s="11" t="s">
        <v>197</v>
      </c>
      <c r="N18" s="11" t="s">
        <v>199</v>
      </c>
      <c r="O18" s="11" t="s">
        <v>46</v>
      </c>
      <c r="P18" s="29" t="s">
        <v>201</v>
      </c>
    </row>
    <row r="19" spans="1:16" ht="193.8">
      <c r="A19" s="11" t="s">
        <v>202</v>
      </c>
      <c r="B19" s="11">
        <v>10</v>
      </c>
      <c r="C19" s="11" t="s">
        <v>89</v>
      </c>
      <c r="D19" s="11" t="s">
        <v>203</v>
      </c>
      <c r="E19" s="11" t="s">
        <v>204</v>
      </c>
      <c r="F19" s="11" t="s">
        <v>205</v>
      </c>
      <c r="G19" s="11" t="s">
        <v>123</v>
      </c>
      <c r="H19" s="16">
        <v>1.5</v>
      </c>
      <c r="I19" s="11" t="s">
        <v>193</v>
      </c>
      <c r="J19" s="11" t="s">
        <v>206</v>
      </c>
      <c r="K19" s="11" t="s">
        <v>207</v>
      </c>
      <c r="L19" s="11" t="s">
        <v>2320</v>
      </c>
      <c r="M19" s="11" t="s">
        <v>209</v>
      </c>
      <c r="N19" s="11" t="s">
        <v>211</v>
      </c>
      <c r="O19" s="11" t="s">
        <v>46</v>
      </c>
      <c r="P19" s="29" t="s">
        <v>212</v>
      </c>
    </row>
    <row r="20" spans="1:16" ht="110.4">
      <c r="A20" s="11" t="s">
        <v>213</v>
      </c>
      <c r="B20" s="11">
        <v>11</v>
      </c>
      <c r="C20" s="11" t="s">
        <v>89</v>
      </c>
      <c r="D20" s="11" t="s">
        <v>214</v>
      </c>
      <c r="E20" s="11" t="s">
        <v>215</v>
      </c>
      <c r="F20" s="11" t="s">
        <v>216</v>
      </c>
      <c r="G20" s="11" t="s">
        <v>123</v>
      </c>
      <c r="H20" s="16">
        <v>1</v>
      </c>
      <c r="I20" s="11" t="s">
        <v>193</v>
      </c>
      <c r="J20" s="11" t="s">
        <v>217</v>
      </c>
      <c r="K20" s="11" t="s">
        <v>218</v>
      </c>
      <c r="L20" s="11" t="s">
        <v>219</v>
      </c>
      <c r="M20" s="11" t="s">
        <v>221</v>
      </c>
      <c r="N20" s="11" t="s">
        <v>223</v>
      </c>
      <c r="O20" s="11" t="s">
        <v>46</v>
      </c>
      <c r="P20" s="29" t="s">
        <v>224</v>
      </c>
    </row>
    <row r="21" spans="1:16" ht="193.8">
      <c r="A21" s="11" t="s">
        <v>225</v>
      </c>
      <c r="B21" s="11">
        <v>12</v>
      </c>
      <c r="C21" s="11" t="s">
        <v>89</v>
      </c>
      <c r="D21" s="11" t="s">
        <v>226</v>
      </c>
      <c r="E21" s="11" t="s">
        <v>227</v>
      </c>
      <c r="F21" s="11" t="s">
        <v>228</v>
      </c>
      <c r="G21" s="11" t="s">
        <v>93</v>
      </c>
      <c r="H21" s="16">
        <v>1</v>
      </c>
      <c r="I21" s="11" t="s">
        <v>2321</v>
      </c>
      <c r="J21" s="11" t="s">
        <v>229</v>
      </c>
      <c r="K21" s="11" t="s">
        <v>230</v>
      </c>
      <c r="L21" s="11" t="s">
        <v>2322</v>
      </c>
      <c r="M21" s="11" t="s">
        <v>232</v>
      </c>
      <c r="N21" s="11" t="s">
        <v>234</v>
      </c>
      <c r="O21" s="11" t="s">
        <v>46</v>
      </c>
      <c r="P21" s="29" t="s">
        <v>236</v>
      </c>
    </row>
    <row r="22" spans="1:16" ht="82.8">
      <c r="A22" t="s">
        <v>237</v>
      </c>
      <c r="B22">
        <v>13</v>
      </c>
      <c r="C22" t="s">
        <v>89</v>
      </c>
      <c r="D22" t="s">
        <v>238</v>
      </c>
      <c r="E22" t="s">
        <v>239</v>
      </c>
      <c r="F22" t="s">
        <v>240</v>
      </c>
      <c r="G22" t="s">
        <v>109</v>
      </c>
      <c r="H22">
        <v>1</v>
      </c>
      <c r="I22" t="s">
        <v>241</v>
      </c>
      <c r="J22" t="s">
        <v>101</v>
      </c>
      <c r="K22" t="s">
        <v>242</v>
      </c>
      <c r="L22" t="s">
        <v>2311</v>
      </c>
      <c r="M22" t="s">
        <v>244</v>
      </c>
      <c r="N22" t="s">
        <v>246</v>
      </c>
      <c r="O22" s="11" t="s">
        <v>46</v>
      </c>
      <c r="P22" s="29" t="s">
        <v>248</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94</v>
      </c>
      <c r="C26" s="22" t="s">
        <v>1010</v>
      </c>
      <c r="D26" s="22" t="s">
        <v>1011</v>
      </c>
      <c r="E26" s="22" t="s">
        <v>1012</v>
      </c>
      <c r="F26" s="22" t="s">
        <v>1013</v>
      </c>
      <c r="G26" s="22" t="s">
        <v>1014</v>
      </c>
    </row>
    <row r="27" spans="1:16" ht="52.05" customHeight="1">
      <c r="A27" s="34">
        <v>2</v>
      </c>
      <c r="B27" s="34" t="s">
        <v>110</v>
      </c>
      <c r="C27" s="34" t="s">
        <v>1015</v>
      </c>
      <c r="D27" s="34" t="s">
        <v>1016</v>
      </c>
      <c r="E27" s="34" t="s">
        <v>1017</v>
      </c>
      <c r="F27" s="34" t="s">
        <v>1018</v>
      </c>
      <c r="G27" s="34" t="s">
        <v>1014</v>
      </c>
    </row>
    <row r="28" spans="1:16" ht="52.05" customHeight="1">
      <c r="A28" s="22">
        <v>3</v>
      </c>
      <c r="B28" s="22" t="s">
        <v>124</v>
      </c>
      <c r="C28" s="22" t="s">
        <v>1019</v>
      </c>
      <c r="D28" s="22" t="s">
        <v>1020</v>
      </c>
      <c r="E28" s="22" t="s">
        <v>1021</v>
      </c>
      <c r="F28" s="22" t="s">
        <v>1022</v>
      </c>
      <c r="G28" s="22" t="s">
        <v>1023</v>
      </c>
    </row>
    <row r="29" spans="1:16" ht="52.05" customHeight="1">
      <c r="A29" s="34">
        <v>4</v>
      </c>
      <c r="B29" s="34" t="s">
        <v>147</v>
      </c>
      <c r="C29" s="34" t="s">
        <v>1024</v>
      </c>
      <c r="D29" s="34" t="s">
        <v>1025</v>
      </c>
      <c r="E29" s="34" t="s">
        <v>1026</v>
      </c>
      <c r="F29" s="34" t="s">
        <v>1027</v>
      </c>
      <c r="G29" s="34" t="s">
        <v>1023</v>
      </c>
    </row>
    <row r="30" spans="1:16" ht="52.05" customHeight="1">
      <c r="A30" s="22">
        <v>5</v>
      </c>
      <c r="B30" s="22" t="s">
        <v>159</v>
      </c>
      <c r="C30" s="22" t="s">
        <v>1028</v>
      </c>
      <c r="D30" s="22" t="s">
        <v>1029</v>
      </c>
      <c r="E30" s="22" t="s">
        <v>1030</v>
      </c>
      <c r="F30" s="22" t="s">
        <v>1031</v>
      </c>
      <c r="G30" s="22" t="s">
        <v>1023</v>
      </c>
    </row>
    <row r="31" spans="1:16" ht="52.05" customHeight="1">
      <c r="A31" s="34">
        <v>6</v>
      </c>
      <c r="B31" s="34" t="s">
        <v>193</v>
      </c>
      <c r="C31" s="34" t="s">
        <v>1032</v>
      </c>
      <c r="D31" s="34" t="s">
        <v>1033</v>
      </c>
      <c r="E31" s="34" t="s">
        <v>1034</v>
      </c>
      <c r="F31" s="34" t="s">
        <v>1035</v>
      </c>
      <c r="G31" s="34" t="s">
        <v>1023</v>
      </c>
    </row>
    <row r="32" spans="1:16" ht="52.05" customHeight="1">
      <c r="A32" s="35">
        <v>7</v>
      </c>
      <c r="B32" s="35" t="s">
        <v>2321</v>
      </c>
      <c r="C32" s="35" t="s">
        <v>1036</v>
      </c>
      <c r="D32" s="35" t="s">
        <v>1037</v>
      </c>
      <c r="E32" s="35" t="s">
        <v>2344</v>
      </c>
      <c r="F32" s="35" t="s">
        <v>232</v>
      </c>
      <c r="G32" s="35" t="s">
        <v>1014</v>
      </c>
    </row>
    <row r="33" spans="1:7" ht="52.05" customHeight="1">
      <c r="A33" s="35">
        <v>8</v>
      </c>
      <c r="B33" s="35" t="s">
        <v>241</v>
      </c>
      <c r="C33" s="35" t="s">
        <v>1038</v>
      </c>
      <c r="D33" s="35" t="s">
        <v>1039</v>
      </c>
      <c r="E33" s="35" t="s">
        <v>1040</v>
      </c>
      <c r="F33" s="35" t="s">
        <v>1041</v>
      </c>
      <c r="G33"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topLeftCell="A24" workbookViewId="0">
      <selection activeCell="P22" sqref="P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9" t="s">
        <v>1043</v>
      </c>
      <c r="B1" s="59"/>
      <c r="C1" s="59"/>
      <c r="D1" s="59"/>
      <c r="E1" s="59"/>
      <c r="F1" s="59"/>
      <c r="G1" s="59"/>
      <c r="H1" s="59"/>
      <c r="I1" s="59"/>
      <c r="J1" s="59"/>
      <c r="K1" s="59"/>
      <c r="L1" s="59"/>
      <c r="M1" s="59"/>
      <c r="N1" s="59"/>
      <c r="O1" s="59"/>
    </row>
    <row r="2" spans="1:16" ht="31.95" customHeight="1">
      <c r="A2" s="60" t="s">
        <v>1044</v>
      </c>
      <c r="B2" s="60"/>
      <c r="C2" s="60"/>
      <c r="D2" s="60"/>
      <c r="E2" s="60"/>
      <c r="F2" s="60"/>
      <c r="G2" s="60"/>
      <c r="H2" s="60"/>
      <c r="I2" s="60"/>
      <c r="J2" s="60"/>
      <c r="K2" s="60"/>
      <c r="L2" s="60"/>
      <c r="M2" s="60"/>
      <c r="N2" s="60"/>
      <c r="O2" s="60"/>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0.59090909090909094</v>
      </c>
      <c r="B5" s="100"/>
      <c r="D5" s="103">
        <f>COUNTIF(O10:O40,"Blocked")</f>
        <v>0</v>
      </c>
      <c r="E5" s="104"/>
      <c r="G5" s="107" t="s">
        <v>1045</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249</v>
      </c>
      <c r="B10" s="10">
        <v>1</v>
      </c>
      <c r="C10" s="10" t="s">
        <v>89</v>
      </c>
      <c r="D10" s="10" t="s">
        <v>250</v>
      </c>
      <c r="E10" s="10" t="s">
        <v>251</v>
      </c>
      <c r="F10" s="10" t="s">
        <v>252</v>
      </c>
      <c r="G10" s="10" t="s">
        <v>123</v>
      </c>
      <c r="H10" s="15">
        <v>1</v>
      </c>
      <c r="I10" s="10" t="s">
        <v>253</v>
      </c>
      <c r="J10" s="10" t="s">
        <v>254</v>
      </c>
      <c r="K10" s="10" t="s">
        <v>255</v>
      </c>
      <c r="L10" s="10" t="s">
        <v>256</v>
      </c>
      <c r="M10" s="10" t="s">
        <v>258</v>
      </c>
      <c r="N10" s="10" t="s">
        <v>259</v>
      </c>
      <c r="O10" s="10" t="s">
        <v>46</v>
      </c>
      <c r="P10" s="29" t="s">
        <v>260</v>
      </c>
    </row>
    <row r="11" spans="1:16" ht="124.2">
      <c r="A11" s="11" t="s">
        <v>261</v>
      </c>
      <c r="B11" s="11">
        <v>2</v>
      </c>
      <c r="C11" s="11" t="s">
        <v>89</v>
      </c>
      <c r="D11" s="11" t="s">
        <v>262</v>
      </c>
      <c r="E11" s="11" t="s">
        <v>263</v>
      </c>
      <c r="F11" s="11" t="s">
        <v>264</v>
      </c>
      <c r="G11" s="11" t="s">
        <v>123</v>
      </c>
      <c r="H11" s="16">
        <v>1.25</v>
      </c>
      <c r="I11" s="11" t="s">
        <v>253</v>
      </c>
      <c r="J11" s="11" t="s">
        <v>101</v>
      </c>
      <c r="K11" s="11" t="s">
        <v>265</v>
      </c>
      <c r="L11" s="11" t="s">
        <v>266</v>
      </c>
      <c r="M11" s="11" t="s">
        <v>268</v>
      </c>
      <c r="N11" s="11" t="s">
        <v>270</v>
      </c>
      <c r="O11" s="11" t="s">
        <v>46</v>
      </c>
      <c r="P11" s="29" t="s">
        <v>271</v>
      </c>
    </row>
    <row r="12" spans="1:16" ht="330.6">
      <c r="A12" s="11" t="s">
        <v>272</v>
      </c>
      <c r="B12" s="11">
        <v>3</v>
      </c>
      <c r="C12" s="11" t="s">
        <v>89</v>
      </c>
      <c r="D12" s="11" t="s">
        <v>273</v>
      </c>
      <c r="E12" s="11" t="s">
        <v>274</v>
      </c>
      <c r="F12" s="11" t="s">
        <v>275</v>
      </c>
      <c r="G12" s="11" t="s">
        <v>123</v>
      </c>
      <c r="H12" s="16">
        <v>1</v>
      </c>
      <c r="I12" s="11" t="s">
        <v>253</v>
      </c>
      <c r="J12" s="11" t="s">
        <v>101</v>
      </c>
      <c r="K12" s="11" t="s">
        <v>276</v>
      </c>
      <c r="L12" s="11" t="s">
        <v>2323</v>
      </c>
      <c r="M12" s="11" t="s">
        <v>278</v>
      </c>
      <c r="N12" s="11" t="s">
        <v>2324</v>
      </c>
      <c r="O12" s="11" t="s">
        <v>46</v>
      </c>
      <c r="P12" s="29" t="s">
        <v>280</v>
      </c>
    </row>
    <row r="13" spans="1:16" ht="330.6">
      <c r="A13" s="11" t="s">
        <v>281</v>
      </c>
      <c r="B13" s="11">
        <v>4</v>
      </c>
      <c r="C13" s="11" t="s">
        <v>89</v>
      </c>
      <c r="D13" s="11" t="s">
        <v>282</v>
      </c>
      <c r="E13" s="11" t="s">
        <v>283</v>
      </c>
      <c r="F13" s="11" t="s">
        <v>284</v>
      </c>
      <c r="G13" s="11" t="s">
        <v>123</v>
      </c>
      <c r="H13" s="16">
        <v>1.5</v>
      </c>
      <c r="I13" s="11" t="s">
        <v>253</v>
      </c>
      <c r="J13" s="11" t="s">
        <v>285</v>
      </c>
      <c r="K13" s="11" t="s">
        <v>286</v>
      </c>
      <c r="L13" s="11" t="s">
        <v>2323</v>
      </c>
      <c r="M13" s="11" t="s">
        <v>288</v>
      </c>
      <c r="N13" s="11" t="s">
        <v>290</v>
      </c>
      <c r="O13" s="11" t="s">
        <v>46</v>
      </c>
      <c r="P13" s="29" t="s">
        <v>291</v>
      </c>
    </row>
    <row r="14" spans="1:16" ht="124.2">
      <c r="A14" s="11" t="s">
        <v>292</v>
      </c>
      <c r="B14" s="11">
        <v>5</v>
      </c>
      <c r="C14" s="11" t="s">
        <v>89</v>
      </c>
      <c r="D14" s="11" t="s">
        <v>293</v>
      </c>
      <c r="E14" s="11" t="s">
        <v>294</v>
      </c>
      <c r="F14" s="11" t="s">
        <v>295</v>
      </c>
      <c r="G14" s="11" t="s">
        <v>123</v>
      </c>
      <c r="H14" s="16">
        <v>1.25</v>
      </c>
      <c r="I14" s="11" t="s">
        <v>296</v>
      </c>
      <c r="J14" s="11" t="s">
        <v>297</v>
      </c>
      <c r="K14" s="11" t="s">
        <v>298</v>
      </c>
      <c r="L14" s="11" t="s">
        <v>299</v>
      </c>
      <c r="M14" s="11" t="s">
        <v>301</v>
      </c>
      <c r="N14" s="11" t="s">
        <v>302</v>
      </c>
      <c r="O14" s="11" t="s">
        <v>46</v>
      </c>
      <c r="P14" s="29" t="s">
        <v>304</v>
      </c>
    </row>
    <row r="15" spans="1:16" ht="124.2">
      <c r="A15" s="11" t="s">
        <v>305</v>
      </c>
      <c r="B15" s="11">
        <v>6</v>
      </c>
      <c r="C15" s="11" t="s">
        <v>89</v>
      </c>
      <c r="D15" s="11" t="s">
        <v>306</v>
      </c>
      <c r="E15" s="11" t="s">
        <v>307</v>
      </c>
      <c r="F15" s="11" t="s">
        <v>308</v>
      </c>
      <c r="G15" s="11" t="s">
        <v>123</v>
      </c>
      <c r="H15" s="16">
        <v>1.5</v>
      </c>
      <c r="I15" s="11" t="s">
        <v>309</v>
      </c>
      <c r="J15" s="11" t="s">
        <v>310</v>
      </c>
      <c r="K15" s="11" t="s">
        <v>311</v>
      </c>
      <c r="L15" s="11" t="s">
        <v>312</v>
      </c>
      <c r="M15" s="11" t="s">
        <v>314</v>
      </c>
      <c r="N15" s="11" t="s">
        <v>316</v>
      </c>
      <c r="O15" s="11" t="s">
        <v>46</v>
      </c>
      <c r="P15" s="29" t="s">
        <v>317</v>
      </c>
    </row>
    <row r="16" spans="1:16" ht="110.4">
      <c r="A16" s="11" t="s">
        <v>318</v>
      </c>
      <c r="B16" s="11">
        <v>7</v>
      </c>
      <c r="C16" s="11" t="s">
        <v>89</v>
      </c>
      <c r="D16" s="11" t="s">
        <v>319</v>
      </c>
      <c r="E16" s="11" t="s">
        <v>320</v>
      </c>
      <c r="F16" s="11" t="s">
        <v>321</v>
      </c>
      <c r="G16" s="11" t="s">
        <v>123</v>
      </c>
      <c r="H16" s="16">
        <v>1</v>
      </c>
      <c r="I16" s="11" t="s">
        <v>309</v>
      </c>
      <c r="J16" s="11" t="s">
        <v>322</v>
      </c>
      <c r="K16" s="11" t="s">
        <v>323</v>
      </c>
      <c r="L16" s="11" t="s">
        <v>324</v>
      </c>
      <c r="M16" s="11" t="s">
        <v>326</v>
      </c>
      <c r="N16" s="11" t="s">
        <v>328</v>
      </c>
      <c r="O16" s="11" t="s">
        <v>46</v>
      </c>
      <c r="P16" s="29" t="s">
        <v>329</v>
      </c>
    </row>
    <row r="17" spans="1:16" ht="110.4">
      <c r="A17" s="11" t="s">
        <v>330</v>
      </c>
      <c r="B17" s="11">
        <v>8</v>
      </c>
      <c r="C17" s="11" t="s">
        <v>89</v>
      </c>
      <c r="D17" s="11" t="s">
        <v>331</v>
      </c>
      <c r="E17" s="11" t="s">
        <v>332</v>
      </c>
      <c r="F17" s="11" t="s">
        <v>333</v>
      </c>
      <c r="G17" s="11" t="s">
        <v>123</v>
      </c>
      <c r="H17" s="16">
        <v>1</v>
      </c>
      <c r="I17" s="11" t="s">
        <v>253</v>
      </c>
      <c r="J17" s="11" t="s">
        <v>334</v>
      </c>
      <c r="K17" s="11" t="s">
        <v>335</v>
      </c>
      <c r="L17" s="11" t="s">
        <v>336</v>
      </c>
      <c r="M17" s="11" t="s">
        <v>338</v>
      </c>
      <c r="N17" s="11" t="s">
        <v>339</v>
      </c>
      <c r="O17" s="11" t="s">
        <v>46</v>
      </c>
      <c r="P17" s="29" t="s">
        <v>340</v>
      </c>
    </row>
    <row r="18" spans="1:16" ht="205.2">
      <c r="A18" s="11" t="s">
        <v>341</v>
      </c>
      <c r="B18" s="11">
        <v>9</v>
      </c>
      <c r="C18" s="11" t="s">
        <v>89</v>
      </c>
      <c r="D18" s="11" t="s">
        <v>342</v>
      </c>
      <c r="E18" s="11" t="s">
        <v>343</v>
      </c>
      <c r="F18" s="11" t="s">
        <v>344</v>
      </c>
      <c r="G18" s="11" t="s">
        <v>109</v>
      </c>
      <c r="H18" s="16">
        <v>1</v>
      </c>
      <c r="I18" s="11" t="s">
        <v>345</v>
      </c>
      <c r="J18" s="11" t="s">
        <v>346</v>
      </c>
      <c r="K18" s="11" t="s">
        <v>347</v>
      </c>
      <c r="L18" s="11" t="s">
        <v>2325</v>
      </c>
      <c r="M18" s="11" t="s">
        <v>349</v>
      </c>
      <c r="N18" s="11" t="s">
        <v>352</v>
      </c>
      <c r="O18" s="11" t="s">
        <v>46</v>
      </c>
      <c r="P18" s="29" t="s">
        <v>353</v>
      </c>
    </row>
    <row r="19" spans="1:16" ht="205.2">
      <c r="A19" s="11" t="s">
        <v>354</v>
      </c>
      <c r="B19" s="11">
        <v>10</v>
      </c>
      <c r="C19" s="11" t="s">
        <v>89</v>
      </c>
      <c r="D19" s="11" t="s">
        <v>203</v>
      </c>
      <c r="E19" s="11" t="s">
        <v>355</v>
      </c>
      <c r="F19" s="11" t="s">
        <v>356</v>
      </c>
      <c r="G19" s="11" t="s">
        <v>109</v>
      </c>
      <c r="H19" s="16">
        <v>1</v>
      </c>
      <c r="I19" s="11" t="s">
        <v>345</v>
      </c>
      <c r="J19" s="11" t="s">
        <v>357</v>
      </c>
      <c r="K19" s="11" t="s">
        <v>358</v>
      </c>
      <c r="L19" s="11" t="s">
        <v>2326</v>
      </c>
      <c r="M19" s="11" t="s">
        <v>360</v>
      </c>
      <c r="N19" s="11" t="s">
        <v>362</v>
      </c>
      <c r="O19" s="11" t="s">
        <v>46</v>
      </c>
      <c r="P19" s="29" t="s">
        <v>363</v>
      </c>
    </row>
    <row r="20" spans="1:16" ht="124.2">
      <c r="A20" s="11" t="s">
        <v>364</v>
      </c>
      <c r="B20" s="11">
        <v>11</v>
      </c>
      <c r="C20" s="11" t="s">
        <v>365</v>
      </c>
      <c r="D20" s="11" t="s">
        <v>366</v>
      </c>
      <c r="E20" s="11" t="s">
        <v>367</v>
      </c>
      <c r="F20" s="11" t="s">
        <v>368</v>
      </c>
      <c r="G20" s="11" t="s">
        <v>93</v>
      </c>
      <c r="H20" s="16">
        <v>0.75</v>
      </c>
      <c r="I20" s="11" t="s">
        <v>369</v>
      </c>
      <c r="J20" s="11" t="s">
        <v>101</v>
      </c>
      <c r="K20" s="11" t="s">
        <v>370</v>
      </c>
      <c r="L20" s="11" t="s">
        <v>2327</v>
      </c>
      <c r="M20" s="11" t="s">
        <v>372</v>
      </c>
      <c r="N20" s="11" t="s">
        <v>374</v>
      </c>
      <c r="O20" s="11" t="s">
        <v>46</v>
      </c>
      <c r="P20" s="29" t="s">
        <v>375</v>
      </c>
    </row>
    <row r="21" spans="1:16" ht="193.8">
      <c r="A21" s="11" t="s">
        <v>376</v>
      </c>
      <c r="B21" s="11">
        <v>12</v>
      </c>
      <c r="C21" s="11" t="s">
        <v>89</v>
      </c>
      <c r="D21" s="11" t="s">
        <v>226</v>
      </c>
      <c r="E21" s="11" t="s">
        <v>377</v>
      </c>
      <c r="F21" s="11" t="s">
        <v>378</v>
      </c>
      <c r="G21" s="11" t="s">
        <v>93</v>
      </c>
      <c r="H21" s="16">
        <v>0.75</v>
      </c>
      <c r="I21" s="11" t="s">
        <v>2328</v>
      </c>
      <c r="J21" s="11" t="s">
        <v>379</v>
      </c>
      <c r="K21" s="11" t="s">
        <v>380</v>
      </c>
      <c r="L21" s="11" t="s">
        <v>2329</v>
      </c>
      <c r="M21" s="11" t="s">
        <v>382</v>
      </c>
      <c r="N21" s="11" t="s">
        <v>384</v>
      </c>
      <c r="O21" s="11" t="s">
        <v>46</v>
      </c>
      <c r="P21" s="29" t="s">
        <v>385</v>
      </c>
    </row>
    <row r="22" spans="1:16" ht="82.8">
      <c r="A22" t="s">
        <v>386</v>
      </c>
      <c r="B22">
        <v>13</v>
      </c>
      <c r="C22" t="s">
        <v>89</v>
      </c>
      <c r="D22" t="s">
        <v>238</v>
      </c>
      <c r="E22" t="s">
        <v>387</v>
      </c>
      <c r="F22" t="s">
        <v>388</v>
      </c>
      <c r="G22" t="s">
        <v>109</v>
      </c>
      <c r="H22">
        <v>1</v>
      </c>
      <c r="I22" t="s">
        <v>241</v>
      </c>
      <c r="J22" t="s">
        <v>101</v>
      </c>
      <c r="K22" t="s">
        <v>389</v>
      </c>
      <c r="L22" t="s">
        <v>2312</v>
      </c>
      <c r="M22" t="s">
        <v>390</v>
      </c>
      <c r="N22" t="s">
        <v>246</v>
      </c>
      <c r="O22" s="11" t="s">
        <v>46</v>
      </c>
      <c r="P22" s="29" t="s">
        <v>392</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253</v>
      </c>
      <c r="C26" s="22" t="s">
        <v>1046</v>
      </c>
      <c r="D26" s="22" t="s">
        <v>1047</v>
      </c>
      <c r="E26" s="22" t="s">
        <v>1048</v>
      </c>
      <c r="F26" s="22" t="s">
        <v>1049</v>
      </c>
      <c r="G26" s="22" t="s">
        <v>1023</v>
      </c>
    </row>
    <row r="27" spans="1:16" ht="52.05" customHeight="1">
      <c r="A27" s="34">
        <v>2</v>
      </c>
      <c r="B27" s="34" t="s">
        <v>296</v>
      </c>
      <c r="C27" s="34" t="s">
        <v>1050</v>
      </c>
      <c r="D27" s="34" t="s">
        <v>1051</v>
      </c>
      <c r="E27" s="34" t="s">
        <v>1052</v>
      </c>
      <c r="F27" s="34" t="s">
        <v>1053</v>
      </c>
      <c r="G27" s="34" t="s">
        <v>1023</v>
      </c>
    </row>
    <row r="28" spans="1:16" ht="52.05" customHeight="1">
      <c r="A28" s="22">
        <v>3</v>
      </c>
      <c r="B28" s="22" t="s">
        <v>309</v>
      </c>
      <c r="C28" s="22" t="s">
        <v>1054</v>
      </c>
      <c r="D28" s="22" t="s">
        <v>1055</v>
      </c>
      <c r="E28" s="22" t="s">
        <v>1056</v>
      </c>
      <c r="F28" s="22" t="s">
        <v>1057</v>
      </c>
      <c r="G28" s="22" t="s">
        <v>1023</v>
      </c>
    </row>
    <row r="29" spans="1:16" ht="52.05" customHeight="1">
      <c r="A29" s="34">
        <v>4</v>
      </c>
      <c r="B29" s="34" t="s">
        <v>345</v>
      </c>
      <c r="C29" s="34" t="s">
        <v>1058</v>
      </c>
      <c r="D29" s="34" t="s">
        <v>1059</v>
      </c>
      <c r="E29" s="34" t="s">
        <v>1060</v>
      </c>
      <c r="F29" s="34" t="s">
        <v>1061</v>
      </c>
      <c r="G29" s="34" t="s">
        <v>1023</v>
      </c>
    </row>
    <row r="30" spans="1:16" ht="52.05" customHeight="1">
      <c r="A30" s="22">
        <v>5</v>
      </c>
      <c r="B30" s="22" t="s">
        <v>369</v>
      </c>
      <c r="C30" s="22" t="s">
        <v>1062</v>
      </c>
      <c r="D30" s="22" t="s">
        <v>1063</v>
      </c>
      <c r="E30" s="22" t="s">
        <v>1064</v>
      </c>
      <c r="F30" s="22" t="s">
        <v>2345</v>
      </c>
      <c r="G30" s="22" t="s">
        <v>1065</v>
      </c>
    </row>
    <row r="31" spans="1:16" ht="52.05" customHeight="1">
      <c r="A31" s="35">
        <v>6</v>
      </c>
      <c r="B31" s="35" t="s">
        <v>2328</v>
      </c>
      <c r="C31" s="35" t="s">
        <v>1036</v>
      </c>
      <c r="D31" s="35" t="s">
        <v>1037</v>
      </c>
      <c r="E31" s="35" t="s">
        <v>2346</v>
      </c>
      <c r="F31" s="35" t="s">
        <v>382</v>
      </c>
      <c r="G31" s="35" t="s">
        <v>1014</v>
      </c>
    </row>
    <row r="32" spans="1:16" ht="52.05" customHeight="1">
      <c r="A32" s="35">
        <v>7</v>
      </c>
      <c r="B32" s="35" t="s">
        <v>241</v>
      </c>
      <c r="C32" s="35" t="s">
        <v>1066</v>
      </c>
      <c r="D32" s="35" t="s">
        <v>1039</v>
      </c>
      <c r="E32" s="35" t="s">
        <v>1040</v>
      </c>
      <c r="F32" s="35" t="s">
        <v>1067</v>
      </c>
      <c r="G32"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topLeftCell="L18" workbookViewId="0">
      <selection activeCell="P21" sqref="P21"/>
    </sheetView>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bestFit="1" customWidth="1"/>
    <col min="10" max="10" width="18" customWidth="1"/>
    <col min="11" max="11" width="36" customWidth="1"/>
    <col min="12" max="12" width="38" customWidth="1"/>
    <col min="13" max="13" width="31" bestFit="1" customWidth="1"/>
    <col min="14" max="14" width="40.796875" customWidth="1"/>
    <col min="15" max="15" width="16" customWidth="1"/>
    <col min="16" max="16" width="52" style="27" customWidth="1"/>
  </cols>
  <sheetData>
    <row r="1" spans="1:16" ht="31.95" customHeight="1">
      <c r="A1" s="59" t="s">
        <v>1068</v>
      </c>
      <c r="B1" s="59"/>
      <c r="C1" s="59"/>
      <c r="D1" s="59"/>
      <c r="E1" s="59"/>
      <c r="F1" s="59"/>
      <c r="G1" s="59"/>
      <c r="H1" s="59"/>
      <c r="I1" s="59"/>
      <c r="J1" s="59"/>
      <c r="K1" s="59"/>
      <c r="L1" s="59"/>
      <c r="M1" s="59"/>
      <c r="N1" s="59"/>
      <c r="O1" s="59"/>
    </row>
    <row r="2" spans="1:16" ht="31.95" customHeight="1">
      <c r="A2" s="60" t="s">
        <v>1069</v>
      </c>
      <c r="B2" s="60"/>
      <c r="C2" s="60"/>
      <c r="D2" s="60"/>
      <c r="E2" s="60"/>
      <c r="F2" s="60"/>
      <c r="G2" s="60"/>
      <c r="H2" s="60"/>
      <c r="I2" s="60"/>
      <c r="J2" s="60"/>
      <c r="K2" s="60"/>
      <c r="L2" s="60"/>
      <c r="M2" s="60"/>
      <c r="N2" s="60"/>
      <c r="O2" s="60"/>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0.5714285714285714</v>
      </c>
      <c r="B5" s="100"/>
      <c r="D5" s="103">
        <f>COUNTIF(O10:O40,"Blocked")</f>
        <v>0</v>
      </c>
      <c r="E5" s="104"/>
      <c r="G5" s="107" t="s">
        <v>1070</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8" t="s">
        <v>87</v>
      </c>
    </row>
    <row r="10" spans="1:16" ht="110.4" hidden="1">
      <c r="A10" s="10" t="s">
        <v>393</v>
      </c>
      <c r="B10" s="10">
        <v>1</v>
      </c>
      <c r="C10" s="10" t="s">
        <v>89</v>
      </c>
      <c r="D10" s="10" t="s">
        <v>394</v>
      </c>
      <c r="E10" s="10" t="s">
        <v>395</v>
      </c>
      <c r="F10" s="10" t="s">
        <v>396</v>
      </c>
      <c r="G10" s="10" t="s">
        <v>123</v>
      </c>
      <c r="H10" s="15">
        <v>1</v>
      </c>
      <c r="I10" s="10" t="s">
        <v>397</v>
      </c>
      <c r="J10" s="10" t="s">
        <v>398</v>
      </c>
      <c r="K10" s="10" t="s">
        <v>399</v>
      </c>
      <c r="L10" s="10" t="s">
        <v>400</v>
      </c>
      <c r="M10" s="10" t="s">
        <v>402</v>
      </c>
      <c r="N10" s="10" t="s">
        <v>404</v>
      </c>
      <c r="O10" s="10" t="s">
        <v>46</v>
      </c>
      <c r="P10" s="28" t="s">
        <v>405</v>
      </c>
    </row>
    <row r="11" spans="1:16" ht="110.4" hidden="1">
      <c r="A11" s="11" t="s">
        <v>406</v>
      </c>
      <c r="B11" s="11">
        <v>2</v>
      </c>
      <c r="C11" s="11" t="s">
        <v>89</v>
      </c>
      <c r="D11" s="11" t="s">
        <v>407</v>
      </c>
      <c r="E11" s="11" t="s">
        <v>408</v>
      </c>
      <c r="F11" s="11" t="s">
        <v>409</v>
      </c>
      <c r="G11" s="11" t="s">
        <v>123</v>
      </c>
      <c r="H11" s="16">
        <v>1.25</v>
      </c>
      <c r="I11" s="11" t="s">
        <v>397</v>
      </c>
      <c r="J11" s="11" t="s">
        <v>410</v>
      </c>
      <c r="K11" s="11" t="s">
        <v>411</v>
      </c>
      <c r="L11" s="11" t="s">
        <v>412</v>
      </c>
      <c r="M11" s="11" t="s">
        <v>414</v>
      </c>
      <c r="N11" s="11" t="s">
        <v>416</v>
      </c>
      <c r="O11" s="11" t="s">
        <v>46</v>
      </c>
      <c r="P11" s="28" t="s">
        <v>417</v>
      </c>
    </row>
    <row r="12" spans="1:16" ht="110.4" hidden="1">
      <c r="A12" s="11" t="s">
        <v>418</v>
      </c>
      <c r="B12" s="11">
        <v>3</v>
      </c>
      <c r="C12" s="11" t="s">
        <v>89</v>
      </c>
      <c r="D12" s="11" t="s">
        <v>419</v>
      </c>
      <c r="E12" s="11" t="s">
        <v>420</v>
      </c>
      <c r="F12" s="11" t="s">
        <v>421</v>
      </c>
      <c r="G12" s="11" t="s">
        <v>123</v>
      </c>
      <c r="H12" s="16">
        <v>0.75</v>
      </c>
      <c r="I12" s="11" t="s">
        <v>397</v>
      </c>
      <c r="J12" s="11" t="s">
        <v>101</v>
      </c>
      <c r="K12" s="11" t="s">
        <v>422</v>
      </c>
      <c r="L12" s="11" t="s">
        <v>423</v>
      </c>
      <c r="M12" s="11" t="s">
        <v>425</v>
      </c>
      <c r="N12" s="11" t="s">
        <v>427</v>
      </c>
      <c r="O12" s="11" t="s">
        <v>46</v>
      </c>
      <c r="P12" s="28" t="s">
        <v>428</v>
      </c>
    </row>
    <row r="13" spans="1:16" ht="110.4" hidden="1">
      <c r="A13" s="11" t="s">
        <v>429</v>
      </c>
      <c r="B13" s="11">
        <v>4</v>
      </c>
      <c r="C13" s="11" t="s">
        <v>89</v>
      </c>
      <c r="D13" s="11" t="s">
        <v>430</v>
      </c>
      <c r="E13" s="11" t="s">
        <v>431</v>
      </c>
      <c r="F13" s="11" t="s">
        <v>432</v>
      </c>
      <c r="G13" s="11" t="s">
        <v>123</v>
      </c>
      <c r="H13" s="16">
        <v>1.5</v>
      </c>
      <c r="I13" s="11" t="s">
        <v>397</v>
      </c>
      <c r="J13" s="11" t="s">
        <v>433</v>
      </c>
      <c r="K13" s="11" t="s">
        <v>434</v>
      </c>
      <c r="L13" s="11" t="s">
        <v>435</v>
      </c>
      <c r="M13" s="11" t="s">
        <v>437</v>
      </c>
      <c r="N13" s="11" t="s">
        <v>439</v>
      </c>
      <c r="O13" s="11" t="s">
        <v>46</v>
      </c>
      <c r="P13" s="28" t="s">
        <v>440</v>
      </c>
    </row>
    <row r="14" spans="1:16" ht="110.4" hidden="1">
      <c r="A14" s="11" t="s">
        <v>441</v>
      </c>
      <c r="B14" s="11">
        <v>5</v>
      </c>
      <c r="C14" s="11" t="s">
        <v>89</v>
      </c>
      <c r="D14" s="11" t="s">
        <v>442</v>
      </c>
      <c r="E14" s="11" t="s">
        <v>443</v>
      </c>
      <c r="F14" s="11" t="s">
        <v>444</v>
      </c>
      <c r="G14" s="11" t="s">
        <v>123</v>
      </c>
      <c r="H14" s="16">
        <v>1</v>
      </c>
      <c r="I14" s="11" t="s">
        <v>445</v>
      </c>
      <c r="J14" s="11" t="s">
        <v>446</v>
      </c>
      <c r="K14" s="11" t="s">
        <v>447</v>
      </c>
      <c r="L14" s="11" t="s">
        <v>448</v>
      </c>
      <c r="M14" s="11" t="s">
        <v>450</v>
      </c>
      <c r="N14" s="11" t="s">
        <v>451</v>
      </c>
      <c r="O14" s="11" t="s">
        <v>46</v>
      </c>
      <c r="P14" s="28" t="s">
        <v>452</v>
      </c>
    </row>
    <row r="15" spans="1:16" ht="110.4" hidden="1">
      <c r="A15" s="11" t="s">
        <v>453</v>
      </c>
      <c r="B15" s="11">
        <v>6</v>
      </c>
      <c r="C15" s="11" t="s">
        <v>89</v>
      </c>
      <c r="D15" s="11" t="s">
        <v>454</v>
      </c>
      <c r="E15" s="11" t="s">
        <v>455</v>
      </c>
      <c r="F15" s="11" t="s">
        <v>456</v>
      </c>
      <c r="G15" s="11" t="s">
        <v>93</v>
      </c>
      <c r="H15" s="16">
        <v>1.25</v>
      </c>
      <c r="I15" s="11" t="s">
        <v>457</v>
      </c>
      <c r="J15" s="11" t="s">
        <v>458</v>
      </c>
      <c r="K15" s="11" t="s">
        <v>459</v>
      </c>
      <c r="L15" s="11" t="s">
        <v>460</v>
      </c>
      <c r="M15" s="11" t="s">
        <v>462</v>
      </c>
      <c r="N15" s="11" t="s">
        <v>463</v>
      </c>
      <c r="O15" s="11" t="s">
        <v>46</v>
      </c>
      <c r="P15" s="28" t="s">
        <v>464</v>
      </c>
    </row>
    <row r="16" spans="1:16" ht="110.4" hidden="1">
      <c r="A16" s="11" t="s">
        <v>465</v>
      </c>
      <c r="B16" s="11">
        <v>7</v>
      </c>
      <c r="C16" s="11" t="s">
        <v>89</v>
      </c>
      <c r="D16" s="11" t="s">
        <v>466</v>
      </c>
      <c r="E16" s="11" t="s">
        <v>467</v>
      </c>
      <c r="F16" s="11" t="s">
        <v>468</v>
      </c>
      <c r="G16" s="11" t="s">
        <v>123</v>
      </c>
      <c r="H16" s="16">
        <v>1.5</v>
      </c>
      <c r="I16" s="11" t="s">
        <v>457</v>
      </c>
      <c r="J16" s="11" t="s">
        <v>469</v>
      </c>
      <c r="K16" s="11" t="s">
        <v>470</v>
      </c>
      <c r="L16" s="11" t="s">
        <v>2295</v>
      </c>
      <c r="M16" s="11" t="s">
        <v>472</v>
      </c>
      <c r="N16" s="11" t="s">
        <v>474</v>
      </c>
      <c r="O16" s="11" t="s">
        <v>46</v>
      </c>
      <c r="P16" s="28" t="s">
        <v>475</v>
      </c>
    </row>
    <row r="17" spans="1:16" ht="110.4" hidden="1">
      <c r="A17" s="11" t="s">
        <v>476</v>
      </c>
      <c r="B17" s="11">
        <v>8</v>
      </c>
      <c r="C17" s="11" t="s">
        <v>89</v>
      </c>
      <c r="D17" s="11" t="s">
        <v>477</v>
      </c>
      <c r="E17" s="11" t="s">
        <v>478</v>
      </c>
      <c r="F17" s="11" t="s">
        <v>479</v>
      </c>
      <c r="G17" s="11" t="s">
        <v>123</v>
      </c>
      <c r="H17" s="16">
        <v>1</v>
      </c>
      <c r="I17" s="11" t="s">
        <v>445</v>
      </c>
      <c r="J17" s="11" t="s">
        <v>334</v>
      </c>
      <c r="K17" s="11" t="s">
        <v>480</v>
      </c>
      <c r="L17" s="11" t="s">
        <v>481</v>
      </c>
      <c r="M17" s="11" t="s">
        <v>483</v>
      </c>
      <c r="N17" s="11" t="s">
        <v>484</v>
      </c>
      <c r="O17" s="11" t="s">
        <v>46</v>
      </c>
      <c r="P17" s="28" t="s">
        <v>485</v>
      </c>
    </row>
    <row r="18" spans="1:16" ht="110.4">
      <c r="A18" s="11" t="s">
        <v>486</v>
      </c>
      <c r="B18" s="11">
        <v>9</v>
      </c>
      <c r="C18" s="11" t="s">
        <v>89</v>
      </c>
      <c r="D18" s="11" t="s">
        <v>487</v>
      </c>
      <c r="E18" s="11" t="s">
        <v>488</v>
      </c>
      <c r="F18" s="11" t="s">
        <v>489</v>
      </c>
      <c r="G18" s="11" t="s">
        <v>123</v>
      </c>
      <c r="H18" s="16">
        <v>0.75</v>
      </c>
      <c r="I18" s="11" t="s">
        <v>490</v>
      </c>
      <c r="J18" s="11" t="s">
        <v>491</v>
      </c>
      <c r="K18" s="11" t="s">
        <v>492</v>
      </c>
      <c r="L18" s="11" t="s">
        <v>493</v>
      </c>
      <c r="M18" s="11" t="s">
        <v>495</v>
      </c>
      <c r="N18" s="11" t="s">
        <v>497</v>
      </c>
      <c r="O18" s="11" t="s">
        <v>2599</v>
      </c>
      <c r="P18" s="28" t="s">
        <v>498</v>
      </c>
    </row>
    <row r="19" spans="1:16" ht="110.4" hidden="1">
      <c r="A19" s="11" t="s">
        <v>499</v>
      </c>
      <c r="B19" s="11">
        <v>10</v>
      </c>
      <c r="C19" s="11" t="s">
        <v>89</v>
      </c>
      <c r="D19" s="11" t="s">
        <v>500</v>
      </c>
      <c r="E19" s="11" t="s">
        <v>501</v>
      </c>
      <c r="F19" s="11" t="s">
        <v>502</v>
      </c>
      <c r="G19" s="11" t="s">
        <v>109</v>
      </c>
      <c r="H19" s="16">
        <v>0.75</v>
      </c>
      <c r="I19" s="11" t="s">
        <v>457</v>
      </c>
      <c r="J19" s="11" t="s">
        <v>503</v>
      </c>
      <c r="K19" s="11" t="s">
        <v>504</v>
      </c>
      <c r="L19" s="11" t="s">
        <v>505</v>
      </c>
      <c r="M19" s="11" t="s">
        <v>507</v>
      </c>
      <c r="N19" s="11" t="s">
        <v>508</v>
      </c>
      <c r="O19" s="11" t="s">
        <v>46</v>
      </c>
      <c r="P19" s="28" t="s">
        <v>509</v>
      </c>
    </row>
    <row r="20" spans="1:16" ht="193.8" hidden="1">
      <c r="A20" s="11" t="s">
        <v>510</v>
      </c>
      <c r="B20" s="11">
        <v>11</v>
      </c>
      <c r="C20" s="11" t="s">
        <v>89</v>
      </c>
      <c r="D20" s="11" t="s">
        <v>511</v>
      </c>
      <c r="E20" s="11" t="s">
        <v>512</v>
      </c>
      <c r="F20" s="11" t="s">
        <v>513</v>
      </c>
      <c r="G20" s="11" t="s">
        <v>109</v>
      </c>
      <c r="H20" s="16">
        <v>1</v>
      </c>
      <c r="I20" s="11" t="s">
        <v>514</v>
      </c>
      <c r="J20" s="11" t="s">
        <v>101</v>
      </c>
      <c r="K20" s="11" t="s">
        <v>515</v>
      </c>
      <c r="L20" s="11" t="s">
        <v>2330</v>
      </c>
      <c r="M20" s="11" t="s">
        <v>517</v>
      </c>
      <c r="N20" s="11" t="s">
        <v>519</v>
      </c>
      <c r="O20" s="11" t="s">
        <v>46</v>
      </c>
      <c r="P20" s="28" t="s">
        <v>520</v>
      </c>
    </row>
    <row r="21" spans="1:16" ht="193.8">
      <c r="A21" s="11" t="s">
        <v>521</v>
      </c>
      <c r="B21" s="11">
        <v>12</v>
      </c>
      <c r="C21" s="11" t="s">
        <v>89</v>
      </c>
      <c r="D21" s="11" t="s">
        <v>226</v>
      </c>
      <c r="E21" s="11" t="s">
        <v>522</v>
      </c>
      <c r="F21" s="11" t="s">
        <v>523</v>
      </c>
      <c r="G21" s="11" t="s">
        <v>93</v>
      </c>
      <c r="H21" s="16">
        <v>0.75</v>
      </c>
      <c r="I21" s="11" t="s">
        <v>2331</v>
      </c>
      <c r="J21" s="11" t="s">
        <v>524</v>
      </c>
      <c r="K21" s="11" t="s">
        <v>525</v>
      </c>
      <c r="L21" s="11" t="s">
        <v>2332</v>
      </c>
      <c r="M21" s="11" t="s">
        <v>527</v>
      </c>
      <c r="N21" s="11" t="s">
        <v>529</v>
      </c>
      <c r="O21" s="11" t="s">
        <v>46</v>
      </c>
      <c r="P21" s="28" t="s">
        <v>530</v>
      </c>
    </row>
    <row r="22" spans="1:16" ht="82.8">
      <c r="A22" t="s">
        <v>531</v>
      </c>
      <c r="B22">
        <v>13</v>
      </c>
      <c r="C22" t="s">
        <v>89</v>
      </c>
      <c r="D22" t="s">
        <v>238</v>
      </c>
      <c r="E22" t="s">
        <v>532</v>
      </c>
      <c r="F22" t="s">
        <v>533</v>
      </c>
      <c r="G22" t="s">
        <v>109</v>
      </c>
      <c r="H22">
        <v>1</v>
      </c>
      <c r="I22" t="s">
        <v>241</v>
      </c>
      <c r="J22" t="s">
        <v>101</v>
      </c>
      <c r="K22" t="s">
        <v>534</v>
      </c>
      <c r="L22" t="s">
        <v>2313</v>
      </c>
      <c r="M22" t="s">
        <v>535</v>
      </c>
      <c r="N22" t="s">
        <v>246</v>
      </c>
      <c r="O22" s="11" t="s">
        <v>46</v>
      </c>
      <c r="P22" s="28" t="s">
        <v>538</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1003</v>
      </c>
      <c r="B24" s="30"/>
      <c r="C24" s="30"/>
      <c r="D24" s="30"/>
      <c r="E24" s="30"/>
      <c r="F24" s="30"/>
      <c r="G24" s="30"/>
      <c r="H24" s="31"/>
      <c r="I24" s="31"/>
      <c r="J24" s="31"/>
      <c r="K24" s="31"/>
      <c r="L24" s="31"/>
      <c r="M24" s="31"/>
      <c r="N24" s="31"/>
      <c r="O24" s="31"/>
      <c r="P24" s="56"/>
    </row>
    <row r="25" spans="1:16" ht="48" customHeight="1">
      <c r="A25" s="33" t="s">
        <v>1004</v>
      </c>
      <c r="B25" s="33" t="s">
        <v>76</v>
      </c>
      <c r="C25" s="33" t="s">
        <v>1005</v>
      </c>
      <c r="D25" s="33" t="s">
        <v>1006</v>
      </c>
      <c r="E25" s="33" t="s">
        <v>1007</v>
      </c>
      <c r="F25" s="33" t="s">
        <v>1008</v>
      </c>
      <c r="G25" s="33" t="s">
        <v>1009</v>
      </c>
    </row>
    <row r="26" spans="1:16" ht="52.05" customHeight="1">
      <c r="A26" s="22">
        <v>1</v>
      </c>
      <c r="B26" s="22" t="s">
        <v>397</v>
      </c>
      <c r="C26" s="22" t="s">
        <v>1071</v>
      </c>
      <c r="D26" s="22" t="s">
        <v>1072</v>
      </c>
      <c r="E26" s="22" t="s">
        <v>1073</v>
      </c>
      <c r="F26" s="22" t="s">
        <v>1074</v>
      </c>
      <c r="G26" s="22" t="s">
        <v>1023</v>
      </c>
    </row>
    <row r="27" spans="1:16" ht="52.05" customHeight="1">
      <c r="A27" s="34">
        <v>2</v>
      </c>
      <c r="B27" s="34" t="s">
        <v>457</v>
      </c>
      <c r="C27" s="34" t="s">
        <v>1075</v>
      </c>
      <c r="D27" s="34" t="s">
        <v>1076</v>
      </c>
      <c r="E27" s="34" t="s">
        <v>1077</v>
      </c>
      <c r="F27" s="34" t="s">
        <v>1078</v>
      </c>
      <c r="G27" s="34" t="s">
        <v>1023</v>
      </c>
    </row>
    <row r="28" spans="1:16" ht="52.05" customHeight="1">
      <c r="A28" s="22">
        <v>3</v>
      </c>
      <c r="B28" s="22" t="s">
        <v>445</v>
      </c>
      <c r="C28" s="22" t="s">
        <v>1079</v>
      </c>
      <c r="D28" s="22" t="s">
        <v>1080</v>
      </c>
      <c r="E28" s="22" t="s">
        <v>1081</v>
      </c>
      <c r="F28" s="22" t="s">
        <v>1082</v>
      </c>
      <c r="G28" s="22" t="s">
        <v>1023</v>
      </c>
    </row>
    <row r="29" spans="1:16" ht="52.05" customHeight="1">
      <c r="A29" s="34">
        <v>4</v>
      </c>
      <c r="B29" s="34" t="s">
        <v>514</v>
      </c>
      <c r="C29" s="34" t="s">
        <v>1083</v>
      </c>
      <c r="D29" s="34" t="s">
        <v>1084</v>
      </c>
      <c r="E29" s="34" t="s">
        <v>1085</v>
      </c>
      <c r="F29" s="34" t="s">
        <v>1086</v>
      </c>
      <c r="G29" s="34" t="s">
        <v>1023</v>
      </c>
    </row>
    <row r="30" spans="1:16" ht="52.05" customHeight="1">
      <c r="A30" s="35">
        <v>5</v>
      </c>
      <c r="B30" s="35" t="s">
        <v>2331</v>
      </c>
      <c r="C30" s="35" t="s">
        <v>1036</v>
      </c>
      <c r="D30" s="35" t="s">
        <v>1037</v>
      </c>
      <c r="E30" s="35" t="s">
        <v>2347</v>
      </c>
      <c r="F30" s="35" t="s">
        <v>527</v>
      </c>
      <c r="G30" s="35" t="s">
        <v>1014</v>
      </c>
    </row>
    <row r="31" spans="1:16" ht="52.05" customHeight="1">
      <c r="A31" s="35">
        <v>6</v>
      </c>
      <c r="B31" s="35" t="s">
        <v>241</v>
      </c>
      <c r="C31" s="35" t="s">
        <v>1087</v>
      </c>
      <c r="D31" s="35" t="s">
        <v>1039</v>
      </c>
      <c r="E31" s="35" t="s">
        <v>1040</v>
      </c>
      <c r="F31" s="35" t="s">
        <v>1088</v>
      </c>
      <c r="G31"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topLeftCell="F4" workbookViewId="0">
      <selection activeCell="O20" sqref="O20"/>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9" t="s">
        <v>1089</v>
      </c>
      <c r="B1" s="59"/>
      <c r="C1" s="59"/>
      <c r="D1" s="59"/>
      <c r="E1" s="59"/>
      <c r="F1" s="59"/>
      <c r="G1" s="59"/>
      <c r="H1" s="59"/>
      <c r="I1" s="59"/>
      <c r="J1" s="59"/>
      <c r="K1" s="59"/>
      <c r="L1" s="59"/>
      <c r="M1" s="59"/>
      <c r="N1" s="59"/>
      <c r="O1" s="59"/>
    </row>
    <row r="2" spans="1:16" ht="31.95" customHeight="1">
      <c r="A2" s="60" t="s">
        <v>1090</v>
      </c>
      <c r="B2" s="60"/>
      <c r="C2" s="60"/>
      <c r="D2" s="60"/>
      <c r="E2" s="60"/>
      <c r="F2" s="60"/>
      <c r="G2" s="60"/>
      <c r="H2" s="60"/>
      <c r="I2" s="60"/>
      <c r="J2" s="60"/>
      <c r="K2" s="60"/>
      <c r="L2" s="60"/>
      <c r="M2" s="60"/>
      <c r="N2" s="60"/>
      <c r="O2" s="60"/>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0.47619047619047616</v>
      </c>
      <c r="B5" s="100"/>
      <c r="D5" s="103">
        <f>COUNTIF(O10:O40,"Blocked")</f>
        <v>0</v>
      </c>
      <c r="E5" s="104"/>
      <c r="G5" s="107" t="s">
        <v>1091</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539</v>
      </c>
      <c r="B10" s="10">
        <v>1</v>
      </c>
      <c r="C10" s="10" t="s">
        <v>89</v>
      </c>
      <c r="D10" s="10" t="s">
        <v>540</v>
      </c>
      <c r="E10" s="10" t="s">
        <v>541</v>
      </c>
      <c r="F10" s="10" t="s">
        <v>542</v>
      </c>
      <c r="G10" s="10" t="s">
        <v>123</v>
      </c>
      <c r="H10" s="15">
        <v>1.5</v>
      </c>
      <c r="I10" s="10" t="s">
        <v>543</v>
      </c>
      <c r="J10" s="10" t="s">
        <v>334</v>
      </c>
      <c r="K10" s="10" t="s">
        <v>544</v>
      </c>
      <c r="L10" s="10" t="s">
        <v>545</v>
      </c>
      <c r="M10" s="10" t="s">
        <v>547</v>
      </c>
      <c r="N10" s="10" t="s">
        <v>549</v>
      </c>
      <c r="O10" s="10" t="s">
        <v>46</v>
      </c>
      <c r="P10" s="29" t="s">
        <v>550</v>
      </c>
    </row>
    <row r="11" spans="1:16" ht="110.4">
      <c r="A11" s="11" t="s">
        <v>551</v>
      </c>
      <c r="B11" s="11">
        <v>2</v>
      </c>
      <c r="C11" s="11" t="s">
        <v>89</v>
      </c>
      <c r="D11" s="11" t="s">
        <v>331</v>
      </c>
      <c r="E11" s="11" t="s">
        <v>552</v>
      </c>
      <c r="F11" s="11" t="s">
        <v>553</v>
      </c>
      <c r="G11" s="11" t="s">
        <v>123</v>
      </c>
      <c r="H11" s="16">
        <v>1</v>
      </c>
      <c r="I11" s="11" t="s">
        <v>543</v>
      </c>
      <c r="J11" s="11" t="s">
        <v>334</v>
      </c>
      <c r="K11" s="11" t="s">
        <v>554</v>
      </c>
      <c r="L11" s="11" t="s">
        <v>555</v>
      </c>
      <c r="M11" s="11" t="s">
        <v>557</v>
      </c>
      <c r="N11" s="11" t="s">
        <v>558</v>
      </c>
      <c r="O11" s="11" t="s">
        <v>46</v>
      </c>
      <c r="P11" s="29" t="s">
        <v>559</v>
      </c>
    </row>
    <row r="12" spans="1:16" ht="110.4">
      <c r="A12" s="11" t="s">
        <v>560</v>
      </c>
      <c r="B12" s="11">
        <v>3</v>
      </c>
      <c r="C12" s="11" t="s">
        <v>89</v>
      </c>
      <c r="D12" s="11" t="s">
        <v>561</v>
      </c>
      <c r="E12" s="11" t="s">
        <v>562</v>
      </c>
      <c r="F12" s="11" t="s">
        <v>563</v>
      </c>
      <c r="G12" s="11" t="s">
        <v>123</v>
      </c>
      <c r="H12" s="16">
        <v>1.25</v>
      </c>
      <c r="I12" s="11" t="s">
        <v>564</v>
      </c>
      <c r="J12" s="11" t="s">
        <v>524</v>
      </c>
      <c r="K12" s="11" t="s">
        <v>565</v>
      </c>
      <c r="L12" s="11" t="s">
        <v>566</v>
      </c>
      <c r="M12" s="11" t="s">
        <v>568</v>
      </c>
      <c r="N12" s="11" t="s">
        <v>570</v>
      </c>
      <c r="O12" s="11" t="s">
        <v>46</v>
      </c>
      <c r="P12" s="29" t="s">
        <v>571</v>
      </c>
    </row>
    <row r="13" spans="1:16" ht="110.4">
      <c r="A13" s="11" t="s">
        <v>572</v>
      </c>
      <c r="B13" s="11">
        <v>4</v>
      </c>
      <c r="C13" s="11" t="s">
        <v>89</v>
      </c>
      <c r="D13" s="11" t="s">
        <v>573</v>
      </c>
      <c r="E13" s="11" t="s">
        <v>574</v>
      </c>
      <c r="F13" s="11" t="s">
        <v>575</v>
      </c>
      <c r="G13" s="11" t="s">
        <v>123</v>
      </c>
      <c r="H13" s="16">
        <v>0.75</v>
      </c>
      <c r="I13" s="11" t="s">
        <v>564</v>
      </c>
      <c r="J13" s="11" t="s">
        <v>101</v>
      </c>
      <c r="K13" s="11" t="s">
        <v>576</v>
      </c>
      <c r="L13" s="11" t="s">
        <v>577</v>
      </c>
      <c r="M13" s="11" t="s">
        <v>579</v>
      </c>
      <c r="N13" s="11" t="s">
        <v>580</v>
      </c>
      <c r="O13" s="11" t="s">
        <v>46</v>
      </c>
      <c r="P13" s="29" t="s">
        <v>581</v>
      </c>
    </row>
    <row r="14" spans="1:16" ht="110.4">
      <c r="A14" s="11" t="s">
        <v>582</v>
      </c>
      <c r="B14" s="11">
        <v>5</v>
      </c>
      <c r="C14" s="11" t="s">
        <v>89</v>
      </c>
      <c r="D14" s="11" t="s">
        <v>583</v>
      </c>
      <c r="E14" s="11" t="s">
        <v>584</v>
      </c>
      <c r="F14" s="11" t="s">
        <v>585</v>
      </c>
      <c r="G14" s="11" t="s">
        <v>123</v>
      </c>
      <c r="H14" s="16">
        <v>1.25</v>
      </c>
      <c r="I14" s="11" t="s">
        <v>564</v>
      </c>
      <c r="J14" s="11" t="s">
        <v>524</v>
      </c>
      <c r="K14" s="11" t="s">
        <v>586</v>
      </c>
      <c r="L14" s="11" t="s">
        <v>587</v>
      </c>
      <c r="M14" s="11" t="s">
        <v>589</v>
      </c>
      <c r="N14" s="11" t="s">
        <v>592</v>
      </c>
      <c r="O14" s="11" t="s">
        <v>46</v>
      </c>
      <c r="P14" s="29" t="s">
        <v>593</v>
      </c>
    </row>
    <row r="15" spans="1:16" ht="110.4">
      <c r="A15" s="11" t="s">
        <v>594</v>
      </c>
      <c r="B15" s="11">
        <v>6</v>
      </c>
      <c r="C15" s="11" t="s">
        <v>89</v>
      </c>
      <c r="D15" s="11" t="s">
        <v>595</v>
      </c>
      <c r="E15" s="11" t="s">
        <v>596</v>
      </c>
      <c r="F15" s="11" t="s">
        <v>597</v>
      </c>
      <c r="G15" s="11" t="s">
        <v>123</v>
      </c>
      <c r="H15" s="16">
        <v>1</v>
      </c>
      <c r="I15" s="11" t="s">
        <v>564</v>
      </c>
      <c r="J15" s="11" t="s">
        <v>598</v>
      </c>
      <c r="K15" s="11" t="s">
        <v>599</v>
      </c>
      <c r="L15" s="11" t="s">
        <v>600</v>
      </c>
      <c r="M15" s="11" t="s">
        <v>602</v>
      </c>
      <c r="N15" s="11" t="s">
        <v>603</v>
      </c>
      <c r="O15" s="11" t="s">
        <v>46</v>
      </c>
      <c r="P15" s="29" t="s">
        <v>604</v>
      </c>
    </row>
    <row r="16" spans="1:16" ht="110.4">
      <c r="A16" s="11" t="s">
        <v>605</v>
      </c>
      <c r="B16" s="11">
        <v>7</v>
      </c>
      <c r="C16" s="11" t="s">
        <v>89</v>
      </c>
      <c r="D16" s="11" t="s">
        <v>606</v>
      </c>
      <c r="E16" s="11" t="s">
        <v>607</v>
      </c>
      <c r="F16" s="11" t="s">
        <v>608</v>
      </c>
      <c r="G16" s="11" t="s">
        <v>123</v>
      </c>
      <c r="H16" s="16">
        <v>0.75</v>
      </c>
      <c r="I16" s="11" t="s">
        <v>564</v>
      </c>
      <c r="J16" s="11" t="s">
        <v>609</v>
      </c>
      <c r="K16" s="11" t="s">
        <v>610</v>
      </c>
      <c r="L16" s="11" t="s">
        <v>611</v>
      </c>
      <c r="M16" s="11" t="s">
        <v>613</v>
      </c>
      <c r="N16" s="11" t="s">
        <v>614</v>
      </c>
      <c r="O16" s="11" t="s">
        <v>46</v>
      </c>
      <c r="P16" s="29" t="s">
        <v>615</v>
      </c>
    </row>
    <row r="17" spans="1:16" ht="110.4">
      <c r="A17" s="11" t="s">
        <v>616</v>
      </c>
      <c r="B17" s="11">
        <v>8</v>
      </c>
      <c r="C17" s="11" t="s">
        <v>89</v>
      </c>
      <c r="D17" s="11" t="s">
        <v>617</v>
      </c>
      <c r="E17" s="11" t="s">
        <v>618</v>
      </c>
      <c r="F17" s="11" t="s">
        <v>619</v>
      </c>
      <c r="G17" s="11" t="s">
        <v>123</v>
      </c>
      <c r="H17" s="16">
        <v>1</v>
      </c>
      <c r="I17" s="11" t="s">
        <v>490</v>
      </c>
      <c r="J17" s="11" t="s">
        <v>491</v>
      </c>
      <c r="K17" s="11" t="s">
        <v>620</v>
      </c>
      <c r="L17" s="11" t="s">
        <v>621</v>
      </c>
      <c r="M17" s="11" t="s">
        <v>623</v>
      </c>
      <c r="N17" s="11" t="s">
        <v>625</v>
      </c>
      <c r="O17" s="11" t="s">
        <v>46</v>
      </c>
      <c r="P17" s="29" t="s">
        <v>626</v>
      </c>
    </row>
    <row r="18" spans="1:16" ht="110.4">
      <c r="A18" s="11" t="s">
        <v>627</v>
      </c>
      <c r="B18" s="11">
        <v>9</v>
      </c>
      <c r="C18" s="11" t="s">
        <v>89</v>
      </c>
      <c r="D18" s="11" t="s">
        <v>628</v>
      </c>
      <c r="E18" s="11" t="s">
        <v>629</v>
      </c>
      <c r="F18" s="11" t="s">
        <v>630</v>
      </c>
      <c r="G18" s="11" t="s">
        <v>123</v>
      </c>
      <c r="H18" s="16">
        <v>1</v>
      </c>
      <c r="I18" s="11" t="s">
        <v>564</v>
      </c>
      <c r="J18" s="11" t="s">
        <v>101</v>
      </c>
      <c r="K18" s="11" t="s">
        <v>631</v>
      </c>
      <c r="L18" s="11" t="s">
        <v>632</v>
      </c>
      <c r="M18" s="11" t="s">
        <v>634</v>
      </c>
      <c r="N18" s="11" t="s">
        <v>637</v>
      </c>
      <c r="O18" s="11" t="s">
        <v>46</v>
      </c>
      <c r="P18" s="29" t="s">
        <v>638</v>
      </c>
    </row>
    <row r="19" spans="1:16" ht="110.4">
      <c r="A19" s="11" t="s">
        <v>639</v>
      </c>
      <c r="B19" s="11">
        <v>10</v>
      </c>
      <c r="C19" s="11" t="s">
        <v>365</v>
      </c>
      <c r="D19" s="11" t="s">
        <v>640</v>
      </c>
      <c r="E19" s="11" t="s">
        <v>641</v>
      </c>
      <c r="F19" s="11" t="s">
        <v>642</v>
      </c>
      <c r="G19" s="11" t="s">
        <v>123</v>
      </c>
      <c r="H19" s="16">
        <v>0.75</v>
      </c>
      <c r="I19" s="11" t="s">
        <v>543</v>
      </c>
      <c r="J19" s="11" t="s">
        <v>598</v>
      </c>
      <c r="K19" s="11" t="s">
        <v>643</v>
      </c>
      <c r="L19" s="11" t="s">
        <v>644</v>
      </c>
      <c r="M19" s="11" t="s">
        <v>646</v>
      </c>
      <c r="N19" s="11" t="s">
        <v>649</v>
      </c>
      <c r="O19" s="11" t="s">
        <v>46</v>
      </c>
      <c r="P19" s="29" t="s">
        <v>650</v>
      </c>
    </row>
    <row r="20" spans="1:16" ht="193.8">
      <c r="A20" s="11" t="s">
        <v>651</v>
      </c>
      <c r="B20" s="11">
        <v>11</v>
      </c>
      <c r="C20" s="11" t="s">
        <v>89</v>
      </c>
      <c r="D20" s="11" t="s">
        <v>652</v>
      </c>
      <c r="E20" s="11" t="s">
        <v>653</v>
      </c>
      <c r="F20" s="11" t="s">
        <v>654</v>
      </c>
      <c r="G20" s="11" t="s">
        <v>109</v>
      </c>
      <c r="H20" s="16">
        <v>1</v>
      </c>
      <c r="I20" s="11" t="s">
        <v>655</v>
      </c>
      <c r="J20" s="11" t="s">
        <v>101</v>
      </c>
      <c r="K20" s="11" t="s">
        <v>656</v>
      </c>
      <c r="L20" s="11" t="s">
        <v>2333</v>
      </c>
      <c r="M20" s="11" t="s">
        <v>658</v>
      </c>
      <c r="N20" s="11" t="s">
        <v>660</v>
      </c>
      <c r="O20" s="11" t="s">
        <v>2572</v>
      </c>
      <c r="P20" s="29" t="s">
        <v>661</v>
      </c>
    </row>
    <row r="21" spans="1:16" ht="193.8">
      <c r="A21" s="11" t="s">
        <v>662</v>
      </c>
      <c r="B21" s="11">
        <v>12</v>
      </c>
      <c r="C21" s="11" t="s">
        <v>89</v>
      </c>
      <c r="D21" s="11" t="s">
        <v>226</v>
      </c>
      <c r="E21" s="11" t="s">
        <v>663</v>
      </c>
      <c r="F21" s="11" t="s">
        <v>664</v>
      </c>
      <c r="G21" s="11" t="s">
        <v>93</v>
      </c>
      <c r="H21" s="16">
        <v>0.75</v>
      </c>
      <c r="I21" s="11" t="s">
        <v>2334</v>
      </c>
      <c r="J21" s="11" t="s">
        <v>665</v>
      </c>
      <c r="K21" s="11" t="s">
        <v>666</v>
      </c>
      <c r="L21" s="11" t="s">
        <v>2335</v>
      </c>
      <c r="M21" s="11" t="s">
        <v>668</v>
      </c>
      <c r="N21" s="11" t="s">
        <v>670</v>
      </c>
      <c r="O21" s="11" t="s">
        <v>303</v>
      </c>
      <c r="P21" s="29" t="s">
        <v>671</v>
      </c>
    </row>
    <row r="22" spans="1:16" ht="82.8">
      <c r="A22" t="s">
        <v>672</v>
      </c>
      <c r="B22">
        <v>13</v>
      </c>
      <c r="C22" t="s">
        <v>89</v>
      </c>
      <c r="D22" t="s">
        <v>238</v>
      </c>
      <c r="E22" t="s">
        <v>673</v>
      </c>
      <c r="F22" t="s">
        <v>674</v>
      </c>
      <c r="G22" t="s">
        <v>109</v>
      </c>
      <c r="H22">
        <v>1</v>
      </c>
      <c r="I22" t="s">
        <v>241</v>
      </c>
      <c r="J22" t="s">
        <v>101</v>
      </c>
      <c r="K22" t="s">
        <v>675</v>
      </c>
      <c r="L22" t="s">
        <v>2314</v>
      </c>
      <c r="M22" t="s">
        <v>676</v>
      </c>
      <c r="N22" t="s">
        <v>246</v>
      </c>
      <c r="O22" t="s">
        <v>303</v>
      </c>
      <c r="P22" s="29" t="s">
        <v>679</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543</v>
      </c>
      <c r="C26" s="22" t="s">
        <v>1092</v>
      </c>
      <c r="D26" s="22" t="s">
        <v>1093</v>
      </c>
      <c r="E26" s="22" t="s">
        <v>1094</v>
      </c>
      <c r="F26" s="22" t="s">
        <v>1095</v>
      </c>
      <c r="G26" s="22" t="s">
        <v>1023</v>
      </c>
    </row>
    <row r="27" spans="1:16" ht="52.05" customHeight="1">
      <c r="A27" s="34">
        <v>2</v>
      </c>
      <c r="B27" s="34" t="s">
        <v>564</v>
      </c>
      <c r="C27" s="34" t="s">
        <v>1096</v>
      </c>
      <c r="D27" s="34" t="s">
        <v>1097</v>
      </c>
      <c r="E27" s="34" t="s">
        <v>1098</v>
      </c>
      <c r="F27" s="34" t="s">
        <v>1099</v>
      </c>
      <c r="G27" s="34" t="s">
        <v>1023</v>
      </c>
    </row>
    <row r="28" spans="1:16" ht="52.05" customHeight="1">
      <c r="A28" s="22">
        <v>3</v>
      </c>
      <c r="B28" s="22" t="s">
        <v>490</v>
      </c>
      <c r="C28" s="22" t="s">
        <v>1100</v>
      </c>
      <c r="D28" s="22" t="s">
        <v>1101</v>
      </c>
      <c r="E28" s="22" t="s">
        <v>1102</v>
      </c>
      <c r="F28" s="22" t="s">
        <v>1103</v>
      </c>
      <c r="G28" s="22" t="s">
        <v>1023</v>
      </c>
    </row>
    <row r="29" spans="1:16" ht="52.05" customHeight="1">
      <c r="A29" s="34">
        <v>4</v>
      </c>
      <c r="B29" s="34" t="s">
        <v>655</v>
      </c>
      <c r="C29" s="34" t="s">
        <v>1104</v>
      </c>
      <c r="D29" s="34" t="s">
        <v>1105</v>
      </c>
      <c r="E29" s="34" t="s">
        <v>1106</v>
      </c>
      <c r="F29" s="34" t="s">
        <v>1107</v>
      </c>
      <c r="G29" s="34" t="s">
        <v>1023</v>
      </c>
    </row>
    <row r="30" spans="1:16" ht="52.05" customHeight="1">
      <c r="A30" s="35">
        <v>5</v>
      </c>
      <c r="B30" s="35" t="s">
        <v>2334</v>
      </c>
      <c r="C30" s="35" t="s">
        <v>1036</v>
      </c>
      <c r="D30" s="35" t="s">
        <v>1037</v>
      </c>
      <c r="E30" s="35" t="s">
        <v>2348</v>
      </c>
      <c r="F30" s="35" t="s">
        <v>668</v>
      </c>
      <c r="G30" s="35" t="s">
        <v>1014</v>
      </c>
    </row>
    <row r="31" spans="1:16" ht="52.05" customHeight="1">
      <c r="A31" s="35">
        <v>6</v>
      </c>
      <c r="B31" s="35" t="s">
        <v>241</v>
      </c>
      <c r="C31" s="35" t="s">
        <v>1108</v>
      </c>
      <c r="D31" s="35" t="s">
        <v>1039</v>
      </c>
      <c r="E31" s="35" t="s">
        <v>1040</v>
      </c>
      <c r="F31" s="35" t="s">
        <v>1109</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1" xr:uid="{00000000-0002-0000-0600-000000000000}">
      <formula1>"Not Started,In Progress,Blocked,Ready for Review,Done,Deferred"</formula1>
    </dataValidation>
  </dataValidations>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9" t="s">
        <v>1110</v>
      </c>
      <c r="B1" s="59"/>
      <c r="C1" s="59"/>
      <c r="D1" s="59"/>
      <c r="E1" s="59"/>
      <c r="F1" s="59"/>
      <c r="G1" s="59"/>
      <c r="H1" s="59"/>
      <c r="I1" s="59"/>
      <c r="J1" s="59"/>
      <c r="K1" s="59"/>
      <c r="L1" s="59"/>
      <c r="M1" s="59"/>
      <c r="N1" s="59"/>
      <c r="O1" s="59"/>
    </row>
    <row r="2" spans="1:16" ht="31.95" customHeight="1">
      <c r="A2" s="60" t="s">
        <v>1111</v>
      </c>
      <c r="B2" s="60"/>
      <c r="C2" s="60"/>
      <c r="D2" s="60"/>
      <c r="E2" s="60"/>
      <c r="F2" s="60"/>
      <c r="G2" s="60"/>
      <c r="H2" s="60"/>
      <c r="I2" s="60"/>
      <c r="J2" s="60"/>
      <c r="K2" s="60"/>
      <c r="L2" s="60"/>
      <c r="M2" s="60"/>
      <c r="N2" s="60"/>
      <c r="O2" s="60"/>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v>
      </c>
      <c r="B5" s="100"/>
      <c r="D5" s="103">
        <f>COUNTIF(O10:O40,"Blocked")</f>
        <v>0</v>
      </c>
      <c r="E5" s="104"/>
      <c r="G5" s="107" t="s">
        <v>1112</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680</v>
      </c>
      <c r="B10" s="10">
        <v>1</v>
      </c>
      <c r="C10" s="10" t="s">
        <v>89</v>
      </c>
      <c r="D10" s="10" t="s">
        <v>681</v>
      </c>
      <c r="E10" s="10" t="s">
        <v>682</v>
      </c>
      <c r="F10" s="10" t="s">
        <v>683</v>
      </c>
      <c r="G10" s="10" t="s">
        <v>93</v>
      </c>
      <c r="H10" s="15">
        <v>1</v>
      </c>
      <c r="I10" s="10" t="s">
        <v>684</v>
      </c>
      <c r="J10" s="10" t="s">
        <v>685</v>
      </c>
      <c r="K10" s="10" t="s">
        <v>686</v>
      </c>
      <c r="L10" s="10" t="s">
        <v>687</v>
      </c>
      <c r="M10" s="10" t="s">
        <v>689</v>
      </c>
      <c r="N10" s="10" t="s">
        <v>690</v>
      </c>
      <c r="O10" s="10" t="s">
        <v>303</v>
      </c>
      <c r="P10" s="29" t="s">
        <v>691</v>
      </c>
    </row>
    <row r="11" spans="1:16" ht="193.8">
      <c r="A11" s="11" t="s">
        <v>692</v>
      </c>
      <c r="B11" s="11">
        <v>2</v>
      </c>
      <c r="C11" s="11" t="s">
        <v>89</v>
      </c>
      <c r="D11" s="11" t="s">
        <v>693</v>
      </c>
      <c r="E11" s="11" t="s">
        <v>694</v>
      </c>
      <c r="F11" s="11" t="s">
        <v>695</v>
      </c>
      <c r="G11" s="11" t="s">
        <v>123</v>
      </c>
      <c r="H11" s="16">
        <v>1.25</v>
      </c>
      <c r="I11" s="11" t="s">
        <v>696</v>
      </c>
      <c r="J11" s="11" t="s">
        <v>194</v>
      </c>
      <c r="K11" s="11" t="s">
        <v>697</v>
      </c>
      <c r="L11" s="11" t="s">
        <v>2336</v>
      </c>
      <c r="M11" s="11" t="s">
        <v>699</v>
      </c>
      <c r="N11" s="11" t="s">
        <v>700</v>
      </c>
      <c r="O11" s="11" t="s">
        <v>303</v>
      </c>
      <c r="P11" s="29" t="s">
        <v>701</v>
      </c>
    </row>
    <row r="12" spans="1:16" ht="193.8">
      <c r="A12" s="11" t="s">
        <v>702</v>
      </c>
      <c r="B12" s="11">
        <v>3</v>
      </c>
      <c r="C12" s="11" t="s">
        <v>89</v>
      </c>
      <c r="D12" s="11" t="s">
        <v>703</v>
      </c>
      <c r="E12" s="11" t="s">
        <v>704</v>
      </c>
      <c r="F12" s="11" t="s">
        <v>705</v>
      </c>
      <c r="G12" s="11" t="s">
        <v>123</v>
      </c>
      <c r="H12" s="16">
        <v>1.25</v>
      </c>
      <c r="I12" s="11" t="s">
        <v>696</v>
      </c>
      <c r="J12" s="11" t="s">
        <v>706</v>
      </c>
      <c r="K12" s="11" t="s">
        <v>707</v>
      </c>
      <c r="L12" s="11" t="s">
        <v>2337</v>
      </c>
      <c r="M12" s="11" t="s">
        <v>709</v>
      </c>
      <c r="N12" s="11" t="s">
        <v>712</v>
      </c>
      <c r="O12" s="11" t="s">
        <v>303</v>
      </c>
      <c r="P12" s="29" t="s">
        <v>713</v>
      </c>
    </row>
    <row r="13" spans="1:16" ht="193.8">
      <c r="A13" s="11" t="s">
        <v>714</v>
      </c>
      <c r="B13" s="11">
        <v>4</v>
      </c>
      <c r="C13" s="11" t="s">
        <v>89</v>
      </c>
      <c r="D13" s="11" t="s">
        <v>715</v>
      </c>
      <c r="E13" s="11" t="s">
        <v>716</v>
      </c>
      <c r="F13" s="11" t="s">
        <v>717</v>
      </c>
      <c r="G13" s="11" t="s">
        <v>123</v>
      </c>
      <c r="H13" s="16">
        <v>1.25</v>
      </c>
      <c r="I13" s="11" t="s">
        <v>696</v>
      </c>
      <c r="J13" s="11" t="s">
        <v>718</v>
      </c>
      <c r="K13" s="11" t="s">
        <v>719</v>
      </c>
      <c r="L13" s="11" t="s">
        <v>2338</v>
      </c>
      <c r="M13" s="11" t="s">
        <v>721</v>
      </c>
      <c r="N13" s="11" t="s">
        <v>723</v>
      </c>
      <c r="O13" s="11" t="s">
        <v>303</v>
      </c>
      <c r="P13" s="29" t="s">
        <v>724</v>
      </c>
    </row>
    <row r="14" spans="1:16" ht="110.4">
      <c r="A14" s="11" t="s">
        <v>725</v>
      </c>
      <c r="B14" s="11">
        <v>5</v>
      </c>
      <c r="C14" s="11" t="s">
        <v>89</v>
      </c>
      <c r="D14" s="11" t="s">
        <v>726</v>
      </c>
      <c r="E14" s="11" t="s">
        <v>727</v>
      </c>
      <c r="F14" s="11" t="s">
        <v>728</v>
      </c>
      <c r="G14" s="11" t="s">
        <v>123</v>
      </c>
      <c r="H14" s="16">
        <v>1.5</v>
      </c>
      <c r="I14" s="11" t="s">
        <v>696</v>
      </c>
      <c r="J14" s="11" t="s">
        <v>729</v>
      </c>
      <c r="K14" s="11" t="s">
        <v>730</v>
      </c>
      <c r="L14" s="11" t="s">
        <v>731</v>
      </c>
      <c r="M14" s="11" t="s">
        <v>733</v>
      </c>
      <c r="N14" s="11" t="s">
        <v>736</v>
      </c>
      <c r="O14" s="11" t="s">
        <v>303</v>
      </c>
      <c r="P14" s="29" t="s">
        <v>737</v>
      </c>
    </row>
    <row r="15" spans="1:16" ht="193.8">
      <c r="A15" s="11" t="s">
        <v>738</v>
      </c>
      <c r="B15" s="11">
        <v>6</v>
      </c>
      <c r="C15" s="11" t="s">
        <v>89</v>
      </c>
      <c r="D15" s="11" t="s">
        <v>739</v>
      </c>
      <c r="E15" s="11" t="s">
        <v>740</v>
      </c>
      <c r="F15" s="11" t="s">
        <v>741</v>
      </c>
      <c r="G15" s="11" t="s">
        <v>123</v>
      </c>
      <c r="H15" s="16">
        <v>1</v>
      </c>
      <c r="I15" s="11" t="s">
        <v>742</v>
      </c>
      <c r="J15" s="11" t="s">
        <v>743</v>
      </c>
      <c r="K15" s="11" t="s">
        <v>744</v>
      </c>
      <c r="L15" s="11" t="s">
        <v>2339</v>
      </c>
      <c r="M15" s="11" t="s">
        <v>746</v>
      </c>
      <c r="N15" s="11" t="s">
        <v>749</v>
      </c>
      <c r="O15" s="11" t="s">
        <v>303</v>
      </c>
      <c r="P15" s="29" t="s">
        <v>750</v>
      </c>
    </row>
    <row r="16" spans="1:16" ht="124.2">
      <c r="A16" s="11" t="s">
        <v>751</v>
      </c>
      <c r="B16" s="11">
        <v>7</v>
      </c>
      <c r="C16" s="11" t="s">
        <v>89</v>
      </c>
      <c r="D16" s="11" t="s">
        <v>752</v>
      </c>
      <c r="E16" s="11" t="s">
        <v>753</v>
      </c>
      <c r="F16" s="11" t="s">
        <v>754</v>
      </c>
      <c r="G16" s="11" t="s">
        <v>123</v>
      </c>
      <c r="H16" s="16">
        <v>1.5</v>
      </c>
      <c r="I16" s="11" t="s">
        <v>755</v>
      </c>
      <c r="J16" s="11" t="s">
        <v>756</v>
      </c>
      <c r="K16" s="11" t="s">
        <v>757</v>
      </c>
      <c r="L16" s="11" t="s">
        <v>758</v>
      </c>
      <c r="M16" s="11" t="s">
        <v>760</v>
      </c>
      <c r="N16" s="11" t="s">
        <v>762</v>
      </c>
      <c r="O16" s="11" t="s">
        <v>303</v>
      </c>
      <c r="P16" s="29" t="s">
        <v>763</v>
      </c>
    </row>
    <row r="17" spans="1:16" ht="193.8">
      <c r="A17" s="11" t="s">
        <v>764</v>
      </c>
      <c r="B17" s="11">
        <v>8</v>
      </c>
      <c r="C17" s="11" t="s">
        <v>89</v>
      </c>
      <c r="D17" s="11" t="s">
        <v>765</v>
      </c>
      <c r="E17" s="11" t="s">
        <v>766</v>
      </c>
      <c r="F17" s="11" t="s">
        <v>767</v>
      </c>
      <c r="G17" s="11" t="s">
        <v>123</v>
      </c>
      <c r="H17" s="16">
        <v>1</v>
      </c>
      <c r="I17" s="11" t="s">
        <v>755</v>
      </c>
      <c r="J17" s="11" t="s">
        <v>101</v>
      </c>
      <c r="K17" s="11" t="s">
        <v>768</v>
      </c>
      <c r="L17" s="11" t="s">
        <v>2340</v>
      </c>
      <c r="M17" s="11" t="s">
        <v>770</v>
      </c>
      <c r="N17" s="11" t="s">
        <v>771</v>
      </c>
      <c r="O17" s="11" t="s">
        <v>303</v>
      </c>
      <c r="P17" s="29" t="s">
        <v>772</v>
      </c>
    </row>
    <row r="18" spans="1:16" ht="110.4">
      <c r="A18" s="11" t="s">
        <v>773</v>
      </c>
      <c r="B18" s="11">
        <v>9</v>
      </c>
      <c r="C18" s="11" t="s">
        <v>89</v>
      </c>
      <c r="D18" s="11" t="s">
        <v>774</v>
      </c>
      <c r="E18" s="11" t="s">
        <v>775</v>
      </c>
      <c r="F18" s="11" t="s">
        <v>776</v>
      </c>
      <c r="G18" s="11" t="s">
        <v>109</v>
      </c>
      <c r="H18" s="16">
        <v>1</v>
      </c>
      <c r="I18" s="11" t="s">
        <v>777</v>
      </c>
      <c r="J18" s="11" t="s">
        <v>598</v>
      </c>
      <c r="K18" s="11" t="s">
        <v>778</v>
      </c>
      <c r="L18" s="11" t="s">
        <v>779</v>
      </c>
      <c r="M18" s="11" t="s">
        <v>781</v>
      </c>
      <c r="N18" s="11" t="s">
        <v>783</v>
      </c>
      <c r="O18" s="11" t="s">
        <v>303</v>
      </c>
      <c r="P18" s="29" t="s">
        <v>784</v>
      </c>
    </row>
    <row r="19" spans="1:16" ht="124.2">
      <c r="A19" s="11" t="s">
        <v>785</v>
      </c>
      <c r="B19" s="11">
        <v>10</v>
      </c>
      <c r="C19" s="11" t="s">
        <v>89</v>
      </c>
      <c r="D19" s="11" t="s">
        <v>786</v>
      </c>
      <c r="E19" s="11" t="s">
        <v>787</v>
      </c>
      <c r="F19" s="11" t="s">
        <v>788</v>
      </c>
      <c r="G19" s="11" t="s">
        <v>93</v>
      </c>
      <c r="H19" s="16">
        <v>1.5</v>
      </c>
      <c r="I19" s="11" t="s">
        <v>777</v>
      </c>
      <c r="J19" s="11" t="s">
        <v>357</v>
      </c>
      <c r="K19" s="11" t="s">
        <v>789</v>
      </c>
      <c r="L19" s="11" t="s">
        <v>790</v>
      </c>
      <c r="M19" s="11" t="s">
        <v>792</v>
      </c>
      <c r="N19" s="11" t="s">
        <v>793</v>
      </c>
      <c r="O19" s="11" t="s">
        <v>303</v>
      </c>
      <c r="P19" s="29" t="s">
        <v>794</v>
      </c>
    </row>
    <row r="20" spans="1:16" ht="110.4">
      <c r="A20" s="11" t="s">
        <v>795</v>
      </c>
      <c r="B20" s="11">
        <v>11</v>
      </c>
      <c r="C20" s="11" t="s">
        <v>89</v>
      </c>
      <c r="D20" s="11" t="s">
        <v>796</v>
      </c>
      <c r="E20" s="11" t="s">
        <v>797</v>
      </c>
      <c r="F20" s="11" t="s">
        <v>798</v>
      </c>
      <c r="G20" s="11" t="s">
        <v>109</v>
      </c>
      <c r="H20" s="16">
        <v>0.75</v>
      </c>
      <c r="I20" s="11" t="s">
        <v>777</v>
      </c>
      <c r="J20" s="11" t="s">
        <v>357</v>
      </c>
      <c r="K20" s="11" t="s">
        <v>799</v>
      </c>
      <c r="L20" s="11" t="s">
        <v>800</v>
      </c>
      <c r="M20" s="11" t="s">
        <v>802</v>
      </c>
      <c r="N20" s="11" t="s">
        <v>804</v>
      </c>
      <c r="O20" s="11" t="s">
        <v>303</v>
      </c>
      <c r="P20" s="29" t="s">
        <v>805</v>
      </c>
    </row>
    <row r="21" spans="1:16" ht="193.8">
      <c r="A21" s="11" t="s">
        <v>806</v>
      </c>
      <c r="B21" s="11">
        <v>12</v>
      </c>
      <c r="C21" s="11" t="s">
        <v>89</v>
      </c>
      <c r="D21" s="11" t="s">
        <v>807</v>
      </c>
      <c r="E21" s="11" t="s">
        <v>808</v>
      </c>
      <c r="F21" s="11" t="s">
        <v>809</v>
      </c>
      <c r="G21" s="11" t="s">
        <v>109</v>
      </c>
      <c r="H21" s="16">
        <v>1</v>
      </c>
      <c r="I21" s="11" t="s">
        <v>777</v>
      </c>
      <c r="J21" s="11" t="s">
        <v>217</v>
      </c>
      <c r="K21" s="11" t="s">
        <v>810</v>
      </c>
      <c r="L21" s="11" t="s">
        <v>2341</v>
      </c>
      <c r="M21" s="11" t="s">
        <v>812</v>
      </c>
      <c r="N21" s="11" t="s">
        <v>813</v>
      </c>
      <c r="O21" s="11" t="s">
        <v>303</v>
      </c>
      <c r="P21" s="29" t="s">
        <v>814</v>
      </c>
    </row>
    <row r="22" spans="1:16" ht="110.4">
      <c r="A22" s="11" t="s">
        <v>815</v>
      </c>
      <c r="B22" s="11">
        <v>13</v>
      </c>
      <c r="C22" s="11" t="s">
        <v>89</v>
      </c>
      <c r="D22" s="11" t="s">
        <v>226</v>
      </c>
      <c r="E22" s="11" t="s">
        <v>816</v>
      </c>
      <c r="F22" s="11" t="s">
        <v>817</v>
      </c>
      <c r="G22" s="11" t="s">
        <v>93</v>
      </c>
      <c r="H22" s="16">
        <v>0.75</v>
      </c>
      <c r="I22" s="11" t="s">
        <v>2342</v>
      </c>
      <c r="J22" s="11" t="s">
        <v>818</v>
      </c>
      <c r="K22" s="11" t="s">
        <v>819</v>
      </c>
      <c r="L22" s="11" t="s">
        <v>820</v>
      </c>
      <c r="M22" s="11" t="s">
        <v>822</v>
      </c>
      <c r="N22" s="11" t="s">
        <v>824</v>
      </c>
      <c r="O22" s="11" t="s">
        <v>303</v>
      </c>
      <c r="P22" s="29" t="s">
        <v>825</v>
      </c>
    </row>
    <row r="23" spans="1:16" ht="24" customHeight="1">
      <c r="A23" s="24" t="s">
        <v>826</v>
      </c>
      <c r="B23" s="24">
        <v>14</v>
      </c>
      <c r="C23" s="24" t="s">
        <v>89</v>
      </c>
      <c r="D23" s="24" t="s">
        <v>238</v>
      </c>
      <c r="E23" s="24" t="s">
        <v>827</v>
      </c>
      <c r="F23" s="24" t="s">
        <v>828</v>
      </c>
      <c r="G23" s="24" t="s">
        <v>109</v>
      </c>
      <c r="H23">
        <v>1</v>
      </c>
      <c r="I23" t="s">
        <v>241</v>
      </c>
      <c r="J23" t="s">
        <v>101</v>
      </c>
      <c r="K23" t="s">
        <v>829</v>
      </c>
      <c r="L23" t="s">
        <v>2315</v>
      </c>
      <c r="M23" t="s">
        <v>830</v>
      </c>
      <c r="N23" t="s">
        <v>246</v>
      </c>
      <c r="O23" t="s">
        <v>303</v>
      </c>
      <c r="P23" s="29" t="s">
        <v>833</v>
      </c>
    </row>
    <row r="24" spans="1:16" ht="34.049999999999997" customHeight="1">
      <c r="A24" s="113"/>
      <c r="B24" s="113"/>
      <c r="C24" s="113"/>
      <c r="D24" s="113"/>
      <c r="E24" s="113"/>
      <c r="F24" s="113"/>
      <c r="G24" s="113"/>
      <c r="H24" s="98"/>
      <c r="I24" s="98"/>
      <c r="J24" s="98"/>
      <c r="K24" s="98"/>
      <c r="L24" s="98"/>
      <c r="M24" s="98"/>
      <c r="N24" s="98"/>
      <c r="O24" s="98"/>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684</v>
      </c>
      <c r="C27" s="34" t="s">
        <v>1113</v>
      </c>
      <c r="D27" s="34" t="s">
        <v>1114</v>
      </c>
      <c r="E27" s="34" t="s">
        <v>1115</v>
      </c>
      <c r="F27" s="34" t="s">
        <v>1116</v>
      </c>
      <c r="G27" s="34" t="s">
        <v>1014</v>
      </c>
    </row>
    <row r="28" spans="1:16" ht="52.05" customHeight="1">
      <c r="A28" s="22">
        <v>2</v>
      </c>
      <c r="B28" s="22" t="s">
        <v>696</v>
      </c>
      <c r="C28" s="22" t="s">
        <v>1117</v>
      </c>
      <c r="D28" s="22" t="s">
        <v>1118</v>
      </c>
      <c r="E28" s="22" t="s">
        <v>1119</v>
      </c>
      <c r="F28" s="22" t="s">
        <v>1120</v>
      </c>
      <c r="G28" s="22" t="s">
        <v>1023</v>
      </c>
    </row>
    <row r="29" spans="1:16" ht="52.05" customHeight="1">
      <c r="A29" s="34">
        <v>3</v>
      </c>
      <c r="B29" s="34" t="s">
        <v>755</v>
      </c>
      <c r="C29" s="34" t="s">
        <v>1121</v>
      </c>
      <c r="D29" s="34" t="s">
        <v>1122</v>
      </c>
      <c r="E29" s="34" t="s">
        <v>1123</v>
      </c>
      <c r="F29" s="34" t="s">
        <v>1124</v>
      </c>
      <c r="G29" s="34" t="s">
        <v>1023</v>
      </c>
    </row>
    <row r="30" spans="1:16" ht="52.05" customHeight="1">
      <c r="A30" s="22">
        <v>4</v>
      </c>
      <c r="B30" s="22" t="s">
        <v>742</v>
      </c>
      <c r="C30" s="22" t="s">
        <v>1125</v>
      </c>
      <c r="D30" s="22" t="s">
        <v>1126</v>
      </c>
      <c r="E30" s="22" t="s">
        <v>1127</v>
      </c>
      <c r="F30" s="22" t="s">
        <v>1128</v>
      </c>
      <c r="G30" s="22" t="s">
        <v>1023</v>
      </c>
    </row>
    <row r="31" spans="1:16" ht="52.05" customHeight="1">
      <c r="A31" s="35">
        <v>5</v>
      </c>
      <c r="B31" s="35" t="s">
        <v>777</v>
      </c>
      <c r="C31" s="35" t="s">
        <v>1129</v>
      </c>
      <c r="D31" s="35" t="s">
        <v>1130</v>
      </c>
      <c r="E31" s="35" t="s">
        <v>1131</v>
      </c>
      <c r="F31" s="35" t="s">
        <v>1132</v>
      </c>
      <c r="G31" s="35" t="s">
        <v>1023</v>
      </c>
    </row>
    <row r="32" spans="1:16" ht="52.05" customHeight="1">
      <c r="A32" s="35">
        <v>6</v>
      </c>
      <c r="B32" s="35" t="s">
        <v>2342</v>
      </c>
      <c r="C32" s="35" t="s">
        <v>1036</v>
      </c>
      <c r="D32" s="35" t="s">
        <v>1037</v>
      </c>
      <c r="E32" s="35" t="s">
        <v>2349</v>
      </c>
      <c r="F32" s="35" t="s">
        <v>822</v>
      </c>
      <c r="G32" s="35" t="s">
        <v>1014</v>
      </c>
    </row>
    <row r="33" spans="1:7" ht="52.05" customHeight="1">
      <c r="A33" s="35">
        <v>7</v>
      </c>
      <c r="B33" s="35" t="s">
        <v>241</v>
      </c>
      <c r="C33" s="35" t="s">
        <v>1133</v>
      </c>
      <c r="D33" s="35" t="s">
        <v>1039</v>
      </c>
      <c r="E33" s="35" t="s">
        <v>1040</v>
      </c>
      <c r="F33" s="35" t="s">
        <v>1134</v>
      </c>
      <c r="G33"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9" t="s">
        <v>1135</v>
      </c>
      <c r="B1" s="59"/>
      <c r="C1" s="59"/>
      <c r="D1" s="59"/>
      <c r="E1" s="59"/>
      <c r="F1" s="59"/>
      <c r="G1" s="59"/>
      <c r="H1" s="59"/>
      <c r="I1" s="59"/>
      <c r="J1" s="59"/>
      <c r="K1" s="59"/>
      <c r="L1" s="59"/>
      <c r="M1" s="59"/>
      <c r="N1" s="59"/>
      <c r="O1" s="59"/>
    </row>
    <row r="2" spans="1:16" ht="31.95" customHeight="1">
      <c r="A2" s="60" t="s">
        <v>1136</v>
      </c>
      <c r="B2" s="60"/>
      <c r="C2" s="60"/>
      <c r="D2" s="60"/>
      <c r="E2" s="60"/>
      <c r="F2" s="60"/>
      <c r="G2" s="60"/>
      <c r="H2" s="60"/>
      <c r="I2" s="60"/>
      <c r="J2" s="60"/>
      <c r="K2" s="60"/>
      <c r="L2" s="60"/>
      <c r="M2" s="60"/>
      <c r="N2" s="60"/>
      <c r="O2" s="60"/>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v>
      </c>
      <c r="B5" s="100"/>
      <c r="D5" s="103">
        <f>COUNTIF(O10:O40,"Blocked")</f>
        <v>0</v>
      </c>
      <c r="E5" s="104"/>
      <c r="G5" s="107" t="s">
        <v>1137</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834</v>
      </c>
      <c r="B10" s="10">
        <v>1</v>
      </c>
      <c r="C10" s="10" t="s">
        <v>89</v>
      </c>
      <c r="D10" s="10" t="s">
        <v>835</v>
      </c>
      <c r="E10" s="10" t="s">
        <v>836</v>
      </c>
      <c r="F10" s="10" t="s">
        <v>837</v>
      </c>
      <c r="G10" s="10" t="s">
        <v>109</v>
      </c>
      <c r="H10" s="15">
        <v>0.75</v>
      </c>
      <c r="I10" s="10" t="s">
        <v>755</v>
      </c>
      <c r="J10" s="10" t="s">
        <v>838</v>
      </c>
      <c r="K10" s="10" t="s">
        <v>839</v>
      </c>
      <c r="L10" s="10" t="s">
        <v>840</v>
      </c>
      <c r="M10" s="10" t="s">
        <v>842</v>
      </c>
      <c r="N10" s="10" t="s">
        <v>844</v>
      </c>
      <c r="O10" s="10" t="s">
        <v>303</v>
      </c>
      <c r="P10" s="29" t="s">
        <v>845</v>
      </c>
    </row>
    <row r="11" spans="1:16" ht="124.2">
      <c r="A11" s="11" t="s">
        <v>846</v>
      </c>
      <c r="B11" s="11">
        <v>2</v>
      </c>
      <c r="C11" s="11" t="s">
        <v>89</v>
      </c>
      <c r="D11" s="11" t="s">
        <v>847</v>
      </c>
      <c r="E11" s="11" t="s">
        <v>848</v>
      </c>
      <c r="F11" s="11" t="s">
        <v>849</v>
      </c>
      <c r="G11" s="11" t="s">
        <v>123</v>
      </c>
      <c r="H11" s="16">
        <v>1.5</v>
      </c>
      <c r="I11" s="11" t="s">
        <v>850</v>
      </c>
      <c r="J11" s="11" t="s">
        <v>838</v>
      </c>
      <c r="K11" s="11" t="s">
        <v>851</v>
      </c>
      <c r="L11" s="11" t="s">
        <v>852</v>
      </c>
      <c r="M11" s="11" t="s">
        <v>854</v>
      </c>
      <c r="N11" s="11" t="s">
        <v>856</v>
      </c>
      <c r="O11" s="11" t="s">
        <v>303</v>
      </c>
      <c r="P11" s="29" t="s">
        <v>857</v>
      </c>
    </row>
    <row r="12" spans="1:16" ht="110.4">
      <c r="A12" s="11" t="s">
        <v>858</v>
      </c>
      <c r="B12" s="11">
        <v>3</v>
      </c>
      <c r="C12" s="11" t="s">
        <v>89</v>
      </c>
      <c r="D12" s="11" t="s">
        <v>859</v>
      </c>
      <c r="E12" s="11" t="s">
        <v>860</v>
      </c>
      <c r="F12" s="11" t="s">
        <v>861</v>
      </c>
      <c r="G12" s="11" t="s">
        <v>123</v>
      </c>
      <c r="H12" s="16">
        <v>1</v>
      </c>
      <c r="I12" s="11" t="s">
        <v>850</v>
      </c>
      <c r="J12" s="11" t="s">
        <v>862</v>
      </c>
      <c r="K12" s="11" t="s">
        <v>863</v>
      </c>
      <c r="L12" s="11" t="s">
        <v>864</v>
      </c>
      <c r="M12" s="11" t="s">
        <v>866</v>
      </c>
      <c r="N12" s="11" t="s">
        <v>868</v>
      </c>
      <c r="O12" s="11" t="s">
        <v>303</v>
      </c>
      <c r="P12" s="29" t="s">
        <v>869</v>
      </c>
    </row>
    <row r="13" spans="1:16" ht="110.4">
      <c r="A13" s="11" t="s">
        <v>870</v>
      </c>
      <c r="B13" s="11">
        <v>4</v>
      </c>
      <c r="C13" s="11" t="s">
        <v>89</v>
      </c>
      <c r="D13" s="11" t="s">
        <v>871</v>
      </c>
      <c r="E13" s="11" t="s">
        <v>872</v>
      </c>
      <c r="F13" s="11" t="s">
        <v>873</v>
      </c>
      <c r="G13" s="11" t="s">
        <v>123</v>
      </c>
      <c r="H13" s="16">
        <v>1</v>
      </c>
      <c r="I13" s="11" t="s">
        <v>850</v>
      </c>
      <c r="J13" s="11" t="s">
        <v>874</v>
      </c>
      <c r="K13" s="11" t="s">
        <v>875</v>
      </c>
      <c r="L13" s="11" t="s">
        <v>876</v>
      </c>
      <c r="M13" s="11" t="s">
        <v>878</v>
      </c>
      <c r="N13" s="11" t="s">
        <v>880</v>
      </c>
      <c r="O13" s="11" t="s">
        <v>303</v>
      </c>
      <c r="P13" s="29" t="s">
        <v>881</v>
      </c>
    </row>
    <row r="14" spans="1:16" ht="110.4">
      <c r="A14" s="11" t="s">
        <v>882</v>
      </c>
      <c r="B14" s="11">
        <v>5</v>
      </c>
      <c r="C14" s="11" t="s">
        <v>89</v>
      </c>
      <c r="D14" s="11" t="s">
        <v>883</v>
      </c>
      <c r="E14" s="11" t="s">
        <v>884</v>
      </c>
      <c r="F14" s="11" t="s">
        <v>885</v>
      </c>
      <c r="G14" s="11" t="s">
        <v>123</v>
      </c>
      <c r="H14" s="16">
        <v>1</v>
      </c>
      <c r="I14" s="11" t="s">
        <v>850</v>
      </c>
      <c r="J14" s="11" t="s">
        <v>503</v>
      </c>
      <c r="K14" s="11" t="s">
        <v>886</v>
      </c>
      <c r="L14" s="11" t="s">
        <v>852</v>
      </c>
      <c r="M14" s="11" t="s">
        <v>888</v>
      </c>
      <c r="N14" s="11" t="s">
        <v>889</v>
      </c>
      <c r="O14" s="11" t="s">
        <v>303</v>
      </c>
      <c r="P14" s="29" t="s">
        <v>890</v>
      </c>
    </row>
    <row r="15" spans="1:16" ht="124.2">
      <c r="A15" s="11" t="s">
        <v>891</v>
      </c>
      <c r="B15" s="11">
        <v>6</v>
      </c>
      <c r="C15" s="11" t="s">
        <v>89</v>
      </c>
      <c r="D15" s="11" t="s">
        <v>892</v>
      </c>
      <c r="E15" s="11" t="s">
        <v>893</v>
      </c>
      <c r="F15" s="11" t="s">
        <v>894</v>
      </c>
      <c r="G15" s="11" t="s">
        <v>123</v>
      </c>
      <c r="H15" s="16">
        <v>1.25</v>
      </c>
      <c r="I15" s="11" t="s">
        <v>895</v>
      </c>
      <c r="J15" s="11" t="s">
        <v>491</v>
      </c>
      <c r="K15" s="11" t="s">
        <v>896</v>
      </c>
      <c r="L15" s="11" t="s">
        <v>621</v>
      </c>
      <c r="M15" s="11" t="s">
        <v>898</v>
      </c>
      <c r="N15" s="11" t="s">
        <v>900</v>
      </c>
      <c r="O15" s="11" t="s">
        <v>303</v>
      </c>
      <c r="P15" s="29" t="s">
        <v>901</v>
      </c>
    </row>
    <row r="16" spans="1:16" ht="110.4">
      <c r="A16" s="11" t="s">
        <v>902</v>
      </c>
      <c r="B16" s="11">
        <v>7</v>
      </c>
      <c r="C16" s="11" t="s">
        <v>89</v>
      </c>
      <c r="D16" s="11" t="s">
        <v>903</v>
      </c>
      <c r="E16" s="11" t="s">
        <v>904</v>
      </c>
      <c r="F16" s="11" t="s">
        <v>905</v>
      </c>
      <c r="G16" s="11" t="s">
        <v>109</v>
      </c>
      <c r="H16" s="16">
        <v>1</v>
      </c>
      <c r="I16" s="11" t="s">
        <v>895</v>
      </c>
      <c r="J16" s="11" t="s">
        <v>906</v>
      </c>
      <c r="K16" s="11" t="s">
        <v>907</v>
      </c>
      <c r="L16" s="11" t="s">
        <v>908</v>
      </c>
      <c r="M16" s="11" t="s">
        <v>910</v>
      </c>
      <c r="N16" s="11" t="s">
        <v>911</v>
      </c>
      <c r="O16" s="11" t="s">
        <v>303</v>
      </c>
      <c r="P16" s="29" t="s">
        <v>912</v>
      </c>
    </row>
    <row r="17" spans="1:16" ht="110.4">
      <c r="A17" s="11" t="s">
        <v>913</v>
      </c>
      <c r="B17" s="11">
        <v>8</v>
      </c>
      <c r="C17" s="11" t="s">
        <v>89</v>
      </c>
      <c r="D17" s="11" t="s">
        <v>914</v>
      </c>
      <c r="E17" s="11" t="s">
        <v>915</v>
      </c>
      <c r="F17" s="11" t="s">
        <v>916</v>
      </c>
      <c r="G17" s="11" t="s">
        <v>917</v>
      </c>
      <c r="H17" s="16">
        <v>1</v>
      </c>
      <c r="I17" s="11" t="s">
        <v>895</v>
      </c>
      <c r="J17" s="11" t="s">
        <v>491</v>
      </c>
      <c r="K17" s="11" t="s">
        <v>918</v>
      </c>
      <c r="L17" s="11" t="s">
        <v>919</v>
      </c>
      <c r="M17" s="11" t="s">
        <v>921</v>
      </c>
      <c r="N17" s="11" t="s">
        <v>924</v>
      </c>
      <c r="O17" s="11" t="s">
        <v>303</v>
      </c>
      <c r="P17" s="29" t="s">
        <v>925</v>
      </c>
    </row>
    <row r="18" spans="1:16" ht="110.4">
      <c r="A18" s="11" t="s">
        <v>926</v>
      </c>
      <c r="B18" s="11">
        <v>9</v>
      </c>
      <c r="C18" s="11" t="s">
        <v>89</v>
      </c>
      <c r="D18" s="11" t="s">
        <v>927</v>
      </c>
      <c r="E18" s="11" t="s">
        <v>928</v>
      </c>
      <c r="F18" s="11" t="s">
        <v>929</v>
      </c>
      <c r="G18" s="11" t="s">
        <v>109</v>
      </c>
      <c r="H18" s="16">
        <v>1</v>
      </c>
      <c r="I18" s="11" t="s">
        <v>895</v>
      </c>
      <c r="J18" s="11" t="s">
        <v>930</v>
      </c>
      <c r="K18" s="11" t="s">
        <v>931</v>
      </c>
      <c r="L18" s="11" t="s">
        <v>932</v>
      </c>
      <c r="M18" s="11" t="s">
        <v>934</v>
      </c>
      <c r="N18" s="11" t="s">
        <v>936</v>
      </c>
      <c r="O18" s="11" t="s">
        <v>303</v>
      </c>
      <c r="P18" s="29" t="s">
        <v>937</v>
      </c>
    </row>
    <row r="19" spans="1:16" ht="124.2">
      <c r="A19" s="11" t="s">
        <v>938</v>
      </c>
      <c r="B19" s="11">
        <v>10</v>
      </c>
      <c r="C19" s="11" t="s">
        <v>89</v>
      </c>
      <c r="D19" s="11" t="s">
        <v>939</v>
      </c>
      <c r="E19" s="11" t="s">
        <v>940</v>
      </c>
      <c r="F19" s="11" t="s">
        <v>941</v>
      </c>
      <c r="G19" s="11" t="s">
        <v>109</v>
      </c>
      <c r="H19" s="16">
        <v>1.25</v>
      </c>
      <c r="I19" s="11" t="s">
        <v>942</v>
      </c>
      <c r="J19" s="11" t="s">
        <v>469</v>
      </c>
      <c r="K19" s="11" t="s">
        <v>943</v>
      </c>
      <c r="L19" s="11" t="s">
        <v>944</v>
      </c>
      <c r="M19" s="11" t="s">
        <v>946</v>
      </c>
      <c r="N19" s="11" t="s">
        <v>948</v>
      </c>
      <c r="O19" s="11" t="s">
        <v>303</v>
      </c>
      <c r="P19" s="29" t="s">
        <v>949</v>
      </c>
    </row>
    <row r="20" spans="1:16" ht="193.8">
      <c r="A20" s="11" t="s">
        <v>950</v>
      </c>
      <c r="B20" s="11">
        <v>11</v>
      </c>
      <c r="C20" s="11" t="s">
        <v>89</v>
      </c>
      <c r="D20" s="11" t="s">
        <v>951</v>
      </c>
      <c r="E20" s="11" t="s">
        <v>952</v>
      </c>
      <c r="F20" s="11" t="s">
        <v>953</v>
      </c>
      <c r="G20" s="11" t="s">
        <v>93</v>
      </c>
      <c r="H20" s="16">
        <v>0.75</v>
      </c>
      <c r="I20" s="11" t="s">
        <v>942</v>
      </c>
      <c r="J20" s="11" t="s">
        <v>357</v>
      </c>
      <c r="K20" s="11" t="s">
        <v>954</v>
      </c>
      <c r="L20" s="11" t="s">
        <v>2343</v>
      </c>
      <c r="M20" s="11" t="s">
        <v>956</v>
      </c>
      <c r="N20" s="11" t="s">
        <v>957</v>
      </c>
      <c r="O20" s="11" t="s">
        <v>303</v>
      </c>
      <c r="P20" s="29" t="s">
        <v>958</v>
      </c>
    </row>
    <row r="21" spans="1:16" ht="110.4">
      <c r="A21" s="11" t="s">
        <v>959</v>
      </c>
      <c r="B21" s="11">
        <v>12</v>
      </c>
      <c r="C21" s="11" t="s">
        <v>89</v>
      </c>
      <c r="D21" s="11" t="s">
        <v>960</v>
      </c>
      <c r="E21" s="11" t="s">
        <v>961</v>
      </c>
      <c r="F21" s="11" t="s">
        <v>962</v>
      </c>
      <c r="G21" s="11" t="s">
        <v>93</v>
      </c>
      <c r="H21" s="16">
        <v>1.25</v>
      </c>
      <c r="I21" s="11" t="s">
        <v>777</v>
      </c>
      <c r="J21" s="11" t="s">
        <v>206</v>
      </c>
      <c r="K21" s="11" t="s">
        <v>963</v>
      </c>
      <c r="L21" s="11" t="s">
        <v>964</v>
      </c>
      <c r="M21" s="11" t="s">
        <v>966</v>
      </c>
      <c r="N21" s="11" t="s">
        <v>968</v>
      </c>
      <c r="O21" s="11" t="s">
        <v>303</v>
      </c>
      <c r="P21" s="29" t="s">
        <v>969</v>
      </c>
    </row>
    <row r="22" spans="1:16" ht="124.2">
      <c r="A22" s="11" t="s">
        <v>970</v>
      </c>
      <c r="B22" s="11">
        <v>13</v>
      </c>
      <c r="C22" s="11" t="s">
        <v>89</v>
      </c>
      <c r="D22" s="11" t="s">
        <v>971</v>
      </c>
      <c r="E22" s="11" t="s">
        <v>972</v>
      </c>
      <c r="F22" s="11" t="s">
        <v>973</v>
      </c>
      <c r="G22" s="11" t="s">
        <v>93</v>
      </c>
      <c r="H22" s="16">
        <v>1</v>
      </c>
      <c r="I22" s="11" t="s">
        <v>942</v>
      </c>
      <c r="J22" s="11" t="s">
        <v>101</v>
      </c>
      <c r="K22" s="11" t="s">
        <v>974</v>
      </c>
      <c r="L22" s="11" t="s">
        <v>975</v>
      </c>
      <c r="M22" s="11" t="s">
        <v>977</v>
      </c>
      <c r="N22" s="11" t="s">
        <v>979</v>
      </c>
      <c r="O22" s="11" t="s">
        <v>303</v>
      </c>
      <c r="P22" s="29" t="s">
        <v>980</v>
      </c>
    </row>
    <row r="23" spans="1:16" ht="24" customHeight="1">
      <c r="A23" s="24" t="s">
        <v>981</v>
      </c>
      <c r="B23" s="24">
        <v>14</v>
      </c>
      <c r="C23" s="24" t="s">
        <v>89</v>
      </c>
      <c r="D23" s="24" t="s">
        <v>238</v>
      </c>
      <c r="E23" s="24" t="s">
        <v>982</v>
      </c>
      <c r="F23" s="24" t="s">
        <v>983</v>
      </c>
      <c r="G23" s="24" t="s">
        <v>109</v>
      </c>
      <c r="H23">
        <v>1.5</v>
      </c>
      <c r="I23" t="s">
        <v>241</v>
      </c>
      <c r="J23" t="s">
        <v>101</v>
      </c>
      <c r="K23" t="s">
        <v>984</v>
      </c>
      <c r="L23" t="s">
        <v>2316</v>
      </c>
      <c r="M23" t="s">
        <v>986</v>
      </c>
      <c r="N23" t="s">
        <v>246</v>
      </c>
      <c r="O23" t="s">
        <v>303</v>
      </c>
      <c r="P23" s="29" t="s">
        <v>989</v>
      </c>
    </row>
    <row r="24" spans="1:16" ht="34.049999999999997" customHeight="1">
      <c r="A24" s="113"/>
      <c r="B24" s="113"/>
      <c r="C24" s="113"/>
      <c r="D24" s="113"/>
      <c r="E24" s="113"/>
      <c r="F24" s="113"/>
      <c r="G24" s="113"/>
      <c r="H24" s="98"/>
      <c r="I24" s="98"/>
      <c r="J24" s="98"/>
      <c r="K24" s="98"/>
      <c r="L24" s="98"/>
      <c r="M24" s="98"/>
      <c r="N24" s="98"/>
      <c r="O24" s="98"/>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850</v>
      </c>
      <c r="C27" s="34" t="s">
        <v>1138</v>
      </c>
      <c r="D27" s="34" t="s">
        <v>1139</v>
      </c>
      <c r="E27" s="34" t="s">
        <v>1140</v>
      </c>
      <c r="F27" s="34" t="s">
        <v>1141</v>
      </c>
      <c r="G27" s="34" t="s">
        <v>1023</v>
      </c>
    </row>
    <row r="28" spans="1:16" ht="52.05" customHeight="1">
      <c r="A28" s="35">
        <v>2</v>
      </c>
      <c r="B28" s="35" t="s">
        <v>895</v>
      </c>
      <c r="C28" s="35" t="s">
        <v>1142</v>
      </c>
      <c r="D28" s="35" t="s">
        <v>1143</v>
      </c>
      <c r="E28" s="35" t="s">
        <v>1144</v>
      </c>
      <c r="F28" s="35" t="s">
        <v>1145</v>
      </c>
      <c r="G28" s="35" t="s">
        <v>1023</v>
      </c>
    </row>
    <row r="29" spans="1:16" ht="52.05" customHeight="1">
      <c r="A29" s="35">
        <v>3</v>
      </c>
      <c r="B29" s="35" t="s">
        <v>942</v>
      </c>
      <c r="C29" s="35" t="s">
        <v>1146</v>
      </c>
      <c r="D29" s="35" t="s">
        <v>1147</v>
      </c>
      <c r="E29" s="35" t="s">
        <v>1148</v>
      </c>
      <c r="F29" s="35" t="s">
        <v>1149</v>
      </c>
      <c r="G29" s="35" t="s">
        <v>1023</v>
      </c>
    </row>
    <row r="30" spans="1:16" ht="52.05" customHeight="1">
      <c r="A30" s="35">
        <v>4</v>
      </c>
      <c r="B30" s="35" t="s">
        <v>241</v>
      </c>
      <c r="C30" s="35" t="s">
        <v>1150</v>
      </c>
      <c r="D30" s="35" t="s">
        <v>1039</v>
      </c>
      <c r="E30" s="35" t="s">
        <v>1040</v>
      </c>
      <c r="F30" s="35" t="s">
        <v>1151</v>
      </c>
      <c r="G30"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topLeftCell="C4" workbookViewId="0">
      <selection sqref="A1:H1"/>
    </sheetView>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9" t="s">
        <v>1152</v>
      </c>
      <c r="B1" s="59"/>
      <c r="C1" s="59"/>
      <c r="D1" s="59"/>
      <c r="E1" s="59"/>
      <c r="F1" s="59"/>
      <c r="G1" s="59"/>
      <c r="H1" s="59"/>
    </row>
    <row r="2" spans="1:8" ht="31.95" customHeight="1">
      <c r="A2" s="60" t="s">
        <v>1153</v>
      </c>
      <c r="B2" s="60"/>
      <c r="C2" s="60"/>
      <c r="D2" s="60"/>
      <c r="E2" s="60"/>
      <c r="F2" s="60"/>
      <c r="G2" s="60"/>
      <c r="H2" s="60"/>
    </row>
    <row r="4" spans="1:8" ht="46.05" customHeight="1">
      <c r="A4" s="114" t="s">
        <v>1154</v>
      </c>
      <c r="B4" s="115"/>
      <c r="C4" s="115"/>
      <c r="D4" s="115"/>
      <c r="E4" s="115"/>
      <c r="F4" s="115"/>
      <c r="G4" s="115"/>
      <c r="H4" s="116"/>
    </row>
    <row r="6" spans="1:8" ht="28.05" customHeight="1">
      <c r="A6" s="1" t="s">
        <v>1155</v>
      </c>
      <c r="B6" s="2" t="s">
        <v>1156</v>
      </c>
      <c r="C6" s="2" t="s">
        <v>1157</v>
      </c>
      <c r="D6" s="2" t="s">
        <v>1158</v>
      </c>
      <c r="E6" s="2" t="s">
        <v>1159</v>
      </c>
      <c r="F6" s="2" t="s">
        <v>1160</v>
      </c>
      <c r="G6" s="2" t="s">
        <v>1161</v>
      </c>
      <c r="H6" s="3" t="s">
        <v>1162</v>
      </c>
    </row>
    <row r="7" spans="1:8">
      <c r="A7" s="10" t="s">
        <v>1163</v>
      </c>
      <c r="B7" s="10" t="s">
        <v>1164</v>
      </c>
      <c r="C7" s="10" t="s">
        <v>1165</v>
      </c>
      <c r="D7" s="10" t="s">
        <v>1166</v>
      </c>
      <c r="E7" s="10" t="s">
        <v>1167</v>
      </c>
      <c r="F7" s="10" t="s">
        <v>1168</v>
      </c>
      <c r="G7" s="10" t="s">
        <v>1169</v>
      </c>
      <c r="H7" s="10" t="s">
        <v>1170</v>
      </c>
    </row>
    <row r="8" spans="1:8" ht="22.8">
      <c r="A8" s="11" t="s">
        <v>1163</v>
      </c>
      <c r="B8" s="11" t="s">
        <v>1171</v>
      </c>
      <c r="C8" s="11" t="s">
        <v>1172</v>
      </c>
      <c r="D8" s="11" t="s">
        <v>1173</v>
      </c>
      <c r="E8" s="11" t="s">
        <v>37</v>
      </c>
      <c r="F8" s="11" t="s">
        <v>426</v>
      </c>
      <c r="G8" s="11" t="s">
        <v>1174</v>
      </c>
      <c r="H8" s="11" t="s">
        <v>1175</v>
      </c>
    </row>
    <row r="9" spans="1:8">
      <c r="A9" s="11" t="s">
        <v>1163</v>
      </c>
      <c r="B9" s="11" t="s">
        <v>1176</v>
      </c>
      <c r="C9" s="11" t="s">
        <v>1177</v>
      </c>
      <c r="D9" s="11" t="s">
        <v>1178</v>
      </c>
      <c r="E9" s="11" t="s">
        <v>37</v>
      </c>
      <c r="F9" s="11" t="s">
        <v>152</v>
      </c>
      <c r="G9" s="11" t="s">
        <v>1179</v>
      </c>
      <c r="H9" s="11" t="s">
        <v>1180</v>
      </c>
    </row>
    <row r="10" spans="1:8" ht="22.8">
      <c r="A10" s="11" t="s">
        <v>1163</v>
      </c>
      <c r="B10" s="11" t="s">
        <v>1181</v>
      </c>
      <c r="C10" s="11" t="s">
        <v>1182</v>
      </c>
      <c r="D10" s="11" t="s">
        <v>1183</v>
      </c>
      <c r="E10" s="11" t="s">
        <v>37</v>
      </c>
      <c r="F10" s="11" t="s">
        <v>279</v>
      </c>
      <c r="G10" s="11" t="s">
        <v>1184</v>
      </c>
      <c r="H10" s="11" t="s">
        <v>1185</v>
      </c>
    </row>
    <row r="11" spans="1:8">
      <c r="A11" s="11" t="s">
        <v>1163</v>
      </c>
      <c r="B11" s="11" t="s">
        <v>1186</v>
      </c>
      <c r="C11" s="11" t="s">
        <v>1187</v>
      </c>
      <c r="D11" s="11" t="s">
        <v>1188</v>
      </c>
      <c r="E11" s="11" t="s">
        <v>59</v>
      </c>
      <c r="F11" s="11" t="s">
        <v>279</v>
      </c>
      <c r="G11" s="11" t="s">
        <v>1189</v>
      </c>
      <c r="H11" s="11" t="s">
        <v>1190</v>
      </c>
    </row>
    <row r="12" spans="1:8">
      <c r="A12" s="11" t="s">
        <v>1191</v>
      </c>
      <c r="B12" s="11" t="s">
        <v>1192</v>
      </c>
      <c r="C12" s="11" t="s">
        <v>1193</v>
      </c>
      <c r="D12" s="11" t="s">
        <v>1194</v>
      </c>
      <c r="E12" s="11" t="s">
        <v>58</v>
      </c>
      <c r="F12" s="11" t="s">
        <v>548</v>
      </c>
      <c r="G12" s="11" t="s">
        <v>1195</v>
      </c>
      <c r="H12" s="11" t="s">
        <v>1196</v>
      </c>
    </row>
    <row r="13" spans="1:8">
      <c r="A13" s="11" t="s">
        <v>1191</v>
      </c>
      <c r="B13" s="11" t="s">
        <v>1197</v>
      </c>
      <c r="C13" s="11" t="s">
        <v>1198</v>
      </c>
      <c r="D13" s="11" t="s">
        <v>1199</v>
      </c>
      <c r="E13" s="11" t="s">
        <v>1200</v>
      </c>
      <c r="F13" s="11" t="s">
        <v>327</v>
      </c>
      <c r="G13" s="11" t="s">
        <v>1201</v>
      </c>
      <c r="H13" s="11" t="s">
        <v>1202</v>
      </c>
    </row>
    <row r="14" spans="1:8" ht="22.8">
      <c r="A14" s="11" t="s">
        <v>1191</v>
      </c>
      <c r="B14" s="11" t="s">
        <v>1203</v>
      </c>
      <c r="C14" s="11" t="s">
        <v>1204</v>
      </c>
      <c r="D14" s="11" t="s">
        <v>1205</v>
      </c>
      <c r="E14" s="11" t="s">
        <v>1206</v>
      </c>
      <c r="F14" s="11" t="s">
        <v>269</v>
      </c>
      <c r="G14" s="11" t="s">
        <v>1207</v>
      </c>
      <c r="H14" s="11" t="s">
        <v>1208</v>
      </c>
    </row>
    <row r="15" spans="1:8">
      <c r="A15" s="11" t="s">
        <v>1191</v>
      </c>
      <c r="B15" s="11" t="s">
        <v>1209</v>
      </c>
      <c r="C15" s="11" t="s">
        <v>1210</v>
      </c>
      <c r="D15" s="11" t="s">
        <v>1211</v>
      </c>
      <c r="E15" s="11" t="s">
        <v>57</v>
      </c>
      <c r="F15" s="11" t="s">
        <v>415</v>
      </c>
      <c r="G15" s="11" t="s">
        <v>1212</v>
      </c>
      <c r="H15" s="11" t="s">
        <v>1213</v>
      </c>
    </row>
    <row r="16" spans="1:8" ht="22.8">
      <c r="A16" s="11" t="s">
        <v>1191</v>
      </c>
      <c r="B16" s="11" t="s">
        <v>1214</v>
      </c>
      <c r="C16" s="11" t="s">
        <v>1215</v>
      </c>
      <c r="D16" s="11" t="s">
        <v>1216</v>
      </c>
      <c r="E16" s="11" t="s">
        <v>57</v>
      </c>
      <c r="F16" s="11" t="s">
        <v>426</v>
      </c>
      <c r="G16" s="11" t="s">
        <v>1217</v>
      </c>
      <c r="H16" s="11" t="s">
        <v>1218</v>
      </c>
    </row>
    <row r="17" spans="1:8">
      <c r="A17" s="11" t="s">
        <v>1219</v>
      </c>
      <c r="B17" s="11" t="s">
        <v>1220</v>
      </c>
      <c r="C17" s="11" t="s">
        <v>1221</v>
      </c>
      <c r="D17" s="11" t="s">
        <v>1222</v>
      </c>
      <c r="E17" s="11" t="s">
        <v>58</v>
      </c>
      <c r="F17" s="11" t="s">
        <v>569</v>
      </c>
      <c r="G17" s="11" t="s">
        <v>1223</v>
      </c>
      <c r="H17" s="11" t="s">
        <v>1224</v>
      </c>
    </row>
    <row r="18" spans="1:8">
      <c r="A18" s="11" t="s">
        <v>1219</v>
      </c>
      <c r="B18" s="11" t="s">
        <v>1225</v>
      </c>
      <c r="C18" s="11" t="s">
        <v>1226</v>
      </c>
      <c r="D18" s="11" t="s">
        <v>1227</v>
      </c>
      <c r="E18" s="11" t="s">
        <v>58</v>
      </c>
      <c r="F18" s="11" t="s">
        <v>590</v>
      </c>
      <c r="G18" s="11" t="s">
        <v>1228</v>
      </c>
      <c r="H18" s="11" t="s">
        <v>1229</v>
      </c>
    </row>
    <row r="19" spans="1:8">
      <c r="A19" s="11" t="s">
        <v>1230</v>
      </c>
      <c r="B19" s="11" t="s">
        <v>1231</v>
      </c>
      <c r="C19" s="11" t="s">
        <v>1232</v>
      </c>
      <c r="D19" s="11" t="s">
        <v>1233</v>
      </c>
      <c r="E19" s="11" t="s">
        <v>60</v>
      </c>
      <c r="F19" s="11" t="s">
        <v>855</v>
      </c>
      <c r="G19" s="11" t="s">
        <v>1234</v>
      </c>
      <c r="H19" s="11" t="s">
        <v>1235</v>
      </c>
    </row>
    <row r="20" spans="1:8">
      <c r="A20" s="11" t="s">
        <v>1236</v>
      </c>
      <c r="B20" s="11" t="s">
        <v>1237</v>
      </c>
      <c r="C20" s="11" t="s">
        <v>1238</v>
      </c>
      <c r="D20" s="11" t="s">
        <v>1239</v>
      </c>
      <c r="E20" s="11" t="s">
        <v>1240</v>
      </c>
      <c r="F20" s="11" t="s">
        <v>1168</v>
      </c>
      <c r="G20" s="11" t="s">
        <v>1241</v>
      </c>
      <c r="H20" s="11" t="s">
        <v>1242</v>
      </c>
    </row>
    <row r="21" spans="1:8" ht="22.8">
      <c r="A21" s="11" t="s">
        <v>1243</v>
      </c>
      <c r="B21" s="11" t="s">
        <v>1244</v>
      </c>
      <c r="C21" s="11" t="s">
        <v>1245</v>
      </c>
      <c r="D21" s="11" t="s">
        <v>1246</v>
      </c>
      <c r="E21" s="11" t="s">
        <v>1247</v>
      </c>
      <c r="F21" s="11" t="s">
        <v>1248</v>
      </c>
      <c r="G21" s="11" t="s">
        <v>1249</v>
      </c>
      <c r="H21" s="11" t="s">
        <v>1250</v>
      </c>
    </row>
    <row r="22" spans="1:8">
      <c r="A22" s="11" t="s">
        <v>1251</v>
      </c>
      <c r="B22" s="11" t="s">
        <v>1252</v>
      </c>
      <c r="C22" s="11" t="s">
        <v>1253</v>
      </c>
      <c r="D22" s="11" t="s">
        <v>1254</v>
      </c>
      <c r="E22" s="11" t="s">
        <v>1255</v>
      </c>
      <c r="F22" s="11" t="s">
        <v>496</v>
      </c>
      <c r="G22" s="11" t="s">
        <v>1256</v>
      </c>
      <c r="H22" s="11" t="s">
        <v>1257</v>
      </c>
    </row>
    <row r="23" spans="1:8" ht="22.8">
      <c r="A23" s="11" t="s">
        <v>1251</v>
      </c>
      <c r="B23" s="11" t="s">
        <v>1258</v>
      </c>
      <c r="C23" s="11" t="s">
        <v>1259</v>
      </c>
      <c r="D23" s="11" t="s">
        <v>1260</v>
      </c>
      <c r="E23" s="11" t="s">
        <v>60</v>
      </c>
      <c r="F23" s="11" t="s">
        <v>1261</v>
      </c>
      <c r="G23" s="11" t="s">
        <v>1262</v>
      </c>
      <c r="H23" s="11" t="s">
        <v>1263</v>
      </c>
    </row>
    <row r="24" spans="1:8">
      <c r="A24" s="11" t="s">
        <v>1264</v>
      </c>
      <c r="B24" s="11" t="s">
        <v>1265</v>
      </c>
      <c r="C24" s="11" t="s">
        <v>1266</v>
      </c>
      <c r="D24" s="11" t="s">
        <v>1267</v>
      </c>
      <c r="E24" s="11" t="s">
        <v>1268</v>
      </c>
      <c r="F24" s="11" t="s">
        <v>1269</v>
      </c>
      <c r="G24" s="11" t="s">
        <v>1270</v>
      </c>
      <c r="H24" s="11" t="s">
        <v>1271</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abSelected="1" topLeftCell="M27" workbookViewId="0">
      <selection activeCell="N27" sqref="N27"/>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57" t="s">
        <v>1272</v>
      </c>
      <c r="B1" s="57"/>
      <c r="C1" s="57"/>
      <c r="D1" s="57"/>
      <c r="E1" s="57"/>
      <c r="F1" s="57"/>
      <c r="G1" s="57"/>
      <c r="H1" s="57"/>
      <c r="I1" s="57"/>
      <c r="J1" s="57"/>
      <c r="K1" s="51"/>
      <c r="L1" s="51"/>
      <c r="M1" s="54"/>
      <c r="N1" s="54"/>
    </row>
    <row r="2" spans="1:14">
      <c r="A2" s="58" t="s">
        <v>1273</v>
      </c>
      <c r="B2" s="58"/>
      <c r="C2" s="58"/>
      <c r="D2" s="58"/>
      <c r="E2" s="58"/>
      <c r="F2" s="58"/>
      <c r="G2" s="58"/>
      <c r="H2" s="58"/>
      <c r="I2" s="58"/>
      <c r="J2" s="58"/>
      <c r="K2" s="52"/>
      <c r="L2" s="52"/>
      <c r="M2" s="55"/>
      <c r="N2" s="55"/>
    </row>
    <row r="3" spans="1:14">
      <c r="M3" s="22"/>
      <c r="N3" s="22"/>
    </row>
    <row r="5" spans="1:14">
      <c r="A5" s="53" t="s">
        <v>76</v>
      </c>
      <c r="B5" s="53" t="s">
        <v>53</v>
      </c>
      <c r="C5" s="53" t="s">
        <v>1005</v>
      </c>
      <c r="D5" s="53" t="s">
        <v>1006</v>
      </c>
      <c r="E5" s="53" t="s">
        <v>1007</v>
      </c>
      <c r="F5" s="53" t="s">
        <v>1008</v>
      </c>
      <c r="G5" s="53" t="s">
        <v>1274</v>
      </c>
      <c r="H5" s="53" t="s">
        <v>1275</v>
      </c>
      <c r="I5" s="53" t="s">
        <v>1276</v>
      </c>
      <c r="J5" s="53" t="s">
        <v>1277</v>
      </c>
      <c r="K5" s="53" t="s">
        <v>1278</v>
      </c>
      <c r="L5" s="53" t="s">
        <v>1279</v>
      </c>
      <c r="M5" s="53" t="s">
        <v>1280</v>
      </c>
      <c r="N5" s="53" t="s">
        <v>1281</v>
      </c>
    </row>
    <row r="6" spans="1:14" ht="125.4">
      <c r="A6" s="23" t="s">
        <v>2350</v>
      </c>
      <c r="B6" s="23" t="s">
        <v>1685</v>
      </c>
      <c r="C6" s="23" t="s">
        <v>2351</v>
      </c>
      <c r="D6" s="23" t="s">
        <v>2352</v>
      </c>
      <c r="E6" s="23" t="s">
        <v>2353</v>
      </c>
      <c r="F6" s="23" t="s">
        <v>2354</v>
      </c>
      <c r="G6" s="23" t="s">
        <v>2355</v>
      </c>
      <c r="H6" s="23" t="s">
        <v>2356</v>
      </c>
      <c r="I6" s="23" t="s">
        <v>2357</v>
      </c>
      <c r="J6" s="23" t="s">
        <v>2358</v>
      </c>
      <c r="K6" s="23" t="s">
        <v>1685</v>
      </c>
      <c r="L6" s="23" t="s">
        <v>2359</v>
      </c>
      <c r="M6" s="23" t="s">
        <v>2359</v>
      </c>
      <c r="N6" s="22" t="s">
        <v>2359</v>
      </c>
    </row>
    <row r="7" spans="1:14" ht="262.2">
      <c r="A7" s="22" t="s">
        <v>2360</v>
      </c>
      <c r="B7" s="22" t="s">
        <v>1685</v>
      </c>
      <c r="C7" s="22" t="s">
        <v>2361</v>
      </c>
      <c r="D7" s="22" t="s">
        <v>2362</v>
      </c>
      <c r="E7" s="22" t="s">
        <v>2363</v>
      </c>
      <c r="F7" s="22" t="s">
        <v>2364</v>
      </c>
      <c r="G7" s="22" t="s">
        <v>2365</v>
      </c>
      <c r="H7" s="22" t="s">
        <v>2356</v>
      </c>
      <c r="I7" s="22" t="s">
        <v>2357</v>
      </c>
      <c r="J7" s="22" t="s">
        <v>2358</v>
      </c>
      <c r="K7" s="22" t="s">
        <v>2366</v>
      </c>
      <c r="L7" s="22" t="s">
        <v>2359</v>
      </c>
      <c r="M7" s="22" t="s">
        <v>2359</v>
      </c>
      <c r="N7" s="55" t="s">
        <v>2359</v>
      </c>
    </row>
    <row r="8" spans="1:14" ht="228">
      <c r="A8" s="23" t="s">
        <v>2220</v>
      </c>
      <c r="B8" s="23" t="s">
        <v>1685</v>
      </c>
      <c r="C8" s="23" t="s">
        <v>2367</v>
      </c>
      <c r="D8" s="23" t="s">
        <v>2368</v>
      </c>
      <c r="E8" s="23" t="s">
        <v>2369</v>
      </c>
      <c r="F8" s="23" t="s">
        <v>2370</v>
      </c>
      <c r="G8" s="23" t="s">
        <v>2371</v>
      </c>
      <c r="H8" s="23" t="s">
        <v>2356</v>
      </c>
      <c r="I8" s="23" t="s">
        <v>2357</v>
      </c>
      <c r="J8" s="23" t="s">
        <v>2358</v>
      </c>
      <c r="K8" s="23" t="s">
        <v>1685</v>
      </c>
      <c r="L8" s="23" t="s">
        <v>2359</v>
      </c>
      <c r="M8" s="23" t="s">
        <v>2359</v>
      </c>
      <c r="N8" s="22" t="s">
        <v>2359</v>
      </c>
    </row>
    <row r="9" spans="1:14" ht="409.6">
      <c r="A9" s="22" t="s">
        <v>94</v>
      </c>
      <c r="B9" s="22" t="s">
        <v>56</v>
      </c>
      <c r="C9" s="22" t="s">
        <v>1010</v>
      </c>
      <c r="D9" s="22" t="s">
        <v>1011</v>
      </c>
      <c r="E9" s="22" t="s">
        <v>1012</v>
      </c>
      <c r="F9" s="22" t="s">
        <v>2372</v>
      </c>
      <c r="G9" s="22" t="s">
        <v>2373</v>
      </c>
      <c r="H9" s="22" t="s">
        <v>2374</v>
      </c>
      <c r="I9" s="22" t="s">
        <v>2375</v>
      </c>
      <c r="J9" s="22" t="s">
        <v>2376</v>
      </c>
      <c r="K9" s="22" t="s">
        <v>88</v>
      </c>
      <c r="L9" s="22" t="s">
        <v>2377</v>
      </c>
      <c r="M9" s="22" t="s">
        <v>2378</v>
      </c>
      <c r="N9" s="55" t="s">
        <v>2379</v>
      </c>
    </row>
    <row r="10" spans="1:14" ht="409.6">
      <c r="A10" s="23" t="s">
        <v>110</v>
      </c>
      <c r="B10" s="23" t="s">
        <v>56</v>
      </c>
      <c r="C10" s="23" t="s">
        <v>1015</v>
      </c>
      <c r="D10" s="23" t="s">
        <v>1016</v>
      </c>
      <c r="E10" s="23" t="s">
        <v>1017</v>
      </c>
      <c r="F10" s="23" t="s">
        <v>2372</v>
      </c>
      <c r="G10" s="23" t="s">
        <v>2380</v>
      </c>
      <c r="H10" s="23" t="s">
        <v>2374</v>
      </c>
      <c r="I10" s="23" t="s">
        <v>2381</v>
      </c>
      <c r="J10" s="23" t="s">
        <v>2376</v>
      </c>
      <c r="K10" s="23" t="s">
        <v>105</v>
      </c>
      <c r="L10" s="23" t="s">
        <v>2382</v>
      </c>
      <c r="M10" s="23" t="s">
        <v>2383</v>
      </c>
      <c r="N10" s="22" t="s">
        <v>2384</v>
      </c>
    </row>
    <row r="11" spans="1:14" ht="409.6">
      <c r="A11" s="22" t="s">
        <v>124</v>
      </c>
      <c r="B11" s="22" t="s">
        <v>56</v>
      </c>
      <c r="C11" s="22" t="s">
        <v>1019</v>
      </c>
      <c r="D11" s="22" t="s">
        <v>1020</v>
      </c>
      <c r="E11" s="22" t="s">
        <v>1021</v>
      </c>
      <c r="F11" s="22" t="s">
        <v>2385</v>
      </c>
      <c r="G11" s="22" t="s">
        <v>2386</v>
      </c>
      <c r="H11" s="22" t="s">
        <v>2387</v>
      </c>
      <c r="I11" s="22" t="s">
        <v>2388</v>
      </c>
      <c r="J11" s="22" t="s">
        <v>2376</v>
      </c>
      <c r="K11" s="22" t="s">
        <v>2389</v>
      </c>
      <c r="L11" s="22" t="s">
        <v>2390</v>
      </c>
      <c r="M11" s="22" t="s">
        <v>2296</v>
      </c>
      <c r="N11" s="55" t="s">
        <v>2391</v>
      </c>
    </row>
    <row r="12" spans="1:14" ht="409.6">
      <c r="A12" s="23" t="s">
        <v>147</v>
      </c>
      <c r="B12" s="23" t="s">
        <v>56</v>
      </c>
      <c r="C12" s="23" t="s">
        <v>1024</v>
      </c>
      <c r="D12" s="23" t="s">
        <v>1025</v>
      </c>
      <c r="E12" s="23" t="s">
        <v>1026</v>
      </c>
      <c r="F12" s="23" t="s">
        <v>2385</v>
      </c>
      <c r="G12" s="23" t="s">
        <v>2392</v>
      </c>
      <c r="H12" s="23" t="s">
        <v>2387</v>
      </c>
      <c r="I12" s="23" t="s">
        <v>2393</v>
      </c>
      <c r="J12" s="23" t="s">
        <v>2376</v>
      </c>
      <c r="K12" s="23" t="s">
        <v>143</v>
      </c>
      <c r="L12" s="23" t="s">
        <v>2394</v>
      </c>
      <c r="M12" s="23" t="s">
        <v>2297</v>
      </c>
      <c r="N12" s="22" t="s">
        <v>2395</v>
      </c>
    </row>
    <row r="13" spans="1:14" ht="409.6">
      <c r="A13" s="22" t="s">
        <v>159</v>
      </c>
      <c r="B13" s="22" t="s">
        <v>56</v>
      </c>
      <c r="C13" s="22" t="s">
        <v>1028</v>
      </c>
      <c r="D13" s="22" t="s">
        <v>1029</v>
      </c>
      <c r="E13" s="22" t="s">
        <v>1030</v>
      </c>
      <c r="F13" s="22" t="s">
        <v>2385</v>
      </c>
      <c r="G13" s="22" t="s">
        <v>2396</v>
      </c>
      <c r="H13" s="22" t="s">
        <v>2387</v>
      </c>
      <c r="I13" s="22" t="s">
        <v>2397</v>
      </c>
      <c r="J13" s="22" t="s">
        <v>2376</v>
      </c>
      <c r="K13" s="22" t="s">
        <v>2398</v>
      </c>
      <c r="L13" s="22" t="s">
        <v>2399</v>
      </c>
      <c r="M13" s="22" t="s">
        <v>2298</v>
      </c>
      <c r="N13" s="55" t="s">
        <v>2400</v>
      </c>
    </row>
    <row r="14" spans="1:14" ht="409.6">
      <c r="A14" s="23" t="s">
        <v>193</v>
      </c>
      <c r="B14" s="23" t="s">
        <v>56</v>
      </c>
      <c r="C14" s="23" t="s">
        <v>1032</v>
      </c>
      <c r="D14" s="23" t="s">
        <v>1033</v>
      </c>
      <c r="E14" s="23" t="s">
        <v>1034</v>
      </c>
      <c r="F14" s="23" t="s">
        <v>2385</v>
      </c>
      <c r="G14" s="23" t="s">
        <v>2401</v>
      </c>
      <c r="H14" s="23" t="s">
        <v>2387</v>
      </c>
      <c r="I14" s="23" t="s">
        <v>2402</v>
      </c>
      <c r="J14" s="23" t="s">
        <v>2376</v>
      </c>
      <c r="K14" s="23" t="s">
        <v>2403</v>
      </c>
      <c r="L14" s="23" t="s">
        <v>2404</v>
      </c>
      <c r="M14" s="23" t="s">
        <v>2299</v>
      </c>
      <c r="N14" s="22" t="s">
        <v>2405</v>
      </c>
    </row>
    <row r="15" spans="1:14" ht="409.6">
      <c r="A15" s="22" t="s">
        <v>253</v>
      </c>
      <c r="B15" s="22" t="s">
        <v>37</v>
      </c>
      <c r="C15" s="22" t="s">
        <v>2406</v>
      </c>
      <c r="D15" s="22" t="s">
        <v>2407</v>
      </c>
      <c r="E15" s="22" t="s">
        <v>2408</v>
      </c>
      <c r="F15" s="22" t="s">
        <v>2385</v>
      </c>
      <c r="G15" s="22" t="s">
        <v>2409</v>
      </c>
      <c r="H15" s="22" t="s">
        <v>2387</v>
      </c>
      <c r="I15" s="22" t="s">
        <v>2410</v>
      </c>
      <c r="J15" s="22" t="s">
        <v>2376</v>
      </c>
      <c r="K15" s="22" t="s">
        <v>2411</v>
      </c>
      <c r="L15" s="22" t="s">
        <v>2412</v>
      </c>
      <c r="M15" s="22" t="s">
        <v>2413</v>
      </c>
      <c r="N15" s="55" t="s">
        <v>2414</v>
      </c>
    </row>
    <row r="16" spans="1:14" ht="409.6">
      <c r="A16" s="23" t="s">
        <v>296</v>
      </c>
      <c r="B16" s="23" t="s">
        <v>37</v>
      </c>
      <c r="C16" s="23" t="s">
        <v>1050</v>
      </c>
      <c r="D16" s="23" t="s">
        <v>1051</v>
      </c>
      <c r="E16" s="23" t="s">
        <v>1052</v>
      </c>
      <c r="F16" s="23" t="s">
        <v>2385</v>
      </c>
      <c r="G16" s="23" t="s">
        <v>2415</v>
      </c>
      <c r="H16" s="23" t="s">
        <v>2387</v>
      </c>
      <c r="I16" s="23" t="s">
        <v>2416</v>
      </c>
      <c r="J16" s="23" t="s">
        <v>2376</v>
      </c>
      <c r="K16" s="23" t="s">
        <v>292</v>
      </c>
      <c r="L16" s="23" t="s">
        <v>2417</v>
      </c>
      <c r="M16" s="23" t="s">
        <v>2418</v>
      </c>
      <c r="N16" s="22" t="s">
        <v>2419</v>
      </c>
    </row>
    <row r="17" spans="1:14" ht="409.6">
      <c r="A17" s="22" t="s">
        <v>309</v>
      </c>
      <c r="B17" s="22" t="s">
        <v>37</v>
      </c>
      <c r="C17" s="22" t="s">
        <v>1054</v>
      </c>
      <c r="D17" s="22" t="s">
        <v>1055</v>
      </c>
      <c r="E17" s="22" t="s">
        <v>1056</v>
      </c>
      <c r="F17" s="22" t="s">
        <v>2385</v>
      </c>
      <c r="G17" s="22" t="s">
        <v>2420</v>
      </c>
      <c r="H17" s="22" t="s">
        <v>2387</v>
      </c>
      <c r="I17" s="22" t="s">
        <v>2421</v>
      </c>
      <c r="J17" s="22" t="s">
        <v>2376</v>
      </c>
      <c r="K17" s="22" t="s">
        <v>2422</v>
      </c>
      <c r="L17" s="22" t="s">
        <v>2423</v>
      </c>
      <c r="M17" s="22" t="s">
        <v>2424</v>
      </c>
      <c r="N17" s="55" t="s">
        <v>2425</v>
      </c>
    </row>
    <row r="18" spans="1:14" ht="409.6">
      <c r="A18" s="23" t="s">
        <v>345</v>
      </c>
      <c r="B18" s="23" t="s">
        <v>37</v>
      </c>
      <c r="C18" s="23" t="s">
        <v>2426</v>
      </c>
      <c r="D18" s="23" t="s">
        <v>2427</v>
      </c>
      <c r="E18" s="23" t="s">
        <v>2428</v>
      </c>
      <c r="F18" s="23" t="s">
        <v>2385</v>
      </c>
      <c r="G18" s="23" t="s">
        <v>2429</v>
      </c>
      <c r="H18" s="23" t="s">
        <v>2387</v>
      </c>
      <c r="I18" s="23" t="s">
        <v>2430</v>
      </c>
      <c r="J18" s="23" t="s">
        <v>2376</v>
      </c>
      <c r="K18" s="23" t="s">
        <v>2431</v>
      </c>
      <c r="L18" s="23" t="s">
        <v>2571</v>
      </c>
      <c r="M18" s="23" t="s">
        <v>2432</v>
      </c>
      <c r="N18" s="22" t="s">
        <v>2433</v>
      </c>
    </row>
    <row r="19" spans="1:14" ht="409.6">
      <c r="A19" s="22" t="s">
        <v>369</v>
      </c>
      <c r="B19" s="22" t="s">
        <v>37</v>
      </c>
      <c r="C19" s="22" t="s">
        <v>1062</v>
      </c>
      <c r="D19" s="22" t="s">
        <v>1063</v>
      </c>
      <c r="E19" s="22" t="s">
        <v>1064</v>
      </c>
      <c r="F19" s="22" t="s">
        <v>2434</v>
      </c>
      <c r="G19" s="22" t="s">
        <v>2435</v>
      </c>
      <c r="H19" s="22" t="s">
        <v>2436</v>
      </c>
      <c r="I19" s="22" t="s">
        <v>2437</v>
      </c>
      <c r="J19" s="22" t="s">
        <v>2438</v>
      </c>
      <c r="K19" s="22" t="s">
        <v>364</v>
      </c>
      <c r="L19" s="22" t="s">
        <v>2570</v>
      </c>
      <c r="M19" s="22" t="s">
        <v>2439</v>
      </c>
      <c r="N19" s="55" t="s">
        <v>2309</v>
      </c>
    </row>
    <row r="20" spans="1:14" ht="409.6">
      <c r="A20" s="23" t="s">
        <v>397</v>
      </c>
      <c r="B20" s="23" t="s">
        <v>57</v>
      </c>
      <c r="C20" s="23" t="s">
        <v>1071</v>
      </c>
      <c r="D20" s="23" t="s">
        <v>1072</v>
      </c>
      <c r="E20" s="23" t="s">
        <v>1073</v>
      </c>
      <c r="F20" s="23" t="s">
        <v>2385</v>
      </c>
      <c r="G20" s="23" t="s">
        <v>2574</v>
      </c>
      <c r="H20" s="23" t="s">
        <v>2387</v>
      </c>
      <c r="I20" s="23" t="s">
        <v>2440</v>
      </c>
      <c r="J20" s="23" t="s">
        <v>2376</v>
      </c>
      <c r="K20" s="23" t="s">
        <v>2441</v>
      </c>
      <c r="L20" s="23" t="s">
        <v>2573</v>
      </c>
      <c r="M20" s="23" t="s">
        <v>2300</v>
      </c>
      <c r="N20" s="22" t="s">
        <v>2442</v>
      </c>
    </row>
    <row r="21" spans="1:14" ht="409.6">
      <c r="A21" s="22" t="s">
        <v>457</v>
      </c>
      <c r="B21" s="22" t="s">
        <v>57</v>
      </c>
      <c r="C21" s="22" t="s">
        <v>1075</v>
      </c>
      <c r="D21" s="22" t="s">
        <v>1076</v>
      </c>
      <c r="E21" s="22" t="s">
        <v>1077</v>
      </c>
      <c r="F21" s="22" t="s">
        <v>2385</v>
      </c>
      <c r="G21" s="22" t="s">
        <v>2575</v>
      </c>
      <c r="H21" s="22" t="s">
        <v>2387</v>
      </c>
      <c r="I21" s="22" t="s">
        <v>2443</v>
      </c>
      <c r="J21" s="22" t="s">
        <v>2376</v>
      </c>
      <c r="K21" s="22" t="s">
        <v>2444</v>
      </c>
      <c r="L21" s="22" t="s">
        <v>2593</v>
      </c>
      <c r="M21" s="22" t="s">
        <v>2301</v>
      </c>
      <c r="N21" s="55" t="s">
        <v>2445</v>
      </c>
    </row>
    <row r="22" spans="1:14" ht="409.6">
      <c r="A22" s="23" t="s">
        <v>445</v>
      </c>
      <c r="B22" s="23" t="s">
        <v>57</v>
      </c>
      <c r="C22" s="23" t="s">
        <v>1079</v>
      </c>
      <c r="D22" s="23" t="s">
        <v>1080</v>
      </c>
      <c r="E22" s="23" t="s">
        <v>1081</v>
      </c>
      <c r="F22" s="23" t="s">
        <v>2385</v>
      </c>
      <c r="G22" s="23" t="s">
        <v>2594</v>
      </c>
      <c r="H22" s="23" t="s">
        <v>2387</v>
      </c>
      <c r="I22" s="23" t="s">
        <v>2446</v>
      </c>
      <c r="J22" s="23" t="s">
        <v>2376</v>
      </c>
      <c r="K22" s="23" t="s">
        <v>2447</v>
      </c>
      <c r="L22" s="23" t="s">
        <v>2595</v>
      </c>
      <c r="M22" s="23" t="s">
        <v>2448</v>
      </c>
      <c r="N22" s="22" t="s">
        <v>2449</v>
      </c>
    </row>
    <row r="23" spans="1:14" ht="409.6">
      <c r="A23" s="22" t="s">
        <v>514</v>
      </c>
      <c r="B23" s="22" t="s">
        <v>57</v>
      </c>
      <c r="C23" s="22" t="s">
        <v>1083</v>
      </c>
      <c r="D23" s="22" t="s">
        <v>1084</v>
      </c>
      <c r="E23" s="22" t="s">
        <v>1085</v>
      </c>
      <c r="F23" s="22" t="s">
        <v>2385</v>
      </c>
      <c r="G23" s="22" t="s">
        <v>2596</v>
      </c>
      <c r="H23" s="22" t="s">
        <v>2387</v>
      </c>
      <c r="I23" s="22" t="s">
        <v>2450</v>
      </c>
      <c r="J23" s="22" t="s">
        <v>2376</v>
      </c>
      <c r="K23" s="22" t="s">
        <v>510</v>
      </c>
      <c r="L23" s="22" t="s">
        <v>2597</v>
      </c>
      <c r="M23" s="22" t="s">
        <v>2598</v>
      </c>
      <c r="N23" s="55" t="s">
        <v>2451</v>
      </c>
    </row>
    <row r="24" spans="1:14" ht="409.6">
      <c r="A24" s="23" t="s">
        <v>543</v>
      </c>
      <c r="B24" s="23" t="s">
        <v>58</v>
      </c>
      <c r="C24" s="23" t="s">
        <v>1092</v>
      </c>
      <c r="D24" s="23" t="s">
        <v>1093</v>
      </c>
      <c r="E24" s="23" t="s">
        <v>1094</v>
      </c>
      <c r="F24" s="23" t="s">
        <v>2385</v>
      </c>
      <c r="G24" s="23" t="s">
        <v>2600</v>
      </c>
      <c r="H24" s="23" t="s">
        <v>2387</v>
      </c>
      <c r="I24" s="23" t="s">
        <v>2452</v>
      </c>
      <c r="J24" s="23" t="s">
        <v>2376</v>
      </c>
      <c r="K24" s="23" t="s">
        <v>2453</v>
      </c>
      <c r="L24" s="23" t="s">
        <v>2601</v>
      </c>
      <c r="M24" s="23" t="s">
        <v>2602</v>
      </c>
      <c r="N24" s="22" t="s">
        <v>2454</v>
      </c>
    </row>
    <row r="25" spans="1:14" ht="409.6">
      <c r="A25" s="22" t="s">
        <v>564</v>
      </c>
      <c r="B25" s="22" t="s">
        <v>58</v>
      </c>
      <c r="C25" s="22" t="s">
        <v>1096</v>
      </c>
      <c r="D25" s="22" t="s">
        <v>1097</v>
      </c>
      <c r="E25" s="22" t="s">
        <v>1098</v>
      </c>
      <c r="F25" s="22" t="s">
        <v>2385</v>
      </c>
      <c r="G25" s="22" t="s">
        <v>2603</v>
      </c>
      <c r="H25" s="22" t="s">
        <v>2387</v>
      </c>
      <c r="I25" s="22" t="s">
        <v>2455</v>
      </c>
      <c r="J25" s="22" t="s">
        <v>2376</v>
      </c>
      <c r="K25" s="22" t="s">
        <v>2456</v>
      </c>
      <c r="L25" s="22" t="s">
        <v>2604</v>
      </c>
      <c r="M25" s="22" t="s">
        <v>2605</v>
      </c>
      <c r="N25" s="55" t="s">
        <v>2457</v>
      </c>
    </row>
    <row r="26" spans="1:14" ht="409.6">
      <c r="A26" s="23" t="s">
        <v>490</v>
      </c>
      <c r="B26" s="23" t="s">
        <v>58</v>
      </c>
      <c r="C26" s="23" t="s">
        <v>1100</v>
      </c>
      <c r="D26" s="23" t="s">
        <v>1101</v>
      </c>
      <c r="E26" s="23" t="s">
        <v>1102</v>
      </c>
      <c r="F26" s="23" t="s">
        <v>2385</v>
      </c>
      <c r="G26" s="23" t="s">
        <v>2607</v>
      </c>
      <c r="H26" s="23" t="s">
        <v>2387</v>
      </c>
      <c r="I26" s="23" t="s">
        <v>2458</v>
      </c>
      <c r="J26" s="23" t="s">
        <v>2376</v>
      </c>
      <c r="K26" s="23" t="s">
        <v>2459</v>
      </c>
      <c r="L26" s="23" t="s">
        <v>2606</v>
      </c>
      <c r="M26" s="23" t="s">
        <v>2608</v>
      </c>
      <c r="N26" s="22" t="s">
        <v>2460</v>
      </c>
    </row>
    <row r="27" spans="1:14" ht="409.6">
      <c r="A27" s="22" t="s">
        <v>655</v>
      </c>
      <c r="B27" s="22" t="s">
        <v>58</v>
      </c>
      <c r="C27" s="22" t="s">
        <v>1104</v>
      </c>
      <c r="D27" s="22" t="s">
        <v>1105</v>
      </c>
      <c r="E27" s="22" t="s">
        <v>1106</v>
      </c>
      <c r="F27" s="22" t="s">
        <v>2385</v>
      </c>
      <c r="G27" s="22" t="s">
        <v>2609</v>
      </c>
      <c r="H27" s="22" t="s">
        <v>2387</v>
      </c>
      <c r="I27" s="22" t="s">
        <v>2461</v>
      </c>
      <c r="J27" s="22" t="s">
        <v>2376</v>
      </c>
      <c r="K27" s="22" t="s">
        <v>651</v>
      </c>
      <c r="L27" s="22" t="s">
        <v>2610</v>
      </c>
      <c r="M27" s="22" t="s">
        <v>2462</v>
      </c>
      <c r="N27" s="55" t="s">
        <v>2463</v>
      </c>
    </row>
    <row r="28" spans="1:14" ht="409.6">
      <c r="A28" s="23" t="s">
        <v>684</v>
      </c>
      <c r="B28" s="23" t="s">
        <v>59</v>
      </c>
      <c r="C28" s="23" t="s">
        <v>1113</v>
      </c>
      <c r="D28" s="23" t="s">
        <v>1114</v>
      </c>
      <c r="E28" s="23" t="s">
        <v>1115</v>
      </c>
      <c r="F28" s="23" t="s">
        <v>2372</v>
      </c>
      <c r="G28" s="23" t="s">
        <v>2464</v>
      </c>
      <c r="H28" s="23" t="s">
        <v>2374</v>
      </c>
      <c r="I28" s="23" t="s">
        <v>2465</v>
      </c>
      <c r="J28" s="23" t="s">
        <v>2376</v>
      </c>
      <c r="K28" s="23" t="s">
        <v>680</v>
      </c>
      <c r="L28" s="23" t="s">
        <v>2576</v>
      </c>
      <c r="M28" s="23" t="s">
        <v>2466</v>
      </c>
      <c r="N28" s="22" t="s">
        <v>2467</v>
      </c>
    </row>
    <row r="29" spans="1:14" ht="409.6">
      <c r="A29" s="22" t="s">
        <v>696</v>
      </c>
      <c r="B29" s="22" t="s">
        <v>59</v>
      </c>
      <c r="C29" s="22" t="s">
        <v>1117</v>
      </c>
      <c r="D29" s="22" t="s">
        <v>1118</v>
      </c>
      <c r="E29" s="22" t="s">
        <v>1119</v>
      </c>
      <c r="F29" s="22" t="s">
        <v>2385</v>
      </c>
      <c r="G29" s="22" t="s">
        <v>2468</v>
      </c>
      <c r="H29" s="22" t="s">
        <v>2387</v>
      </c>
      <c r="I29" s="22" t="s">
        <v>2469</v>
      </c>
      <c r="J29" s="22" t="s">
        <v>2376</v>
      </c>
      <c r="K29" s="22" t="s">
        <v>2470</v>
      </c>
      <c r="L29" s="22" t="s">
        <v>2577</v>
      </c>
      <c r="M29" s="22" t="s">
        <v>2302</v>
      </c>
      <c r="N29" s="55" t="s">
        <v>2471</v>
      </c>
    </row>
    <row r="30" spans="1:14" ht="409.6">
      <c r="A30" s="23" t="s">
        <v>755</v>
      </c>
      <c r="B30" s="23" t="s">
        <v>59</v>
      </c>
      <c r="C30" s="23" t="s">
        <v>1121</v>
      </c>
      <c r="D30" s="23" t="s">
        <v>1122</v>
      </c>
      <c r="E30" s="23" t="s">
        <v>1123</v>
      </c>
      <c r="F30" s="23" t="s">
        <v>2385</v>
      </c>
      <c r="G30" s="23" t="s">
        <v>2472</v>
      </c>
      <c r="H30" s="23" t="s">
        <v>2387</v>
      </c>
      <c r="I30" s="23" t="s">
        <v>2473</v>
      </c>
      <c r="J30" s="23" t="s">
        <v>2376</v>
      </c>
      <c r="K30" s="23" t="s">
        <v>2474</v>
      </c>
      <c r="L30" s="23" t="s">
        <v>2578</v>
      </c>
      <c r="M30" s="23" t="s">
        <v>2303</v>
      </c>
      <c r="N30" s="22" t="s">
        <v>2475</v>
      </c>
    </row>
    <row r="31" spans="1:14" ht="409.6">
      <c r="A31" s="22" t="s">
        <v>742</v>
      </c>
      <c r="B31" s="22" t="s">
        <v>59</v>
      </c>
      <c r="C31" s="22" t="s">
        <v>1125</v>
      </c>
      <c r="D31" s="22" t="s">
        <v>1126</v>
      </c>
      <c r="E31" s="22" t="s">
        <v>1127</v>
      </c>
      <c r="F31" s="22" t="s">
        <v>2385</v>
      </c>
      <c r="G31" s="22" t="s">
        <v>2476</v>
      </c>
      <c r="H31" s="22" t="s">
        <v>2387</v>
      </c>
      <c r="I31" s="22" t="s">
        <v>2477</v>
      </c>
      <c r="J31" s="22" t="s">
        <v>2376</v>
      </c>
      <c r="K31" s="22" t="s">
        <v>738</v>
      </c>
      <c r="L31" s="22" t="s">
        <v>2579</v>
      </c>
      <c r="M31" s="22" t="s">
        <v>2478</v>
      </c>
      <c r="N31" s="55" t="s">
        <v>2479</v>
      </c>
    </row>
    <row r="32" spans="1:14" ht="409.6">
      <c r="A32" s="23" t="s">
        <v>777</v>
      </c>
      <c r="B32" s="23" t="s">
        <v>59</v>
      </c>
      <c r="C32" s="23" t="s">
        <v>1129</v>
      </c>
      <c r="D32" s="23" t="s">
        <v>1130</v>
      </c>
      <c r="E32" s="23" t="s">
        <v>1131</v>
      </c>
      <c r="F32" s="23" t="s">
        <v>2385</v>
      </c>
      <c r="G32" s="23" t="s">
        <v>2480</v>
      </c>
      <c r="H32" s="23" t="s">
        <v>2387</v>
      </c>
      <c r="I32" s="23" t="s">
        <v>2481</v>
      </c>
      <c r="J32" s="23" t="s">
        <v>2376</v>
      </c>
      <c r="K32" s="23" t="s">
        <v>2482</v>
      </c>
      <c r="L32" s="23" t="s">
        <v>2580</v>
      </c>
      <c r="M32" s="23" t="s">
        <v>2304</v>
      </c>
      <c r="N32" s="22" t="s">
        <v>2483</v>
      </c>
    </row>
    <row r="33" spans="1:14" ht="409.6">
      <c r="A33" s="22" t="s">
        <v>850</v>
      </c>
      <c r="B33" s="22" t="s">
        <v>60</v>
      </c>
      <c r="C33" s="22" t="s">
        <v>1138</v>
      </c>
      <c r="D33" s="22" t="s">
        <v>1139</v>
      </c>
      <c r="E33" s="22" t="s">
        <v>1140</v>
      </c>
      <c r="F33" s="22" t="s">
        <v>2385</v>
      </c>
      <c r="G33" s="22" t="s">
        <v>2484</v>
      </c>
      <c r="H33" s="22" t="s">
        <v>2387</v>
      </c>
      <c r="I33" s="22" t="s">
        <v>2485</v>
      </c>
      <c r="J33" s="22" t="s">
        <v>2376</v>
      </c>
      <c r="K33" s="22" t="s">
        <v>2486</v>
      </c>
      <c r="L33" s="22" t="s">
        <v>2581</v>
      </c>
      <c r="M33" s="22" t="s">
        <v>2305</v>
      </c>
      <c r="N33" s="55" t="s">
        <v>2487</v>
      </c>
    </row>
    <row r="34" spans="1:14" ht="409.6">
      <c r="A34" s="23" t="s">
        <v>895</v>
      </c>
      <c r="B34" s="23" t="s">
        <v>60</v>
      </c>
      <c r="C34" s="23" t="s">
        <v>1142</v>
      </c>
      <c r="D34" s="23" t="s">
        <v>1143</v>
      </c>
      <c r="E34" s="23" t="s">
        <v>1144</v>
      </c>
      <c r="F34" s="23" t="s">
        <v>2385</v>
      </c>
      <c r="G34" s="23" t="s">
        <v>2488</v>
      </c>
      <c r="H34" s="23" t="s">
        <v>2387</v>
      </c>
      <c r="I34" s="23" t="s">
        <v>2489</v>
      </c>
      <c r="J34" s="23" t="s">
        <v>2376</v>
      </c>
      <c r="K34" s="23" t="s">
        <v>2490</v>
      </c>
      <c r="L34" s="23" t="s">
        <v>2582</v>
      </c>
      <c r="M34" s="23" t="s">
        <v>2491</v>
      </c>
      <c r="N34" s="22" t="s">
        <v>2492</v>
      </c>
    </row>
    <row r="35" spans="1:14" ht="409.6">
      <c r="A35" s="22" t="s">
        <v>942</v>
      </c>
      <c r="B35" s="22" t="s">
        <v>60</v>
      </c>
      <c r="C35" s="22" t="s">
        <v>1146</v>
      </c>
      <c r="D35" s="22" t="s">
        <v>1147</v>
      </c>
      <c r="E35" s="22" t="s">
        <v>1148</v>
      </c>
      <c r="F35" s="22" t="s">
        <v>2385</v>
      </c>
      <c r="G35" s="22" t="s">
        <v>2493</v>
      </c>
      <c r="H35" s="22" t="s">
        <v>2387</v>
      </c>
      <c r="I35" s="22" t="s">
        <v>2494</v>
      </c>
      <c r="J35" s="22" t="s">
        <v>2376</v>
      </c>
      <c r="K35" s="22" t="s">
        <v>2495</v>
      </c>
      <c r="L35" s="22" t="s">
        <v>2583</v>
      </c>
      <c r="M35" s="22" t="s">
        <v>2306</v>
      </c>
      <c r="N35" s="55" t="s">
        <v>2496</v>
      </c>
    </row>
    <row r="36" spans="1:14" ht="409.6">
      <c r="A36" s="23" t="s">
        <v>2321</v>
      </c>
      <c r="B36" s="23" t="s">
        <v>56</v>
      </c>
      <c r="C36" s="23" t="s">
        <v>2497</v>
      </c>
      <c r="D36" s="23" t="s">
        <v>2498</v>
      </c>
      <c r="E36" s="23" t="s">
        <v>2499</v>
      </c>
      <c r="F36" s="23" t="s">
        <v>2500</v>
      </c>
      <c r="G36" s="23" t="s">
        <v>2501</v>
      </c>
      <c r="H36" s="23" t="s">
        <v>2374</v>
      </c>
      <c r="I36" s="23" t="s">
        <v>2502</v>
      </c>
      <c r="J36" s="23" t="s">
        <v>2376</v>
      </c>
      <c r="K36" s="23" t="s">
        <v>225</v>
      </c>
      <c r="L36" s="23" t="s">
        <v>2584</v>
      </c>
      <c r="M36" s="23" t="s">
        <v>2503</v>
      </c>
      <c r="N36" s="22" t="s">
        <v>2504</v>
      </c>
    </row>
    <row r="37" spans="1:14" ht="409.6">
      <c r="A37" s="23" t="s">
        <v>2328</v>
      </c>
      <c r="B37" s="23" t="s">
        <v>37</v>
      </c>
      <c r="C37" s="23" t="s">
        <v>2505</v>
      </c>
      <c r="D37" s="23" t="s">
        <v>2506</v>
      </c>
      <c r="E37" s="23" t="s">
        <v>2507</v>
      </c>
      <c r="F37" s="23" t="s">
        <v>2500</v>
      </c>
      <c r="G37" s="23" t="s">
        <v>2508</v>
      </c>
      <c r="H37" s="23" t="s">
        <v>2374</v>
      </c>
      <c r="I37" s="23" t="s">
        <v>2509</v>
      </c>
      <c r="J37" s="23" t="s">
        <v>2376</v>
      </c>
      <c r="K37" s="23" t="s">
        <v>376</v>
      </c>
      <c r="L37" s="23" t="s">
        <v>2585</v>
      </c>
      <c r="M37" s="23" t="s">
        <v>2510</v>
      </c>
      <c r="N37" s="22" t="s">
        <v>2511</v>
      </c>
    </row>
    <row r="38" spans="1:14" ht="409.6">
      <c r="A38" s="23" t="s">
        <v>2331</v>
      </c>
      <c r="B38" s="23" t="s">
        <v>57</v>
      </c>
      <c r="C38" s="23" t="s">
        <v>2512</v>
      </c>
      <c r="D38" s="23" t="s">
        <v>2513</v>
      </c>
      <c r="E38" s="23" t="s">
        <v>2514</v>
      </c>
      <c r="F38" s="23" t="s">
        <v>2500</v>
      </c>
      <c r="G38" s="23" t="s">
        <v>2515</v>
      </c>
      <c r="H38" s="23" t="s">
        <v>2374</v>
      </c>
      <c r="I38" s="23" t="s">
        <v>2516</v>
      </c>
      <c r="J38" s="23" t="s">
        <v>2376</v>
      </c>
      <c r="K38" s="23" t="s">
        <v>521</v>
      </c>
      <c r="L38" s="23" t="s">
        <v>2586</v>
      </c>
      <c r="M38" s="23" t="s">
        <v>2517</v>
      </c>
      <c r="N38" s="22" t="s">
        <v>2518</v>
      </c>
    </row>
    <row r="39" spans="1:14" ht="409.6">
      <c r="A39" s="23" t="s">
        <v>2334</v>
      </c>
      <c r="B39" s="23" t="s">
        <v>58</v>
      </c>
      <c r="C39" s="23" t="s">
        <v>2519</v>
      </c>
      <c r="D39" s="23" t="s">
        <v>2520</v>
      </c>
      <c r="E39" s="23" t="s">
        <v>2521</v>
      </c>
      <c r="F39" s="23" t="s">
        <v>2500</v>
      </c>
      <c r="G39" s="23" t="s">
        <v>2522</v>
      </c>
      <c r="H39" s="23" t="s">
        <v>2374</v>
      </c>
      <c r="I39" s="23" t="s">
        <v>2523</v>
      </c>
      <c r="J39" s="23" t="s">
        <v>2376</v>
      </c>
      <c r="K39" s="23" t="s">
        <v>662</v>
      </c>
      <c r="L39" s="23" t="s">
        <v>2587</v>
      </c>
      <c r="M39" s="23" t="s">
        <v>2524</v>
      </c>
      <c r="N39" s="22" t="s">
        <v>2525</v>
      </c>
    </row>
    <row r="40" spans="1:14" ht="409.6">
      <c r="A40" s="23" t="s">
        <v>2342</v>
      </c>
      <c r="B40" s="23" t="s">
        <v>59</v>
      </c>
      <c r="C40" s="23" t="s">
        <v>2526</v>
      </c>
      <c r="D40" s="23" t="s">
        <v>2527</v>
      </c>
      <c r="E40" s="23" t="s">
        <v>2528</v>
      </c>
      <c r="F40" s="23" t="s">
        <v>2500</v>
      </c>
      <c r="G40" s="23" t="s">
        <v>2529</v>
      </c>
      <c r="H40" s="23" t="s">
        <v>2374</v>
      </c>
      <c r="I40" s="23" t="s">
        <v>2530</v>
      </c>
      <c r="J40" s="23" t="s">
        <v>2376</v>
      </c>
      <c r="K40" s="23" t="s">
        <v>815</v>
      </c>
      <c r="L40" s="23" t="s">
        <v>2588</v>
      </c>
      <c r="M40" s="23" t="s">
        <v>2531</v>
      </c>
      <c r="N40" s="22" t="s">
        <v>2532</v>
      </c>
    </row>
    <row r="41" spans="1:14" ht="409.6">
      <c r="A41" s="22" t="s">
        <v>2533</v>
      </c>
      <c r="B41" s="22" t="s">
        <v>1567</v>
      </c>
      <c r="C41" s="22" t="s">
        <v>2534</v>
      </c>
      <c r="D41" s="22" t="s">
        <v>2535</v>
      </c>
      <c r="E41" s="22" t="s">
        <v>2536</v>
      </c>
      <c r="F41" s="22" t="s">
        <v>2385</v>
      </c>
      <c r="G41" s="22" t="s">
        <v>2537</v>
      </c>
      <c r="H41" s="22" t="s">
        <v>2387</v>
      </c>
      <c r="I41" s="22" t="s">
        <v>2538</v>
      </c>
      <c r="J41" s="22" t="s">
        <v>2376</v>
      </c>
      <c r="K41" s="22" t="s">
        <v>1567</v>
      </c>
      <c r="L41" s="22" t="s">
        <v>2589</v>
      </c>
      <c r="M41" s="22" t="s">
        <v>2539</v>
      </c>
      <c r="N41" s="55" t="s">
        <v>2540</v>
      </c>
    </row>
    <row r="42" spans="1:14" ht="409.6">
      <c r="A42" s="23" t="s">
        <v>2541</v>
      </c>
      <c r="B42" s="23" t="s">
        <v>1567</v>
      </c>
      <c r="C42" s="23" t="s">
        <v>2542</v>
      </c>
      <c r="D42" s="23" t="s">
        <v>2543</v>
      </c>
      <c r="E42" s="23" t="s">
        <v>2544</v>
      </c>
      <c r="F42" s="23" t="s">
        <v>2385</v>
      </c>
      <c r="G42" s="23" t="s">
        <v>2545</v>
      </c>
      <c r="H42" s="23" t="s">
        <v>2387</v>
      </c>
      <c r="I42" s="23" t="s">
        <v>2546</v>
      </c>
      <c r="J42" s="23" t="s">
        <v>2376</v>
      </c>
      <c r="K42" s="23" t="s">
        <v>1567</v>
      </c>
      <c r="L42" s="23" t="s">
        <v>2590</v>
      </c>
      <c r="M42" s="23" t="s">
        <v>2547</v>
      </c>
      <c r="N42" s="22" t="s">
        <v>2548</v>
      </c>
    </row>
    <row r="43" spans="1:14" ht="409.6" customHeight="1">
      <c r="A43" s="27" t="s">
        <v>2549</v>
      </c>
      <c r="B43" s="27" t="s">
        <v>56</v>
      </c>
      <c r="C43" s="27" t="s">
        <v>2550</v>
      </c>
      <c r="D43" s="27" t="s">
        <v>2551</v>
      </c>
      <c r="E43" s="27" t="s">
        <v>2552</v>
      </c>
      <c r="F43" s="27" t="s">
        <v>2434</v>
      </c>
      <c r="G43" s="28" t="s">
        <v>2553</v>
      </c>
      <c r="H43" s="27" t="s">
        <v>2374</v>
      </c>
      <c r="I43" s="27" t="s">
        <v>2554</v>
      </c>
      <c r="J43" s="27" t="s">
        <v>2376</v>
      </c>
      <c r="K43" s="27" t="s">
        <v>2555</v>
      </c>
      <c r="L43" s="27" t="s">
        <v>2591</v>
      </c>
      <c r="M43" s="27" t="s">
        <v>2556</v>
      </c>
      <c r="N43" s="55" t="s">
        <v>2557</v>
      </c>
    </row>
    <row r="44" spans="1:14" ht="319.95" customHeight="1">
      <c r="A44" s="27" t="s">
        <v>241</v>
      </c>
      <c r="B44" s="27" t="s">
        <v>2558</v>
      </c>
      <c r="C44" s="27" t="s">
        <v>2559</v>
      </c>
      <c r="D44" s="27" t="s">
        <v>2560</v>
      </c>
      <c r="E44" s="27" t="s">
        <v>2561</v>
      </c>
      <c r="F44" s="27" t="s">
        <v>2562</v>
      </c>
      <c r="G44" s="28" t="s">
        <v>2563</v>
      </c>
      <c r="H44" s="27" t="s">
        <v>2307</v>
      </c>
      <c r="I44" s="27" t="s">
        <v>2564</v>
      </c>
      <c r="J44" s="27" t="s">
        <v>2438</v>
      </c>
      <c r="K44" s="27" t="s">
        <v>2565</v>
      </c>
      <c r="L44" s="27" t="s">
        <v>2592</v>
      </c>
      <c r="M44" s="27" t="s">
        <v>2308</v>
      </c>
      <c r="N44" s="22" t="s">
        <v>2310</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topLeftCell="A25" workbookViewId="0">
      <selection activeCell="A23" sqref="A23"/>
    </sheetView>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9" t="s">
        <v>1282</v>
      </c>
      <c r="B1" s="59"/>
      <c r="C1" s="59"/>
      <c r="D1" s="59"/>
      <c r="E1" s="59"/>
      <c r="F1" s="59"/>
      <c r="G1" s="59"/>
      <c r="H1" s="59"/>
      <c r="I1" s="59"/>
      <c r="J1" s="59"/>
      <c r="K1" s="59"/>
      <c r="L1" s="59"/>
    </row>
    <row r="2" spans="1:12" ht="31.95" customHeight="1">
      <c r="A2" s="60" t="s">
        <v>1283</v>
      </c>
      <c r="B2" s="60"/>
      <c r="C2" s="60"/>
      <c r="D2" s="60"/>
      <c r="E2" s="60"/>
      <c r="F2" s="60"/>
      <c r="G2" s="60"/>
      <c r="H2" s="60"/>
      <c r="I2" s="60"/>
      <c r="J2" s="60"/>
      <c r="K2" s="60"/>
      <c r="L2" s="60"/>
    </row>
    <row r="5" spans="1:12" ht="28.05" customHeight="1">
      <c r="A5" s="1" t="s">
        <v>1284</v>
      </c>
      <c r="B5" s="2" t="s">
        <v>53</v>
      </c>
      <c r="C5" s="2" t="s">
        <v>1285</v>
      </c>
      <c r="D5" s="2" t="s">
        <v>90</v>
      </c>
      <c r="E5" s="2" t="s">
        <v>1286</v>
      </c>
      <c r="F5" s="2" t="s">
        <v>80</v>
      </c>
      <c r="G5" s="2" t="s">
        <v>81</v>
      </c>
      <c r="H5" s="2" t="s">
        <v>85</v>
      </c>
      <c r="I5" s="2" t="s">
        <v>1287</v>
      </c>
      <c r="J5" s="2" t="s">
        <v>1288</v>
      </c>
      <c r="K5" s="2" t="s">
        <v>1289</v>
      </c>
      <c r="L5" s="3" t="s">
        <v>1290</v>
      </c>
    </row>
    <row r="6" spans="1:12" ht="45.6">
      <c r="A6" s="10" t="s">
        <v>1291</v>
      </c>
      <c r="B6" s="10" t="s">
        <v>56</v>
      </c>
      <c r="C6" s="10" t="s">
        <v>1292</v>
      </c>
      <c r="D6" s="10" t="s">
        <v>1293</v>
      </c>
      <c r="E6" s="10" t="s">
        <v>1294</v>
      </c>
      <c r="F6" s="10" t="s">
        <v>1295</v>
      </c>
      <c r="G6" s="10" t="s">
        <v>151</v>
      </c>
      <c r="H6" s="10" t="s">
        <v>1296</v>
      </c>
      <c r="I6" s="17">
        <v>46252</v>
      </c>
      <c r="J6" s="10" t="s">
        <v>1297</v>
      </c>
      <c r="K6" s="10" t="s">
        <v>1298</v>
      </c>
      <c r="L6" s="10" t="s">
        <v>1299</v>
      </c>
    </row>
    <row r="7" spans="1:12" ht="45.6">
      <c r="A7" s="11" t="s">
        <v>1300</v>
      </c>
      <c r="B7" s="11" t="s">
        <v>56</v>
      </c>
      <c r="C7" s="11" t="s">
        <v>1005</v>
      </c>
      <c r="D7" s="11" t="s">
        <v>1301</v>
      </c>
      <c r="E7" s="11" t="s">
        <v>2294</v>
      </c>
      <c r="F7" s="11" t="s">
        <v>1302</v>
      </c>
      <c r="G7" s="11" t="s">
        <v>140</v>
      </c>
      <c r="H7" s="11" t="s">
        <v>1296</v>
      </c>
      <c r="I7" s="18">
        <v>46252</v>
      </c>
      <c r="J7" s="11" t="s">
        <v>1303</v>
      </c>
      <c r="K7" s="11" t="s">
        <v>1298</v>
      </c>
      <c r="L7" s="11" t="s">
        <v>1299</v>
      </c>
    </row>
    <row r="8" spans="1:12" ht="57">
      <c r="A8" s="11" t="s">
        <v>1304</v>
      </c>
      <c r="B8" s="11" t="s">
        <v>56</v>
      </c>
      <c r="C8" s="11" t="s">
        <v>1305</v>
      </c>
      <c r="D8" s="11" t="s">
        <v>1306</v>
      </c>
      <c r="E8" s="11" t="s">
        <v>184</v>
      </c>
      <c r="F8" s="11" t="s">
        <v>1307</v>
      </c>
      <c r="G8" s="11" t="s">
        <v>186</v>
      </c>
      <c r="H8" s="11" t="s">
        <v>1296</v>
      </c>
      <c r="I8" s="18">
        <v>46252</v>
      </c>
      <c r="J8" s="11" t="s">
        <v>1308</v>
      </c>
      <c r="K8" s="11" t="s">
        <v>1309</v>
      </c>
      <c r="L8" s="11" t="s">
        <v>1299</v>
      </c>
    </row>
    <row r="9" spans="1:12" ht="45.6">
      <c r="A9" s="11" t="s">
        <v>1310</v>
      </c>
      <c r="B9" s="11" t="s">
        <v>56</v>
      </c>
      <c r="C9" s="11" t="s">
        <v>1311</v>
      </c>
      <c r="D9" s="11" t="s">
        <v>1312</v>
      </c>
      <c r="E9" s="11" t="s">
        <v>219</v>
      </c>
      <c r="F9" s="11" t="s">
        <v>1313</v>
      </c>
      <c r="G9" s="11" t="s">
        <v>221</v>
      </c>
      <c r="H9" s="11" t="s">
        <v>1296</v>
      </c>
      <c r="I9" s="18">
        <v>46252</v>
      </c>
      <c r="J9" s="11" t="s">
        <v>1314</v>
      </c>
      <c r="K9" s="11" t="s">
        <v>1315</v>
      </c>
      <c r="L9" s="11" t="s">
        <v>1299</v>
      </c>
    </row>
    <row r="10" spans="1:12">
      <c r="A10" s="11" t="s">
        <v>1316</v>
      </c>
      <c r="B10" s="11" t="s">
        <v>37</v>
      </c>
      <c r="C10" s="11" t="s">
        <v>1292</v>
      </c>
      <c r="D10" s="11" t="s">
        <v>1317</v>
      </c>
      <c r="E10" s="11" t="s">
        <v>256</v>
      </c>
      <c r="F10" s="11" t="s">
        <v>1318</v>
      </c>
      <c r="G10" s="11" t="s">
        <v>1319</v>
      </c>
      <c r="H10" s="11" t="s">
        <v>1320</v>
      </c>
      <c r="I10" s="18"/>
      <c r="J10" s="11"/>
      <c r="K10" s="11"/>
      <c r="L10" s="11"/>
    </row>
    <row r="11" spans="1:12">
      <c r="A11" s="11" t="s">
        <v>1321</v>
      </c>
      <c r="B11" s="11" t="s">
        <v>37</v>
      </c>
      <c r="C11" s="11" t="s">
        <v>1322</v>
      </c>
      <c r="D11" s="11" t="s">
        <v>1323</v>
      </c>
      <c r="E11" s="11" t="s">
        <v>1324</v>
      </c>
      <c r="F11" s="11" t="s">
        <v>1325</v>
      </c>
      <c r="G11" s="11" t="s">
        <v>1326</v>
      </c>
      <c r="H11" s="11" t="s">
        <v>1320</v>
      </c>
      <c r="I11" s="18"/>
      <c r="J11" s="11"/>
      <c r="K11" s="11"/>
      <c r="L11" s="11"/>
    </row>
    <row r="12" spans="1:12">
      <c r="A12" s="11" t="s">
        <v>1327</v>
      </c>
      <c r="B12" s="11" t="s">
        <v>37</v>
      </c>
      <c r="C12" s="11" t="s">
        <v>1292</v>
      </c>
      <c r="D12" s="11" t="s">
        <v>1328</v>
      </c>
      <c r="E12" s="11" t="s">
        <v>299</v>
      </c>
      <c r="F12" s="11" t="s">
        <v>1329</v>
      </c>
      <c r="G12" s="11" t="s">
        <v>1330</v>
      </c>
      <c r="H12" s="11" t="s">
        <v>1320</v>
      </c>
      <c r="I12" s="18"/>
      <c r="J12" s="11"/>
      <c r="K12" s="11"/>
      <c r="L12" s="11"/>
    </row>
    <row r="13" spans="1:12" ht="22.8">
      <c r="A13" s="11" t="s">
        <v>1331</v>
      </c>
      <c r="B13" s="11" t="s">
        <v>37</v>
      </c>
      <c r="C13" s="11" t="s">
        <v>1305</v>
      </c>
      <c r="D13" s="11" t="s">
        <v>1332</v>
      </c>
      <c r="E13" s="11" t="s">
        <v>1333</v>
      </c>
      <c r="F13" s="11" t="s">
        <v>1334</v>
      </c>
      <c r="G13" s="11" t="s">
        <v>1335</v>
      </c>
      <c r="H13" s="11" t="s">
        <v>1320</v>
      </c>
      <c r="I13" s="18"/>
      <c r="J13" s="11"/>
      <c r="K13" s="11"/>
      <c r="L13" s="11"/>
    </row>
    <row r="14" spans="1:12">
      <c r="A14" s="11" t="s">
        <v>1336</v>
      </c>
      <c r="B14" s="11" t="s">
        <v>37</v>
      </c>
      <c r="C14" s="11" t="s">
        <v>1005</v>
      </c>
      <c r="D14" s="11" t="s">
        <v>1337</v>
      </c>
      <c r="E14" s="11" t="s">
        <v>1338</v>
      </c>
      <c r="F14" s="11" t="s">
        <v>1339</v>
      </c>
      <c r="G14" s="11" t="s">
        <v>1340</v>
      </c>
      <c r="H14" s="11" t="s">
        <v>1320</v>
      </c>
      <c r="I14" s="18"/>
      <c r="J14" s="11"/>
      <c r="K14" s="11"/>
      <c r="L14" s="11"/>
    </row>
    <row r="15" spans="1:12" ht="171">
      <c r="A15" s="11" t="s">
        <v>1341</v>
      </c>
      <c r="B15" s="11" t="s">
        <v>37</v>
      </c>
      <c r="C15" s="11" t="s">
        <v>1311</v>
      </c>
      <c r="D15" s="11" t="s">
        <v>1342</v>
      </c>
      <c r="E15" s="11" t="s">
        <v>2566</v>
      </c>
      <c r="F15" s="11" t="s">
        <v>1343</v>
      </c>
      <c r="G15" s="11" t="s">
        <v>1344</v>
      </c>
      <c r="H15" s="11" t="s">
        <v>1320</v>
      </c>
      <c r="I15" s="18"/>
      <c r="J15" s="11"/>
      <c r="K15" s="11"/>
      <c r="L15" s="11"/>
    </row>
    <row r="16" spans="1:12">
      <c r="A16" s="11" t="s">
        <v>1345</v>
      </c>
      <c r="B16" s="11" t="s">
        <v>57</v>
      </c>
      <c r="C16" s="11" t="s">
        <v>1292</v>
      </c>
      <c r="D16" s="11" t="s">
        <v>1346</v>
      </c>
      <c r="E16" s="11" t="s">
        <v>435</v>
      </c>
      <c r="F16" s="11" t="s">
        <v>1347</v>
      </c>
      <c r="G16" s="11" t="s">
        <v>1348</v>
      </c>
      <c r="H16" s="11" t="s">
        <v>1320</v>
      </c>
      <c r="I16" s="18"/>
      <c r="J16" s="11"/>
      <c r="K16" s="11"/>
      <c r="L16" s="11"/>
    </row>
    <row r="17" spans="1:12">
      <c r="A17" s="11" t="s">
        <v>1349</v>
      </c>
      <c r="B17" s="11" t="s">
        <v>57</v>
      </c>
      <c r="C17" s="11" t="s">
        <v>1305</v>
      </c>
      <c r="D17" s="11" t="s">
        <v>1350</v>
      </c>
      <c r="E17" s="11" t="s">
        <v>481</v>
      </c>
      <c r="F17" s="11" t="s">
        <v>1351</v>
      </c>
      <c r="G17" s="11" t="s">
        <v>1352</v>
      </c>
      <c r="H17" s="11" t="s">
        <v>1320</v>
      </c>
      <c r="I17" s="18"/>
      <c r="J17" s="11"/>
      <c r="K17" s="11"/>
      <c r="L17" s="11"/>
    </row>
    <row r="18" spans="1:12">
      <c r="A18" s="11" t="s">
        <v>1353</v>
      </c>
      <c r="B18" s="11" t="s">
        <v>57</v>
      </c>
      <c r="C18" s="11" t="s">
        <v>1354</v>
      </c>
      <c r="D18" s="11" t="s">
        <v>1355</v>
      </c>
      <c r="E18" s="11" t="s">
        <v>505</v>
      </c>
      <c r="F18" s="11" t="s">
        <v>1356</v>
      </c>
      <c r="G18" s="11" t="s">
        <v>472</v>
      </c>
      <c r="H18" s="11" t="s">
        <v>1320</v>
      </c>
      <c r="I18" s="18"/>
      <c r="J18" s="11"/>
      <c r="K18" s="11"/>
      <c r="L18" s="11"/>
    </row>
    <row r="19" spans="1:12" ht="171">
      <c r="A19" s="11" t="s">
        <v>1357</v>
      </c>
      <c r="B19" s="11" t="s">
        <v>57</v>
      </c>
      <c r="C19" s="11" t="s">
        <v>1358</v>
      </c>
      <c r="D19" s="11" t="s">
        <v>1359</v>
      </c>
      <c r="E19" s="11" t="s">
        <v>2330</v>
      </c>
      <c r="F19" s="11" t="s">
        <v>1360</v>
      </c>
      <c r="G19" s="11" t="s">
        <v>517</v>
      </c>
      <c r="H19" s="11" t="s">
        <v>1320</v>
      </c>
      <c r="I19" s="18"/>
      <c r="J19" s="11"/>
      <c r="K19" s="11"/>
      <c r="L19" s="11"/>
    </row>
    <row r="20" spans="1:12">
      <c r="A20" s="11" t="s">
        <v>1361</v>
      </c>
      <c r="B20" s="11" t="s">
        <v>58</v>
      </c>
      <c r="C20" s="11" t="s">
        <v>1292</v>
      </c>
      <c r="D20" s="11" t="s">
        <v>1362</v>
      </c>
      <c r="E20" s="11" t="s">
        <v>545</v>
      </c>
      <c r="F20" s="11" t="s">
        <v>1363</v>
      </c>
      <c r="G20" s="11" t="s">
        <v>1364</v>
      </c>
      <c r="H20" s="11" t="s">
        <v>1320</v>
      </c>
      <c r="I20" s="18"/>
      <c r="J20" s="11"/>
      <c r="K20" s="11"/>
      <c r="L20" s="11"/>
    </row>
    <row r="21" spans="1:12">
      <c r="A21" s="11" t="s">
        <v>1365</v>
      </c>
      <c r="B21" s="11" t="s">
        <v>58</v>
      </c>
      <c r="C21" s="11" t="s">
        <v>1305</v>
      </c>
      <c r="D21" s="11" t="s">
        <v>1366</v>
      </c>
      <c r="E21" s="11" t="s">
        <v>587</v>
      </c>
      <c r="F21" s="11" t="s">
        <v>1367</v>
      </c>
      <c r="G21" s="11" t="s">
        <v>1368</v>
      </c>
      <c r="H21" s="11" t="s">
        <v>1320</v>
      </c>
      <c r="I21" s="18"/>
      <c r="J21" s="11"/>
      <c r="K21" s="11"/>
      <c r="L21" s="11"/>
    </row>
    <row r="22" spans="1:12">
      <c r="A22" s="11" t="s">
        <v>1369</v>
      </c>
      <c r="B22" s="11" t="s">
        <v>58</v>
      </c>
      <c r="C22" s="11" t="s">
        <v>1005</v>
      </c>
      <c r="D22" s="11" t="s">
        <v>1370</v>
      </c>
      <c r="E22" s="11" t="s">
        <v>1371</v>
      </c>
      <c r="F22" s="11" t="s">
        <v>1372</v>
      </c>
      <c r="G22" s="11" t="s">
        <v>1373</v>
      </c>
      <c r="H22" s="11" t="s">
        <v>1320</v>
      </c>
      <c r="I22" s="18"/>
      <c r="J22" s="11"/>
      <c r="K22" s="11"/>
      <c r="L22" s="11"/>
    </row>
    <row r="23" spans="1:12" ht="22.8">
      <c r="A23" s="11" t="s">
        <v>1374</v>
      </c>
      <c r="B23" s="11" t="s">
        <v>58</v>
      </c>
      <c r="C23" s="11" t="s">
        <v>617</v>
      </c>
      <c r="D23" s="11" t="s">
        <v>1375</v>
      </c>
      <c r="E23" s="11" t="s">
        <v>1376</v>
      </c>
      <c r="F23" s="11" t="s">
        <v>1377</v>
      </c>
      <c r="G23" s="11" t="s">
        <v>1378</v>
      </c>
      <c r="H23" s="11" t="s">
        <v>1320</v>
      </c>
      <c r="I23" s="18"/>
      <c r="J23" s="11"/>
      <c r="K23" s="11"/>
      <c r="L23" s="11"/>
    </row>
    <row r="24" spans="1:12" ht="171">
      <c r="A24" s="11" t="s">
        <v>1379</v>
      </c>
      <c r="B24" s="11" t="s">
        <v>58</v>
      </c>
      <c r="C24" s="11" t="s">
        <v>1358</v>
      </c>
      <c r="D24" s="11" t="s">
        <v>1380</v>
      </c>
      <c r="E24" s="11" t="s">
        <v>2333</v>
      </c>
      <c r="F24" s="11" t="s">
        <v>1381</v>
      </c>
      <c r="G24" s="11" t="s">
        <v>658</v>
      </c>
      <c r="H24" s="11" t="s">
        <v>1320</v>
      </c>
      <c r="I24" s="18"/>
      <c r="J24" s="11"/>
      <c r="K24" s="11"/>
      <c r="L24" s="11"/>
    </row>
    <row r="25" spans="1:12" ht="171">
      <c r="A25" s="11" t="s">
        <v>1382</v>
      </c>
      <c r="B25" s="11" t="s">
        <v>59</v>
      </c>
      <c r="C25" s="11" t="s">
        <v>1383</v>
      </c>
      <c r="D25" s="11" t="s">
        <v>1384</v>
      </c>
      <c r="E25" s="11" t="s">
        <v>2567</v>
      </c>
      <c r="F25" s="11" t="s">
        <v>1385</v>
      </c>
      <c r="G25" s="11" t="s">
        <v>1386</v>
      </c>
      <c r="H25" s="11" t="s">
        <v>1320</v>
      </c>
      <c r="I25" s="18"/>
      <c r="J25" s="11"/>
      <c r="K25" s="11"/>
      <c r="L25" s="11"/>
    </row>
    <row r="26" spans="1:12" ht="182.4">
      <c r="A26" s="11" t="s">
        <v>1387</v>
      </c>
      <c r="B26" s="11" t="s">
        <v>59</v>
      </c>
      <c r="C26" s="11" t="s">
        <v>1388</v>
      </c>
      <c r="D26" s="11" t="s">
        <v>1389</v>
      </c>
      <c r="E26" s="11" t="s">
        <v>2568</v>
      </c>
      <c r="F26" s="11" t="s">
        <v>1390</v>
      </c>
      <c r="G26" s="11" t="s">
        <v>1391</v>
      </c>
      <c r="H26" s="11" t="s">
        <v>1320</v>
      </c>
      <c r="I26" s="18"/>
      <c r="J26" s="11"/>
      <c r="K26" s="11"/>
      <c r="L26" s="11"/>
    </row>
    <row r="27" spans="1:12">
      <c r="A27" s="11" t="s">
        <v>1392</v>
      </c>
      <c r="B27" s="11" t="s">
        <v>59</v>
      </c>
      <c r="C27" s="11" t="s">
        <v>1383</v>
      </c>
      <c r="D27" s="11" t="s">
        <v>1393</v>
      </c>
      <c r="E27" s="11" t="s">
        <v>779</v>
      </c>
      <c r="F27" s="11" t="s">
        <v>1394</v>
      </c>
      <c r="G27" s="11" t="s">
        <v>781</v>
      </c>
      <c r="H27" s="11" t="s">
        <v>1320</v>
      </c>
      <c r="I27" s="18"/>
      <c r="J27" s="11"/>
      <c r="K27" s="11"/>
      <c r="L27" s="11"/>
    </row>
    <row r="28" spans="1:12" ht="171">
      <c r="A28" s="11" t="s">
        <v>1395</v>
      </c>
      <c r="B28" s="11" t="s">
        <v>59</v>
      </c>
      <c r="C28" s="11" t="s">
        <v>765</v>
      </c>
      <c r="D28" s="11" t="s">
        <v>1396</v>
      </c>
      <c r="E28" s="11" t="s">
        <v>2569</v>
      </c>
      <c r="F28" s="11" t="s">
        <v>1397</v>
      </c>
      <c r="G28" s="11" t="s">
        <v>1398</v>
      </c>
      <c r="H28" s="11" t="s">
        <v>1320</v>
      </c>
      <c r="I28" s="18"/>
      <c r="J28" s="11"/>
      <c r="K28" s="11"/>
      <c r="L28" s="11"/>
    </row>
    <row r="29" spans="1:12">
      <c r="A29" s="11" t="s">
        <v>1399</v>
      </c>
      <c r="B29" s="11" t="s">
        <v>59</v>
      </c>
      <c r="C29" s="11" t="s">
        <v>1400</v>
      </c>
      <c r="D29" s="11" t="s">
        <v>1401</v>
      </c>
      <c r="E29" s="11" t="s">
        <v>1402</v>
      </c>
      <c r="F29" s="11" t="s">
        <v>1403</v>
      </c>
      <c r="G29" s="11" t="s">
        <v>1404</v>
      </c>
      <c r="H29" s="11" t="s">
        <v>1320</v>
      </c>
      <c r="I29" s="18"/>
      <c r="J29" s="11"/>
      <c r="K29" s="11"/>
      <c r="L29" s="11"/>
    </row>
    <row r="30" spans="1:12" ht="22.8">
      <c r="A30" s="11" t="s">
        <v>1405</v>
      </c>
      <c r="B30" s="11" t="s">
        <v>59</v>
      </c>
      <c r="C30" s="11" t="s">
        <v>1311</v>
      </c>
      <c r="D30" s="11" t="s">
        <v>1406</v>
      </c>
      <c r="E30" s="11" t="s">
        <v>964</v>
      </c>
      <c r="F30" s="11" t="s">
        <v>1407</v>
      </c>
      <c r="G30" s="11" t="s">
        <v>812</v>
      </c>
      <c r="H30" s="11" t="s">
        <v>1320</v>
      </c>
      <c r="I30" s="18"/>
      <c r="J30" s="11"/>
      <c r="K30" s="11"/>
      <c r="L30" s="11"/>
    </row>
    <row r="31" spans="1:12">
      <c r="A31" s="11" t="s">
        <v>1408</v>
      </c>
      <c r="B31" s="11" t="s">
        <v>60</v>
      </c>
      <c r="C31" s="11" t="s">
        <v>847</v>
      </c>
      <c r="D31" s="11" t="s">
        <v>1409</v>
      </c>
      <c r="E31" s="11" t="s">
        <v>852</v>
      </c>
      <c r="F31" s="11" t="s">
        <v>1410</v>
      </c>
      <c r="G31" s="11" t="s">
        <v>1411</v>
      </c>
      <c r="H31" s="11" t="s">
        <v>1320</v>
      </c>
      <c r="I31" s="18"/>
      <c r="J31" s="11"/>
      <c r="K31" s="11"/>
      <c r="L31" s="11"/>
    </row>
    <row r="32" spans="1:12">
      <c r="A32" s="11" t="s">
        <v>1412</v>
      </c>
      <c r="B32" s="11" t="s">
        <v>60</v>
      </c>
      <c r="C32" s="11" t="s">
        <v>1400</v>
      </c>
      <c r="D32" s="11" t="s">
        <v>1413</v>
      </c>
      <c r="E32" s="11" t="s">
        <v>1414</v>
      </c>
      <c r="F32" s="11" t="s">
        <v>1415</v>
      </c>
      <c r="G32" s="11" t="s">
        <v>1416</v>
      </c>
      <c r="H32" s="11" t="s">
        <v>1320</v>
      </c>
      <c r="I32" s="18"/>
      <c r="J32" s="11"/>
      <c r="K32" s="11"/>
      <c r="L32" s="11"/>
    </row>
    <row r="33" spans="1:12">
      <c r="A33" s="11" t="s">
        <v>1417</v>
      </c>
      <c r="B33" s="11" t="s">
        <v>60</v>
      </c>
      <c r="C33" s="11" t="s">
        <v>1418</v>
      </c>
      <c r="D33" s="11" t="s">
        <v>1419</v>
      </c>
      <c r="E33" s="11" t="s">
        <v>908</v>
      </c>
      <c r="F33" s="11" t="s">
        <v>1420</v>
      </c>
      <c r="G33" s="11" t="s">
        <v>1421</v>
      </c>
      <c r="H33" s="11" t="s">
        <v>1320</v>
      </c>
      <c r="I33" s="18"/>
      <c r="J33" s="11"/>
      <c r="K33" s="11"/>
      <c r="L33" s="11"/>
    </row>
    <row r="34" spans="1:12">
      <c r="A34" s="11" t="s">
        <v>1422</v>
      </c>
      <c r="B34" s="11" t="s">
        <v>60</v>
      </c>
      <c r="C34" s="11" t="s">
        <v>1423</v>
      </c>
      <c r="D34" s="11" t="s">
        <v>1424</v>
      </c>
      <c r="E34" s="11" t="s">
        <v>932</v>
      </c>
      <c r="F34" s="11" t="s">
        <v>1425</v>
      </c>
      <c r="G34" s="11" t="s">
        <v>1426</v>
      </c>
      <c r="H34" s="11" t="s">
        <v>1320</v>
      </c>
      <c r="I34" s="18"/>
      <c r="J34" s="11"/>
      <c r="K34" s="11"/>
      <c r="L34" s="11"/>
    </row>
    <row r="35" spans="1:12">
      <c r="A35" s="11" t="s">
        <v>1427</v>
      </c>
      <c r="B35" s="11" t="s">
        <v>60</v>
      </c>
      <c r="C35" s="11" t="s">
        <v>1354</v>
      </c>
      <c r="D35" s="11" t="s">
        <v>1428</v>
      </c>
      <c r="E35" s="11" t="s">
        <v>944</v>
      </c>
      <c r="F35" s="11" t="s">
        <v>1429</v>
      </c>
      <c r="G35" s="11" t="s">
        <v>946</v>
      </c>
      <c r="H35" s="11" t="s">
        <v>1320</v>
      </c>
      <c r="I35" s="18"/>
      <c r="J35" s="11"/>
      <c r="K35" s="11"/>
      <c r="L35" s="11"/>
    </row>
    <row r="36" spans="1:12" ht="171">
      <c r="A36" s="11" t="s">
        <v>1430</v>
      </c>
      <c r="B36" s="11" t="s">
        <v>60</v>
      </c>
      <c r="C36" s="11" t="s">
        <v>1358</v>
      </c>
      <c r="D36" s="11" t="s">
        <v>1431</v>
      </c>
      <c r="E36" s="11" t="s">
        <v>2343</v>
      </c>
      <c r="F36" s="11" t="s">
        <v>1432</v>
      </c>
      <c r="G36" s="11" t="s">
        <v>956</v>
      </c>
      <c r="H36" s="11" t="s">
        <v>1320</v>
      </c>
      <c r="I36" s="18"/>
      <c r="J36" s="11"/>
      <c r="K36" s="11"/>
      <c r="L36" s="11"/>
    </row>
    <row r="37" spans="1:12" ht="22.8">
      <c r="A37" s="11" t="s">
        <v>1433</v>
      </c>
      <c r="B37" s="11" t="s">
        <v>60</v>
      </c>
      <c r="C37" s="11" t="s">
        <v>1311</v>
      </c>
      <c r="D37" s="11" t="s">
        <v>1434</v>
      </c>
      <c r="E37" s="11" t="s">
        <v>964</v>
      </c>
      <c r="F37" s="11" t="s">
        <v>1435</v>
      </c>
      <c r="G37" s="11" t="s">
        <v>966</v>
      </c>
      <c r="H37" s="11" t="s">
        <v>1320</v>
      </c>
      <c r="I37" s="18"/>
      <c r="J37" s="11"/>
      <c r="K37" s="11"/>
      <c r="L37" s="11"/>
    </row>
    <row r="38" spans="1:12" ht="42" customHeight="1">
      <c r="A38" s="23" t="s">
        <v>1436</v>
      </c>
      <c r="B38" s="23" t="s">
        <v>56</v>
      </c>
      <c r="C38" s="23" t="s">
        <v>1437</v>
      </c>
      <c r="D38" s="23" t="s">
        <v>1438</v>
      </c>
      <c r="E38" s="23" t="s">
        <v>1439</v>
      </c>
      <c r="F38" s="23" t="s">
        <v>1440</v>
      </c>
      <c r="G38" s="23" t="s">
        <v>99</v>
      </c>
      <c r="H38" s="23" t="s">
        <v>1296</v>
      </c>
      <c r="I38" s="25">
        <v>46252</v>
      </c>
      <c r="J38" s="23" t="s">
        <v>1441</v>
      </c>
      <c r="K38" s="23" t="s">
        <v>1442</v>
      </c>
      <c r="L38" s="23" t="s">
        <v>1299</v>
      </c>
    </row>
    <row r="39" spans="1:12" ht="42" customHeight="1">
      <c r="A39" s="22" t="s">
        <v>1443</v>
      </c>
      <c r="B39" s="22" t="s">
        <v>56</v>
      </c>
      <c r="C39" s="22" t="s">
        <v>106</v>
      </c>
      <c r="D39" s="22" t="s">
        <v>1444</v>
      </c>
      <c r="E39" s="22" t="s">
        <v>112</v>
      </c>
      <c r="F39" s="22" t="s">
        <v>1445</v>
      </c>
      <c r="G39" s="22" t="s">
        <v>114</v>
      </c>
      <c r="H39" s="22" t="s">
        <v>1296</v>
      </c>
      <c r="I39" s="26">
        <v>46252</v>
      </c>
      <c r="J39" s="22" t="s">
        <v>1446</v>
      </c>
      <c r="K39" s="22" t="s">
        <v>1447</v>
      </c>
      <c r="L39" s="22" t="s">
        <v>1299</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election sqref="A1:K1"/>
    </sheetView>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9" t="s">
        <v>1448</v>
      </c>
      <c r="B1" s="59"/>
      <c r="C1" s="59"/>
      <c r="D1" s="59"/>
      <c r="E1" s="59"/>
      <c r="F1" s="59"/>
      <c r="G1" s="59"/>
      <c r="H1" s="59"/>
      <c r="I1" s="59"/>
      <c r="J1" s="59"/>
      <c r="K1" s="59"/>
    </row>
    <row r="2" spans="1:11" ht="31.95" customHeight="1">
      <c r="A2" s="60" t="s">
        <v>1449</v>
      </c>
      <c r="B2" s="60"/>
      <c r="C2" s="60"/>
      <c r="D2" s="60"/>
      <c r="E2" s="60"/>
      <c r="F2" s="60"/>
      <c r="G2" s="60"/>
      <c r="H2" s="60"/>
      <c r="I2" s="60"/>
      <c r="J2" s="60"/>
      <c r="K2" s="60"/>
    </row>
    <row r="5" spans="1:11" ht="28.05" customHeight="1">
      <c r="A5" s="1" t="s">
        <v>82</v>
      </c>
      <c r="B5" s="2" t="s">
        <v>1450</v>
      </c>
      <c r="C5" s="2" t="s">
        <v>85</v>
      </c>
      <c r="D5" s="2" t="s">
        <v>1451</v>
      </c>
      <c r="E5" s="2" t="s">
        <v>1452</v>
      </c>
      <c r="F5" s="2" t="s">
        <v>1453</v>
      </c>
      <c r="G5" s="2" t="s">
        <v>1454</v>
      </c>
      <c r="H5" s="2" t="s">
        <v>1455</v>
      </c>
      <c r="I5" s="2" t="s">
        <v>34</v>
      </c>
      <c r="J5" s="2" t="s">
        <v>1456</v>
      </c>
      <c r="K5" s="3" t="s">
        <v>1457</v>
      </c>
    </row>
    <row r="6" spans="1:11" ht="22.8">
      <c r="A6" s="10" t="s">
        <v>100</v>
      </c>
      <c r="B6" s="10" t="s">
        <v>1458</v>
      </c>
      <c r="C6" s="10" t="s">
        <v>1459</v>
      </c>
      <c r="D6" s="10" t="s">
        <v>56</v>
      </c>
      <c r="E6" s="10" t="s">
        <v>1460</v>
      </c>
      <c r="F6" s="10" t="s">
        <v>1461</v>
      </c>
      <c r="G6" s="10" t="s">
        <v>1462</v>
      </c>
      <c r="H6" s="10" t="s">
        <v>1463</v>
      </c>
      <c r="I6" s="10" t="s">
        <v>93</v>
      </c>
      <c r="J6" s="10" t="s">
        <v>1464</v>
      </c>
      <c r="K6" s="10"/>
    </row>
    <row r="7" spans="1:11" ht="22.8">
      <c r="A7" s="11" t="s">
        <v>152</v>
      </c>
      <c r="B7" s="11" t="s">
        <v>1465</v>
      </c>
      <c r="C7" s="11" t="s">
        <v>1459</v>
      </c>
      <c r="D7" s="11" t="s">
        <v>56</v>
      </c>
      <c r="E7" s="11" t="s">
        <v>1466</v>
      </c>
      <c r="F7" s="11" t="s">
        <v>1467</v>
      </c>
      <c r="G7" s="11" t="s">
        <v>1468</v>
      </c>
      <c r="H7" s="11" t="s">
        <v>1469</v>
      </c>
      <c r="I7" s="11" t="s">
        <v>93</v>
      </c>
      <c r="J7" s="11" t="s">
        <v>1470</v>
      </c>
      <c r="K7" s="11"/>
    </row>
    <row r="8" spans="1:11" ht="22.8">
      <c r="A8" s="11" t="s">
        <v>279</v>
      </c>
      <c r="B8" s="11" t="s">
        <v>1471</v>
      </c>
      <c r="C8" s="11" t="s">
        <v>1459</v>
      </c>
      <c r="D8" s="11" t="s">
        <v>37</v>
      </c>
      <c r="E8" s="11" t="s">
        <v>1472</v>
      </c>
      <c r="F8" s="11" t="s">
        <v>1473</v>
      </c>
      <c r="G8" s="11" t="s">
        <v>1474</v>
      </c>
      <c r="H8" s="11" t="s">
        <v>1475</v>
      </c>
      <c r="I8" s="11" t="s">
        <v>93</v>
      </c>
      <c r="J8" s="11" t="s">
        <v>1476</v>
      </c>
      <c r="K8" s="11"/>
    </row>
    <row r="9" spans="1:11" ht="22.8">
      <c r="A9" s="11" t="s">
        <v>415</v>
      </c>
      <c r="B9" s="11" t="s">
        <v>1477</v>
      </c>
      <c r="C9" s="11" t="s">
        <v>1459</v>
      </c>
      <c r="D9" s="11" t="s">
        <v>57</v>
      </c>
      <c r="E9" s="11" t="s">
        <v>1478</v>
      </c>
      <c r="F9" s="11" t="s">
        <v>1479</v>
      </c>
      <c r="G9" s="11" t="s">
        <v>1480</v>
      </c>
      <c r="H9" s="11" t="s">
        <v>1481</v>
      </c>
      <c r="I9" s="11" t="s">
        <v>93</v>
      </c>
      <c r="J9" s="11" t="s">
        <v>1482</v>
      </c>
      <c r="K9" s="11"/>
    </row>
    <row r="10" spans="1:11" ht="22.8">
      <c r="A10" s="11" t="s">
        <v>569</v>
      </c>
      <c r="B10" s="11" t="s">
        <v>1483</v>
      </c>
      <c r="C10" s="11" t="s">
        <v>1459</v>
      </c>
      <c r="D10" s="11" t="s">
        <v>58</v>
      </c>
      <c r="E10" s="11" t="s">
        <v>1484</v>
      </c>
      <c r="F10" s="11" t="s">
        <v>1485</v>
      </c>
      <c r="G10" s="11" t="s">
        <v>1486</v>
      </c>
      <c r="H10" s="11" t="s">
        <v>1487</v>
      </c>
      <c r="I10" s="11" t="s">
        <v>93</v>
      </c>
      <c r="J10" s="11" t="s">
        <v>1488</v>
      </c>
      <c r="K10" s="11"/>
    </row>
    <row r="11" spans="1:11" ht="22.8">
      <c r="A11" s="11" t="s">
        <v>327</v>
      </c>
      <c r="B11" s="11" t="s">
        <v>1489</v>
      </c>
      <c r="C11" s="11" t="s">
        <v>1459</v>
      </c>
      <c r="D11" s="11" t="s">
        <v>37</v>
      </c>
      <c r="E11" s="11" t="s">
        <v>1490</v>
      </c>
      <c r="F11" s="11" t="s">
        <v>1491</v>
      </c>
      <c r="G11" s="11" t="s">
        <v>1492</v>
      </c>
      <c r="H11" s="11" t="s">
        <v>1493</v>
      </c>
      <c r="I11" s="11" t="s">
        <v>93</v>
      </c>
      <c r="J11" s="11" t="s">
        <v>1494</v>
      </c>
      <c r="K11" s="11"/>
    </row>
    <row r="12" spans="1:11" ht="22.8">
      <c r="A12" s="11" t="s">
        <v>548</v>
      </c>
      <c r="B12" s="11" t="s">
        <v>1495</v>
      </c>
      <c r="C12" s="11" t="s">
        <v>1459</v>
      </c>
      <c r="D12" s="11" t="s">
        <v>58</v>
      </c>
      <c r="E12" s="11" t="s">
        <v>1496</v>
      </c>
      <c r="F12" s="11" t="s">
        <v>1497</v>
      </c>
      <c r="G12" s="11" t="s">
        <v>1498</v>
      </c>
      <c r="H12" s="11" t="s">
        <v>1499</v>
      </c>
      <c r="I12" s="11" t="s">
        <v>93</v>
      </c>
      <c r="J12" s="11" t="s">
        <v>1500</v>
      </c>
      <c r="K12" s="11"/>
    </row>
    <row r="13" spans="1:11" ht="22.8">
      <c r="A13" s="11" t="s">
        <v>496</v>
      </c>
      <c r="B13" s="11" t="s">
        <v>1501</v>
      </c>
      <c r="C13" s="11" t="s">
        <v>1459</v>
      </c>
      <c r="D13" s="11" t="s">
        <v>57</v>
      </c>
      <c r="E13" s="11" t="s">
        <v>1502</v>
      </c>
      <c r="F13" s="11" t="s">
        <v>1503</v>
      </c>
      <c r="G13" s="11" t="s">
        <v>1504</v>
      </c>
      <c r="H13" s="11" t="s">
        <v>1505</v>
      </c>
      <c r="I13" s="11" t="s">
        <v>93</v>
      </c>
      <c r="J13" s="11" t="s">
        <v>1506</v>
      </c>
      <c r="K13" s="11"/>
    </row>
    <row r="14" spans="1:11" ht="22.8">
      <c r="A14" s="11" t="s">
        <v>198</v>
      </c>
      <c r="B14" s="11" t="s">
        <v>1507</v>
      </c>
      <c r="C14" s="11" t="s">
        <v>1459</v>
      </c>
      <c r="D14" s="11" t="s">
        <v>56</v>
      </c>
      <c r="E14" s="11" t="s">
        <v>1508</v>
      </c>
      <c r="F14" s="11" t="s">
        <v>1509</v>
      </c>
      <c r="G14" s="11" t="s">
        <v>1510</v>
      </c>
      <c r="H14" s="11" t="s">
        <v>1511</v>
      </c>
      <c r="I14" s="11" t="s">
        <v>93</v>
      </c>
      <c r="J14" s="11" t="s">
        <v>1512</v>
      </c>
      <c r="K14" s="11"/>
    </row>
    <row r="15" spans="1:11" ht="22.8">
      <c r="A15" s="11" t="s">
        <v>1513</v>
      </c>
      <c r="B15" s="11" t="s">
        <v>1514</v>
      </c>
      <c r="C15" s="11" t="s">
        <v>1459</v>
      </c>
      <c r="D15" s="11" t="s">
        <v>56</v>
      </c>
      <c r="E15" s="11" t="s">
        <v>1515</v>
      </c>
      <c r="F15" s="11" t="s">
        <v>1516</v>
      </c>
      <c r="G15" s="11" t="s">
        <v>1517</v>
      </c>
      <c r="H15" s="11" t="s">
        <v>1518</v>
      </c>
      <c r="I15" s="11" t="s">
        <v>93</v>
      </c>
      <c r="J15" s="11" t="s">
        <v>1519</v>
      </c>
      <c r="K15" s="11"/>
    </row>
    <row r="16" spans="1:11" ht="22.8">
      <c r="A16" s="11" t="s">
        <v>1520</v>
      </c>
      <c r="B16" s="11" t="s">
        <v>1521</v>
      </c>
      <c r="C16" s="11" t="s">
        <v>1459</v>
      </c>
      <c r="D16" s="11" t="s">
        <v>56</v>
      </c>
      <c r="E16" s="11" t="s">
        <v>1522</v>
      </c>
      <c r="F16" s="11" t="s">
        <v>1523</v>
      </c>
      <c r="G16" s="11" t="s">
        <v>1524</v>
      </c>
      <c r="H16" s="11" t="s">
        <v>1525</v>
      </c>
      <c r="I16" s="11" t="s">
        <v>93</v>
      </c>
      <c r="J16" s="11" t="s">
        <v>1526</v>
      </c>
      <c r="K16" s="11"/>
    </row>
    <row r="17" spans="1:11" ht="22.8">
      <c r="A17" s="11" t="s">
        <v>518</v>
      </c>
      <c r="B17" s="11" t="s">
        <v>1527</v>
      </c>
      <c r="C17" s="11" t="s">
        <v>1459</v>
      </c>
      <c r="D17" s="11" t="s">
        <v>56</v>
      </c>
      <c r="E17" s="11" t="s">
        <v>1528</v>
      </c>
      <c r="F17" s="11" t="s">
        <v>1529</v>
      </c>
      <c r="G17" s="11" t="s">
        <v>1530</v>
      </c>
      <c r="H17" s="11" t="s">
        <v>1531</v>
      </c>
      <c r="I17" s="11" t="s">
        <v>93</v>
      </c>
      <c r="J17" s="11" t="s">
        <v>1532</v>
      </c>
      <c r="K17" s="11"/>
    </row>
    <row r="18" spans="1:11" ht="22.8">
      <c r="A18" s="11" t="s">
        <v>1533</v>
      </c>
      <c r="B18" s="11" t="s">
        <v>1534</v>
      </c>
      <c r="C18" s="11" t="s">
        <v>1459</v>
      </c>
      <c r="D18" s="11" t="s">
        <v>56</v>
      </c>
      <c r="E18" s="11" t="s">
        <v>1535</v>
      </c>
      <c r="F18" s="11" t="s">
        <v>1536</v>
      </c>
      <c r="G18" s="11" t="s">
        <v>1537</v>
      </c>
      <c r="H18" s="11" t="s">
        <v>1538</v>
      </c>
      <c r="I18" s="11" t="s">
        <v>93</v>
      </c>
      <c r="J18" s="11" t="s">
        <v>1539</v>
      </c>
      <c r="K18" s="11"/>
    </row>
    <row r="19" spans="1:11" ht="22.8">
      <c r="A19" s="11" t="s">
        <v>1540</v>
      </c>
      <c r="B19" s="11" t="s">
        <v>1541</v>
      </c>
      <c r="C19" s="11" t="s">
        <v>1459</v>
      </c>
      <c r="D19" s="11" t="s">
        <v>56</v>
      </c>
      <c r="E19" s="11" t="s">
        <v>1542</v>
      </c>
      <c r="F19" s="11" t="s">
        <v>1543</v>
      </c>
      <c r="G19" s="11" t="s">
        <v>1544</v>
      </c>
      <c r="H19" s="11" t="s">
        <v>1545</v>
      </c>
      <c r="I19" s="11" t="s">
        <v>93</v>
      </c>
      <c r="J19" s="11" t="s">
        <v>1546</v>
      </c>
      <c r="K19" s="11"/>
    </row>
    <row r="20" spans="1:11">
      <c r="A20" s="11" t="s">
        <v>855</v>
      </c>
      <c r="B20" s="11" t="s">
        <v>1547</v>
      </c>
      <c r="C20" s="11" t="s">
        <v>1459</v>
      </c>
      <c r="D20" s="11" t="s">
        <v>60</v>
      </c>
      <c r="E20" s="11" t="s">
        <v>1548</v>
      </c>
      <c r="F20" s="11" t="s">
        <v>1549</v>
      </c>
      <c r="G20" s="11" t="s">
        <v>1550</v>
      </c>
      <c r="H20" s="11" t="s">
        <v>1551</v>
      </c>
      <c r="I20" s="11" t="s">
        <v>93</v>
      </c>
      <c r="J20" s="11" t="s">
        <v>1552</v>
      </c>
      <c r="K20" s="11"/>
    </row>
    <row r="21" spans="1:11">
      <c r="A21" s="11" t="s">
        <v>115</v>
      </c>
      <c r="B21" s="11" t="s">
        <v>1553</v>
      </c>
      <c r="C21" s="11" t="s">
        <v>1459</v>
      </c>
      <c r="D21" s="11" t="s">
        <v>56</v>
      </c>
      <c r="E21" s="11" t="s">
        <v>1554</v>
      </c>
      <c r="F21" s="11" t="s">
        <v>1555</v>
      </c>
      <c r="G21" s="11" t="s">
        <v>1556</v>
      </c>
      <c r="H21" s="11" t="s">
        <v>1557</v>
      </c>
      <c r="I21" s="11" t="s">
        <v>93</v>
      </c>
      <c r="J21" s="11" t="s">
        <v>1558</v>
      </c>
      <c r="K21" s="11"/>
    </row>
    <row r="22" spans="1:11" ht="22.8">
      <c r="A22" s="11" t="s">
        <v>164</v>
      </c>
      <c r="B22" s="11" t="s">
        <v>1559</v>
      </c>
      <c r="C22" s="11" t="s">
        <v>1459</v>
      </c>
      <c r="D22" s="11" t="s">
        <v>56</v>
      </c>
      <c r="E22" s="11" t="s">
        <v>1560</v>
      </c>
      <c r="F22" s="11" t="s">
        <v>1561</v>
      </c>
      <c r="G22" s="11" t="s">
        <v>1562</v>
      </c>
      <c r="H22" s="11" t="s">
        <v>1563</v>
      </c>
      <c r="I22" s="11" t="s">
        <v>93</v>
      </c>
      <c r="J22" s="11" t="s">
        <v>1564</v>
      </c>
      <c r="K22" s="11"/>
    </row>
    <row r="23" spans="1:11" ht="22.8">
      <c r="A23" s="11" t="s">
        <v>1565</v>
      </c>
      <c r="B23" s="11" t="s">
        <v>1566</v>
      </c>
      <c r="C23" s="11" t="s">
        <v>1459</v>
      </c>
      <c r="D23" s="11" t="s">
        <v>1567</v>
      </c>
      <c r="E23" s="11" t="s">
        <v>1568</v>
      </c>
      <c r="F23" s="11" t="s">
        <v>1569</v>
      </c>
      <c r="G23" s="11" t="s">
        <v>1570</v>
      </c>
      <c r="H23" s="11" t="s">
        <v>1571</v>
      </c>
      <c r="I23" s="11" t="s">
        <v>93</v>
      </c>
      <c r="J23" s="11" t="s">
        <v>1572</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workbookViewId="0">
      <selection activeCell="F34" sqref="F34"/>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9" t="s">
        <v>1573</v>
      </c>
      <c r="B1" s="59"/>
      <c r="C1" s="59"/>
      <c r="D1" s="59"/>
      <c r="E1" s="59"/>
      <c r="F1" s="59"/>
      <c r="G1" s="59"/>
      <c r="H1" s="59"/>
      <c r="I1" s="59"/>
      <c r="J1" s="59"/>
    </row>
    <row r="2" spans="1:10" ht="31.95" customHeight="1">
      <c r="A2" s="60" t="s">
        <v>1574</v>
      </c>
      <c r="B2" s="60"/>
      <c r="C2" s="60"/>
      <c r="D2" s="60"/>
      <c r="E2" s="60"/>
      <c r="F2" s="60"/>
      <c r="G2" s="60"/>
      <c r="H2" s="60"/>
      <c r="I2" s="60"/>
      <c r="J2" s="60"/>
    </row>
    <row r="5" spans="1:10" ht="28.05" customHeight="1">
      <c r="A5" s="1" t="s">
        <v>1575</v>
      </c>
      <c r="B5" s="2" t="s">
        <v>1576</v>
      </c>
      <c r="C5" s="2" t="s">
        <v>1577</v>
      </c>
      <c r="D5" s="2" t="s">
        <v>1578</v>
      </c>
      <c r="E5" s="2" t="s">
        <v>1579</v>
      </c>
      <c r="F5" s="2" t="s">
        <v>85</v>
      </c>
      <c r="G5" s="2" t="s">
        <v>34</v>
      </c>
      <c r="H5" s="2" t="s">
        <v>1580</v>
      </c>
      <c r="I5" s="2" t="s">
        <v>1581</v>
      </c>
      <c r="J5" s="3" t="s">
        <v>1582</v>
      </c>
    </row>
    <row r="6" spans="1:10" ht="68.400000000000006" hidden="1">
      <c r="A6" s="10" t="s">
        <v>1583</v>
      </c>
      <c r="B6" s="10" t="s">
        <v>1584</v>
      </c>
      <c r="C6" s="19" t="s">
        <v>1585</v>
      </c>
      <c r="D6" s="10" t="s">
        <v>56</v>
      </c>
      <c r="E6" s="10" t="s">
        <v>1586</v>
      </c>
      <c r="F6" s="10" t="s">
        <v>46</v>
      </c>
      <c r="G6" s="10" t="s">
        <v>35</v>
      </c>
      <c r="H6" s="10" t="s">
        <v>99</v>
      </c>
      <c r="I6" s="19" t="s">
        <v>1587</v>
      </c>
      <c r="J6" s="17">
        <v>46257</v>
      </c>
    </row>
    <row r="7" spans="1:10" ht="68.400000000000006" hidden="1">
      <c r="A7" s="11" t="s">
        <v>1588</v>
      </c>
      <c r="B7" s="11" t="s">
        <v>1589</v>
      </c>
      <c r="C7" s="20" t="s">
        <v>1590</v>
      </c>
      <c r="D7" s="11" t="s">
        <v>56</v>
      </c>
      <c r="E7" s="11" t="s">
        <v>1586</v>
      </c>
      <c r="F7" s="11" t="s">
        <v>46</v>
      </c>
      <c r="G7" s="11" t="s">
        <v>35</v>
      </c>
      <c r="H7" s="11" t="s">
        <v>99</v>
      </c>
      <c r="I7" s="20" t="s">
        <v>1591</v>
      </c>
      <c r="J7" s="18">
        <v>46252</v>
      </c>
    </row>
    <row r="8" spans="1:10" hidden="1">
      <c r="A8" s="11" t="s">
        <v>1592</v>
      </c>
      <c r="B8" s="11" t="s">
        <v>106</v>
      </c>
      <c r="C8" s="20" t="s">
        <v>1593</v>
      </c>
      <c r="D8" s="11" t="s">
        <v>37</v>
      </c>
      <c r="E8" s="11" t="s">
        <v>1586</v>
      </c>
      <c r="F8" s="11" t="s">
        <v>46</v>
      </c>
      <c r="G8" s="11" t="s">
        <v>93</v>
      </c>
      <c r="H8" s="11" t="s">
        <v>1594</v>
      </c>
      <c r="I8" s="20"/>
      <c r="J8" s="18"/>
    </row>
    <row r="9" spans="1:10" hidden="1">
      <c r="A9" s="11" t="s">
        <v>322</v>
      </c>
      <c r="B9" s="11" t="s">
        <v>319</v>
      </c>
      <c r="C9" s="20" t="s">
        <v>1595</v>
      </c>
      <c r="D9" s="11" t="s">
        <v>37</v>
      </c>
      <c r="E9" s="11" t="s">
        <v>1586</v>
      </c>
      <c r="F9" s="11" t="s">
        <v>46</v>
      </c>
      <c r="G9" s="11" t="s">
        <v>93</v>
      </c>
      <c r="H9" s="11" t="s">
        <v>1596</v>
      </c>
      <c r="I9" s="20"/>
      <c r="J9" s="18"/>
    </row>
    <row r="10" spans="1:10">
      <c r="A10" s="11" t="s">
        <v>469</v>
      </c>
      <c r="B10" s="11" t="s">
        <v>1354</v>
      </c>
      <c r="C10" s="20" t="s">
        <v>1597</v>
      </c>
      <c r="D10" s="11" t="s">
        <v>57</v>
      </c>
      <c r="E10" s="11" t="s">
        <v>1586</v>
      </c>
      <c r="F10" s="11" t="s">
        <v>46</v>
      </c>
      <c r="G10" s="11" t="s">
        <v>93</v>
      </c>
      <c r="H10" s="11" t="s">
        <v>1598</v>
      </c>
      <c r="I10" s="20"/>
      <c r="J10" s="18"/>
    </row>
    <row r="11" spans="1:10" hidden="1">
      <c r="A11" s="11" t="s">
        <v>1599</v>
      </c>
      <c r="B11" s="11" t="s">
        <v>1600</v>
      </c>
      <c r="C11" s="20" t="s">
        <v>1601</v>
      </c>
      <c r="D11" s="11" t="s">
        <v>59</v>
      </c>
      <c r="E11" s="11" t="s">
        <v>1586</v>
      </c>
      <c r="F11" s="11" t="s">
        <v>303</v>
      </c>
      <c r="G11" s="11" t="s">
        <v>93</v>
      </c>
      <c r="H11" s="11" t="s">
        <v>1602</v>
      </c>
      <c r="I11" s="20"/>
      <c r="J11" s="18"/>
    </row>
    <row r="12" spans="1:10" ht="68.400000000000006" hidden="1">
      <c r="A12" s="11" t="s">
        <v>1603</v>
      </c>
      <c r="B12" s="11" t="s">
        <v>1600</v>
      </c>
      <c r="C12" s="20" t="s">
        <v>1604</v>
      </c>
      <c r="D12" s="11" t="s">
        <v>56</v>
      </c>
      <c r="E12" s="11" t="s">
        <v>1586</v>
      </c>
      <c r="F12" s="11" t="s">
        <v>46</v>
      </c>
      <c r="G12" s="11" t="s">
        <v>35</v>
      </c>
      <c r="H12" s="11" t="s">
        <v>1605</v>
      </c>
      <c r="I12" s="20" t="s">
        <v>1606</v>
      </c>
      <c r="J12" s="18">
        <v>46252</v>
      </c>
    </row>
    <row r="13" spans="1:10" ht="22.8" hidden="1">
      <c r="A13" s="11" t="s">
        <v>1607</v>
      </c>
      <c r="B13" s="11" t="s">
        <v>1608</v>
      </c>
      <c r="C13" s="20" t="s">
        <v>1609</v>
      </c>
      <c r="D13" s="11" t="s">
        <v>59</v>
      </c>
      <c r="E13" s="11" t="s">
        <v>1586</v>
      </c>
      <c r="F13" s="11" t="s">
        <v>303</v>
      </c>
      <c r="G13" s="11" t="s">
        <v>93</v>
      </c>
      <c r="H13" s="11" t="s">
        <v>1610</v>
      </c>
      <c r="I13" s="20"/>
      <c r="J13" s="18"/>
    </row>
    <row r="14" spans="1:10" ht="91.2" hidden="1">
      <c r="A14" s="11" t="s">
        <v>125</v>
      </c>
      <c r="B14" s="11" t="s">
        <v>106</v>
      </c>
      <c r="C14" s="20" t="s">
        <v>1611</v>
      </c>
      <c r="D14" s="11" t="s">
        <v>56</v>
      </c>
      <c r="E14" s="11" t="s">
        <v>1586</v>
      </c>
      <c r="F14" s="11" t="s">
        <v>46</v>
      </c>
      <c r="G14" s="11" t="s">
        <v>35</v>
      </c>
      <c r="H14" s="11" t="s">
        <v>1612</v>
      </c>
      <c r="I14" s="20" t="s">
        <v>1613</v>
      </c>
      <c r="J14" s="18">
        <v>46252</v>
      </c>
    </row>
    <row r="15" spans="1:10" hidden="1">
      <c r="A15" s="11" t="s">
        <v>1614</v>
      </c>
      <c r="B15" s="11" t="s">
        <v>1305</v>
      </c>
      <c r="C15" s="20" t="s">
        <v>1615</v>
      </c>
      <c r="D15" s="11" t="s">
        <v>59</v>
      </c>
      <c r="E15" s="11" t="s">
        <v>1586</v>
      </c>
      <c r="F15" s="11" t="s">
        <v>303</v>
      </c>
      <c r="G15" s="11" t="s">
        <v>93</v>
      </c>
      <c r="H15" s="11" t="s">
        <v>1610</v>
      </c>
      <c r="I15" s="20"/>
      <c r="J15" s="18"/>
    </row>
    <row r="16" spans="1:10" hidden="1">
      <c r="A16" s="11" t="s">
        <v>756</v>
      </c>
      <c r="B16" s="11" t="s">
        <v>752</v>
      </c>
      <c r="C16" s="20" t="s">
        <v>1616</v>
      </c>
      <c r="D16" s="11" t="s">
        <v>59</v>
      </c>
      <c r="E16" s="11" t="s">
        <v>1586</v>
      </c>
      <c r="F16" s="11" t="s">
        <v>303</v>
      </c>
      <c r="G16" s="11" t="s">
        <v>93</v>
      </c>
      <c r="H16" s="11" t="s">
        <v>1617</v>
      </c>
      <c r="I16" s="20"/>
      <c r="J16" s="18"/>
    </row>
    <row r="17" spans="1:10">
      <c r="A17" s="11" t="s">
        <v>398</v>
      </c>
      <c r="B17" s="11" t="s">
        <v>1618</v>
      </c>
      <c r="C17" s="20" t="s">
        <v>1619</v>
      </c>
      <c r="D17" s="11" t="s">
        <v>57</v>
      </c>
      <c r="E17" s="11" t="s">
        <v>1586</v>
      </c>
      <c r="F17" s="11" t="s">
        <v>2572</v>
      </c>
      <c r="G17" s="11" t="s">
        <v>93</v>
      </c>
      <c r="H17" s="11" t="s">
        <v>1620</v>
      </c>
      <c r="I17" s="20"/>
      <c r="J17" s="18"/>
    </row>
    <row r="18" spans="1:10" hidden="1">
      <c r="A18" s="11" t="s">
        <v>297</v>
      </c>
      <c r="B18" s="11" t="s">
        <v>1618</v>
      </c>
      <c r="C18" s="20" t="s">
        <v>1621</v>
      </c>
      <c r="D18" s="11" t="s">
        <v>37</v>
      </c>
      <c r="E18" s="11" t="s">
        <v>1586</v>
      </c>
      <c r="F18" s="11" t="s">
        <v>46</v>
      </c>
      <c r="G18" s="11" t="s">
        <v>93</v>
      </c>
      <c r="H18" s="11" t="s">
        <v>1052</v>
      </c>
      <c r="I18" s="20"/>
      <c r="J18" s="18"/>
    </row>
    <row r="19" spans="1:10" hidden="1">
      <c r="A19" s="11" t="s">
        <v>334</v>
      </c>
      <c r="B19" s="11" t="s">
        <v>1400</v>
      </c>
      <c r="C19" s="20" t="s">
        <v>1622</v>
      </c>
      <c r="D19" s="11" t="s">
        <v>37</v>
      </c>
      <c r="E19" s="11" t="s">
        <v>1586</v>
      </c>
      <c r="F19" s="11" t="s">
        <v>46</v>
      </c>
      <c r="G19" s="11" t="s">
        <v>93</v>
      </c>
      <c r="H19" s="11" t="s">
        <v>1623</v>
      </c>
      <c r="I19" s="20"/>
      <c r="J19" s="18"/>
    </row>
    <row r="20" spans="1:10" ht="79.8" hidden="1">
      <c r="A20" s="11" t="s">
        <v>182</v>
      </c>
      <c r="B20" s="11" t="s">
        <v>179</v>
      </c>
      <c r="C20" s="20" t="s">
        <v>1624</v>
      </c>
      <c r="D20" s="11" t="s">
        <v>56</v>
      </c>
      <c r="E20" s="11" t="s">
        <v>1625</v>
      </c>
      <c r="F20" s="11" t="s">
        <v>46</v>
      </c>
      <c r="G20" s="11" t="s">
        <v>35</v>
      </c>
      <c r="H20" s="11" t="s">
        <v>1626</v>
      </c>
      <c r="I20" s="20" t="s">
        <v>1627</v>
      </c>
      <c r="J20" s="18">
        <v>46252</v>
      </c>
    </row>
    <row r="21" spans="1:10" ht="22.8">
      <c r="A21" s="11" t="s">
        <v>524</v>
      </c>
      <c r="B21" s="11" t="s">
        <v>1628</v>
      </c>
      <c r="C21" s="20" t="s">
        <v>1629</v>
      </c>
      <c r="D21" s="11" t="s">
        <v>58</v>
      </c>
      <c r="E21" s="11" t="s">
        <v>1586</v>
      </c>
      <c r="F21" s="11" t="s">
        <v>2572</v>
      </c>
      <c r="G21" s="11" t="s">
        <v>93</v>
      </c>
      <c r="H21" s="11" t="s">
        <v>1630</v>
      </c>
      <c r="I21" s="20"/>
      <c r="J21" s="18"/>
    </row>
    <row r="22" spans="1:10" hidden="1">
      <c r="A22" s="11" t="s">
        <v>491</v>
      </c>
      <c r="B22" s="11" t="s">
        <v>1631</v>
      </c>
      <c r="C22" s="20" t="s">
        <v>1632</v>
      </c>
      <c r="D22" s="11" t="s">
        <v>60</v>
      </c>
      <c r="E22" s="11" t="s">
        <v>1586</v>
      </c>
      <c r="F22" s="11" t="s">
        <v>303</v>
      </c>
      <c r="G22" s="11" t="s">
        <v>93</v>
      </c>
      <c r="H22" s="11" t="s">
        <v>1633</v>
      </c>
      <c r="I22" s="20"/>
      <c r="J22" s="18"/>
    </row>
    <row r="23" spans="1:10" hidden="1">
      <c r="A23" s="11" t="s">
        <v>503</v>
      </c>
      <c r="B23" s="11" t="s">
        <v>1418</v>
      </c>
      <c r="C23" s="20" t="s">
        <v>1634</v>
      </c>
      <c r="D23" s="11" t="s">
        <v>60</v>
      </c>
      <c r="E23" s="11" t="s">
        <v>1586</v>
      </c>
      <c r="F23" s="11" t="s">
        <v>303</v>
      </c>
      <c r="G23" s="11" t="s">
        <v>93</v>
      </c>
      <c r="H23" s="11" t="s">
        <v>910</v>
      </c>
      <c r="I23" s="20"/>
      <c r="J23" s="18"/>
    </row>
    <row r="24" spans="1:10" ht="22.8">
      <c r="A24" s="11" t="s">
        <v>598</v>
      </c>
      <c r="B24" s="11" t="s">
        <v>1635</v>
      </c>
      <c r="C24" s="20" t="s">
        <v>1636</v>
      </c>
      <c r="D24" s="11" t="s">
        <v>58</v>
      </c>
      <c r="E24" s="11" t="s">
        <v>1586</v>
      </c>
      <c r="F24" s="11" t="s">
        <v>2572</v>
      </c>
      <c r="G24" s="11" t="s">
        <v>93</v>
      </c>
      <c r="H24" s="11" t="s">
        <v>1637</v>
      </c>
      <c r="I24" s="20"/>
      <c r="J24" s="18"/>
    </row>
    <row r="25" spans="1:10" ht="22.8" hidden="1">
      <c r="A25" s="11" t="s">
        <v>838</v>
      </c>
      <c r="B25" s="11" t="s">
        <v>847</v>
      </c>
      <c r="C25" s="20" t="s">
        <v>1638</v>
      </c>
      <c r="D25" s="11" t="s">
        <v>60</v>
      </c>
      <c r="E25" s="11" t="s">
        <v>1586</v>
      </c>
      <c r="F25" s="11" t="s">
        <v>303</v>
      </c>
      <c r="G25" s="11" t="s">
        <v>93</v>
      </c>
      <c r="H25" s="11" t="s">
        <v>1639</v>
      </c>
      <c r="I25" s="20"/>
      <c r="J25" s="18"/>
    </row>
    <row r="26" spans="1:10">
      <c r="A26" s="11" t="s">
        <v>609</v>
      </c>
      <c r="B26" s="11" t="s">
        <v>106</v>
      </c>
      <c r="C26" s="20" t="s">
        <v>1640</v>
      </c>
      <c r="D26" s="11" t="s">
        <v>58</v>
      </c>
      <c r="E26" s="11" t="s">
        <v>1625</v>
      </c>
      <c r="F26" s="11" t="s">
        <v>2572</v>
      </c>
      <c r="G26" s="11" t="s">
        <v>93</v>
      </c>
      <c r="H26" s="11" t="s">
        <v>1641</v>
      </c>
      <c r="I26" s="20"/>
      <c r="J26" s="18"/>
    </row>
    <row r="27" spans="1:10" ht="22.8" hidden="1">
      <c r="A27" s="11" t="s">
        <v>930</v>
      </c>
      <c r="B27" s="11" t="s">
        <v>1423</v>
      </c>
      <c r="C27" s="20" t="s">
        <v>1642</v>
      </c>
      <c r="D27" s="11" t="s">
        <v>60</v>
      </c>
      <c r="E27" s="11" t="s">
        <v>1625</v>
      </c>
      <c r="F27" s="11" t="s">
        <v>303</v>
      </c>
      <c r="G27" s="11" t="s">
        <v>93</v>
      </c>
      <c r="H27" s="11" t="s">
        <v>1643</v>
      </c>
      <c r="I27" s="20"/>
      <c r="J27" s="18"/>
    </row>
    <row r="28" spans="1:10" ht="68.400000000000006" hidden="1">
      <c r="A28" s="11" t="s">
        <v>357</v>
      </c>
      <c r="B28" s="11" t="s">
        <v>1644</v>
      </c>
      <c r="C28" s="20" t="s">
        <v>1645</v>
      </c>
      <c r="D28" s="11" t="s">
        <v>56</v>
      </c>
      <c r="E28" s="11" t="s">
        <v>1586</v>
      </c>
      <c r="F28" s="11" t="s">
        <v>46</v>
      </c>
      <c r="G28" s="11" t="s">
        <v>35</v>
      </c>
      <c r="H28" s="11" t="s">
        <v>1646</v>
      </c>
      <c r="I28" s="20" t="s">
        <v>1647</v>
      </c>
      <c r="J28" s="18">
        <v>46252</v>
      </c>
    </row>
    <row r="29" spans="1:10" ht="22.8" hidden="1">
      <c r="A29" s="11" t="s">
        <v>1648</v>
      </c>
      <c r="B29" s="11" t="s">
        <v>319</v>
      </c>
      <c r="C29" s="20" t="s">
        <v>1649</v>
      </c>
      <c r="D29" s="11" t="s">
        <v>59</v>
      </c>
      <c r="E29" s="11" t="s">
        <v>1586</v>
      </c>
      <c r="F29" s="11" t="s">
        <v>303</v>
      </c>
      <c r="G29" s="11" t="s">
        <v>93</v>
      </c>
      <c r="H29" s="11" t="s">
        <v>1650</v>
      </c>
      <c r="I29" s="20"/>
      <c r="J29" s="18"/>
    </row>
    <row r="30" spans="1:10" ht="22.8">
      <c r="A30" s="11" t="s">
        <v>433</v>
      </c>
      <c r="B30" s="11" t="s">
        <v>1651</v>
      </c>
      <c r="C30" s="20" t="s">
        <v>1652</v>
      </c>
      <c r="D30" s="11" t="s">
        <v>57</v>
      </c>
      <c r="E30" s="11" t="s">
        <v>1625</v>
      </c>
      <c r="F30" s="11" t="s">
        <v>2572</v>
      </c>
      <c r="G30" s="11" t="s">
        <v>93</v>
      </c>
      <c r="H30" s="11" t="s">
        <v>1653</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59" t="s">
        <v>1654</v>
      </c>
      <c r="B1" s="59"/>
      <c r="C1" s="59"/>
      <c r="D1" s="59"/>
      <c r="E1" s="59"/>
      <c r="F1" s="59"/>
      <c r="G1" s="59"/>
      <c r="H1" s="59"/>
      <c r="I1" s="59"/>
    </row>
    <row r="2" spans="1:9">
      <c r="A2" s="60" t="s">
        <v>1655</v>
      </c>
      <c r="B2" s="60"/>
      <c r="C2" s="60"/>
      <c r="D2" s="60"/>
      <c r="E2" s="60"/>
      <c r="F2" s="60"/>
      <c r="G2" s="60"/>
      <c r="H2" s="60"/>
      <c r="I2" s="60"/>
    </row>
    <row r="4" spans="1:9">
      <c r="A4" s="61" t="s">
        <v>1656</v>
      </c>
      <c r="B4" s="62"/>
      <c r="C4" s="62"/>
      <c r="D4" s="62"/>
      <c r="E4" s="62"/>
      <c r="F4" s="62"/>
      <c r="G4" s="62"/>
      <c r="H4" s="62"/>
      <c r="I4" s="63"/>
    </row>
    <row r="5" spans="1:9" ht="26.4">
      <c r="A5" s="1" t="s">
        <v>1657</v>
      </c>
      <c r="B5" s="2" t="s">
        <v>1658</v>
      </c>
      <c r="C5" s="2" t="s">
        <v>1659</v>
      </c>
      <c r="D5" s="3" t="s">
        <v>1660</v>
      </c>
      <c r="F5" s="1" t="s">
        <v>1661</v>
      </c>
      <c r="G5" s="2" t="s">
        <v>1662</v>
      </c>
      <c r="H5" s="2" t="s">
        <v>1663</v>
      </c>
      <c r="I5" s="3" t="s">
        <v>1664</v>
      </c>
    </row>
    <row r="6" spans="1:9" ht="91.2">
      <c r="A6" s="10" t="s">
        <v>652</v>
      </c>
      <c r="B6" s="10" t="s">
        <v>1665</v>
      </c>
      <c r="C6" s="10" t="s">
        <v>1666</v>
      </c>
      <c r="D6" s="10" t="s">
        <v>1667</v>
      </c>
      <c r="F6" s="10" t="s">
        <v>1668</v>
      </c>
      <c r="G6" s="10" t="s">
        <v>1669</v>
      </c>
      <c r="H6" s="10" t="s">
        <v>1670</v>
      </c>
      <c r="I6" s="10" t="s">
        <v>1671</v>
      </c>
    </row>
    <row r="7" spans="1:9" ht="125.4">
      <c r="A7" s="11" t="s">
        <v>1672</v>
      </c>
      <c r="B7" s="11" t="s">
        <v>1673</v>
      </c>
      <c r="C7" s="11" t="s">
        <v>1674</v>
      </c>
      <c r="D7" s="11" t="s">
        <v>1675</v>
      </c>
      <c r="F7" s="11" t="s">
        <v>1676</v>
      </c>
      <c r="G7" s="11" t="s">
        <v>1677</v>
      </c>
      <c r="H7" s="11" t="s">
        <v>1678</v>
      </c>
      <c r="I7" s="11" t="s">
        <v>1679</v>
      </c>
    </row>
    <row r="8" spans="1:9" ht="79.8">
      <c r="A8" s="11" t="s">
        <v>1680</v>
      </c>
      <c r="B8" s="11" t="s">
        <v>1681</v>
      </c>
      <c r="C8" s="11" t="s">
        <v>1682</v>
      </c>
      <c r="D8" s="11" t="s">
        <v>1683</v>
      </c>
      <c r="F8" s="11" t="s">
        <v>1684</v>
      </c>
      <c r="G8" s="11" t="s">
        <v>1685</v>
      </c>
      <c r="H8" s="11" t="s">
        <v>1686</v>
      </c>
      <c r="I8" s="11" t="s">
        <v>1687</v>
      </c>
    </row>
    <row r="11" spans="1:9">
      <c r="A11" s="1" t="s">
        <v>1004</v>
      </c>
      <c r="B11" s="2" t="s">
        <v>994</v>
      </c>
      <c r="C11" s="2" t="s">
        <v>1688</v>
      </c>
      <c r="D11" s="2" t="s">
        <v>1689</v>
      </c>
      <c r="E11" s="3" t="s">
        <v>1690</v>
      </c>
    </row>
    <row r="12" spans="1:9" ht="22.8">
      <c r="A12" s="10">
        <v>1</v>
      </c>
      <c r="B12" s="10" t="s">
        <v>1691</v>
      </c>
      <c r="C12" s="10" t="s">
        <v>1685</v>
      </c>
      <c r="D12" s="10" t="s">
        <v>1692</v>
      </c>
      <c r="E12" s="10" t="s">
        <v>1693</v>
      </c>
    </row>
    <row r="13" spans="1:9">
      <c r="A13" s="11">
        <v>2</v>
      </c>
      <c r="B13" s="11" t="s">
        <v>1694</v>
      </c>
      <c r="C13" s="11" t="s">
        <v>1695</v>
      </c>
      <c r="D13" s="11" t="s">
        <v>1696</v>
      </c>
      <c r="E13" s="11" t="s">
        <v>1697</v>
      </c>
    </row>
    <row r="14" spans="1:9">
      <c r="A14" s="11">
        <v>3</v>
      </c>
      <c r="B14" s="11" t="s">
        <v>1698</v>
      </c>
      <c r="C14" s="11" t="s">
        <v>652</v>
      </c>
      <c r="D14" s="11" t="s">
        <v>1699</v>
      </c>
      <c r="E14" s="11" t="s">
        <v>1700</v>
      </c>
    </row>
    <row r="15" spans="1:9" ht="22.8">
      <c r="A15" s="11">
        <v>4</v>
      </c>
      <c r="B15" s="11" t="s">
        <v>1701</v>
      </c>
      <c r="C15" s="11" t="s">
        <v>1672</v>
      </c>
      <c r="D15" s="11" t="s">
        <v>1702</v>
      </c>
      <c r="E15" s="11" t="s">
        <v>1703</v>
      </c>
    </row>
    <row r="16" spans="1:9" ht="22.8">
      <c r="A16" s="11">
        <v>5</v>
      </c>
      <c r="B16" s="11" t="s">
        <v>1704</v>
      </c>
      <c r="C16" s="11" t="s">
        <v>1311</v>
      </c>
      <c r="D16" s="11" t="s">
        <v>1705</v>
      </c>
      <c r="E16" s="11" t="s">
        <v>1706</v>
      </c>
    </row>
    <row r="17" spans="1:9" ht="22.8">
      <c r="A17" s="11">
        <v>6</v>
      </c>
      <c r="B17" s="11" t="s">
        <v>1707</v>
      </c>
      <c r="C17" s="11" t="s">
        <v>1311</v>
      </c>
      <c r="D17" s="11" t="s">
        <v>1708</v>
      </c>
      <c r="E17" s="11" t="s">
        <v>1709</v>
      </c>
    </row>
    <row r="18" spans="1:9" ht="22.8">
      <c r="A18" s="11">
        <v>7</v>
      </c>
      <c r="B18" s="11" t="s">
        <v>1710</v>
      </c>
      <c r="C18" s="11" t="s">
        <v>1311</v>
      </c>
      <c r="D18" s="11" t="s">
        <v>1711</v>
      </c>
      <c r="E18" s="11" t="s">
        <v>1712</v>
      </c>
    </row>
    <row r="19" spans="1:9" ht="22.8">
      <c r="A19" s="11">
        <v>8</v>
      </c>
      <c r="B19" s="11" t="s">
        <v>1713</v>
      </c>
      <c r="C19" s="11" t="s">
        <v>1311</v>
      </c>
      <c r="D19" s="11" t="s">
        <v>1714</v>
      </c>
      <c r="E19" s="11" t="s">
        <v>1715</v>
      </c>
    </row>
    <row r="20" spans="1:9">
      <c r="A20" s="11">
        <v>9</v>
      </c>
      <c r="B20" s="11" t="s">
        <v>1716</v>
      </c>
      <c r="C20" s="11" t="s">
        <v>1311</v>
      </c>
      <c r="D20" s="11" t="s">
        <v>1717</v>
      </c>
      <c r="E20" s="11" t="s">
        <v>1718</v>
      </c>
    </row>
    <row r="21" spans="1:9" ht="22.8">
      <c r="A21" s="11">
        <v>10</v>
      </c>
      <c r="B21" s="11" t="s">
        <v>1719</v>
      </c>
      <c r="C21" s="11" t="s">
        <v>1311</v>
      </c>
      <c r="D21" s="11" t="s">
        <v>1720</v>
      </c>
      <c r="E21" s="11" t="s">
        <v>1721</v>
      </c>
    </row>
    <row r="22" spans="1:9" ht="22.8">
      <c r="A22" s="11">
        <v>11</v>
      </c>
      <c r="B22" s="11" t="s">
        <v>1722</v>
      </c>
      <c r="C22" s="11" t="s">
        <v>1311</v>
      </c>
      <c r="D22" s="11" t="s">
        <v>1723</v>
      </c>
      <c r="E22" s="11" t="s">
        <v>1724</v>
      </c>
    </row>
    <row r="23" spans="1:9">
      <c r="A23" s="11">
        <v>12</v>
      </c>
      <c r="B23" s="11" t="s">
        <v>1725</v>
      </c>
      <c r="C23" s="11" t="s">
        <v>1311</v>
      </c>
      <c r="D23" s="11" t="s">
        <v>1726</v>
      </c>
      <c r="E23" s="11" t="s">
        <v>1727</v>
      </c>
    </row>
    <row r="24" spans="1:9" ht="22.8">
      <c r="A24" s="11">
        <v>13</v>
      </c>
      <c r="B24" s="11" t="s">
        <v>1728</v>
      </c>
      <c r="C24" s="11" t="s">
        <v>1311</v>
      </c>
      <c r="D24" s="11" t="s">
        <v>1729</v>
      </c>
      <c r="E24" s="11" t="s">
        <v>1730</v>
      </c>
    </row>
    <row r="25" spans="1:9">
      <c r="A25" s="11">
        <v>14</v>
      </c>
      <c r="B25" s="11" t="s">
        <v>1731</v>
      </c>
      <c r="C25" s="11" t="s">
        <v>1311</v>
      </c>
      <c r="D25" s="11" t="s">
        <v>1732</v>
      </c>
      <c r="E25" s="11" t="s">
        <v>1733</v>
      </c>
    </row>
    <row r="26" spans="1:9">
      <c r="A26" s="11">
        <v>15</v>
      </c>
      <c r="B26" s="11" t="s">
        <v>1734</v>
      </c>
      <c r="C26" s="11" t="s">
        <v>1311</v>
      </c>
      <c r="D26" s="11" t="s">
        <v>1735</v>
      </c>
      <c r="E26" s="11" t="s">
        <v>1736</v>
      </c>
    </row>
    <row r="27" spans="1:9" ht="22.8">
      <c r="A27" s="11">
        <v>16</v>
      </c>
      <c r="B27" s="11" t="s">
        <v>1737</v>
      </c>
      <c r="C27" s="11" t="s">
        <v>1685</v>
      </c>
      <c r="D27" s="11" t="s">
        <v>1738</v>
      </c>
      <c r="E27" s="11" t="s">
        <v>1739</v>
      </c>
    </row>
    <row r="29" spans="1:9">
      <c r="A29" s="117" t="s">
        <v>1740</v>
      </c>
      <c r="B29" s="118"/>
      <c r="C29" s="118"/>
      <c r="D29" s="118"/>
      <c r="E29" s="118"/>
      <c r="F29" s="118"/>
      <c r="G29" s="118"/>
      <c r="H29" s="118"/>
      <c r="I29" s="119"/>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9" t="s">
        <v>1741</v>
      </c>
      <c r="B1" s="59"/>
      <c r="C1" s="59"/>
      <c r="D1" s="59"/>
      <c r="E1" s="59"/>
      <c r="F1" s="59"/>
      <c r="G1" s="59"/>
    </row>
    <row r="2" spans="1:7" ht="31.95" customHeight="1">
      <c r="A2" s="60" t="s">
        <v>1742</v>
      </c>
      <c r="B2" s="60"/>
      <c r="C2" s="60"/>
      <c r="D2" s="60"/>
      <c r="E2" s="60"/>
      <c r="F2" s="60"/>
      <c r="G2" s="60"/>
    </row>
    <row r="5" spans="1:7" ht="28.05" customHeight="1">
      <c r="A5" s="1" t="s">
        <v>1576</v>
      </c>
      <c r="B5" s="2" t="s">
        <v>1743</v>
      </c>
      <c r="C5" s="2" t="s">
        <v>71</v>
      </c>
      <c r="D5" s="2" t="s">
        <v>1744</v>
      </c>
      <c r="E5" s="2" t="s">
        <v>1745</v>
      </c>
      <c r="F5" s="2" t="s">
        <v>1746</v>
      </c>
      <c r="G5" s="3" t="s">
        <v>1747</v>
      </c>
    </row>
    <row r="6" spans="1:7">
      <c r="A6" s="10" t="s">
        <v>1748</v>
      </c>
      <c r="B6" s="10" t="s">
        <v>1749</v>
      </c>
      <c r="C6" s="10" t="s">
        <v>1750</v>
      </c>
      <c r="D6" s="10" t="s">
        <v>1567</v>
      </c>
      <c r="E6" s="10" t="s">
        <v>1751</v>
      </c>
      <c r="F6" s="10" t="s">
        <v>1752</v>
      </c>
      <c r="G6" s="10" t="s">
        <v>1753</v>
      </c>
    </row>
    <row r="7" spans="1:7">
      <c r="A7" s="11" t="s">
        <v>1748</v>
      </c>
      <c r="B7" s="11" t="s">
        <v>1754</v>
      </c>
      <c r="C7" s="11" t="s">
        <v>1750</v>
      </c>
      <c r="D7" s="11" t="s">
        <v>1755</v>
      </c>
      <c r="E7" s="11" t="s">
        <v>1756</v>
      </c>
      <c r="F7" s="11" t="s">
        <v>1757</v>
      </c>
      <c r="G7" s="11" t="s">
        <v>1758</v>
      </c>
    </row>
    <row r="8" spans="1:7">
      <c r="A8" s="11" t="s">
        <v>1748</v>
      </c>
      <c r="B8" s="11" t="s">
        <v>1759</v>
      </c>
      <c r="C8" s="11" t="s">
        <v>1750</v>
      </c>
      <c r="D8" s="11" t="s">
        <v>1755</v>
      </c>
      <c r="E8" s="11" t="s">
        <v>1760</v>
      </c>
      <c r="F8" s="11" t="s">
        <v>1761</v>
      </c>
      <c r="G8" s="11" t="s">
        <v>1762</v>
      </c>
    </row>
    <row r="9" spans="1:7">
      <c r="A9" s="11" t="s">
        <v>1748</v>
      </c>
      <c r="B9" s="11" t="s">
        <v>1763</v>
      </c>
      <c r="C9" s="11" t="s">
        <v>1750</v>
      </c>
      <c r="D9" s="11" t="s">
        <v>1755</v>
      </c>
      <c r="E9" s="11" t="s">
        <v>1764</v>
      </c>
      <c r="F9" s="11" t="s">
        <v>1765</v>
      </c>
      <c r="G9" s="11" t="s">
        <v>1766</v>
      </c>
    </row>
    <row r="10" spans="1:7">
      <c r="A10" s="11" t="s">
        <v>1748</v>
      </c>
      <c r="B10" s="11" t="s">
        <v>1767</v>
      </c>
      <c r="C10" s="11" t="s">
        <v>1750</v>
      </c>
      <c r="D10" s="11" t="s">
        <v>1755</v>
      </c>
      <c r="E10" s="11" t="s">
        <v>1768</v>
      </c>
      <c r="F10" s="11" t="s">
        <v>1769</v>
      </c>
      <c r="G10" s="11" t="s">
        <v>1770</v>
      </c>
    </row>
    <row r="11" spans="1:7">
      <c r="A11" s="11" t="s">
        <v>1771</v>
      </c>
      <c r="B11" s="11" t="s">
        <v>1772</v>
      </c>
      <c r="C11" s="11" t="s">
        <v>89</v>
      </c>
      <c r="D11" s="11" t="s">
        <v>1773</v>
      </c>
      <c r="E11" s="11" t="s">
        <v>1774</v>
      </c>
      <c r="F11" s="11" t="s">
        <v>1775</v>
      </c>
      <c r="G11" s="11" t="s">
        <v>1776</v>
      </c>
    </row>
    <row r="12" spans="1:7">
      <c r="A12" s="11" t="s">
        <v>1771</v>
      </c>
      <c r="B12" s="11" t="s">
        <v>1777</v>
      </c>
      <c r="C12" s="11" t="s">
        <v>89</v>
      </c>
      <c r="D12" s="11" t="s">
        <v>58</v>
      </c>
      <c r="E12" s="11" t="s">
        <v>1778</v>
      </c>
      <c r="F12" s="11" t="s">
        <v>1779</v>
      </c>
      <c r="G12" s="11" t="s">
        <v>1780</v>
      </c>
    </row>
    <row r="13" spans="1:7">
      <c r="A13" s="11" t="s">
        <v>1781</v>
      </c>
      <c r="B13" s="11" t="s">
        <v>1782</v>
      </c>
      <c r="C13" s="11" t="s">
        <v>1750</v>
      </c>
      <c r="D13" s="11" t="s">
        <v>1567</v>
      </c>
      <c r="E13" s="11" t="s">
        <v>1783</v>
      </c>
      <c r="F13" s="11" t="s">
        <v>1784</v>
      </c>
      <c r="G13" s="11" t="s">
        <v>1785</v>
      </c>
    </row>
    <row r="14" spans="1:7">
      <c r="A14" s="11" t="s">
        <v>1781</v>
      </c>
      <c r="B14" s="11" t="s">
        <v>1786</v>
      </c>
      <c r="C14" s="11" t="s">
        <v>1750</v>
      </c>
      <c r="D14" s="11" t="s">
        <v>1567</v>
      </c>
      <c r="E14" s="11" t="s">
        <v>1787</v>
      </c>
      <c r="F14" s="11" t="s">
        <v>1788</v>
      </c>
      <c r="G14" s="11" t="s">
        <v>1789</v>
      </c>
    </row>
    <row r="15" spans="1:7">
      <c r="A15" s="11" t="s">
        <v>1781</v>
      </c>
      <c r="B15" s="11" t="s">
        <v>1790</v>
      </c>
      <c r="C15" s="11" t="s">
        <v>1750</v>
      </c>
      <c r="D15" s="11" t="s">
        <v>1791</v>
      </c>
      <c r="E15" s="11" t="s">
        <v>1792</v>
      </c>
      <c r="F15" s="11" t="s">
        <v>1793</v>
      </c>
      <c r="G15" s="11" t="s">
        <v>1794</v>
      </c>
    </row>
    <row r="16" spans="1:7">
      <c r="A16" s="11" t="s">
        <v>1781</v>
      </c>
      <c r="B16" s="11" t="s">
        <v>1795</v>
      </c>
      <c r="C16" s="11" t="s">
        <v>1750</v>
      </c>
      <c r="D16" s="11" t="s">
        <v>1796</v>
      </c>
      <c r="E16" s="11" t="s">
        <v>1797</v>
      </c>
      <c r="F16" s="11" t="s">
        <v>1798</v>
      </c>
      <c r="G16" s="11" t="s">
        <v>1799</v>
      </c>
    </row>
    <row r="17" spans="1:7">
      <c r="A17" s="11" t="s">
        <v>1800</v>
      </c>
      <c r="B17" s="11" t="s">
        <v>1801</v>
      </c>
      <c r="C17" s="11" t="s">
        <v>1750</v>
      </c>
      <c r="D17" s="11" t="s">
        <v>1802</v>
      </c>
      <c r="E17" s="11" t="s">
        <v>1803</v>
      </c>
      <c r="F17" s="11" t="s">
        <v>1804</v>
      </c>
      <c r="G17" s="11" t="s">
        <v>1805</v>
      </c>
    </row>
    <row r="18" spans="1:7" ht="22.8">
      <c r="A18" s="11" t="s">
        <v>442</v>
      </c>
      <c r="B18" s="11" t="s">
        <v>1806</v>
      </c>
      <c r="C18" s="11" t="s">
        <v>89</v>
      </c>
      <c r="D18" s="11" t="s">
        <v>57</v>
      </c>
      <c r="E18" s="11" t="s">
        <v>1807</v>
      </c>
      <c r="F18" s="11" t="s">
        <v>1808</v>
      </c>
      <c r="G18" s="11" t="s">
        <v>1809</v>
      </c>
    </row>
    <row r="19" spans="1:7">
      <c r="A19" s="11" t="s">
        <v>442</v>
      </c>
      <c r="B19" s="11" t="s">
        <v>1810</v>
      </c>
      <c r="C19" s="11" t="s">
        <v>365</v>
      </c>
      <c r="D19" s="11" t="s">
        <v>1567</v>
      </c>
      <c r="E19" s="11" t="s">
        <v>1811</v>
      </c>
      <c r="F19" s="11" t="s">
        <v>1812</v>
      </c>
      <c r="G19" s="11" t="s">
        <v>1813</v>
      </c>
    </row>
    <row r="20" spans="1:7">
      <c r="A20" s="11" t="s">
        <v>1354</v>
      </c>
      <c r="B20" s="11" t="s">
        <v>1814</v>
      </c>
      <c r="C20" s="11" t="s">
        <v>89</v>
      </c>
      <c r="D20" s="11" t="s">
        <v>57</v>
      </c>
      <c r="E20" s="11" t="s">
        <v>1815</v>
      </c>
      <c r="F20" s="11" t="s">
        <v>1816</v>
      </c>
      <c r="G20" s="11" t="s">
        <v>1817</v>
      </c>
    </row>
    <row r="21" spans="1:7">
      <c r="A21" s="11" t="s">
        <v>1354</v>
      </c>
      <c r="B21" s="11" t="s">
        <v>1818</v>
      </c>
      <c r="C21" s="11" t="s">
        <v>89</v>
      </c>
      <c r="D21" s="11" t="s">
        <v>57</v>
      </c>
      <c r="E21" s="11" t="s">
        <v>1819</v>
      </c>
      <c r="F21" s="11" t="s">
        <v>1820</v>
      </c>
      <c r="G21" s="11" t="s">
        <v>1821</v>
      </c>
    </row>
    <row r="22" spans="1:7">
      <c r="A22" s="11" t="s">
        <v>1354</v>
      </c>
      <c r="B22" s="11" t="s">
        <v>1822</v>
      </c>
      <c r="C22" s="11" t="s">
        <v>365</v>
      </c>
      <c r="D22" s="11" t="s">
        <v>1567</v>
      </c>
      <c r="E22" s="11" t="s">
        <v>1823</v>
      </c>
      <c r="F22" s="11" t="s">
        <v>1824</v>
      </c>
      <c r="G22" s="11" t="s">
        <v>1825</v>
      </c>
    </row>
    <row r="23" spans="1:7">
      <c r="A23" s="11" t="s">
        <v>1826</v>
      </c>
      <c r="B23" s="11" t="s">
        <v>1827</v>
      </c>
      <c r="C23" s="11" t="s">
        <v>89</v>
      </c>
      <c r="D23" s="11" t="s">
        <v>58</v>
      </c>
      <c r="E23" s="11" t="s">
        <v>1828</v>
      </c>
      <c r="F23" s="11" t="s">
        <v>1829</v>
      </c>
      <c r="G23" s="11" t="s">
        <v>1830</v>
      </c>
    </row>
    <row r="24" spans="1:7">
      <c r="A24" s="11" t="s">
        <v>1826</v>
      </c>
      <c r="B24" s="11" t="s">
        <v>1831</v>
      </c>
      <c r="C24" s="11" t="s">
        <v>1750</v>
      </c>
      <c r="D24" s="11" t="s">
        <v>1832</v>
      </c>
      <c r="E24" s="11" t="s">
        <v>1833</v>
      </c>
      <c r="F24" s="11" t="s">
        <v>1834</v>
      </c>
      <c r="G24" s="11" t="s">
        <v>1835</v>
      </c>
    </row>
    <row r="25" spans="1:7">
      <c r="A25" s="11" t="s">
        <v>1826</v>
      </c>
      <c r="B25" s="11" t="s">
        <v>1836</v>
      </c>
      <c r="C25" s="11" t="s">
        <v>1750</v>
      </c>
      <c r="D25" s="11" t="s">
        <v>1832</v>
      </c>
      <c r="E25" s="11" t="s">
        <v>1837</v>
      </c>
      <c r="F25" s="11" t="s">
        <v>1838</v>
      </c>
      <c r="G25" s="11" t="s">
        <v>1839</v>
      </c>
    </row>
    <row r="26" spans="1:7">
      <c r="A26" s="11" t="s">
        <v>1826</v>
      </c>
      <c r="B26" s="11" t="s">
        <v>1840</v>
      </c>
      <c r="C26" s="11" t="s">
        <v>1750</v>
      </c>
      <c r="D26" s="11" t="s">
        <v>1755</v>
      </c>
      <c r="E26" s="11" t="s">
        <v>1841</v>
      </c>
      <c r="F26" s="11" t="s">
        <v>1842</v>
      </c>
      <c r="G26" s="11" t="s">
        <v>1843</v>
      </c>
    </row>
    <row r="27" spans="1:7">
      <c r="A27" s="11" t="s">
        <v>1844</v>
      </c>
      <c r="B27" s="11" t="s">
        <v>1845</v>
      </c>
      <c r="C27" s="11" t="s">
        <v>89</v>
      </c>
      <c r="D27" s="11" t="s">
        <v>1255</v>
      </c>
      <c r="E27" s="11" t="s">
        <v>1846</v>
      </c>
      <c r="F27" s="11" t="s">
        <v>1816</v>
      </c>
      <c r="G27" s="11" t="s">
        <v>1847</v>
      </c>
    </row>
    <row r="28" spans="1:7">
      <c r="A28" s="11" t="s">
        <v>1844</v>
      </c>
      <c r="B28" s="11" t="s">
        <v>1848</v>
      </c>
      <c r="C28" s="11" t="s">
        <v>1750</v>
      </c>
      <c r="D28" s="11" t="s">
        <v>1849</v>
      </c>
      <c r="E28" s="11" t="s">
        <v>1850</v>
      </c>
      <c r="F28" s="11" t="s">
        <v>1851</v>
      </c>
      <c r="G28" s="11" t="s">
        <v>1852</v>
      </c>
    </row>
    <row r="29" spans="1:7">
      <c r="A29" s="11" t="s">
        <v>1853</v>
      </c>
      <c r="B29" s="11" t="s">
        <v>1854</v>
      </c>
      <c r="C29" s="11" t="s">
        <v>365</v>
      </c>
      <c r="D29" s="11" t="s">
        <v>1855</v>
      </c>
      <c r="E29" s="11" t="s">
        <v>1856</v>
      </c>
      <c r="F29" s="11" t="s">
        <v>1857</v>
      </c>
      <c r="G29" s="11" t="s">
        <v>1858</v>
      </c>
    </row>
    <row r="30" spans="1:7">
      <c r="A30" s="11" t="s">
        <v>1853</v>
      </c>
      <c r="B30" s="11" t="s">
        <v>1859</v>
      </c>
      <c r="C30" s="11" t="s">
        <v>1750</v>
      </c>
      <c r="D30" s="11" t="s">
        <v>1855</v>
      </c>
      <c r="E30" s="11" t="s">
        <v>1860</v>
      </c>
      <c r="F30" s="11" t="s">
        <v>1861</v>
      </c>
      <c r="G30" s="11" t="s">
        <v>1862</v>
      </c>
    </row>
    <row r="31" spans="1:7">
      <c r="A31" s="11" t="s">
        <v>1863</v>
      </c>
      <c r="B31" s="11" t="s">
        <v>1864</v>
      </c>
      <c r="C31" s="11" t="s">
        <v>1750</v>
      </c>
      <c r="D31" s="11" t="s">
        <v>1865</v>
      </c>
      <c r="E31" s="11" t="s">
        <v>1866</v>
      </c>
      <c r="F31" s="11" t="s">
        <v>1867</v>
      </c>
      <c r="G31" s="11" t="s">
        <v>1868</v>
      </c>
    </row>
    <row r="32" spans="1:7">
      <c r="A32" s="11" t="s">
        <v>293</v>
      </c>
      <c r="B32" s="11" t="s">
        <v>1869</v>
      </c>
      <c r="C32" s="11" t="s">
        <v>89</v>
      </c>
      <c r="D32" s="11" t="s">
        <v>37</v>
      </c>
      <c r="E32" s="11" t="s">
        <v>1870</v>
      </c>
      <c r="F32" s="11" t="s">
        <v>1871</v>
      </c>
      <c r="G32" s="11" t="s">
        <v>1872</v>
      </c>
    </row>
    <row r="33" spans="1:7">
      <c r="A33" s="11" t="s">
        <v>293</v>
      </c>
      <c r="B33" s="11" t="s">
        <v>1873</v>
      </c>
      <c r="C33" s="11" t="s">
        <v>1750</v>
      </c>
      <c r="D33" s="11" t="s">
        <v>1791</v>
      </c>
      <c r="E33" s="11" t="s">
        <v>1874</v>
      </c>
      <c r="F33" s="11" t="s">
        <v>1875</v>
      </c>
      <c r="G33" s="11" t="s">
        <v>1876</v>
      </c>
    </row>
    <row r="34" spans="1:7">
      <c r="A34" s="11" t="s">
        <v>1877</v>
      </c>
      <c r="B34" s="11" t="s">
        <v>1181</v>
      </c>
      <c r="C34" s="11" t="s">
        <v>89</v>
      </c>
      <c r="D34" s="11" t="s">
        <v>37</v>
      </c>
      <c r="E34" s="11" t="s">
        <v>1878</v>
      </c>
      <c r="F34" s="11" t="s">
        <v>1879</v>
      </c>
      <c r="G34" s="11" t="s">
        <v>1880</v>
      </c>
    </row>
    <row r="35" spans="1:7" ht="22.8">
      <c r="A35" s="11" t="s">
        <v>1877</v>
      </c>
      <c r="B35" s="11" t="s">
        <v>1186</v>
      </c>
      <c r="C35" s="11" t="s">
        <v>1881</v>
      </c>
      <c r="D35" s="11" t="s">
        <v>59</v>
      </c>
      <c r="E35" s="11" t="s">
        <v>1882</v>
      </c>
      <c r="F35" s="11" t="s">
        <v>1883</v>
      </c>
      <c r="G35" s="11" t="s">
        <v>1884</v>
      </c>
    </row>
    <row r="36" spans="1:7">
      <c r="A36" s="11" t="s">
        <v>1877</v>
      </c>
      <c r="B36" s="11" t="s">
        <v>1885</v>
      </c>
      <c r="C36" s="11" t="s">
        <v>1750</v>
      </c>
      <c r="D36" s="11" t="s">
        <v>1886</v>
      </c>
      <c r="E36" s="11" t="s">
        <v>1887</v>
      </c>
      <c r="F36" s="11" t="s">
        <v>1888</v>
      </c>
      <c r="G36" s="11" t="s">
        <v>1889</v>
      </c>
    </row>
    <row r="37" spans="1:7">
      <c r="A37" s="11" t="s">
        <v>1877</v>
      </c>
      <c r="B37" s="11" t="s">
        <v>1890</v>
      </c>
      <c r="C37" s="11" t="s">
        <v>1750</v>
      </c>
      <c r="D37" s="11" t="s">
        <v>1891</v>
      </c>
      <c r="E37" s="11" t="s">
        <v>1892</v>
      </c>
      <c r="F37" s="11" t="s">
        <v>1888</v>
      </c>
      <c r="G37" s="11" t="s">
        <v>1893</v>
      </c>
    </row>
    <row r="38" spans="1:7">
      <c r="A38" s="11" t="s">
        <v>1877</v>
      </c>
      <c r="B38" s="11" t="s">
        <v>1894</v>
      </c>
      <c r="C38" s="11" t="s">
        <v>1750</v>
      </c>
      <c r="D38" s="11" t="s">
        <v>1895</v>
      </c>
      <c r="E38" s="11" t="s">
        <v>1896</v>
      </c>
      <c r="F38" s="11" t="s">
        <v>1897</v>
      </c>
      <c r="G38" s="11" t="s">
        <v>1898</v>
      </c>
    </row>
    <row r="39" spans="1:7">
      <c r="A39" s="11" t="s">
        <v>1877</v>
      </c>
      <c r="B39" s="11" t="s">
        <v>1899</v>
      </c>
      <c r="C39" s="11" t="s">
        <v>1750</v>
      </c>
      <c r="D39" s="11" t="s">
        <v>1900</v>
      </c>
      <c r="E39" s="11" t="s">
        <v>1901</v>
      </c>
      <c r="F39" s="11" t="s">
        <v>1897</v>
      </c>
      <c r="G39" s="11" t="s">
        <v>1902</v>
      </c>
    </row>
    <row r="40" spans="1:7">
      <c r="A40" s="11" t="s">
        <v>1877</v>
      </c>
      <c r="B40" s="11" t="s">
        <v>1903</v>
      </c>
      <c r="C40" s="11" t="s">
        <v>1750</v>
      </c>
      <c r="D40" s="11" t="s">
        <v>1904</v>
      </c>
      <c r="E40" s="11" t="s">
        <v>1905</v>
      </c>
      <c r="F40" s="11" t="s">
        <v>1897</v>
      </c>
      <c r="G40" s="11" t="s">
        <v>1906</v>
      </c>
    </row>
    <row r="41" spans="1:7">
      <c r="A41" s="11" t="s">
        <v>1907</v>
      </c>
      <c r="B41" s="11" t="s">
        <v>1908</v>
      </c>
      <c r="C41" s="11" t="s">
        <v>365</v>
      </c>
      <c r="D41" s="11" t="s">
        <v>1909</v>
      </c>
      <c r="E41" s="11" t="s">
        <v>1910</v>
      </c>
      <c r="F41" s="11" t="s">
        <v>1911</v>
      </c>
      <c r="G41" s="11" t="s">
        <v>1912</v>
      </c>
    </row>
    <row r="42" spans="1:7">
      <c r="A42" s="11" t="s">
        <v>1907</v>
      </c>
      <c r="B42" s="11" t="s">
        <v>1913</v>
      </c>
      <c r="C42" s="11" t="s">
        <v>1750</v>
      </c>
      <c r="D42" s="11" t="s">
        <v>1914</v>
      </c>
      <c r="E42" s="11" t="s">
        <v>1915</v>
      </c>
      <c r="F42" s="11" t="s">
        <v>1916</v>
      </c>
      <c r="G42" s="11" t="s">
        <v>1917</v>
      </c>
    </row>
    <row r="43" spans="1:7">
      <c r="A43" s="11" t="s">
        <v>1907</v>
      </c>
      <c r="B43" s="11" t="s">
        <v>1918</v>
      </c>
      <c r="C43" s="11" t="s">
        <v>1750</v>
      </c>
      <c r="D43" s="11" t="s">
        <v>1919</v>
      </c>
      <c r="E43" s="11" t="s">
        <v>1920</v>
      </c>
      <c r="F43" s="11" t="s">
        <v>1921</v>
      </c>
      <c r="G43" s="11" t="s">
        <v>1922</v>
      </c>
    </row>
    <row r="44" spans="1:7">
      <c r="A44" s="11" t="s">
        <v>1923</v>
      </c>
      <c r="B44" s="11" t="s">
        <v>1924</v>
      </c>
      <c r="C44" s="11" t="s">
        <v>365</v>
      </c>
      <c r="D44" s="11" t="s">
        <v>1909</v>
      </c>
      <c r="E44" s="11" t="s">
        <v>1925</v>
      </c>
      <c r="F44" s="11" t="s">
        <v>1926</v>
      </c>
      <c r="G44" s="11" t="s">
        <v>1927</v>
      </c>
    </row>
    <row r="45" spans="1:7">
      <c r="A45" s="11" t="s">
        <v>1923</v>
      </c>
      <c r="B45" s="11" t="s">
        <v>1928</v>
      </c>
      <c r="C45" s="11" t="s">
        <v>1750</v>
      </c>
      <c r="D45" s="11" t="s">
        <v>1919</v>
      </c>
      <c r="E45" s="11" t="s">
        <v>1929</v>
      </c>
      <c r="F45" s="11" t="s">
        <v>1930</v>
      </c>
      <c r="G45" s="11" t="s">
        <v>1931</v>
      </c>
    </row>
    <row r="46" spans="1:7">
      <c r="A46" s="11" t="s">
        <v>1923</v>
      </c>
      <c r="B46" s="11" t="s">
        <v>1932</v>
      </c>
      <c r="C46" s="11" t="s">
        <v>1750</v>
      </c>
      <c r="D46" s="11" t="s">
        <v>1919</v>
      </c>
      <c r="E46" s="11" t="s">
        <v>1933</v>
      </c>
      <c r="F46" s="11" t="s">
        <v>1934</v>
      </c>
      <c r="G46" s="11" t="s">
        <v>1935</v>
      </c>
    </row>
    <row r="47" spans="1:7">
      <c r="A47" s="11" t="s">
        <v>1936</v>
      </c>
      <c r="B47" s="11" t="s">
        <v>1937</v>
      </c>
      <c r="C47" s="11" t="s">
        <v>365</v>
      </c>
      <c r="D47" s="11" t="s">
        <v>1909</v>
      </c>
      <c r="E47" s="11" t="s">
        <v>1938</v>
      </c>
      <c r="F47" s="11" t="s">
        <v>1939</v>
      </c>
      <c r="G47" s="11" t="s">
        <v>1940</v>
      </c>
    </row>
    <row r="48" spans="1:7">
      <c r="A48" s="11" t="s">
        <v>1936</v>
      </c>
      <c r="B48" s="11" t="s">
        <v>1941</v>
      </c>
      <c r="C48" s="11" t="s">
        <v>1750</v>
      </c>
      <c r="D48" s="11" t="s">
        <v>1942</v>
      </c>
      <c r="E48" s="11" t="s">
        <v>1943</v>
      </c>
      <c r="F48" s="11" t="s">
        <v>1944</v>
      </c>
      <c r="G48" s="11" t="s">
        <v>1945</v>
      </c>
    </row>
    <row r="49" spans="1:7">
      <c r="A49" s="11" t="s">
        <v>106</v>
      </c>
      <c r="B49" s="11" t="s">
        <v>1946</v>
      </c>
      <c r="C49" s="11" t="s">
        <v>89</v>
      </c>
      <c r="D49" s="11" t="s">
        <v>37</v>
      </c>
      <c r="E49" s="11" t="s">
        <v>1947</v>
      </c>
      <c r="F49" s="11" t="s">
        <v>1948</v>
      </c>
      <c r="G49" s="11" t="s">
        <v>1949</v>
      </c>
    </row>
    <row r="50" spans="1:7">
      <c r="A50" s="11" t="s">
        <v>106</v>
      </c>
      <c r="B50" s="11" t="s">
        <v>1950</v>
      </c>
      <c r="C50" s="11" t="s">
        <v>365</v>
      </c>
      <c r="D50" s="11" t="s">
        <v>1909</v>
      </c>
      <c r="E50" s="11" t="s">
        <v>1951</v>
      </c>
      <c r="F50" s="11" t="s">
        <v>1952</v>
      </c>
      <c r="G50" s="11" t="s">
        <v>1953</v>
      </c>
    </row>
    <row r="51" spans="1:7">
      <c r="A51" s="11" t="s">
        <v>1954</v>
      </c>
      <c r="B51" s="11" t="s">
        <v>1231</v>
      </c>
      <c r="C51" s="11" t="s">
        <v>1955</v>
      </c>
      <c r="D51" s="11" t="s">
        <v>60</v>
      </c>
      <c r="E51" s="11" t="s">
        <v>1956</v>
      </c>
      <c r="F51" s="11" t="s">
        <v>1957</v>
      </c>
      <c r="G51" s="11" t="s">
        <v>1958</v>
      </c>
    </row>
    <row r="52" spans="1:7">
      <c r="A52" s="11" t="s">
        <v>1954</v>
      </c>
      <c r="B52" s="11" t="s">
        <v>1959</v>
      </c>
      <c r="C52" s="11" t="s">
        <v>1960</v>
      </c>
      <c r="D52" s="11" t="s">
        <v>1961</v>
      </c>
      <c r="E52" s="11" t="s">
        <v>1962</v>
      </c>
      <c r="F52" s="11" t="s">
        <v>1963</v>
      </c>
      <c r="G52" s="11" t="s">
        <v>1964</v>
      </c>
    </row>
    <row r="53" spans="1:7">
      <c r="A53" s="11" t="s">
        <v>1965</v>
      </c>
      <c r="B53" s="11" t="s">
        <v>1966</v>
      </c>
      <c r="C53" s="11" t="s">
        <v>89</v>
      </c>
      <c r="D53" s="11" t="s">
        <v>57</v>
      </c>
      <c r="E53" s="11" t="s">
        <v>1967</v>
      </c>
      <c r="F53" s="11" t="s">
        <v>1968</v>
      </c>
      <c r="G53" s="11" t="s">
        <v>1969</v>
      </c>
    </row>
    <row r="54" spans="1:7">
      <c r="A54" s="11" t="s">
        <v>1970</v>
      </c>
      <c r="B54" s="11" t="s">
        <v>1971</v>
      </c>
      <c r="C54" s="11" t="s">
        <v>89</v>
      </c>
      <c r="D54" s="11" t="s">
        <v>1240</v>
      </c>
      <c r="E54" s="11" t="s">
        <v>1972</v>
      </c>
      <c r="F54" s="11" t="s">
        <v>1973</v>
      </c>
      <c r="G54" s="11" t="s">
        <v>1974</v>
      </c>
    </row>
    <row r="55" spans="1:7">
      <c r="A55" s="11" t="s">
        <v>1975</v>
      </c>
      <c r="B55" s="11" t="s">
        <v>1976</v>
      </c>
      <c r="C55" s="11" t="s">
        <v>89</v>
      </c>
      <c r="D55" s="11" t="s">
        <v>1977</v>
      </c>
      <c r="E55" s="11" t="s">
        <v>1978</v>
      </c>
      <c r="F55" s="11" t="s">
        <v>1979</v>
      </c>
      <c r="G55" s="11" t="s">
        <v>1980</v>
      </c>
    </row>
    <row r="56" spans="1:7" ht="22.8">
      <c r="A56" s="11" t="s">
        <v>1608</v>
      </c>
      <c r="B56" s="11" t="s">
        <v>1981</v>
      </c>
      <c r="C56" s="11" t="s">
        <v>1982</v>
      </c>
      <c r="D56" s="11" t="s">
        <v>59</v>
      </c>
      <c r="E56" s="11" t="s">
        <v>1983</v>
      </c>
      <c r="F56" s="11" t="s">
        <v>1984</v>
      </c>
      <c r="G56" s="11" t="s">
        <v>1985</v>
      </c>
    </row>
    <row r="57" spans="1:7">
      <c r="A57" s="11" t="s">
        <v>1383</v>
      </c>
      <c r="B57" s="11" t="s">
        <v>1986</v>
      </c>
      <c r="C57" s="11" t="s">
        <v>89</v>
      </c>
      <c r="D57" s="11" t="s">
        <v>1987</v>
      </c>
      <c r="E57" s="11" t="s">
        <v>1988</v>
      </c>
      <c r="F57" s="11" t="s">
        <v>1989</v>
      </c>
      <c r="G57" s="11" t="s">
        <v>1990</v>
      </c>
    </row>
    <row r="58" spans="1:7">
      <c r="A58" s="11" t="s">
        <v>1991</v>
      </c>
      <c r="B58" s="11" t="s">
        <v>1992</v>
      </c>
      <c r="C58" s="11" t="s">
        <v>1750</v>
      </c>
      <c r="D58" s="11" t="s">
        <v>1567</v>
      </c>
      <c r="E58" s="11" t="s">
        <v>1993</v>
      </c>
      <c r="F58" s="11" t="s">
        <v>1994</v>
      </c>
      <c r="G58" s="11" t="s">
        <v>1995</v>
      </c>
    </row>
    <row r="59" spans="1:7">
      <c r="A59" s="11" t="s">
        <v>752</v>
      </c>
      <c r="B59" s="11" t="s">
        <v>1996</v>
      </c>
      <c r="C59" s="11" t="s">
        <v>89</v>
      </c>
      <c r="D59" s="11" t="s">
        <v>59</v>
      </c>
      <c r="E59" s="11" t="s">
        <v>1997</v>
      </c>
      <c r="F59" s="11" t="s">
        <v>1998</v>
      </c>
      <c r="G59" s="11" t="s">
        <v>1999</v>
      </c>
    </row>
    <row r="60" spans="1:7" ht="22.8">
      <c r="A60" s="11" t="s">
        <v>2000</v>
      </c>
      <c r="B60" s="11" t="s">
        <v>2001</v>
      </c>
      <c r="C60" s="11" t="s">
        <v>89</v>
      </c>
      <c r="D60" s="11" t="s">
        <v>1268</v>
      </c>
      <c r="E60" s="11" t="s">
        <v>2002</v>
      </c>
      <c r="F60" s="11" t="s">
        <v>2003</v>
      </c>
      <c r="G60" s="11" t="s">
        <v>2004</v>
      </c>
    </row>
    <row r="61" spans="1:7">
      <c r="A61" s="11" t="s">
        <v>765</v>
      </c>
      <c r="B61" s="11" t="s">
        <v>2005</v>
      </c>
      <c r="C61" s="11" t="s">
        <v>89</v>
      </c>
      <c r="D61" s="11" t="s">
        <v>59</v>
      </c>
      <c r="E61" s="11" t="s">
        <v>2006</v>
      </c>
      <c r="F61" s="11" t="s">
        <v>2007</v>
      </c>
      <c r="G61" s="11" t="s">
        <v>2008</v>
      </c>
    </row>
    <row r="62" spans="1:7">
      <c r="A62" s="11" t="s">
        <v>2009</v>
      </c>
      <c r="B62" s="11" t="s">
        <v>2010</v>
      </c>
      <c r="C62" s="11" t="s">
        <v>89</v>
      </c>
      <c r="D62" s="11" t="s">
        <v>56</v>
      </c>
      <c r="E62" s="11" t="s">
        <v>2011</v>
      </c>
      <c r="F62" s="11" t="s">
        <v>2012</v>
      </c>
      <c r="G62" s="11" t="s">
        <v>2013</v>
      </c>
    </row>
    <row r="63" spans="1:7">
      <c r="A63" s="11" t="s">
        <v>617</v>
      </c>
      <c r="B63" s="11" t="s">
        <v>2014</v>
      </c>
      <c r="C63" s="11" t="s">
        <v>1183</v>
      </c>
      <c r="D63" s="11" t="s">
        <v>60</v>
      </c>
      <c r="E63" s="11" t="s">
        <v>2015</v>
      </c>
      <c r="F63" s="11" t="s">
        <v>2016</v>
      </c>
      <c r="G63" s="11" t="s">
        <v>2017</v>
      </c>
    </row>
    <row r="64" spans="1:7">
      <c r="A64" s="11" t="s">
        <v>617</v>
      </c>
      <c r="B64" s="11" t="s">
        <v>2018</v>
      </c>
      <c r="C64" s="11" t="s">
        <v>1982</v>
      </c>
      <c r="D64" s="11" t="s">
        <v>60</v>
      </c>
      <c r="E64" s="11" t="s">
        <v>2019</v>
      </c>
      <c r="F64" s="11" t="s">
        <v>2020</v>
      </c>
      <c r="G64" s="11" t="s">
        <v>2021</v>
      </c>
    </row>
    <row r="65" spans="1:7">
      <c r="A65" s="11" t="s">
        <v>617</v>
      </c>
      <c r="B65" s="11" t="s">
        <v>2022</v>
      </c>
      <c r="C65" s="11" t="s">
        <v>1750</v>
      </c>
      <c r="D65" s="11" t="s">
        <v>1849</v>
      </c>
      <c r="E65" s="11" t="s">
        <v>2023</v>
      </c>
      <c r="F65" s="11" t="s">
        <v>2024</v>
      </c>
      <c r="G65" s="11" t="s">
        <v>2025</v>
      </c>
    </row>
    <row r="66" spans="1:7">
      <c r="A66" s="11" t="s">
        <v>1418</v>
      </c>
      <c r="B66" s="11" t="s">
        <v>2026</v>
      </c>
      <c r="C66" s="11" t="s">
        <v>2027</v>
      </c>
      <c r="D66" s="11" t="s">
        <v>60</v>
      </c>
      <c r="E66" s="11" t="s">
        <v>2028</v>
      </c>
      <c r="F66" s="11" t="s">
        <v>2029</v>
      </c>
      <c r="G66" s="11" t="s">
        <v>2030</v>
      </c>
    </row>
    <row r="67" spans="1:7">
      <c r="A67" s="11" t="s">
        <v>2031</v>
      </c>
      <c r="B67" s="11" t="s">
        <v>2032</v>
      </c>
      <c r="C67" s="11" t="s">
        <v>365</v>
      </c>
      <c r="D67" s="11" t="s">
        <v>2033</v>
      </c>
      <c r="E67" s="11" t="s">
        <v>2034</v>
      </c>
      <c r="F67" s="11" t="s">
        <v>2035</v>
      </c>
      <c r="G67" s="11" t="s">
        <v>2036</v>
      </c>
    </row>
    <row r="68" spans="1:7">
      <c r="A68" s="11" t="s">
        <v>2037</v>
      </c>
      <c r="B68" s="11" t="s">
        <v>2038</v>
      </c>
      <c r="C68" s="11" t="s">
        <v>2039</v>
      </c>
      <c r="D68" s="11" t="s">
        <v>2040</v>
      </c>
      <c r="E68" s="11" t="s">
        <v>2041</v>
      </c>
      <c r="F68" s="11" t="s">
        <v>2042</v>
      </c>
      <c r="G68" s="11" t="s">
        <v>2043</v>
      </c>
    </row>
    <row r="69" spans="1:7">
      <c r="A69" s="11" t="s">
        <v>765</v>
      </c>
      <c r="B69" s="11" t="s">
        <v>2044</v>
      </c>
      <c r="C69" s="11" t="s">
        <v>1750</v>
      </c>
      <c r="D69" s="11" t="s">
        <v>2045</v>
      </c>
      <c r="E69" s="11" t="s">
        <v>2046</v>
      </c>
      <c r="F69" s="11" t="s">
        <v>2047</v>
      </c>
      <c r="G69" s="11" t="s">
        <v>2048</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9" t="s">
        <v>2049</v>
      </c>
      <c r="B1" s="59"/>
      <c r="C1" s="59"/>
      <c r="D1" s="59"/>
      <c r="E1" s="59"/>
      <c r="F1" s="59"/>
      <c r="G1" s="59"/>
      <c r="H1" s="59"/>
    </row>
    <row r="2" spans="1:8" ht="31.95" customHeight="1">
      <c r="A2" s="60" t="s">
        <v>2050</v>
      </c>
      <c r="B2" s="60"/>
      <c r="C2" s="60"/>
      <c r="D2" s="60"/>
      <c r="E2" s="60"/>
      <c r="F2" s="60"/>
      <c r="G2" s="60"/>
      <c r="H2" s="60"/>
    </row>
    <row r="5" spans="1:8" ht="28.05" customHeight="1">
      <c r="A5" s="1" t="s">
        <v>2051</v>
      </c>
      <c r="B5" s="2" t="s">
        <v>90</v>
      </c>
      <c r="C5" s="2" t="s">
        <v>2052</v>
      </c>
      <c r="D5" s="2" t="s">
        <v>2053</v>
      </c>
      <c r="E5" s="2" t="s">
        <v>2054</v>
      </c>
      <c r="F5" s="2" t="s">
        <v>2055</v>
      </c>
      <c r="G5" s="2" t="s">
        <v>2056</v>
      </c>
      <c r="H5" s="3" t="s">
        <v>2057</v>
      </c>
    </row>
    <row r="6" spans="1:8">
      <c r="A6" s="10" t="s">
        <v>2058</v>
      </c>
      <c r="B6" s="10" t="s">
        <v>2059</v>
      </c>
      <c r="C6" s="10" t="s">
        <v>1625</v>
      </c>
      <c r="D6" s="10" t="s">
        <v>2060</v>
      </c>
      <c r="E6" s="10" t="s">
        <v>56</v>
      </c>
      <c r="F6" s="10" t="s">
        <v>2061</v>
      </c>
      <c r="G6" s="10" t="s">
        <v>2062</v>
      </c>
      <c r="H6" s="19"/>
    </row>
    <row r="7" spans="1:8">
      <c r="A7" s="11" t="s">
        <v>2063</v>
      </c>
      <c r="B7" s="11" t="s">
        <v>2059</v>
      </c>
      <c r="C7" s="11" t="s">
        <v>1625</v>
      </c>
      <c r="D7" s="11" t="s">
        <v>2064</v>
      </c>
      <c r="E7" s="11" t="s">
        <v>56</v>
      </c>
      <c r="F7" s="11" t="s">
        <v>2065</v>
      </c>
      <c r="G7" s="11" t="s">
        <v>2062</v>
      </c>
      <c r="H7" s="20"/>
    </row>
    <row r="8" spans="1:8">
      <c r="A8" s="11" t="s">
        <v>2066</v>
      </c>
      <c r="B8" s="11" t="s">
        <v>2067</v>
      </c>
      <c r="C8" s="11" t="s">
        <v>1625</v>
      </c>
      <c r="D8" s="11" t="s">
        <v>2068</v>
      </c>
      <c r="E8" s="11" t="s">
        <v>56</v>
      </c>
      <c r="F8" s="11" t="s">
        <v>2069</v>
      </c>
      <c r="G8" s="11" t="s">
        <v>2070</v>
      </c>
      <c r="H8" s="20"/>
    </row>
    <row r="9" spans="1:8">
      <c r="A9" s="11" t="s">
        <v>2071</v>
      </c>
      <c r="B9" s="11" t="s">
        <v>2072</v>
      </c>
      <c r="C9" s="11" t="s">
        <v>1625</v>
      </c>
      <c r="D9" s="11" t="s">
        <v>2073</v>
      </c>
      <c r="E9" s="11" t="s">
        <v>56</v>
      </c>
      <c r="F9" s="11" t="s">
        <v>2074</v>
      </c>
      <c r="G9" s="11" t="s">
        <v>2075</v>
      </c>
      <c r="H9" s="20"/>
    </row>
    <row r="10" spans="1:8">
      <c r="A10" s="11" t="s">
        <v>2076</v>
      </c>
      <c r="B10" s="11" t="s">
        <v>2059</v>
      </c>
      <c r="C10" s="11" t="s">
        <v>1625</v>
      </c>
      <c r="D10" s="11" t="s">
        <v>2077</v>
      </c>
      <c r="E10" s="11" t="s">
        <v>57</v>
      </c>
      <c r="F10" s="11" t="s">
        <v>2078</v>
      </c>
      <c r="G10" s="11" t="s">
        <v>2079</v>
      </c>
      <c r="H10" s="20"/>
    </row>
    <row r="11" spans="1:8">
      <c r="A11" s="11" t="s">
        <v>2080</v>
      </c>
      <c r="B11" s="11" t="s">
        <v>2059</v>
      </c>
      <c r="C11" s="11" t="s">
        <v>1625</v>
      </c>
      <c r="D11" s="11" t="s">
        <v>2081</v>
      </c>
      <c r="E11" s="11" t="s">
        <v>57</v>
      </c>
      <c r="F11" s="11" t="s">
        <v>2082</v>
      </c>
      <c r="G11" s="11" t="s">
        <v>2083</v>
      </c>
      <c r="H11" s="20"/>
    </row>
    <row r="12" spans="1:8">
      <c r="A12" s="11" t="s">
        <v>2084</v>
      </c>
      <c r="B12" s="11" t="s">
        <v>2059</v>
      </c>
      <c r="C12" s="11" t="s">
        <v>1625</v>
      </c>
      <c r="D12" s="11" t="s">
        <v>2085</v>
      </c>
      <c r="E12" s="11" t="s">
        <v>37</v>
      </c>
      <c r="F12" s="11" t="s">
        <v>2086</v>
      </c>
      <c r="G12" s="11" t="s">
        <v>306</v>
      </c>
      <c r="H12" s="20"/>
    </row>
    <row r="13" spans="1:8">
      <c r="A13" s="11" t="s">
        <v>1052</v>
      </c>
      <c r="B13" s="11" t="s">
        <v>2059</v>
      </c>
      <c r="C13" s="11" t="s">
        <v>1625</v>
      </c>
      <c r="D13" s="11" t="s">
        <v>2087</v>
      </c>
      <c r="E13" s="11" t="s">
        <v>37</v>
      </c>
      <c r="F13" s="11" t="s">
        <v>2088</v>
      </c>
      <c r="G13" s="11" t="s">
        <v>2089</v>
      </c>
      <c r="H13" s="20"/>
    </row>
    <row r="14" spans="1:8">
      <c r="A14" s="11" t="s">
        <v>2090</v>
      </c>
      <c r="B14" s="11" t="s">
        <v>2059</v>
      </c>
      <c r="C14" s="11" t="s">
        <v>1625</v>
      </c>
      <c r="D14" s="11" t="s">
        <v>2091</v>
      </c>
      <c r="E14" s="11" t="s">
        <v>37</v>
      </c>
      <c r="F14" s="11" t="s">
        <v>2092</v>
      </c>
      <c r="G14" s="11" t="s">
        <v>2093</v>
      </c>
      <c r="H14" s="20"/>
    </row>
    <row r="15" spans="1:8">
      <c r="A15" s="11" t="s">
        <v>2094</v>
      </c>
      <c r="B15" s="11" t="s">
        <v>2095</v>
      </c>
      <c r="C15" s="11" t="s">
        <v>1625</v>
      </c>
      <c r="D15" s="11" t="s">
        <v>2096</v>
      </c>
      <c r="E15" s="11" t="s">
        <v>37</v>
      </c>
      <c r="F15" s="11" t="s">
        <v>2097</v>
      </c>
      <c r="G15" s="11" t="s">
        <v>2098</v>
      </c>
      <c r="H15" s="20"/>
    </row>
    <row r="16" spans="1:8">
      <c r="A16" s="11" t="s">
        <v>2099</v>
      </c>
      <c r="B16" s="11" t="s">
        <v>2100</v>
      </c>
      <c r="C16" s="11" t="s">
        <v>1586</v>
      </c>
      <c r="D16" s="11"/>
      <c r="E16" s="11" t="s">
        <v>1567</v>
      </c>
      <c r="F16" s="11" t="s">
        <v>2101</v>
      </c>
      <c r="G16" s="11" t="s">
        <v>2098</v>
      </c>
      <c r="H16" s="20"/>
    </row>
    <row r="17" spans="1:8">
      <c r="A17" s="11" t="s">
        <v>2102</v>
      </c>
      <c r="B17" s="11" t="s">
        <v>2059</v>
      </c>
      <c r="C17" s="11" t="s">
        <v>1625</v>
      </c>
      <c r="D17" s="11"/>
      <c r="E17" s="11" t="s">
        <v>59</v>
      </c>
      <c r="F17" s="11" t="s">
        <v>2103</v>
      </c>
      <c r="G17" s="11" t="s">
        <v>2104</v>
      </c>
      <c r="H17" s="20"/>
    </row>
    <row r="18" spans="1:8">
      <c r="A18" s="11" t="s">
        <v>2105</v>
      </c>
      <c r="B18" s="11" t="s">
        <v>2059</v>
      </c>
      <c r="C18" s="11" t="s">
        <v>1625</v>
      </c>
      <c r="D18" s="11" t="s">
        <v>2106</v>
      </c>
      <c r="E18" s="11" t="s">
        <v>57</v>
      </c>
      <c r="F18" s="11" t="s">
        <v>2107</v>
      </c>
      <c r="G18" s="11" t="s">
        <v>2104</v>
      </c>
      <c r="H18" s="20"/>
    </row>
    <row r="19" spans="1:8">
      <c r="A19" s="11" t="s">
        <v>2108</v>
      </c>
      <c r="B19" s="11" t="s">
        <v>2059</v>
      </c>
      <c r="C19" s="11" t="s">
        <v>1625</v>
      </c>
      <c r="D19" s="11" t="s">
        <v>2109</v>
      </c>
      <c r="E19" s="11" t="s">
        <v>59</v>
      </c>
      <c r="F19" s="11" t="s">
        <v>2110</v>
      </c>
      <c r="G19" s="11" t="s">
        <v>306</v>
      </c>
      <c r="H19" s="20"/>
    </row>
    <row r="20" spans="1:8">
      <c r="A20" s="11" t="s">
        <v>2111</v>
      </c>
      <c r="B20" s="11" t="s">
        <v>2059</v>
      </c>
      <c r="C20" s="11" t="s">
        <v>1625</v>
      </c>
      <c r="D20" s="11" t="s">
        <v>2112</v>
      </c>
      <c r="E20" s="11" t="s">
        <v>59</v>
      </c>
      <c r="F20" s="11" t="s">
        <v>2113</v>
      </c>
      <c r="G20" s="11" t="s">
        <v>2059</v>
      </c>
      <c r="H20" s="20"/>
    </row>
    <row r="21" spans="1:8">
      <c r="A21" s="11" t="s">
        <v>2114</v>
      </c>
      <c r="B21" s="11" t="s">
        <v>2059</v>
      </c>
      <c r="C21" s="11" t="s">
        <v>1625</v>
      </c>
      <c r="D21" s="11" t="s">
        <v>2115</v>
      </c>
      <c r="E21" s="11" t="s">
        <v>57</v>
      </c>
      <c r="F21" s="11" t="s">
        <v>2116</v>
      </c>
      <c r="G21" s="11" t="s">
        <v>2093</v>
      </c>
      <c r="H21" s="20"/>
    </row>
    <row r="22" spans="1:8">
      <c r="A22" s="11" t="s">
        <v>2117</v>
      </c>
      <c r="B22" s="11" t="s">
        <v>2059</v>
      </c>
      <c r="C22" s="11" t="s">
        <v>1625</v>
      </c>
      <c r="D22" s="11" t="s">
        <v>2118</v>
      </c>
      <c r="E22" s="11" t="s">
        <v>57</v>
      </c>
      <c r="F22" s="11" t="s">
        <v>2119</v>
      </c>
      <c r="G22" s="11" t="s">
        <v>2079</v>
      </c>
      <c r="H22" s="20"/>
    </row>
    <row r="23" spans="1:8">
      <c r="A23" s="11" t="s">
        <v>2120</v>
      </c>
      <c r="B23" s="11" t="s">
        <v>2059</v>
      </c>
      <c r="C23" s="11" t="s">
        <v>1625</v>
      </c>
      <c r="D23" s="11" t="s">
        <v>2121</v>
      </c>
      <c r="E23" s="11" t="s">
        <v>57</v>
      </c>
      <c r="F23" s="11" t="s">
        <v>2122</v>
      </c>
      <c r="G23" s="11" t="s">
        <v>2079</v>
      </c>
      <c r="H23" s="20"/>
    </row>
    <row r="24" spans="1:8">
      <c r="A24" s="11" t="s">
        <v>2123</v>
      </c>
      <c r="B24" s="11" t="s">
        <v>2059</v>
      </c>
      <c r="C24" s="11" t="s">
        <v>1625</v>
      </c>
      <c r="D24" s="11" t="s">
        <v>2124</v>
      </c>
      <c r="E24" s="11" t="s">
        <v>58</v>
      </c>
      <c r="F24" s="11" t="s">
        <v>2125</v>
      </c>
      <c r="G24" s="11" t="s">
        <v>1777</v>
      </c>
      <c r="H24" s="20"/>
    </row>
    <row r="25" spans="1:8">
      <c r="A25" s="11" t="s">
        <v>2126</v>
      </c>
      <c r="B25" s="11" t="s">
        <v>2059</v>
      </c>
      <c r="C25" s="11" t="s">
        <v>1625</v>
      </c>
      <c r="D25" s="11" t="s">
        <v>2127</v>
      </c>
      <c r="E25" s="11" t="s">
        <v>58</v>
      </c>
      <c r="F25" s="11" t="s">
        <v>2128</v>
      </c>
      <c r="G25" s="11" t="s">
        <v>2129</v>
      </c>
      <c r="H25" s="20"/>
    </row>
    <row r="26" spans="1:8">
      <c r="A26" s="11" t="s">
        <v>2130</v>
      </c>
      <c r="B26" s="11" t="s">
        <v>2059</v>
      </c>
      <c r="C26" s="11" t="s">
        <v>1625</v>
      </c>
      <c r="D26" s="11" t="s">
        <v>2131</v>
      </c>
      <c r="E26" s="11" t="s">
        <v>58</v>
      </c>
      <c r="F26" s="11" t="s">
        <v>2132</v>
      </c>
      <c r="G26" s="11" t="s">
        <v>1777</v>
      </c>
      <c r="H26" s="20"/>
    </row>
    <row r="27" spans="1:8">
      <c r="A27" s="11" t="s">
        <v>2133</v>
      </c>
      <c r="B27" s="11" t="s">
        <v>2059</v>
      </c>
      <c r="C27" s="11" t="s">
        <v>1625</v>
      </c>
      <c r="D27" s="11" t="s">
        <v>2134</v>
      </c>
      <c r="E27" s="11" t="s">
        <v>58</v>
      </c>
      <c r="F27" s="11" t="s">
        <v>2135</v>
      </c>
      <c r="G27" s="11" t="s">
        <v>1777</v>
      </c>
      <c r="H27" s="20"/>
    </row>
    <row r="28" spans="1:8">
      <c r="A28" s="11" t="s">
        <v>2136</v>
      </c>
      <c r="B28" s="11" t="s">
        <v>2059</v>
      </c>
      <c r="C28" s="11" t="s">
        <v>1625</v>
      </c>
      <c r="D28" s="11" t="s">
        <v>2137</v>
      </c>
      <c r="E28" s="11" t="s">
        <v>57</v>
      </c>
      <c r="F28" s="11" t="s">
        <v>2138</v>
      </c>
      <c r="G28" s="11" t="s">
        <v>487</v>
      </c>
      <c r="H28" s="20"/>
    </row>
    <row r="29" spans="1:8">
      <c r="A29" s="11" t="s">
        <v>2139</v>
      </c>
      <c r="B29" s="11" t="s">
        <v>2059</v>
      </c>
      <c r="C29" s="11" t="s">
        <v>1625</v>
      </c>
      <c r="D29" s="11" t="s">
        <v>2140</v>
      </c>
      <c r="E29" s="11" t="s">
        <v>58</v>
      </c>
      <c r="F29" s="11" t="s">
        <v>2141</v>
      </c>
      <c r="G29" s="11" t="s">
        <v>487</v>
      </c>
      <c r="H29" s="20"/>
    </row>
    <row r="30" spans="1:8">
      <c r="A30" s="11" t="s">
        <v>2142</v>
      </c>
      <c r="B30" s="11" t="s">
        <v>2059</v>
      </c>
      <c r="C30" s="11" t="s">
        <v>1625</v>
      </c>
      <c r="D30" s="11" t="s">
        <v>2143</v>
      </c>
      <c r="E30" s="11" t="s">
        <v>1567</v>
      </c>
      <c r="F30" s="11" t="s">
        <v>2144</v>
      </c>
      <c r="G30" s="11" t="s">
        <v>2145</v>
      </c>
      <c r="H30" s="20"/>
    </row>
    <row r="31" spans="1:8">
      <c r="A31" s="11" t="s">
        <v>2146</v>
      </c>
      <c r="B31" s="11" t="s">
        <v>2100</v>
      </c>
      <c r="C31" s="11" t="s">
        <v>1586</v>
      </c>
      <c r="D31" s="11"/>
      <c r="E31" s="11" t="s">
        <v>1567</v>
      </c>
      <c r="F31" s="11" t="s">
        <v>2147</v>
      </c>
      <c r="G31" s="11" t="s">
        <v>2145</v>
      </c>
      <c r="H31" s="20"/>
    </row>
    <row r="32" spans="1:8">
      <c r="A32" s="11" t="s">
        <v>2148</v>
      </c>
      <c r="B32" s="11" t="s">
        <v>2100</v>
      </c>
      <c r="C32" s="11" t="s">
        <v>1586</v>
      </c>
      <c r="D32" s="11"/>
      <c r="E32" s="11" t="s">
        <v>1791</v>
      </c>
      <c r="F32" s="11" t="s">
        <v>2149</v>
      </c>
      <c r="G32" s="11" t="s">
        <v>2150</v>
      </c>
      <c r="H32" s="20"/>
    </row>
    <row r="33" spans="1:8">
      <c r="A33" s="11" t="s">
        <v>2151</v>
      </c>
      <c r="B33" s="11" t="s">
        <v>2059</v>
      </c>
      <c r="C33" s="11" t="s">
        <v>1625</v>
      </c>
      <c r="D33" s="11" t="s">
        <v>2152</v>
      </c>
      <c r="E33" s="11" t="s">
        <v>1791</v>
      </c>
      <c r="F33" s="11" t="s">
        <v>2153</v>
      </c>
      <c r="G33" s="11" t="s">
        <v>2150</v>
      </c>
      <c r="H33" s="20"/>
    </row>
    <row r="34" spans="1:8">
      <c r="A34" s="11" t="s">
        <v>2154</v>
      </c>
      <c r="B34" s="11" t="s">
        <v>2155</v>
      </c>
      <c r="C34" s="11" t="s">
        <v>1625</v>
      </c>
      <c r="D34" s="11" t="s">
        <v>2156</v>
      </c>
      <c r="E34" s="11" t="s">
        <v>59</v>
      </c>
      <c r="F34" s="11" t="s">
        <v>2157</v>
      </c>
      <c r="G34" s="11" t="s">
        <v>2158</v>
      </c>
      <c r="H34" s="20"/>
    </row>
    <row r="35" spans="1:8">
      <c r="A35" s="11" t="s">
        <v>2159</v>
      </c>
      <c r="B35" s="11" t="s">
        <v>2155</v>
      </c>
      <c r="C35" s="11" t="s">
        <v>1625</v>
      </c>
      <c r="D35" s="11" t="s">
        <v>2160</v>
      </c>
      <c r="E35" s="11" t="s">
        <v>59</v>
      </c>
      <c r="F35" s="11" t="s">
        <v>2161</v>
      </c>
      <c r="G35" s="11" t="s">
        <v>2162</v>
      </c>
      <c r="H35" s="20"/>
    </row>
    <row r="36" spans="1:8">
      <c r="A36" s="11" t="s">
        <v>2163</v>
      </c>
      <c r="B36" s="11" t="s">
        <v>2164</v>
      </c>
      <c r="C36" s="11" t="s">
        <v>1625</v>
      </c>
      <c r="D36" s="11" t="s">
        <v>2165</v>
      </c>
      <c r="E36" s="11" t="s">
        <v>56</v>
      </c>
      <c r="F36" s="11" t="s">
        <v>2166</v>
      </c>
      <c r="G36" s="11" t="s">
        <v>2167</v>
      </c>
      <c r="H36" s="20"/>
    </row>
    <row r="37" spans="1:8">
      <c r="A37" s="11" t="s">
        <v>2168</v>
      </c>
      <c r="B37" s="11" t="s">
        <v>2164</v>
      </c>
      <c r="C37" s="11" t="s">
        <v>1625</v>
      </c>
      <c r="D37" s="11" t="s">
        <v>2169</v>
      </c>
      <c r="E37" s="11" t="s">
        <v>56</v>
      </c>
      <c r="F37" s="11" t="s">
        <v>2170</v>
      </c>
      <c r="G37" s="11" t="s">
        <v>2167</v>
      </c>
      <c r="H37" s="20"/>
    </row>
    <row r="38" spans="1:8">
      <c r="A38" s="11" t="s">
        <v>2171</v>
      </c>
      <c r="B38" s="11" t="s">
        <v>2164</v>
      </c>
      <c r="C38" s="11" t="s">
        <v>1625</v>
      </c>
      <c r="D38" s="11" t="s">
        <v>2172</v>
      </c>
      <c r="E38" s="11" t="s">
        <v>56</v>
      </c>
      <c r="F38" s="11" t="s">
        <v>2173</v>
      </c>
      <c r="G38" s="11" t="s">
        <v>2167</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9" t="s">
        <v>2174</v>
      </c>
      <c r="B1" s="59"/>
      <c r="C1" s="59"/>
      <c r="D1" s="59"/>
      <c r="E1" s="59"/>
      <c r="F1" s="59"/>
    </row>
    <row r="2" spans="1:6" ht="31.95" customHeight="1">
      <c r="A2" s="60" t="s">
        <v>2175</v>
      </c>
      <c r="B2" s="60"/>
      <c r="C2" s="60"/>
      <c r="D2" s="60"/>
      <c r="E2" s="60"/>
      <c r="F2" s="60"/>
    </row>
    <row r="5" spans="1:6" ht="28.05" customHeight="1">
      <c r="A5" s="1" t="s">
        <v>2176</v>
      </c>
      <c r="B5" s="2" t="s">
        <v>2177</v>
      </c>
      <c r="C5" s="2" t="s">
        <v>2178</v>
      </c>
      <c r="D5" s="2" t="s">
        <v>2179</v>
      </c>
      <c r="E5" s="2" t="s">
        <v>2180</v>
      </c>
      <c r="F5" s="3" t="s">
        <v>2181</v>
      </c>
    </row>
    <row r="6" spans="1:6" ht="22.8">
      <c r="A6" s="10" t="s">
        <v>2182</v>
      </c>
      <c r="B6" s="10" t="s">
        <v>2183</v>
      </c>
      <c r="C6" s="10" t="s">
        <v>2184</v>
      </c>
      <c r="D6" s="10" t="s">
        <v>2185</v>
      </c>
      <c r="E6" s="10" t="s">
        <v>2186</v>
      </c>
      <c r="F6" s="10" t="s">
        <v>2187</v>
      </c>
    </row>
    <row r="7" spans="1:6" ht="22.8">
      <c r="A7" s="11" t="s">
        <v>2188</v>
      </c>
      <c r="B7" s="11" t="s">
        <v>2189</v>
      </c>
      <c r="C7" s="11" t="s">
        <v>2190</v>
      </c>
      <c r="D7" s="11" t="s">
        <v>2191</v>
      </c>
      <c r="E7" s="11" t="s">
        <v>2192</v>
      </c>
      <c r="F7" s="11" t="s">
        <v>2187</v>
      </c>
    </row>
    <row r="8" spans="1:6" ht="45.6">
      <c r="A8" s="11" t="s">
        <v>2193</v>
      </c>
      <c r="B8" s="11" t="s">
        <v>2194</v>
      </c>
      <c r="C8" s="11" t="s">
        <v>2195</v>
      </c>
      <c r="D8" s="11" t="s">
        <v>2196</v>
      </c>
      <c r="E8" s="11" t="s">
        <v>2197</v>
      </c>
      <c r="F8" s="11" t="s">
        <v>2198</v>
      </c>
    </row>
    <row r="11" spans="1:6" ht="46.05" customHeight="1">
      <c r="A11" s="117" t="s">
        <v>2199</v>
      </c>
      <c r="B11" s="118"/>
      <c r="C11" s="118"/>
      <c r="D11" s="118"/>
      <c r="E11" s="118"/>
      <c r="F11" s="119"/>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20" t="s">
        <v>2200</v>
      </c>
      <c r="B1" s="120"/>
      <c r="C1" s="120"/>
      <c r="D1" s="120"/>
      <c r="E1" s="120"/>
      <c r="F1" s="120"/>
      <c r="G1" s="120"/>
      <c r="H1" s="120"/>
    </row>
    <row r="2" spans="1:8" ht="36" customHeight="1">
      <c r="A2" s="121" t="s">
        <v>2201</v>
      </c>
      <c r="B2" s="121"/>
      <c r="C2" s="121"/>
      <c r="D2" s="121"/>
      <c r="E2" s="121"/>
      <c r="F2" s="121"/>
      <c r="G2" s="121"/>
      <c r="H2" s="121"/>
    </row>
    <row r="3" spans="1:8" ht="15" customHeight="1">
      <c r="A3" s="29"/>
      <c r="B3" s="29"/>
      <c r="C3" s="29"/>
      <c r="D3" s="29"/>
      <c r="E3" s="29"/>
      <c r="F3" s="29"/>
      <c r="G3" s="29"/>
      <c r="H3" s="29"/>
    </row>
    <row r="4" spans="1:8" ht="15" customHeight="1">
      <c r="A4" s="122" t="s">
        <v>2</v>
      </c>
      <c r="B4" s="122"/>
      <c r="C4" s="122"/>
      <c r="D4" s="122"/>
      <c r="E4" s="122"/>
      <c r="F4" s="122"/>
      <c r="G4" s="122"/>
      <c r="H4" s="122"/>
    </row>
    <row r="5" spans="1:8" ht="118.8" customHeight="1">
      <c r="A5" s="36" t="s">
        <v>2202</v>
      </c>
      <c r="B5" s="37" t="s">
        <v>2203</v>
      </c>
      <c r="C5" s="37" t="s">
        <v>2204</v>
      </c>
      <c r="D5" s="37" t="s">
        <v>2205</v>
      </c>
      <c r="E5" s="37" t="s">
        <v>2206</v>
      </c>
      <c r="F5" s="37" t="s">
        <v>2207</v>
      </c>
      <c r="G5" s="37" t="s">
        <v>2208</v>
      </c>
      <c r="H5" s="38" t="s">
        <v>2209</v>
      </c>
    </row>
    <row r="6" spans="1:8" ht="105.6" customHeight="1">
      <c r="A6" s="39" t="s">
        <v>2210</v>
      </c>
      <c r="B6" s="40" t="s">
        <v>2211</v>
      </c>
      <c r="C6" s="40" t="s">
        <v>2212</v>
      </c>
      <c r="D6" s="40" t="s">
        <v>2213</v>
      </c>
      <c r="E6" s="40" t="s">
        <v>2214</v>
      </c>
      <c r="F6" s="40" t="s">
        <v>2215</v>
      </c>
      <c r="G6" s="40" t="s">
        <v>2216</v>
      </c>
      <c r="H6" s="41" t="s">
        <v>2217</v>
      </c>
    </row>
    <row r="7" spans="1:8" ht="132" customHeight="1">
      <c r="A7" s="39" t="s">
        <v>2131</v>
      </c>
      <c r="B7" s="40" t="s">
        <v>2218</v>
      </c>
      <c r="C7" s="40" t="s">
        <v>22</v>
      </c>
      <c r="D7" s="40" t="s">
        <v>2219</v>
      </c>
      <c r="E7" s="40" t="s">
        <v>2220</v>
      </c>
      <c r="F7" s="40" t="s">
        <v>2221</v>
      </c>
      <c r="G7" s="40" t="s">
        <v>2222</v>
      </c>
      <c r="H7" s="41" t="s">
        <v>2223</v>
      </c>
    </row>
    <row r="8" spans="1:8" ht="118.8" customHeight="1">
      <c r="A8" s="39" t="s">
        <v>2224</v>
      </c>
      <c r="B8" s="40" t="s">
        <v>2225</v>
      </c>
      <c r="C8" s="40" t="s">
        <v>2226</v>
      </c>
      <c r="D8" s="40" t="s">
        <v>2227</v>
      </c>
      <c r="E8" s="40" t="s">
        <v>2228</v>
      </c>
      <c r="F8" s="40" t="s">
        <v>2229</v>
      </c>
      <c r="G8" s="40" t="s">
        <v>2230</v>
      </c>
      <c r="H8" s="41" t="s">
        <v>2231</v>
      </c>
    </row>
    <row r="9" spans="1:8" ht="118.8" customHeight="1">
      <c r="A9" s="39" t="s">
        <v>2115</v>
      </c>
      <c r="B9" s="40" t="s">
        <v>2232</v>
      </c>
      <c r="C9" s="40" t="s">
        <v>2233</v>
      </c>
      <c r="D9" s="40" t="s">
        <v>2234</v>
      </c>
      <c r="E9" s="40" t="s">
        <v>2235</v>
      </c>
      <c r="F9" s="40" t="s">
        <v>2236</v>
      </c>
      <c r="G9" s="40" t="s">
        <v>2237</v>
      </c>
      <c r="H9" s="41" t="s">
        <v>2238</v>
      </c>
    </row>
    <row r="10" spans="1:8" ht="132" customHeight="1">
      <c r="A10" s="42" t="s">
        <v>2124</v>
      </c>
      <c r="B10" s="43" t="s">
        <v>2239</v>
      </c>
      <c r="C10" s="43" t="s">
        <v>2240</v>
      </c>
      <c r="D10" s="43" t="s">
        <v>2241</v>
      </c>
      <c r="E10" s="43" t="s">
        <v>241</v>
      </c>
      <c r="F10" s="43" t="s">
        <v>2242</v>
      </c>
      <c r="G10" s="43" t="s">
        <v>2243</v>
      </c>
      <c r="H10" s="44" t="s">
        <v>2244</v>
      </c>
    </row>
    <row r="11" spans="1:8" ht="15" customHeight="1">
      <c r="A11" s="29"/>
      <c r="B11" s="29"/>
      <c r="C11" s="29"/>
      <c r="D11" s="29"/>
      <c r="E11" s="29"/>
      <c r="F11" s="29"/>
      <c r="G11" s="29"/>
      <c r="H11" s="29"/>
    </row>
    <row r="12" spans="1:8" ht="39.6" customHeight="1">
      <c r="A12" s="29" t="s">
        <v>53</v>
      </c>
      <c r="B12" s="29" t="s">
        <v>2245</v>
      </c>
      <c r="C12" s="29" t="s">
        <v>2246</v>
      </c>
      <c r="D12" s="29" t="s">
        <v>2247</v>
      </c>
      <c r="E12" s="29" t="s">
        <v>2248</v>
      </c>
      <c r="F12" s="29" t="s">
        <v>2249</v>
      </c>
      <c r="G12" s="29" t="s">
        <v>2250</v>
      </c>
      <c r="H12" s="29" t="s">
        <v>2251</v>
      </c>
    </row>
    <row r="13" spans="1:8" ht="145.19999999999999" customHeight="1">
      <c r="A13" s="29" t="s">
        <v>56</v>
      </c>
      <c r="B13" s="29" t="s">
        <v>2252</v>
      </c>
      <c r="C13" s="29" t="s">
        <v>2253</v>
      </c>
      <c r="D13" s="29" t="s">
        <v>2254</v>
      </c>
      <c r="E13" s="29" t="s">
        <v>2255</v>
      </c>
      <c r="F13" s="29" t="s">
        <v>2256</v>
      </c>
      <c r="G13" s="29" t="s">
        <v>237</v>
      </c>
      <c r="H13" s="29" t="str">
        <f>IF(COUNTIFS('02 Master Plan'!$B$6:$B$120,A13,'02 Master Plan'!$D$6:$D$120,"MUST",'02 Master Plan'!$S$6:$S$120,"&lt;&gt;Done")=0,"Ready to teach","In progress")</f>
        <v>Ready to teach</v>
      </c>
    </row>
    <row r="14" spans="1:8" ht="145.19999999999999" customHeight="1">
      <c r="A14" s="29" t="s">
        <v>37</v>
      </c>
      <c r="B14" s="29" t="s">
        <v>2257</v>
      </c>
      <c r="C14" s="29" t="s">
        <v>2258</v>
      </c>
      <c r="D14" s="29" t="s">
        <v>2259</v>
      </c>
      <c r="E14" s="29" t="s">
        <v>2260</v>
      </c>
      <c r="F14" s="29" t="s">
        <v>2261</v>
      </c>
      <c r="G14" s="29" t="s">
        <v>386</v>
      </c>
      <c r="H14" s="29" t="str">
        <f>IF(COUNTIFS('02 Master Plan'!$B$6:$B$120,A14,'02 Master Plan'!$D$6:$D$120,"MUST",'02 Master Plan'!$S$6:$S$120,"&lt;&gt;Done")=0,"Ready to teach","In progress")</f>
        <v>Ready to teach</v>
      </c>
    </row>
    <row r="15" spans="1:8" ht="118.8" customHeight="1">
      <c r="A15" s="29" t="s">
        <v>57</v>
      </c>
      <c r="B15" s="29" t="s">
        <v>2262</v>
      </c>
      <c r="C15" s="29" t="s">
        <v>2263</v>
      </c>
      <c r="D15" s="29" t="s">
        <v>2264</v>
      </c>
      <c r="E15" s="29" t="s">
        <v>2265</v>
      </c>
      <c r="F15" s="29" t="s">
        <v>2266</v>
      </c>
      <c r="G15" s="29" t="s">
        <v>531</v>
      </c>
      <c r="H15" s="29" t="str">
        <f>IF(COUNTIFS('02 Master Plan'!$B$6:$B$120,A15,'02 Master Plan'!$D$6:$D$120,"MUST",'02 Master Plan'!$S$6:$S$120,"&lt;&gt;Done")=0,"Ready to teach","In progress")</f>
        <v>In progress</v>
      </c>
    </row>
    <row r="16" spans="1:8" ht="118.8" customHeight="1">
      <c r="A16" s="29" t="s">
        <v>58</v>
      </c>
      <c r="B16" s="29" t="s">
        <v>2267</v>
      </c>
      <c r="C16" s="29" t="s">
        <v>2268</v>
      </c>
      <c r="D16" s="29" t="s">
        <v>2269</v>
      </c>
      <c r="E16" s="29" t="s">
        <v>2270</v>
      </c>
      <c r="F16" s="29" t="s">
        <v>2271</v>
      </c>
      <c r="G16" s="29" t="s">
        <v>672</v>
      </c>
      <c r="H16" s="29" t="str">
        <f>IF(COUNTIFS('02 Master Plan'!$B$6:$B$120,A16,'02 Master Plan'!$D$6:$D$120,"MUST",'02 Master Plan'!$S$6:$S$120,"&lt;&gt;Done")=0,"Ready to teach","In progress")</f>
        <v>In progress</v>
      </c>
    </row>
    <row r="17" spans="1:8" ht="118.8" customHeight="1">
      <c r="A17" s="29" t="s">
        <v>59</v>
      </c>
      <c r="B17" s="29" t="s">
        <v>2272</v>
      </c>
      <c r="C17" s="29" t="s">
        <v>2273</v>
      </c>
      <c r="D17" s="29" t="s">
        <v>2274</v>
      </c>
      <c r="E17" s="29" t="s">
        <v>2275</v>
      </c>
      <c r="F17" s="29" t="s">
        <v>2276</v>
      </c>
      <c r="G17" s="29" t="s">
        <v>826</v>
      </c>
      <c r="H17" s="29" t="str">
        <f>IF(COUNTIFS('02 Master Plan'!$B$6:$B$120,A17,'02 Master Plan'!$D$6:$D$120,"MUST",'02 Master Plan'!$S$6:$S$120,"&lt;&gt;Done")=0,"Ready to teach","In progress")</f>
        <v>In progress</v>
      </c>
    </row>
    <row r="18" spans="1:8" ht="132" customHeight="1">
      <c r="A18" s="29" t="s">
        <v>60</v>
      </c>
      <c r="B18" s="29" t="s">
        <v>2277</v>
      </c>
      <c r="C18" s="29" t="s">
        <v>2278</v>
      </c>
      <c r="D18" s="29" t="s">
        <v>2279</v>
      </c>
      <c r="E18" s="29" t="s">
        <v>2280</v>
      </c>
      <c r="F18" s="29" t="s">
        <v>2281</v>
      </c>
      <c r="G18" s="29" t="s">
        <v>981</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2" t="s">
        <v>2282</v>
      </c>
      <c r="B20" s="122"/>
      <c r="C20" s="122"/>
      <c r="D20" s="122"/>
      <c r="E20" s="122"/>
      <c r="F20" s="122"/>
      <c r="G20" s="122"/>
      <c r="H20" s="122"/>
    </row>
    <row r="21" spans="1:8" ht="118.8" customHeight="1">
      <c r="A21" s="45" t="s">
        <v>2283</v>
      </c>
      <c r="B21" s="46" t="s">
        <v>2284</v>
      </c>
      <c r="C21" s="29"/>
      <c r="D21" s="29"/>
      <c r="E21" s="29"/>
      <c r="F21" s="29"/>
      <c r="G21" s="29"/>
      <c r="H21" s="29"/>
    </row>
    <row r="22" spans="1:8" ht="132" customHeight="1">
      <c r="A22" s="47" t="s">
        <v>2285</v>
      </c>
      <c r="B22" s="48" t="s">
        <v>2286</v>
      </c>
      <c r="C22" s="29"/>
      <c r="D22" s="29"/>
      <c r="E22" s="29"/>
      <c r="F22" s="29"/>
      <c r="G22" s="29"/>
      <c r="H22" s="29"/>
    </row>
    <row r="23" spans="1:8" ht="132" customHeight="1">
      <c r="A23" s="47" t="s">
        <v>2287</v>
      </c>
      <c r="B23" s="48" t="s">
        <v>2288</v>
      </c>
      <c r="C23" s="29"/>
      <c r="D23" s="29"/>
      <c r="E23" s="29"/>
      <c r="F23" s="29"/>
      <c r="G23" s="29"/>
      <c r="H23" s="29"/>
    </row>
    <row r="24" spans="1:8" ht="132" customHeight="1">
      <c r="A24" s="47" t="s">
        <v>1631</v>
      </c>
      <c r="B24" s="48" t="s">
        <v>2289</v>
      </c>
      <c r="C24" s="29"/>
      <c r="D24" s="29"/>
      <c r="E24" s="29"/>
      <c r="F24" s="29"/>
      <c r="G24" s="29"/>
      <c r="H24" s="29"/>
    </row>
    <row r="25" spans="1:8" ht="132" customHeight="1">
      <c r="A25" s="47" t="s">
        <v>2290</v>
      </c>
      <c r="B25" s="48" t="s">
        <v>2291</v>
      </c>
      <c r="C25" s="29"/>
      <c r="D25" s="29"/>
      <c r="E25" s="29"/>
      <c r="F25" s="29"/>
      <c r="G25" s="29"/>
      <c r="H25" s="29"/>
    </row>
    <row r="26" spans="1:8" ht="132" customHeight="1">
      <c r="A26" s="49" t="s">
        <v>2292</v>
      </c>
      <c r="B26" s="50" t="s">
        <v>2293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created xsi:type="dcterms:W3CDTF">2026-08-26T03:28:15Z</dcterms:created>
  <dcterms:modified xsi:type="dcterms:W3CDTF">2026-08-31T09:18:10Z</dcterms:modified>
</cp:coreProperties>
</file>