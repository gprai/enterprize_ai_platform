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E41A5C0F-CEAF-479A-AD32-6ED0BD64110B}" xr6:coauthVersionLast="47" xr6:coauthVersionMax="47" xr10:uidLastSave="{00000000-0000-0000-0000-000000000000}"/>
  <bookViews>
    <workbookView xWindow="-108" yWindow="-108" windowWidth="23256" windowHeight="13896" tabRatio="852"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<sst xmlns="http://schemas.openxmlformats.org/spreadsheetml/2006/main" count="5453" uniqueCount="2611">
  <si>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</si>
  <si>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</si>
  <si>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</si>
  <si>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</si>
  <si>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</si>
  <si>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</si>
  <si>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</si>
  <si>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</si>
  <si>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</si>
  <si>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</si>
  <si>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</si>
  <si>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</si>
  <si>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</si>
  <si>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</si>
  <si>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</si>
  <si>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</si>
  <si>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</si>
  <si>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</si>
  <si>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</si>
  <si>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</si>
  <si>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</si>
  <si>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</si>
  <si>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</si>
  <si>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</si>
  <si>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</si>
  <si>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</si>
  <si>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</si>
  <si>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</si>
  <si>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</si>
  <si>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</si>
  <si>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</si>
  <si>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</si>
  <si>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</si>
  <si>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</si>
  <si>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</si>
  <si>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</si>
  <si>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</si>
  <si>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</si>
  <si>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</si>
  <si>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</si>
  <si>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</si>
  <si>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</si>
  <si>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</si>
  <si>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</si>
  <si>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</si>
  <si>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</si>
  <si>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</si>
  <si>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</si>
  <si>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</si>
  <si>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</si>
  <si>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</si>
  <si>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</si>
  <si>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</si>
  <si>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</si>
  <si>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</si>
  <si>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</si>
  <si>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</si>
  <si>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</si>
  <si>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</si>
  <si>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</si>
  <si>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</si>
  <si>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</si>
  <si>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</si>
  <si>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</si>
  <si>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</si>
  <si>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</si>
  <si>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</si>
  <si>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</si>
  <si>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</si>
  <si>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</si>
  <si>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</si>
  <si>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</si>
  <si>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</si>
  <si>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</si>
  <si>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</si>
  <si>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</si>
  <si>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</si>
  <si>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</si>
  <si>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</si>
  <si>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</si>
  <si>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</si>
  <si>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</si>
  <si>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</si>
  <si>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</si>
  <si>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</si>
  <si>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</si>
  <si>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</si>
  <si>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</si>
  <si>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</si>
  <si>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</si>
  <si>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</si>
  <si>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</si>
  <si>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</si>
  <si>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</si>
  <si>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</si>
  <si>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</si>
  <si>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</si>
  <si>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</si>
  <si>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</si>
  <si>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</si>
  <si>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</si>
  <si>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</si>
  <si>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</si>
  <si>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</si>
  <si>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</si>
  <si>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</si>
  <si>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</si>
  <si>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</si>
  <si>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</si>
  <si>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</si>
  <si>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</si>
  <si>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</si>
  <si>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</si>
  <si>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</si>
  <si>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</si>
  <si>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</si>
  <si>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</si>
  <si>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</si>
  <si>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</si>
  <si>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</si>
  <si>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</si>
  <si>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</si>
  <si>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</si>
  <si>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</si>
  <si>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</si>
  <si>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</si>
  <si>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</si>
  <si>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</si>
  <si>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</si>
  <si>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</si>
  <si>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</si>
  <si>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</si>
  <si>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</si>
  <si>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</si>
  <si>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</si>
  <si>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</si>
  <si>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</si>
  <si>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</si>
  <si>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</si>
  <si>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</si>
  <si>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</si>
  <si>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</si>
  <si>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</si>
  <si>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</si>
  <si>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</si>
  <si>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</si>
  <si>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</si>
  <si>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</si>
  <si>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</si>
  <si>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</si>
  <si>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</si>
  <si>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</si>
  <si>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</si>
  <si>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</si>
  <si>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</si>
  <si>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</si>
  <si>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</si>
  <si>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</si>
  <si>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</si>
  <si>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</si>
  <si>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</si>
  <si>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</si>
  <si>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</si>
  <si>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</si>
  <si>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</si>
  <si>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</si>
  <si>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</si>
  <si>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</si>
  <si>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</si>
  <si>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</si>
  <si>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</si>
  <si>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</si>
  <si>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</si>
  <si>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</si>
  <si>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</si>
  <si>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</si>
  <si>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</si>
  <si>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</si>
  <si>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</si>
  <si>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</si>
  <si>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</si>
  <si>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</si>
  <si>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</si>
  <si>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</si>
  <si>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</si>
  <si>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</si>
  <si>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</si>
  <si>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</si>
  <si>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</si>
  <si>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</si>
  <si>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</si>
  <si>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</si>
  <si>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</si>
  <si>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</si>
  <si>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</si>
  <si>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</si>
  <si>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</si>
  <si>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</si>
  <si>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</si>
  <si>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</si>
  <si>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</si>
  <si>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</si>
  <si>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</si>
  <si>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</si>
  <si>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</si>
  <si>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</si>
  <si>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</si>
  <si>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</si>
  <si>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</si>
  <si>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</si>
  <si>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</si>
  <si>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</si>
  <si>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</si>
  <si>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</si>
  <si>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</si>
  <si>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</si>
  <si>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</si>
  <si>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</si>
  <si>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</si>
  <si>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</si>
  <si>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</si>
  <si>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</si>
  <si>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</si>
  <si>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</si>
  <si>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</si>
  <si>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</si>
  <si>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</si>
  <si>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</si>
  <si>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</si>
  <si>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</si>
  <si>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</si>
  <si>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</si>
  <si>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</si>
  <si>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</si>
  <si>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</si>
  <si>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</si>
  <si>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</si>
  <si>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</si>
  <si>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</si>
  <si>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</si>
  <si>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</si>
  <si>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</si>
  <si>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</si>
  <si>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</si>
  <si>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</si>
  <si>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</si>
  <si>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</si>
  <si>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</si>
  <si>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</si>
  <si>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</si>
  <si>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</si>
  <si>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</si>
  <si>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</si>
  <si>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</si>
  <si>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</si>
  <si>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</si>
  <si>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</si>
  <si>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</si>
  <si>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</si>
  <si>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</si>
  <si>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</si>
  <si>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</si>
  <si>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</si>
  <si>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</si>
  <si>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</si>
  <si>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</si>
  <si>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</si>
  <si>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</si>
  <si>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</si>
  <si>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</si>
  <si>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</si>
  <si>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</si>
  <si>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</si>
  <si>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</si>
  <si>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</si>
  <si>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</si>
  <si>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</si>
  <si>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</si>
  <si>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</si>
  <si>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</si>
  <si>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</si>
  <si>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</si>
  <si>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</si>
  <si>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</si>
  <si>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</si>
  <si>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</si>
  <si>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</si>
  <si>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</si>
  <si>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</si>
  <si>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</si>
  <si>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</si>
  <si>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</si>
  <si>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</si>
  <si>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</si>
  <si>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</si>
  <si>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</si>
  <si>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</si>
  <si>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</si>
  <si>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</si>
  <si>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</si>
  <si>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</si>
  <si>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</si>
  <si>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</si>
  <si>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</si>
  <si>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</si>
  <si>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</si>
  <si>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</si>
  <si>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</si>
  <si>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</si>
  <si>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</si>
  <si>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</si>
  <si>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</si>
  <si>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</si>
  <si>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</si>
  <si>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</si>
  <si>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</si>
  <si>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</si>
  <si>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</si>
  <si>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</si>
  <si>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</si>
  <si>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</si>
  <si>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</si>
  <si>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</si>
  <si>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</si>
  <si>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</si>
  <si>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</si>
  <si>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</si>
  <si>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</si>
  <si>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</si>
  <si>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</si>
  <si>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</si>
  <si>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</si>
  <si>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</si>
  <si>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</si>
  <si>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</si>
  <si>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</si>
  <si>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</si>
  <si>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</si>
  <si>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</si>
  <si>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</si>
  <si>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</si>
  <si>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</si>
  <si>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</si>
  <si>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</si>
  <si>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</si>
  <si>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</si>
  <si>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</si>
  <si>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</si>
  <si>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</si>
  <si>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</si>
  <si>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</si>
  <si>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</si>
  <si>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</si>
  <si>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</si>
  <si>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</si>
  <si>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</si>
  <si>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</si>
  <si>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</si>
  <si>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</si>
  <si>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</si>
  <si>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</si>
  <si>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</si>
  <si>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</si>
  <si>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</si>
  <si>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</si>
  <si>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</si>
  <si>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</si>
  <si>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</si>
  <si>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</si>
  <si>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</si>
  <si>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</si>
  <si>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</si>
  <si>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</si>
  <si>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</si>
  <si>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</si>
  <si>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</si>
  <si>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</si>
  <si>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</si>
  <si>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</si>
  <si>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</si>
  <si>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</si>
  <si>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</si>
  <si>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</si>
  <si>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</si>
  <si>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</si>
  <si>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</si>
  <si>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</si>
  <si>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</si>
  <si>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</si>
  <si>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</si>
  <si>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</si>
  <si>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</si>
  <si>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</si>
  <si>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</si>
  <si>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</si>
  <si>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</si>
  <si>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</si>
  <si>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</si>
  <si>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</si>
  <si>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</si>
  <si>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</si>
  <si>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</si>
  <si>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</si>
  <si>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</si>
  <si>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</si>
  <si>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</si>
  <si>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</si>
  <si>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</si>
  <si>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</si>
  <si>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</si>
  <si>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</si>
  <si>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</si>
  <si>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</si>
  <si>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</si>
  <si>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</si>
  <si>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</si>
  <si>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</si>
  <si>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</si>
  <si>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</si>
  <si>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</si>
  <si>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</si>
  <si>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</si>
  <si>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</si>
  <si>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</si>
  <si>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</si>
  <si>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</si>
  <si>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</si>
  <si>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</si>
  <si>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</si>
  <si>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</si>
  <si>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</si>
  <si>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</si>
  <si>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</si>
  <si>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</si>
  <si>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</si>
  <si>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</si>
  <si>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</si>
  <si>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</si>
  <si>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</si>
  <si>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</si>
  <si>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</si>
  <si>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</si>
  <si>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</si>
  <si>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</si>
  <si>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</si>
  <si>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</si>
  <si>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</si>
  <si>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</si>
  <si>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</si>
  <si>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</si>
  <si>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</si>
  <si>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</si>
  <si>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</si>
  <si>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</si>
  <si>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</si>
  <si>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</si>
  <si>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</si>
  <si>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</si>
  <si>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</si>
  <si>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</si>
  <si>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</si>
  <si>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</si>
  <si>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</si>
  <si>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</si>
  <si>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</si>
  <si>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</si>
  <si>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</si>
  <si>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</si>
  <si>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</si>
  <si>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</si>
  <si>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</si>
  <si>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</si>
  <si>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</si>
  <si>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</si>
  <si>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</si>
  <si>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</si>
  <si>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</si>
  <si>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</si>
  <si>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</si>
  <si>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</si>
  <si>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</si>
  <si>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</si>
  <si>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</si>
  <si>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</si>
  <si>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</si>
  <si>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</si>
  <si>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</si>
  <si>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</si>
  <si>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</si>
  <si>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</si>
  <si>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</si>
  <si>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</si>
  <si>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</si>
  <si>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</si>
  <si>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</si>
  <si>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</si>
  <si>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</si>
  <si>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</si>
  <si>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</si>
  <si>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</si>
  <si>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</si>
  <si>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</si>
  <si>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</si>
  <si>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</si>
  <si>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</si>
  <si>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</si>
  <si>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</si>
  <si>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</si>
  <si>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</si>
  <si>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</si>
  <si>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</si>
  <si>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</si>
  <si>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</si>
  <si>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</si>
  <si>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</si>
  <si>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</si>
  <si>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</si>
  <si>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</si>
  <si>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</si>
  <si>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</si>
  <si>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</si>
  <si>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</si>
  <si>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</si>
  <si>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</si>
  <si>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</si>
  <si>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</si>
  <si>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</si>
  <si>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</si>
  <si>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</si>
  <si>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</si>
  <si>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</si>
  <si>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</si>
  <si>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</si>
  <si>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</si>
  <si>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</si>
  <si>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</si>
  <si>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</si>
  <si>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</si>
  <si>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</si>
  <si>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</si>
  <si>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</si>
  <si>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</si>
  <si>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</si>
  <si>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</si>
  <si>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</si>
  <si>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</si>
  <si>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</si>
  <si>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</si>
  <si>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</si>
  <si>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</si>
  <si>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</si>
  <si>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</si>
  <si>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</si>
  <si>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</si>
  <si>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</si>
  <si>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</si>
  <si>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</si>
  <si>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</si>
  <si>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</si>
  <si>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</si>
  <si>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</si>
  <si>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</si>
  <si>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</si>
  <si>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</si>
  <si>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</si>
  <si>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</si>
  <si>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</si>
  <si>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</si>
  <si>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</si>
  <si>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</si>
  <si>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</si>
  <si>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</si>
  <si>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</si>
  <si>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</si>
  <si>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</si>
  <si>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</si>
  <si>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</si>
  <si>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</si>
  <si>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</si>
  <si>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</si>
  <si>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</si>
  <si>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</si>
  <si>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</si>
  <si>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</si>
  <si>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</si>
  <si>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</si>
  <si>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</si>
  <si>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</si>
  <si>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</si>
  <si>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</si>
  <si>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</si>
  <si>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</si>
  <si>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</si>
  <si>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</si>
  <si>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</si>
  <si>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</si>
  <si>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</si>
  <si>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</si>
  <si>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</si>
  <si>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</si>
  <si>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</si>
  <si>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</si>
  <si>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</si>
  <si>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</si>
  <si>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</si>
  <si>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</si>
  <si>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</si>
  <si>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</si>
  <si>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</si>
  <si>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</si>
  <si>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</si>
  <si>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</si>
  <si>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</si>
  <si>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</si>
  <si>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</si>
  <si>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</si>
  <si>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</si>
  <si>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</si>
  <si>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</si>
  <si>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</si>
  <si>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</si>
  <si>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</si>
  <si>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</si>
  <si>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</si>
  <si>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</si>
  <si>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</si>
  <si>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</si>
  <si>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</si>
  <si>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</si>
  <si>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</si>
  <si>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</si>
  <si>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</si>
  <si>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</si>
  <si>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</si>
  <si>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</si>
  <si>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</si>
  <si>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</si>
  <si>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</si>
  <si>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</si>
  <si>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</si>
  <si>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</si>
  <si>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</si>
  <si>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</si>
  <si>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</si>
  <si>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</si>
  <si>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</si>
  <si>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</si>
  <si>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</si>
  <si>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</si>
  <si>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</si>
  <si>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</si>
  <si>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</si>
  <si>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</si>
  <si>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</si>
  <si>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</si>
  <si>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</si>
  <si>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</si>
  <si>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</si>
  <si>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</si>
  <si>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</si>
  <si>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</si>
  <si>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</si>
  <si>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</si>
  <si>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</si>
  <si>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</si>
  <si>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</si>
  <si>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</si>
  <si>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</si>
  <si>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</si>
  <si>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</si>
  <si>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</si>
  <si>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</si>
  <si>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</si>
  <si>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</si>
  <si>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</si>
  <si>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</si>
  <si>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</si>
  <si>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</si>
  <si>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</si>
  <si>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</si>
  <si>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</si>
  <si>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</si>
  <si>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</si>
  <si>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</si>
  <si>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</si>
  <si>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</si>
  <si>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</si>
  <si>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</si>
  <si>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</si>
  <si>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</si>
  <si>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</si>
  <si>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</si>
  <si>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</si>
  <si>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</si>
  <si>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</si>
  <si>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</si>
  <si>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</si>
  <si>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</si>
  <si>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</si>
  <si>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</si>
  <si>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</si>
  <si>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</si>
  <si>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</si>
  <si>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</si>
  <si>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</si>
  <si>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</si>
  <si>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</si>
  <si>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</si>
  <si>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</si>
  <si>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</si>
  <si>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</si>
  <si>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</si>
  <si>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</si>
  <si>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</si>
  <si>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</si>
  <si>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</si>
  <si>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</si>
  <si>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</si>
  <si>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</si>
  <si>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</si>
  <si>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</si>
  <si>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</si>
  <si>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</si>
  <si>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</si>
  <si>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</si>
  <si>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</si>
  <si>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</si>
  <si>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</si>
  <si>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</si>
  <si>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</si>
  <si>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</si>
  <si>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</si>
  <si>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</si>
  <si>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</si>
  <si>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</si>
  <si>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</si>
  <si>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</si>
  <si>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</si>
  <si>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</si>
  <si>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</si>
  <si>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</si>
  <si>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</si>
  <si>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</si>
  <si>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</si>
  <si>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</si>
  <si>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</si>
  <si>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</si>
  <si>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</si>
  <si>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</si>
  <si>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</si>
  <si>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</si>
  <si>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</si>
  <si>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</si>
  <si>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</si>
  <si>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</si>
  <si>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</si>
  <si>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</si>
  <si>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</si>
  <si>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</si>
  <si>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</si>
  <si>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</si>
  <si>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</si>
  <si>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</si>
  <si>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</si>
  <si>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</si>
  <si>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</si>
  <si>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</si>
  <si>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</si>
  <si>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</si>
  <si>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</si>
  <si>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</si>
  <si>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</si>
  <si>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</si>
  <si>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</si>
  <si>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</si>
  <si>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</si>
  <si>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</si>
  <si>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</si>
  <si>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</si>
  <si>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</si>
  <si>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</si>
  <si>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</si>
  <si>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</si>
  <si>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</si>
  <si>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</si>
  <si>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</si>
  <si>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</si>
  <si>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</si>
  <si>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</si>
  <si>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</si>
  <si>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</si>
  <si>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</si>
  <si>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</si>
  <si>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</si>
  <si>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</si>
  <si>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</si>
  <si>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</si>
  <si>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</si>
  <si>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</si>
  <si>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</si>
  <si>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</si>
  <si>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</si>
  <si>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</si>
  <si>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</si>
  <si>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</si>
  <si>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</si>
  <si>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</si>
  <si>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</si>
  <si>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</si>
  <si>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</si>
  <si>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</si>
  <si>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</si>
  <si>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</si>
  <si>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</si>
  <si>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</si>
  <si>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</si>
  <si>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</si>
  <si>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</si>
  <si>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</si>
  <si>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</si>
  <si>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</si>
  <si>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</si>
  <si>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</si>
  <si>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</si>
  <si>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</si>
  <si>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</si>
  <si>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</si>
  <si>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</si>
  <si>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</si>
  <si>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</si>
  <si>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</si>
  <si>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</si>
  <si>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</si>
  <si>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</si>
  <si>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</si>
  <si>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</si>
  <si>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</si>
  <si>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</si>
  <si>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</si>
  <si>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</si>
  <si>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</si>
  <si>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</si>
  <si>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</si>
  <si>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</si>
  <si>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</si>
  <si>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</si>
  <si>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</si>
  <si>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</si>
  <si>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</si>
  <si>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</si>
  <si>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</si>
  <si>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</si>
  <si>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</si>
  <si>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</si>
  <si>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</si>
  <si>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</si>
  <si>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</si>
  <si>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</si>
  <si>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</si>
  <si>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</si>
  <si>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</si>
  <si>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</si>
  <si>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</si>
  <si>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</si>
  <si>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</si>
  <si>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</si>
  <si>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</si>
  <si>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</si>
  <si>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</si>
  <si>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</si>
  <si>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</si>
  <si>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</si>
  <si>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</si>
  <si>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</si>
  <si>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</si>
  <si>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</si>
  <si>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</si>
  <si>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</si>
  <si>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</si>
  <si>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</si>
  <si>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</si>
  <si>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</si>
  <si>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</si>
  <si>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</si>
  <si>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</si>
  <si>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</si>
  <si>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</si>
  <si>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</si>
  <si>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</si>
  <si>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</si>
  <si>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</si>
  <si>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</si>
  <si>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</si>
  <si>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</si>
  <si>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</si>
  <si>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</si>
  <si>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</si>
  <si>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</si>
  <si>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</si>
  <si>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</si>
  <si>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</si>
  <si>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</si>
  <si>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</si>
  <si>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</si>
  <si>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</si>
  <si>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</si>
  <si>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</si>
  <si>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</si>
  <si>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</si>
  <si>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</si>
  <si>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</si>
  <si>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</si>
  <si>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</si>
  <si>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</si>
  <si>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</si>
  <si>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</si>
  <si>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</si>
  <si>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</si>
  <si>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</si>
  <si>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</si>
  <si>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</si>
  <si>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</si>
  <si>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</si>
  <si>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</si>
  <si>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</si>
  <si>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</si>
  <si>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</si>
  <si>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</si>
  <si>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</si>
  <si>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</si>
  <si>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</si>
  <si>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</si>
  <si>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</si>
  <si>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</si>
  <si>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</si>
  <si>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</si>
  <si>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</si>
  <si>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</si>
  <si>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</si>
  <si>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</si>
  <si>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</si>
  <si>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</si>
  <si>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</si>
  <si>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</si>
  <si>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</si>
  <si>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</si>
  <si>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</si>
  <si>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</si>
  <si>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</si>
  <si>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</si>
  <si>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</si>
  <si>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</si>
  <si>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</si>
  <si>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</si>
  <si>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</si>
  <si>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</si>
  <si>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</si>
  <si>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</si>
  <si>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</si>
  <si>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</si>
  <si>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</si>
  <si>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</si>
  <si>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</si>
  <si>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</si>
  <si>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</si>
  <si>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</si>
  <si>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</si>
  <si>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</si>
  <si>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</si>
  <si>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</si>
  <si>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</si>
  <si>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</si>
  <si>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</si>
  <si>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</si>
  <si>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</si>
  <si>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</si>
  <si>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</si>
  <si>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</si>
  <si>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</si>
  <si>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</si>
  <si>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</si>
  <si>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</si>
  <si>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</si>
  <si>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</si>
  <si>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</si>
  <si>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</si>
  <si>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</si>
  <si>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</si>
  <si>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</si>
  <si>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</si>
  <si>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</si>
  <si>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</si>
  <si>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</si>
  <si>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</si>
  <si>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</si>
  <si>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</si>
  <si>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</si>
  <si>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</si>
  <si>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</si>
  <si>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</si>
  <si>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</si>
  <si>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</si>
  <si>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</si>
  <si>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</si>
  <si>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</si>
  <si>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</si>
  <si>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</si>
  <si>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</si>
  <si>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</si>
  <si>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</si>
  <si>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</si>
  <si>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</si>
  <si>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</si>
  <si>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</si>
  <si>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</si>
  <si>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</si>
  <si>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</si>
  <si>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</si>
  <si>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</si>
  <si>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</si>
  <si>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</si>
  <si>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</si>
  <si>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</si>
  <si>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</si>
  <si>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</si>
  <si>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</si>
  <si>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</si>
  <si>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</si>
  <si>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</si>
  <si>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</si>
  <si>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</si>
  <si>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</si>
  <si>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</si>
  <si>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</si>
  <si>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</si>
  <si>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</si>
  <si>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</si>
  <si>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</si>
  <si>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</si>
  <si>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</si>
  <si>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</si>
  <si>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</si>
  <si>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</si>
  <si>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</si>
  <si>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</si>
  <si>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</si>
  <si>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</si>
  <si>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</si>
  <si>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</si>
  <si>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</si>
  <si>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</si>
  <si>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</si>
  <si>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</si>
  <si>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</si>
  <si>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</si>
  <si>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</si>
  <si>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</si>
  <si>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</si>
  <si>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</si>
  <si>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</si>
  <si>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</si>
  <si>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</si>
  <si>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</si>
  <si>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</si>
  <si>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</si>
  <si>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</si>
  <si>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</si>
  <si>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</si>
  <si>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</si>
  <si>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</si>
  <si>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</si>
  <si>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</si>
  <si>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</si>
  <si>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</si>
  <si>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</si>
  <si>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</si>
  <si>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</si>
  <si>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</si>
  <si>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</si>
  <si>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</si>
  <si>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</si>
  <si>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</si>
  <si>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</si>
  <si>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</si>
  <si>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</si>
  <si>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</si>
  <si>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</si>
  <si>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</si>
  <si>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</si>
  <si>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</si>
  <si>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</si>
  <si>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</si>
  <si>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</si>
  <si>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</si>
  <si>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</si>
  <si>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</si>
  <si>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</si>
  <si>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</si>
  <si>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</si>
  <si>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</si>
  <si>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</si>
  <si>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</si>
  <si>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</si>
  <si>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</si>
  <si>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</si>
  <si>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</si>
  <si>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</si>
  <si>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</si>
  <si>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</si>
  <si>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</si>
  <si>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</si>
  <si>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</si>
  <si>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</si>
  <si>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</si>
  <si>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</si>
  <si>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</si>
  <si>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</si>
  <si>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</si>
  <si>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</si>
  <si>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</si>
  <si>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</si>
  <si>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</si>
  <si>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</si>
  <si>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</si>
  <si>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</si>
  <si>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</si>
  <si>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</si>
  <si>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</si>
  <si>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</si>
  <si>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</si>
  <si>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</si>
  <si>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</si>
  <si>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</si>
  <si>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</si>
  <si>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</si>
  <si>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</si>
  <si>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</si>
  <si>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</si>
  <si>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</si>
  <si>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</si>
  <si>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</si>
  <si>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</si>
  <si>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</si>
  <si>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</si>
  <si>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</si>
  <si>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</si>
  <si>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</si>
  <si>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</si>
  <si>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</si>
  <si>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</si>
  <si>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</si>
  <si>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</si>
  <si>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</si>
  <si>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</si>
  <si>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</si>
  <si>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</si>
  <si>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</si>
  <si>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</si>
  <si>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</si>
  <si>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</si>
  <si>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</si>
  <si>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</si>
  <si>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</si>
  <si>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</si>
  <si>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</si>
  <si>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</si>
  <si>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</si>
  <si>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</si>
  <si>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</si>
  <si>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</si>
  <si>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</si>
  <si>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</si>
  <si>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</si>
  <si>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</si>
  <si>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</si>
  <si>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</si>
  <si>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</si>
  <si>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</si>
  <si>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</si>
  <si>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</si>
  <si>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</si>
  <si>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</si>
  <si>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</si>
  <si>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</si>
  <si>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</si>
  <si>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</si>
  <si>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</si>
  <si>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</si>
  <si>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</si>
  <si>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</si>
  <si>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</si>
  <si>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</si>
  <si>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</si>
  <si>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</si>
  <si>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</si>
  <si>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</si>
  <si>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</si>
  <si>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</si>
  <si>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</si>
  <si>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</si>
  <si>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</si>
  <si>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</si>
  <si>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</si>
  <si>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</si>
  <si>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</si>
  <si>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</si>
  <si>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</si>
  <si>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</si>
  <si>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</si>
  <si>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</si>
  <si>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</si>
  <si>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</si>
  <si>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</si>
  <si>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</si>
  <si>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</si>
  <si>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</si>
  <si>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</si>
  <si>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</si>
  <si>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</si>
  <si>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</si>
  <si>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</si>
  <si>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</si>
  <si>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</si>
  <si>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</si>
  <si>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</si>
  <si>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</si>
  <si>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</si>
  <si>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</si>
  <si>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</si>
  <si>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</si>
  <si>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</si>
  <si>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</si>
  <si>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</si>
  <si>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</si>
  <si>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</si>
  <si>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</si>
  <si>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</si>
  <si>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</si>
  <si>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</si>
  <si>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</si>
  <si>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</si>
  <si>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</si>
  <si>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</si>
  <si>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</si>
  <si>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</si>
  <si>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</si>
  <si>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</si>
  <si>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</si>
  <si>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</si>
  <si>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</si>
  <si>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</si>
  <si>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</si>
  <si>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</si>
  <si>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</si>
  <si>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</si>
  <si>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</si>
  <si>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</si>
  <si>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</si>
  <si>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</si>
  <si>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</si>
  <si>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</si>
  <si>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</si>
  <si>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</si>
  <si>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</si>
  <si>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</si>
  <si>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</si>
  <si>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</si>
  <si>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</si>
  <si>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</si>
  <si>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</si>
  <si>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</si>
  <si>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</si>
  <si>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</si>
  <si>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</si>
  <si>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</si>
  <si>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</si>
  <si>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</si>
  <si>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</si>
  <si>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</si>
  <si>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</si>
  <si>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</si>
  <si>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</si>
  <si>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</si>
  <si>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</si>
  <si>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</si>
  <si>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</si>
  <si>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</si>
  <si>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</si>
  <si>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</si>
  <si>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</si>
  <si>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</si>
  <si>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</si>
  <si>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</si>
  <si>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</si>
  <si>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</si>
  <si>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</si>
  <si>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</si>
  <si>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</si>
  <si>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</si>
  <si>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</si>
  <si>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</si>
  <si>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</si>
  <si>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</si>
  <si>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</si>
  <si>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</si>
  <si>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</si>
  <si>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</si>
  <si>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</si>
  <si>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</si>
  <si>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</si>
  <si>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</si>
  <si>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</si>
  <si>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</si>
  <si>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</si>
  <si>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</si>
  <si>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</si>
  <si>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</si>
  <si>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</si>
  <si>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</si>
  <si>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</si>
  <si>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</si>
  <si>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</si>
  <si>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</si>
  <si>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</si>
  <si>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</si>
  <si>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</si>
  <si>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</si>
  <si>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</si>
  <si>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</si>
  <si>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</si>
  <si>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</si>
  <si>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</si>
  <si>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</si>
  <si>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</si>
  <si>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</si>
  <si>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</si>
  <si>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</si>
  <si>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</si>
  <si>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</si>
  <si>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</si>
  <si>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</si>
  <si>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</si>
  <si>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</si>
  <si>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</si>
  <si>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</si>
  <si>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</si>
  <si>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</si>
  <si>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</si>
  <si>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</si>
  <si>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</si>
  <si>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</si>
  <si>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</si>
  <si>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</si>
  <si>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</si>
  <si>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</si>
  <si>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</si>
  <si>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</si>
  <si>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</si>
  <si>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</si>
  <si>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</si>
  <si>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</si>
  <si>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</si>
  <si>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</si>
  <si>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</si>
  <si>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</si>
  <si>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</si>
  <si>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</si>
  <si>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</si>
  <si>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</si>
  <si>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</si>
  <si>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</si>
  <si>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</si>
  <si>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</si>
  <si>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</si>
  <si>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</si>
  <si>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</si>
  <si>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</si>
  <si>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</si>
  <si>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</si>
  <si>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</si>
  <si>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</si>
  <si>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</si>
  <si>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</si>
  <si>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</si>
  <si>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</si>
  <si>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</si>
  <si>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</si>
  <si>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</si>
  <si>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</si>
  <si>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</si>
  <si>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</si>
  <si>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</si>
  <si>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</si>
  <si>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</si>
  <si>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</si>
  <si>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</si>
  <si>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</si>
  <si>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</si>
  <si>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</si>
  <si>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</si>
  <si>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</si>
  <si>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</si>
  <si>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</si>
  <si>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</si>
  <si>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</si>
  <si>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</si>
  <si>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</si>
  <si>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</si>
  <si>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</si>
  <si>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</si>
  <si>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</si>
  <si>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</si>
  <si>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</si>
  <si>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</si>
  <si>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</si>
  <si>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</si>
  <si>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</si>
  <si>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</si>
  <si>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</si>
  <si>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</si>
  <si>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</si>
  <si>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</si>
  <si>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</si>
  <si>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</si>
  <si>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</si>
  <si>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</si>
  <si>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</si>
  <si>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</si>
  <si>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</si>
  <si>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</si>
  <si>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</si>
  <si>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</si>
  <si>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</si>
  <si>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</si>
  <si>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</si>
  <si>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</si>
  <si>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</si>
  <si>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</si>
  <si>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</si>
  <si>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</si>
  <si>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</si>
  <si>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</si>
  <si>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</si>
  <si>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</si>
  <si>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</si>
  <si>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</si>
  <si>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</si>
  <si>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</si>
  <si>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</si>
  <si>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</si>
  <si>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</si>
  <si>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</si>
  <si>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</si>
  <si>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</si>
  <si>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</si>
  <si>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</si>
  <si>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</si>
  <si>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</si>
  <si>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</si>
  <si>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</si>
  <si>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</si>
  <si>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</si>
  <si>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</si>
  <si>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</si>
  <si>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</si>
  <si>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</si>
  <si>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</si>
  <si>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</si>
  <si>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</si>
  <si>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</si>
  <si>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</si>
  <si>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</si>
  <si>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</si>
  <si>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</si>
  <si>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</si>
  <si>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</si>
  <si>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</si>
  <si>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</si>
  <si>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</si>
  <si>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</si>
  <si>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</si>
  <si>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</si>
  <si>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</si>
  <si>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</si>
  <si>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</si>
  <si>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</si>
  <si>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</si>
  <si>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</si>
  <si>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</si>
  <si>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</si>
  <si>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</si>
  <si>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</si>
  <si>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</si>
  <si>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</si>
  <si>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</si>
  <si>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</si>
  <si>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</si>
  <si>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</si>
  <si>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</si>
  <si>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</si>
  <si>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</si>
  <si>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</si>
  <si>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</si>
  <si>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</si>
  <si>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</si>
  <si>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</si>
  <si>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</si>
  <si>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</si>
  <si>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</si>
  <si>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</si>
  <si>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</si>
  <si>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</si>
  <si>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</si>
  <si>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</si>
  <si>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</si>
  <si>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</si>
  <si>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</si>
  <si>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</si>
  <si>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</si>
  <si>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</si>
  <si>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</si>
  <si>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</si>
  <si>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</si>
  <si>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</si>
  <si>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</si>
  <si>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</si>
  <si>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</si>
  <si>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</si>
  <si>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</si>
  <si>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</si>
  <si>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</si>
  <si>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</si>
  <si>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</si>
  <si>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</si>
  <si>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</si>
  <si>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</si>
  <si>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</si>
  <si>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</si>
  <si>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</si>
  <si>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</si>
  <si>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</si>
  <si>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</si>
  <si>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</si>
  <si>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</si>
  <si>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</si>
  <si>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</si>
  <si>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</si>
  <si>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</si>
  <si>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</si>
  <si>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</si>
  <si>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</si>
  <si>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</si>
  <si>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</si>
  <si>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</si>
  <si>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</si>
  <si>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</si>
  <si>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</si>
  <si>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</si>
  <si>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</si>
  <si>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</si>
  <si>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</si>
  <si>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</si>
  <si>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</si>
  <si>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</si>
  <si>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</si>
  <si>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</si>
  <si>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</si>
  <si>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</si>
  <si>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</si>
  <si>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</si>
  <si>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</si>
  <si>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</si>
  <si>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</si>
  <si>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</si>
  <si>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</si>
  <si>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</si>
  <si>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</si>
  <si>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</si>
  <si>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</si>
  <si>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</si>
  <si>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</si>
  <si>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</si>
  <si>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</si>
  <si>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</si>
  <si>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</si>
  <si>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</si>
  <si>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</si>
  <si>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</si>
  <si>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</si>
  <si>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</si>
  <si>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</si>
  <si>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</si>
  <si>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</si>
  <si>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</si>
  <si>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</si>
  <si>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</si>
  <si>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</si>
  <si>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</si>
  <si>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</si>
  <si>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</si>
  <si>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</si>
  <si>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</si>
  <si>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</si>
  <si>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</si>
  <si>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</si>
  <si>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</si>
  <si>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</si>
  <si>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</si>
  <si>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</si>
  <si>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</si>
  <si>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</si>
  <si>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</si>
  <si>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</si>
  <si>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</si>
  <si>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</si>
  <si>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</si>
  <si>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</si>
  <si>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</si>
  <si>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</si>
  <si>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</si>
  <si>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</si>
  <si>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</si>
  <si>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</si>
  <si>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</si>
  <si>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</si>
  <si>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</si>
  <si>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</si>
  <si>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</si>
  <si>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</si>
  <si>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</si>
  <si>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</si>
  <si>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</si>
  <si>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</si>
  <si>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</si>
  <si>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</si>
  <si>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</si>
  <si>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</si>
  <si>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</si>
  <si>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</si>
  <si>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</si>
  <si>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</si>
  <si>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</si>
  <si>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</si>
  <si>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</si>
  <si>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</si>
  <si>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</si>
  <si>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</si>
  <si>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</si>
  <si>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</si>
  <si>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</si>
  <si>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</si>
  <si>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</si>
  <si>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</si>
  <si>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</si>
  <si>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</si>
  <si>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</si>
  <si>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</si>
  <si>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</si>
  <si>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</si>
  <si>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</si>
  <si>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</si>
  <si>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</si>
  <si>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</si>
  <si>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</si>
  <si>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</si>
  <si>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</si>
  <si>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</si>
  <si>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</si>
  <si>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</si>
  <si>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</si>
  <si>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</si>
  <si>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</si>
  <si>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</si>
  <si>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</si>
  <si>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</si>
  <si>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</si>
  <si>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</si>
  <si>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</si>
  <si>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</si>
  <si>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</si>
  <si>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</si>
  <si>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</si>
  <si>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</si>
  <si>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</si>
  <si>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</si>
  <si>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</si>
  <si>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</si>
  <si>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</si>
  <si>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</si>
  <si>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</si>
  <si>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</si>
  <si>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</si>
  <si>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</si>
  <si>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</si>
  <si>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</si>
  <si>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</si>
  <si>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</si>
  <si>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</si>
  <si>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</si>
  <si>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</si>
  <si>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</si>
  <si>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</si>
  <si>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</si>
  <si>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</si>
  <si>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</si>
  <si>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</si>
  <si>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</si>
  <si>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</si>
  <si>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</si>
  <si>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</si>
  <si>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</si>
  <si>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</si>
  <si>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</si>
  <si>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</si>
  <si>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</si>
  <si>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</si>
  <si>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</si>
  <si>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</si>
  <si>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</si>
  <si>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</si>
  <si>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</si>
  <si>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</si>
  <si>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</si>
  <si>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</si>
  <si>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</si>
  <si>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</si>
  <si>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</si>
  <si>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</si>
  <si>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</si>
  <si>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</si>
  <si>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</si>
  <si>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</si>
  <si>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</si>
  <si>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</si>
  <si>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</si>
  <si>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</si>
  <si>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</si>
  <si>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</si>
  <si>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</si>
  <si>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</si>
  <si>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</si>
  <si>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</si>
  <si>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</si>
  <si>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</si>
  <si>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</si>
  <si>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</si>
  <si>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</si>
  <si>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</si>
  <si>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</si>
  <si>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</si>
  <si>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</si>
  <si>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</si>
  <si>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</si>
  <si>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</si>
  <si>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</si>
  <si>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</si>
  <si>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</si>
  <si>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</si>
  <si>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</si>
  <si>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</si>
  <si>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</si>
  <si>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</si>
  <si>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</si>
  <si>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</si>
  <si>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</si>
  <si>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</si>
  <si>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</si>
  <si>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</si>
  <si>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</si>
  <si>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</si>
  <si>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</si>
  <si>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</si>
  <si>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</si>
  <si>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</si>
  <si>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</si>
  <si>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</si>
  <si>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</si>
  <si>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</si>
  <si>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</si>
  <si>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</si>
  <si>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</si>
  <si>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</si>
  <si>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</si>
  <si>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</si>
  <si>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</si>
  <si>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</si>
  <si>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</si>
  <si>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</si>
  <si>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</si>
  <si>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</si>
  <si>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</si>
  <si>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</si>
  <si>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</si>
  <si>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</si>
  <si>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</si>
  <si>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</si>
  <si>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</si>
  <si>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</si>
  <si>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</si>
  <si>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</si>
  <si>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</si>
  <si>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</si>
  <si>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</si>
  <si>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</si>
  <si>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</si>
  <si>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</si>
  <si>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</si>
  <si>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</si>
  <si>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</si>
  <si>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</si>
  <si>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</si>
  <si>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</si>
  <si>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</si>
  <si>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</si>
  <si>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</si>
  <si>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</si>
  <si>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</si>
  <si>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</si>
  <si>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</si>
  <si>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</si>
  <si>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</si>
  <si>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</si>
  <si>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</si>
  <si>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</si>
  <si>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</si>
  <si>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</si>
  <si>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</si>
  <si>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</si>
  <si>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</si>
  <si>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</si>
  <si>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</si>
  <si>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</si>
  <si>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</si>
  <si>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</si>
  <si>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</si>
  <si>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</si>
  <si>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</si>
  <si>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</si>
  <si>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</si>
  <si>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</si>
  <si>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</si>
  <si>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</si>
  <si>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</si>
  <si>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</si>
  <si>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</si>
  <si>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</si>
  <si>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</si>
  <si>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</si>
  <si>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</si>
  <si>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</si>
  <si>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</si>
  <si>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</si>
  <si>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</si>
  <si>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</si>
  <si>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</si>
  <si>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</si>
  <si>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</si>
  <si>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</si>
  <si>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</si>
  <si>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</si>
  <si>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</si>
  <si>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</si>
  <si>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</si>
  <si>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</si>
  <si>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</si>
  <si>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</si>
  <si>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</si>
  <si>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</si>
  <si>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</si>
  <si>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</si>
  <si>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</si>
  <si>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</si>
  <si>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</si>
  <si>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</si>
  <si>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</si>
  <si>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</si>
  <si>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</si>
  <si>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</si>
  <si>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</si>
  <si>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</si>
  <si>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</si>
  <si>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</si>
  <si>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</si>
  <si>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</si>
  <si>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</si>
  <si>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</si>
  <si>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</si>
  <si>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</si>
  <si>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</si>
  <si>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</si>
  <si>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</si>
  <si>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</si>
  <si>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</si>
  <si>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</si>
  <si>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</si>
  <si>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</si>
  <si>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</si>
  <si>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</si>
  <si>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</si>
  <si>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</si>
  <si>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</si>
  <si>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</si>
  <si>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</si>
  <si>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</si>
  <si>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</si>
  <si>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</si>
  <si>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</si>
  <si>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</si>
  <si>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</si>
  <si>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</si>
  <si>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</si>
  <si>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</si>
  <si>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</si>
  <si>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</si>
  <si>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</si>
  <si>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</si>
  <si>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</si>
  <si>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</si>
  <si>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</si>
  <si>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</si>
  <si>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</si>
  <si>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</si>
  <si>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</si>
  <si>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</si>
  <si>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</si>
  <si>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</si>
  <si>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</si>
  <si>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</si>
  <si>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</si>
  <si>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</si>
  <si>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</si>
  <si>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</si>
  <si>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</si>
  <si>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</si>
  <si>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</si>
  <si>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</si>
  <si>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</si>
  <si>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</si>
  <si>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</si>
  <si>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</si>
  <si>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</si>
  <si>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</si>
  <si>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</si>
  <si>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</si>
  <si>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</si>
  <si>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</si>
  <si>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</si>
  <si>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</si>
  <si>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</si>
  <si>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</si>
  <si>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</si>
  <si>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</si>
  <si>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</si>
  <si>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</si>
  <si>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</si>
  <si>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</si>
  <si>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</si>
  <si>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</si>
  <si>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</si>
  <si>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</si>
  <si>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</si>
  <si>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</si>
  <si>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</si>
  <si>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</si>
  <si>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</si>
  <si>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</si>
  <si>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</si>
  <si>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</si>
  <si>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</si>
  <si>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</si>
  <si>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</si>
  <si>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</si>
  <si>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</si>
  <si>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</si>
  <si>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</si>
  <si>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</si>
  <si>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</si>
  <si>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</si>
  <si>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</si>
  <si>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</si>
  <si>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</si>
  <si>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</si>
  <si>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</si>
  <si>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</si>
  <si>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</si>
  <si>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</si>
  <si>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</si>
  <si>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</si>
  <si>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</si>
  <si>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</si>
  <si>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</si>
  <si>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</si>
  <si>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</si>
  <si>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</si>
  <si>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</si>
  <si>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</si>
  <si>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</si>
  <si>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</si>
  <si>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</si>
  <si>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</si>
  <si>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</si>
  <si>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</si>
  <si>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</si>
  <si>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</si>
  <si>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</si>
  <si>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</si>
  <si>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</si>
  <si>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</si>
  <si>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</si>
  <si>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</si>
  <si>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</si>
  <si>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</si>
  <si>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</si>
  <si>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</si>
  <si>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</si>
  <si>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</si>
  <si>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</si>
  <si>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</si>
  <si>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</si>
  <si>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</si>
  <si>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</si>
  <si>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</si>
  <si>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</si>
  <si>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</si>
  <si>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</si>
  <si>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</si>
  <si>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</si>
  <si>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</si>
  <si>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</si>
  <si>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</si>
  <si>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</si>
  <si>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</si>
  <si>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</si>
  <si>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</si>
  <si>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</si>
  <si>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</si>
  <si>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</si>
  <si>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</si>
  <si>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</si>
  <si>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</si>
  <si>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</si>
  <si>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</si>
  <si>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</si>
  <si>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</si>
  <si>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</si>
  <si>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</si>
  <si>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</si>
  <si>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</si>
  <si>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</si>
  <si>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</si>
  <si>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</si>
  <si>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</si>
  <si>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</si>
  <si>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</si>
  <si>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</si>
  <si>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</si>
  <si>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</si>
  <si>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</si>
  <si>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</si>
  <si>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</si>
  <si>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</si>
  <si>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</si>
  <si>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</si>
  <si>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</si>
  <si>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</si>
  <si>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</si>
  <si>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</si>
  <si>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</si>
  <si>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</si>
  <si>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</si>
  <si>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</si>
  <si>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</si>
  <si>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</si>
  <si>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</si>
  <si>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</si>
  <si>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</si>
  <si>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</si>
  <si>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</si>
  <si>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</si>
  <si>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</si>
  <si>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</si>
  <si>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</si>
  <si>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</si>
  <si>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</si>
  <si>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</si>
  <si>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</si>
  <si>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</si>
  <si>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</si>
  <si>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</si>
  <si>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</si>
  <si>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</si>
  <si>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</si>
  <si>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</si>
  <si>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</si>
  <si>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</si>
  <si>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</si>
  <si>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</si>
  <si>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</si>
  <si>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</si>
  <si>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</si>
  <si>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</si>
  <si>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</si>
  <si>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</si>
  <si>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</si>
  <si>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</si>
  <si>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</si>
  <si>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</si>
  <si>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</si>
  <si>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</si>
  <si>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</si>
  <si>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</si>
  <si>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</si>
  <si>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</si>
  <si>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</si>
  <si>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</si>
  <si>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</si>
  <si>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</si>
  <si>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</si>
  <si>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</si>
  <si>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</si>
  <si>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</si>
  <si>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</si>
  <si>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</si>
  <si>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</si>
  <si>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</si>
  <si>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</si>
  <si>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</si>
  <si>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</si>
  <si>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</si>
  <si>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</si>
  <si>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</si>
  <si>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</si>
  <si>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</si>
  <si>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</si>
  <si>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</si>
  <si>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</si>
  <si>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</si>
  <si>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</si>
  <si>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</si>
  <si>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</si>
  <si>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</si>
  <si>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</si>
  <si>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</si>
  <si>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</si>
  <si>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</si>
  <si>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</si>
  <si>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</si>
  <si>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</si>
  <si>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</si>
  <si>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</si>
  <si>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</si>
  <si>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</si>
  <si>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</si>
  <si>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</si>
  <si>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</si>
  <si>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</si>
  <si>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</si>
  <si>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</si>
  <si>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</si>
  <si>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</si>
  <si>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</si>
  <si>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</si>
  <si>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</si>
  <si>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</si>
  <si>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</si>
  <si>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</si>
  <si>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</si>
  <si>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</si>
  <si>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</si>
  <si>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</si>
  <si>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</si>
  <si>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</si>
  <si>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</si>
  <si>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</si>
  <si>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</si>
  <si>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</si>
  <si>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</si>
  <si>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</si>
  <si>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</si>
  <si>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</si>
  <si>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</si>
  <si>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</si>
  <si>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</si>
  <si>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</si>
  <si>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</si>
  <si>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</si>
  <si>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</si>
  <si>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</si>
  <si>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</si>
  <si>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</si>
  <si>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</si>
  <si>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</si>
  <si>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</si>
  <si>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</si>
  <si>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</si>
  <si>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</si>
  <si>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</si>
  <si>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</si>
  <si>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</si>
  <si>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</si>
  <si>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</si>
  <si>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</si>
  <si>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</si>
  <si>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</si>
  <si>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</si>
  <si>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</si>
  <si>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</si>
  <si>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</si>
  <si>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</si>
  <si>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</si>
  <si>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</si>
  <si>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</si>
  <si>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</si>
  <si>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</si>
  <si>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</si>
  <si>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</si>
  <si>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</si>
  <si>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</si>
  <si>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</si>
  <si>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</si>
  <si>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</si>
  <si>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</si>
  <si>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</si>
  <si>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</si>
  <si>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</si>
  <si>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</si>
  <si>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</si>
  <si>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</si>
  <si>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</si>
  <si>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</si>
  <si>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</si>
  <si>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</si>
  <si>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</si>
  <si>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</si>
  <si>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</si>
  <si>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</si>
  <si>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</si>
  <si>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</si>
  <si>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</si>
  <si>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</si>
  <si>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</si>
  <si>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</si>
  <si>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</si>
  <si>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</si>
  <si>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</si>
  <si>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</si>
  <si>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</si>
  <si>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</si>
  <si>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</si>
  <si>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</si>
  <si>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</si>
  <si>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</si>
  <si>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</si>
  <si>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</si>
  <si>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</si>
  <si>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</si>
  <si>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</si>
  <si>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</si>
  <si>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</si>
  <si>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</si>
  <si>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</si>
  <si>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</si>
  <si>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</si>
  <si>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</si>
  <si>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</si>
  <si>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</si>
  <si>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</si>
  <si>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</si>
  <si>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</si>
  <si>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</si>
  <si>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</si>
  <si>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</si>
  <si>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</si>
  <si>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</si>
  <si>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</si>
  <si>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</si>
  <si>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</si>
  <si>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</si>
  <si>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</si>
  <si>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</si>
  <si>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</si>
  <si>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</si>
  <si>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</si>
  <si>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</si>
  <si>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</si>
  <si>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</si>
  <si>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</si>
  <si>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</si>
  <si>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</si>
  <si>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</si>
  <si>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</si>
  <si>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</si>
  <si>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</si>
  <si>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</si>
  <si>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</si>
  <si>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</si>
  <si>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</si>
  <si>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</si>
  <si>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</si>
  <si>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</si>
  <si>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</si>
  <si>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</si>
  <si>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</si>
  <si>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</si>
  <si>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</si>
  <si>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</si>
  <si>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</si>
  <si>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</si>
  <si>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</si>
  <si>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</si>
  <si>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</si>
  <si>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</si>
  <si>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</si>
  <si>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</si>
  <si>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</si>
  <si>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</si>
  <si>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</si>
  <si>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</si>
  <si>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</si>
  <si>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</si>
  <si>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</si>
  <si>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</si>
  <si>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</si>
  <si>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</si>
  <si>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</si>
  <si>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</si>
  <si>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</si>
  <si>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</si>
  <si>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</si>
  <si>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</si>
  <si>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</si>
  <si>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</si>
  <si>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</si>
  <si>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</si>
  <si>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</si>
  <si>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</si>
  <si>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</si>
  <si>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</si>
  <si>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</si>
  <si>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</si>
  <si>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</si>
  <si>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</si>
  <si>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</si>
  <si>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</si>
  <si>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</si>
  <si>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</si>
  <si>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</si>
  <si>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</si>
  <si>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</si>
  <si>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</si>
  <si>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</si>
  <si>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</si>
  <si>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</si>
  <si>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</si>
  <si>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</si>
  <si>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</si>
  <si>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</si>
  <si>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</si>
  <si>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</si>
  <si>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</si>
  <si>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</si>
  <si>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</si>
  <si>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</si>
  <si>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</si>
  <si>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</si>
  <si>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</si>
  <si>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</si>
  <si>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</si>
  <si>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</si>
  <si>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</si>
  <si>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</si>
  <si>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</si>
  <si>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</si>
  <si>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</si>
  <si>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</si>
  <si>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</si>
  <si>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</si>
  <si>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</si>
  <si>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</si>
  <si>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</si>
  <si>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</si>
  <si>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</si>
  <si>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</si>
  <si>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</si>
  <si>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</si>
  <si>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</si>
  <si>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</si>
  <si>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</si>
  <si>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</si>
  <si>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</si>
  <si>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</si>
  <si>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</si>
  <si>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</si>
  <si>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</si>
  <si>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</si>
  <si>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</si>
  <si>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</si>
  <si>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</si>
  <si>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</si>
  <si>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</si>
  <si>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</si>
  <si>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</si>
  <si>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</si>
  <si>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</si>
  <si>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</si>
  <si>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</si>
  <si>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</si>
  <si>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</si>
  <si>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</si>
  <si>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</si>
  <si>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</si>
  <si>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</si>
  <si>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</si>
  <si>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</si>
  <si>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</si>
  <si>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</si>
  <si>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</si>
  <si>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</si>
  <si>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</si>
  <si>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</si>
  <si>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</si>
  <si>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</si>
  <si>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</si>
  <si>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</si>
  <si>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</si>
  <si>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</si>
  <si>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</si>
  <si>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</si>
  <si>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</si>
  <si>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</si>
  <si>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</si>
  <si>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</si>
  <si>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</si>
  <si>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</si>
  <si>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</si>
  <si>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</si>
  <si>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</si>
  <si>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</si>
  <si>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</si>
  <si>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</si>
  <si>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</si>
  <si>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</si>
  <si>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</si>
  <si>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</si>
  <si>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</si>
  <si>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</si>
  <si>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</si>
  <si>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</si>
  <si>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</si>
  <si>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</si>
  <si>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</si>
  <si>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</si>
  <si>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</si>
  <si>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</si>
  <si>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</si>
  <si>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</si>
  <si>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</si>
  <si>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</si>
  <si>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</si>
  <si>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</si>
  <si>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</si>
  <si>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</si>
  <si>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</si>
  <si>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</si>
  <si>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READY FOR PRE-EDIT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</si>
  <si>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</si>
  <si>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</si>
  <si>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</si>
  <si>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</si>
  <si>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</si>
  <si>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</si>
  <si>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</si>
  <si>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</si>
  <si>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</si>
  <si>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</si>
  <si>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</si>
  <si>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</si>
  <si>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</si>
  <si>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</si>
  <si>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</si>
  <si>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</si>
  <si>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</si>
  <si>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</si>
  <si>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</si>
  <si>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</si>
  <si>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</si>
  <si>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</si>
  <si>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</si>
  <si>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</si>
  <si>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</si>
  <si>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</si>
  <si>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</si>
  <si>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</si>
  <si>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</si>
  <si>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</si>
  <si>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</si>
  <si>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</si>
  <si>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</si>
  <si>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</si>
  <si>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</si>
  <si>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</si>
  <si>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</si>
  <si>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</si>
  <si>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</si>
  <si>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</si>
  <si>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</si>
  <si>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</si>
  <si>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</si>
  <si>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</si>
  <si>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</si>
  <si>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</si>
  <si>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</si>
  <si>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</si>
  <si>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</si>
  <si>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</si>
  <si>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</si>
  <si>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</si>
  <si>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</si>
  <si>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</si>
  <si>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</si>
  <si>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</si>
  <si>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</si>
  <si>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</si>
  <si>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</si>
  <si>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</si>
  <si>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</si>
  <si>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</si>
  <si>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</si>
  <si>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</si>
  <si>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</si>
  <si>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</si>
  <si>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</si>
  <si>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</si>
  <si>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</si>
  <si>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</si>
  <si>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</si>
  <si>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</si>
  <si>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</si>
  <si>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</si>
  <si>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</si>
  <si>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</si>
  <si>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</si>
  <si>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</si>
  <si>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</si>
  <si>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</si>
  <si>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</si>
  <si>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</si>
  <si>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</si>
  <si>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</si>
  <si>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</si>
  <si>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</si>
  <si>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</si>
  <si>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</si>
  <si>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</si>
  <si>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</si>
  <si>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</si>
  <si>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</si>
  <si>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</si>
  <si>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</si>
  <si>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</si>
  <si>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</si>
  <si>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</si>
  <si>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</si>
  <si>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</si>
  <si>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</si>
  <si>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</si>
  <si>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</si>
  <si>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</si>
  <si>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</si>
  <si>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</si>
  <si>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</si>
  <si>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</si>
  <si>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</si>
  <si>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</si>
  <si>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</si>
  <si>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</si>
  <si>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</si>
  <si>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</si>
  <si>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</si>
  <si>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</si>
  <si>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</si>
  <si>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</si>
  <si>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</si>
  <si>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</si>
  <si>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</si>
  <si>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</si>
  <si>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</si>
  <si>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</si>
  <si>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</si>
  <si>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</si>
  <si>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</si>
  <si>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</si>
  <si>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</si>
  <si>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</si>
  <si>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</si>
  <si>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</si>
  <si>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Deferred</t>
  </si>
  <si>
    <t>FOUR APPROVAL GATES PLUS OWNER TESTING AND WEEKLY LEARNING — TRACKER v1.3.4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</si>
  <si>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</si>
  <si>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</si>
  <si>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FOUR APPROVAL GATES PLUS OWNER TESTING AND WEEKLY LEARNING — TRACKER v1.3.4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v1.3.4,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v1.3.4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</si>
  <si>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</si>
  <si>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</si>
  <si>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</si>
  <si>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FOUR APPROVAL GATES PLUS OWNER TESTING AND WEEKLY LEARNING — TRACKER v1.3.4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v1.3.4.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</si>
  <si>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</si>
  <si>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FOUR APPROVAL GATES PLUS OWNER TESTING AND WEEKLY LEARNING — TRACKER v1.3.4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v1.3.4.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</si>
  <si>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</si>
  <si>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docs/governance/Enterprise_AI_Architecture_6_Week_Execution_Tracker_v1.3.4.xlsx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</si>
  <si>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FOUR APPROVAL GATES PLUS OWNER CONTENT REVIEW AND WEEKLY LEARNING — TRACKER v1.3.4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v1.3.4.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</si>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</sst>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1" fillId="2" borderId="0" xfId="0" applyFont="1" applyFill="1" applyAlignment="1">
      <alignment vertical="center"/>
    </xf>
    <xf numFmtId="0" fontId="2" fillId="3" borderId="0" xfId="0" applyFont="1" applyFill="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50">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alignment horizontal="general" vertical="top" textRotation="0" indent="0" justifyLastLine="0" shrinkToFit="0" readingOrder="0"/>
    </dxf>
    <dxf>
      <alignment horizontal="general"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filterColumn colId="9">
      <filters>
        <filter val="W5-INPUTS-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dataDxfId="4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dataDxfId="4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filterColumn colId="8">
      <filters>
        <filter val="W5-INPUTS-001"/>
      </filters>
    </filterColumn>
  </autoFilter>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0">
      <filters>
        <filter val="AWS-001"/>
        <filter val="AWS-002"/>
        <filter val="COST-001"/>
        <filter val="NET-001"/>
        <filter val="PRIV-001"/>
        <filter val="TAG-001"/>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74" t="s">
        <v>0</v>
      </c>
      <c r="B1" s="74"/>
      <c r="C1" s="74"/>
      <c r="D1" s="74"/>
      <c r="E1" s="74"/>
      <c r="F1" s="74"/>
      <c r="G1" s="74"/>
      <c r="H1" s="74"/>
      <c r="I1" s="74"/>
      <c r="J1" s="74"/>
    </row>
    <row r="2" spans="1:10">
      <c r="A2" s="75" t="s">
        <v>1</v>
      </c>
      <c r="B2" s="75"/>
      <c r="C2" s="75"/>
      <c r="D2" s="75"/>
      <c r="E2" s="75"/>
      <c r="F2" s="75"/>
      <c r="G2" s="75"/>
      <c r="H2" s="75"/>
      <c r="I2" s="75"/>
      <c r="J2" s="75"/>
    </row>
    <row r="4" spans="1:10">
      <c r="A4" s="59" t="s">
        <v>2</v>
      </c>
      <c r="B4" s="60"/>
      <c r="C4" s="60"/>
      <c r="D4" s="60"/>
      <c r="E4" s="59" t="s">
        <v>3</v>
      </c>
      <c r="F4" s="60"/>
      <c r="G4" s="60"/>
      <c r="H4" s="60"/>
      <c r="I4" s="60"/>
      <c r="J4" s="61"/>
    </row>
    <row r="5" spans="1:10" ht="39.6">
      <c r="A5" s="21">
        <v>1</v>
      </c>
      <c r="B5" s="4" t="s">
        <v>4</v>
      </c>
      <c r="C5" s="4" t="s">
        <v>5</v>
      </c>
      <c r="E5" s="76" t="s">
        <v>6</v>
      </c>
      <c r="F5" s="77"/>
      <c r="G5" s="77"/>
      <c r="H5" s="77"/>
      <c r="I5" s="77"/>
      <c r="J5" s="78"/>
    </row>
    <row r="6" spans="1:10" ht="39.6">
      <c r="A6" s="21">
        <v>2</v>
      </c>
      <c r="B6" s="5" t="s">
        <v>7</v>
      </c>
      <c r="C6" s="5" t="s">
        <v>8</v>
      </c>
      <c r="E6" s="68" t="s">
        <v>9</v>
      </c>
      <c r="F6" s="69"/>
      <c r="G6" s="69"/>
      <c r="H6" s="69"/>
      <c r="I6" s="69"/>
      <c r="J6" s="70"/>
    </row>
    <row r="7" spans="1:10" ht="66">
      <c r="A7" s="21">
        <v>3</v>
      </c>
      <c r="B7" s="5" t="s">
        <v>10</v>
      </c>
      <c r="C7" s="5" t="s">
        <v>11</v>
      </c>
      <c r="E7" s="68" t="s">
        <v>12</v>
      </c>
      <c r="F7" s="69"/>
      <c r="G7" s="69"/>
      <c r="H7" s="69"/>
      <c r="I7" s="69"/>
      <c r="J7" s="70"/>
    </row>
    <row r="8" spans="1:10" ht="79.2">
      <c r="A8" s="21">
        <v>4</v>
      </c>
      <c r="B8" s="5" t="s">
        <v>13</v>
      </c>
      <c r="C8" s="5" t="s">
        <v>14</v>
      </c>
      <c r="E8" s="68" t="s">
        <v>15</v>
      </c>
      <c r="F8" s="69"/>
      <c r="G8" s="69"/>
      <c r="H8" s="69"/>
      <c r="I8" s="69"/>
      <c r="J8" s="70"/>
    </row>
    <row r="9" spans="1:10" ht="66">
      <c r="A9" s="21">
        <v>5</v>
      </c>
      <c r="B9" s="5" t="s">
        <v>16</v>
      </c>
      <c r="C9" s="5" t="s">
        <v>17</v>
      </c>
      <c r="E9" s="68" t="s">
        <v>18</v>
      </c>
      <c r="F9" s="69"/>
      <c r="G9" s="69"/>
      <c r="H9" s="69"/>
      <c r="I9" s="69"/>
      <c r="J9" s="70"/>
    </row>
    <row r="10" spans="1:10" ht="79.2">
      <c r="A10" s="21">
        <v>6</v>
      </c>
      <c r="B10" s="5" t="s">
        <v>19</v>
      </c>
      <c r="C10" s="5" t="s">
        <v>20</v>
      </c>
      <c r="E10" s="68" t="s">
        <v>21</v>
      </c>
      <c r="F10" s="69"/>
      <c r="G10" s="69"/>
      <c r="H10" s="69"/>
      <c r="I10" s="69"/>
      <c r="J10" s="70"/>
    </row>
    <row r="11" spans="1:10" ht="92.4">
      <c r="A11" s="21">
        <v>7</v>
      </c>
      <c r="B11" s="5" t="s">
        <v>22</v>
      </c>
      <c r="C11" s="5" t="s">
        <v>23</v>
      </c>
      <c r="E11" s="71" t="s">
        <v>24</v>
      </c>
      <c r="F11" s="72"/>
      <c r="G11" s="72"/>
      <c r="H11" s="72"/>
      <c r="I11" s="72"/>
      <c r="J11" s="73"/>
    </row>
    <row r="12" spans="1:10" ht="66">
      <c r="A12" s="21">
        <v>8</v>
      </c>
      <c r="B12" s="5" t="s">
        <v>25</v>
      </c>
      <c r="C12" s="5" t="s">
        <v>26</v>
      </c>
      <c r="E12" t="s">
        <v>27</v>
      </c>
    </row>
    <row r="13" spans="1:10" ht="66">
      <c r="A13" s="21">
        <v>9</v>
      </c>
      <c r="B13" s="5" t="s">
        <v>28</v>
      </c>
      <c r="C13" s="5" t="s">
        <v>29</v>
      </c>
      <c r="E13" s="59" t="s">
        <v>30</v>
      </c>
      <c r="F13" s="60"/>
      <c r="G13" s="60"/>
      <c r="H13" s="60"/>
      <c r="I13" s="6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2" t="s">
        <v>42</v>
      </c>
      <c r="B19" s="63"/>
      <c r="C19" s="63"/>
      <c r="D19" s="63"/>
      <c r="E19" s="63"/>
      <c r="F19" s="63"/>
      <c r="G19" s="63"/>
      <c r="H19" s="63"/>
      <c r="I19" s="63"/>
      <c r="J19" s="64"/>
    </row>
    <row r="20" spans="1:10">
      <c r="A20" s="65"/>
      <c r="B20" s="66"/>
      <c r="C20" s="66"/>
      <c r="D20" s="66"/>
      <c r="E20" s="66"/>
      <c r="F20" s="66"/>
      <c r="G20" s="66"/>
      <c r="H20" s="66"/>
      <c r="I20" s="66"/>
      <c r="J20" s="67"/>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opLeftCell="A2" workbookViewId="0">
      <selection activeCell="M6" sqref="M6"/>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74" t="s">
        <v>43</v>
      </c>
      <c r="B1" s="74"/>
      <c r="C1" s="74"/>
      <c r="D1" s="74"/>
      <c r="E1" s="74"/>
      <c r="F1" s="74"/>
      <c r="G1" s="74"/>
      <c r="H1" s="74"/>
      <c r="I1" s="74"/>
      <c r="J1" s="74"/>
      <c r="K1" s="74"/>
      <c r="L1" s="74"/>
      <c r="M1" s="74"/>
      <c r="N1" s="74"/>
      <c r="O1" s="74"/>
      <c r="P1" s="74"/>
    </row>
    <row r="2" spans="1:16" ht="31.95" customHeight="1">
      <c r="A2" s="75" t="s">
        <v>44</v>
      </c>
      <c r="B2" s="75"/>
      <c r="C2" s="75"/>
      <c r="D2" s="75"/>
      <c r="E2" s="75"/>
      <c r="F2" s="75"/>
      <c r="G2" s="75"/>
      <c r="H2" s="75"/>
      <c r="I2" s="75"/>
      <c r="J2" s="75"/>
      <c r="K2" s="75"/>
      <c r="L2" s="75"/>
      <c r="M2" s="75"/>
      <c r="N2" s="75"/>
      <c r="O2" s="75"/>
      <c r="P2" s="75"/>
    </row>
    <row r="4" spans="1:16">
      <c r="A4" s="85" t="s">
        <v>45</v>
      </c>
      <c r="B4" s="85"/>
      <c r="D4" s="85" t="s">
        <v>46</v>
      </c>
      <c r="E4" s="85"/>
      <c r="G4" s="85" t="s">
        <v>47</v>
      </c>
      <c r="H4" s="85"/>
      <c r="J4" s="85" t="s">
        <v>48</v>
      </c>
      <c r="K4" s="85"/>
    </row>
    <row r="5" spans="1:16">
      <c r="A5" s="86">
        <f>COUNTA('02 Master Plan'!$A$6:$A$120)</f>
        <v>80</v>
      </c>
      <c r="B5" s="87"/>
      <c r="D5" s="86">
        <f>COUNTIF('02 Master Plan'!$S$6:$S$120,"Done")</f>
        <v>52</v>
      </c>
      <c r="E5" s="87"/>
      <c r="G5" s="93">
        <f>IF(A5=0,0,D5/A5)</f>
        <v>0.65</v>
      </c>
      <c r="H5" s="94"/>
      <c r="J5" s="86">
        <f>COUNTIF('02 Master Plan'!$S$6:$S$120,"Blocked")</f>
        <v>0</v>
      </c>
      <c r="K5" s="87"/>
    </row>
    <row r="6" spans="1:16">
      <c r="A6" s="88"/>
      <c r="B6" s="89"/>
      <c r="D6" s="88"/>
      <c r="E6" s="89"/>
      <c r="G6" s="95"/>
      <c r="H6" s="96"/>
      <c r="J6" s="88"/>
      <c r="K6" s="89"/>
    </row>
    <row r="7" spans="1:16">
      <c r="A7" s="85" t="s">
        <v>49</v>
      </c>
      <c r="B7" s="85"/>
      <c r="D7" s="85" t="s">
        <v>50</v>
      </c>
      <c r="E7" s="85"/>
      <c r="G7" s="85" t="s">
        <v>51</v>
      </c>
      <c r="H7" s="85"/>
      <c r="J7" s="85" t="s">
        <v>52</v>
      </c>
      <c r="K7" s="85"/>
    </row>
    <row r="8" spans="1:16">
      <c r="A8" s="86">
        <f>COUNTIFS('13 Owner TODOs'!$F$6:$F$80,"&lt;&gt;Done",'13 Owner TODOs'!$A$6:$A$80,"&lt;&gt;")</f>
        <v>13</v>
      </c>
      <c r="B8" s="87"/>
      <c r="D8" s="86">
        <f>COUNTIF('11 Test Evidence'!$H$6:$H$80,"Pass")</f>
        <v>6</v>
      </c>
      <c r="E8" s="87"/>
      <c r="G8" s="86">
        <f>COUNTIF('12 Decision Log'!$C$6:$C$60,"Baseline Approved")+COUNTIF('12 Decision Log'!$C$6:$C$60,"Approved")</f>
        <v>18</v>
      </c>
      <c r="H8" s="87"/>
      <c r="J8" s="86">
        <f>COUNTIFS('11 Test Evidence'!$C$6:$C$80,"Teardown",'11 Test Evidence'!$H$6:$H$80,"Pass")</f>
        <v>1</v>
      </c>
      <c r="K8" s="87"/>
    </row>
    <row r="9" spans="1:16">
      <c r="A9" s="88"/>
      <c r="B9" s="89"/>
      <c r="D9" s="88"/>
      <c r="E9" s="89"/>
      <c r="G9" s="88"/>
      <c r="H9" s="89"/>
      <c r="J9" s="88"/>
      <c r="K9" s="89"/>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58</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9" t="s">
        <v>61</v>
      </c>
      <c r="B21" s="60"/>
      <c r="C21" s="60"/>
      <c r="D21" s="60"/>
      <c r="E21" s="60"/>
      <c r="F21" s="60"/>
      <c r="G21" s="60"/>
      <c r="H21" s="61"/>
    </row>
    <row r="22" spans="1:8" ht="30" customHeight="1">
      <c r="A22" s="90" t="s">
        <v>62</v>
      </c>
      <c r="B22" s="91"/>
      <c r="C22" s="91"/>
      <c r="D22" s="91"/>
      <c r="E22" s="91"/>
      <c r="F22" s="91"/>
      <c r="G22" s="91"/>
      <c r="H22" s="92"/>
    </row>
    <row r="23" spans="1:8" ht="30" customHeight="1">
      <c r="A23" s="79" t="s">
        <v>63</v>
      </c>
      <c r="B23" s="80"/>
      <c r="C23" s="80"/>
      <c r="D23" s="80"/>
      <c r="E23" s="80"/>
      <c r="F23" s="80"/>
      <c r="G23" s="80"/>
      <c r="H23" s="81"/>
    </row>
    <row r="24" spans="1:8" ht="30" customHeight="1">
      <c r="A24" s="79" t="s">
        <v>64</v>
      </c>
      <c r="B24" s="80"/>
      <c r="C24" s="80"/>
      <c r="D24" s="80"/>
      <c r="E24" s="80"/>
      <c r="F24" s="80"/>
      <c r="G24" s="80"/>
      <c r="H24" s="81"/>
    </row>
    <row r="25" spans="1:8" ht="30" customHeight="1">
      <c r="A25" s="79" t="s">
        <v>65</v>
      </c>
      <c r="B25" s="80"/>
      <c r="C25" s="80"/>
      <c r="D25" s="80"/>
      <c r="E25" s="80"/>
      <c r="F25" s="80"/>
      <c r="G25" s="80"/>
      <c r="H25" s="81"/>
    </row>
    <row r="26" spans="1:8" ht="30" customHeight="1">
      <c r="A26" s="82" t="s">
        <v>66</v>
      </c>
      <c r="B26" s="83"/>
      <c r="C26" s="83"/>
      <c r="D26" s="83"/>
      <c r="E26" s="83"/>
      <c r="F26" s="83"/>
      <c r="G26" s="83"/>
      <c r="H26" s="84"/>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P1" workbookViewId="0">
      <selection activeCell="S58" sqref="S58"/>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74" t="s">
        <v>67</v>
      </c>
      <c r="B1" s="74"/>
      <c r="C1" s="74"/>
      <c r="D1" s="74"/>
      <c r="E1" s="74"/>
      <c r="F1" s="74"/>
      <c r="G1" s="74"/>
      <c r="H1" s="74"/>
      <c r="I1" s="74"/>
      <c r="J1" s="74"/>
      <c r="K1" s="74"/>
      <c r="L1" s="74"/>
      <c r="M1" s="74"/>
      <c r="N1" s="74"/>
      <c r="O1" s="74"/>
      <c r="P1" s="74"/>
      <c r="Q1" s="74"/>
      <c r="R1" s="74"/>
      <c r="S1" s="74"/>
      <c r="T1" s="74"/>
    </row>
    <row r="2" spans="1:21" ht="31.95" customHeight="1">
      <c r="A2" s="75" t="s">
        <v>68</v>
      </c>
      <c r="B2" s="75"/>
      <c r="C2" s="75"/>
      <c r="D2" s="75"/>
      <c r="E2" s="75"/>
      <c r="F2" s="75"/>
      <c r="G2" s="75"/>
      <c r="H2" s="75"/>
      <c r="I2" s="75"/>
      <c r="J2" s="75"/>
      <c r="K2" s="75"/>
      <c r="L2" s="75"/>
      <c r="M2" s="75"/>
      <c r="N2" s="75"/>
      <c r="O2" s="75"/>
      <c r="P2" s="75"/>
      <c r="Q2" s="75"/>
      <c r="R2" s="75"/>
      <c r="S2" s="75"/>
      <c r="T2" s="75"/>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8"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2317</v>
      </c>
      <c r="N10" s="11" t="s">
        <v>150</v>
      </c>
      <c r="O10" s="11" t="s">
        <v>151</v>
      </c>
      <c r="P10" s="11" t="s">
        <v>152</v>
      </c>
      <c r="Q10" s="11" t="s">
        <v>119</v>
      </c>
      <c r="R10" s="11" t="s">
        <v>153</v>
      </c>
      <c r="S10" s="11" t="s">
        <v>46</v>
      </c>
      <c r="T10" s="11" t="s">
        <v>131</v>
      </c>
      <c r="U10" s="28"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8"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2318</v>
      </c>
      <c r="N12" s="11" t="s">
        <v>173</v>
      </c>
      <c r="O12" s="11" t="s">
        <v>174</v>
      </c>
      <c r="P12" s="11" t="s">
        <v>175</v>
      </c>
      <c r="Q12" s="11" t="s">
        <v>119</v>
      </c>
      <c r="R12" s="11" t="s">
        <v>176</v>
      </c>
      <c r="S12" s="11" t="s">
        <v>46</v>
      </c>
      <c r="T12" s="11" t="s">
        <v>131</v>
      </c>
      <c r="U12" s="28"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8"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2319</v>
      </c>
      <c r="N14" s="11" t="s">
        <v>196</v>
      </c>
      <c r="O14" s="11" t="s">
        <v>197</v>
      </c>
      <c r="P14" s="11" t="s">
        <v>198</v>
      </c>
      <c r="Q14" s="11" t="s">
        <v>119</v>
      </c>
      <c r="R14" s="11" t="s">
        <v>199</v>
      </c>
      <c r="S14" s="11" t="s">
        <v>46</v>
      </c>
      <c r="T14" s="11" t="s">
        <v>200</v>
      </c>
      <c r="U14" s="28"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2320</v>
      </c>
      <c r="N15" s="11" t="s">
        <v>208</v>
      </c>
      <c r="O15" s="11" t="s">
        <v>209</v>
      </c>
      <c r="P15" s="11" t="s">
        <v>210</v>
      </c>
      <c r="Q15" s="11" t="s">
        <v>189</v>
      </c>
      <c r="R15" s="11" t="s">
        <v>211</v>
      </c>
      <c r="S15" s="11" t="s">
        <v>46</v>
      </c>
      <c r="T15" s="11" t="s">
        <v>200</v>
      </c>
      <c r="U15" s="28"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8" t="s">
        <v>224</v>
      </c>
    </row>
    <row r="17" spans="1:21" ht="193.8" hidden="1">
      <c r="A17" s="11" t="s">
        <v>225</v>
      </c>
      <c r="B17" s="11" t="s">
        <v>56</v>
      </c>
      <c r="C17" s="11">
        <v>12</v>
      </c>
      <c r="D17" s="11" t="s">
        <v>89</v>
      </c>
      <c r="E17" s="11" t="s">
        <v>226</v>
      </c>
      <c r="F17" s="11" t="s">
        <v>227</v>
      </c>
      <c r="G17" s="11" t="s">
        <v>228</v>
      </c>
      <c r="H17" s="11" t="s">
        <v>93</v>
      </c>
      <c r="I17" s="16">
        <v>1</v>
      </c>
      <c r="J17" s="11" t="s">
        <v>2321</v>
      </c>
      <c r="K17" s="11" t="s">
        <v>229</v>
      </c>
      <c r="L17" s="11" t="s">
        <v>230</v>
      </c>
      <c r="M17" s="11" t="s">
        <v>2322</v>
      </c>
      <c r="N17" s="11" t="s">
        <v>231</v>
      </c>
      <c r="O17" s="11" t="s">
        <v>232</v>
      </c>
      <c r="P17" s="11" t="s">
        <v>115</v>
      </c>
      <c r="Q17" s="11" t="s">
        <v>233</v>
      </c>
      <c r="R17" s="11" t="s">
        <v>234</v>
      </c>
      <c r="S17" s="11" t="s">
        <v>46</v>
      </c>
      <c r="T17" s="11" t="s">
        <v>235</v>
      </c>
      <c r="U17" s="28"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2311</v>
      </c>
      <c r="N18" s="11" t="s">
        <v>243</v>
      </c>
      <c r="O18" s="11" t="s">
        <v>244</v>
      </c>
      <c r="P18" s="11" t="s">
        <v>245</v>
      </c>
      <c r="Q18" s="11" t="s">
        <v>225</v>
      </c>
      <c r="R18" s="11" t="s">
        <v>246</v>
      </c>
      <c r="S18" s="11" t="s">
        <v>46</v>
      </c>
      <c r="T18" s="11" t="s">
        <v>247</v>
      </c>
      <c r="U18" s="28"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8"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8"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2323</v>
      </c>
      <c r="N21" s="11" t="s">
        <v>277</v>
      </c>
      <c r="O21" s="11" t="s">
        <v>278</v>
      </c>
      <c r="P21" s="11" t="s">
        <v>279</v>
      </c>
      <c r="Q21" s="11" t="s">
        <v>225</v>
      </c>
      <c r="R21" s="11" t="s">
        <v>2324</v>
      </c>
      <c r="S21" s="11" t="s">
        <v>46</v>
      </c>
      <c r="T21" s="11"/>
      <c r="U21" s="28"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2323</v>
      </c>
      <c r="N22" s="11" t="s">
        <v>287</v>
      </c>
      <c r="O22" s="11" t="s">
        <v>288</v>
      </c>
      <c r="P22" s="11" t="s">
        <v>279</v>
      </c>
      <c r="Q22" s="11" t="s">
        <v>289</v>
      </c>
      <c r="R22" s="11" t="s">
        <v>290</v>
      </c>
      <c r="S22" s="11" t="s">
        <v>46</v>
      </c>
      <c r="T22" s="11"/>
      <c r="U22" s="28"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8"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8"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8"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8"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2325</v>
      </c>
      <c r="N27" s="11" t="s">
        <v>348</v>
      </c>
      <c r="O27" s="11" t="s">
        <v>349</v>
      </c>
      <c r="P27" s="11" t="s">
        <v>350</v>
      </c>
      <c r="Q27" s="11" t="s">
        <v>351</v>
      </c>
      <c r="R27" s="11" t="s">
        <v>352</v>
      </c>
      <c r="S27" s="11" t="s">
        <v>46</v>
      </c>
      <c r="T27" s="11"/>
      <c r="U27" s="28"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2326</v>
      </c>
      <c r="N28" s="11" t="s">
        <v>359</v>
      </c>
      <c r="O28" s="11" t="s">
        <v>360</v>
      </c>
      <c r="P28" s="11" t="s">
        <v>361</v>
      </c>
      <c r="Q28" s="11" t="s">
        <v>341</v>
      </c>
      <c r="R28" s="11" t="s">
        <v>362</v>
      </c>
      <c r="S28" s="11" t="s">
        <v>46</v>
      </c>
      <c r="T28" s="11"/>
      <c r="U28" s="28"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2327</v>
      </c>
      <c r="N29" s="11" t="s">
        <v>371</v>
      </c>
      <c r="O29" s="11" t="s">
        <v>372</v>
      </c>
      <c r="P29" s="11" t="s">
        <v>373</v>
      </c>
      <c r="Q29" s="11" t="s">
        <v>341</v>
      </c>
      <c r="R29" s="11" t="s">
        <v>374</v>
      </c>
      <c r="S29" s="11" t="s">
        <v>46</v>
      </c>
      <c r="T29" s="11"/>
      <c r="U29" s="28" t="s">
        <v>375</v>
      </c>
    </row>
    <row r="30" spans="1:21" ht="193.8" hidden="1">
      <c r="A30" s="11" t="s">
        <v>376</v>
      </c>
      <c r="B30" s="11" t="s">
        <v>37</v>
      </c>
      <c r="C30" s="11">
        <v>12</v>
      </c>
      <c r="D30" s="11" t="s">
        <v>89</v>
      </c>
      <c r="E30" s="11" t="s">
        <v>226</v>
      </c>
      <c r="F30" s="11" t="s">
        <v>377</v>
      </c>
      <c r="G30" s="11" t="s">
        <v>378</v>
      </c>
      <c r="H30" s="11" t="s">
        <v>93</v>
      </c>
      <c r="I30" s="16">
        <v>0.75</v>
      </c>
      <c r="J30" s="11" t="s">
        <v>2328</v>
      </c>
      <c r="K30" s="11" t="s">
        <v>379</v>
      </c>
      <c r="L30" s="11" t="s">
        <v>380</v>
      </c>
      <c r="M30" s="11" t="s">
        <v>2329</v>
      </c>
      <c r="N30" s="11" t="s">
        <v>381</v>
      </c>
      <c r="O30" s="11" t="s">
        <v>382</v>
      </c>
      <c r="P30" s="11" t="s">
        <v>115</v>
      </c>
      <c r="Q30" s="11" t="s">
        <v>383</v>
      </c>
      <c r="R30" s="11" t="s">
        <v>384</v>
      </c>
      <c r="S30" s="11" t="s">
        <v>46</v>
      </c>
      <c r="T30" s="11"/>
      <c r="U30" s="28"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2312</v>
      </c>
      <c r="N31" s="11" t="s">
        <v>243</v>
      </c>
      <c r="O31" s="11" t="s">
        <v>390</v>
      </c>
      <c r="P31" s="11" t="s">
        <v>373</v>
      </c>
      <c r="Q31" s="11" t="s">
        <v>376</v>
      </c>
      <c r="R31" s="11" t="s">
        <v>246</v>
      </c>
      <c r="S31" s="11" t="s">
        <v>46</v>
      </c>
      <c r="T31" s="11" t="s">
        <v>391</v>
      </c>
      <c r="U31" s="28"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8"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8"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8"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8"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8"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8"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8"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8"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46</v>
      </c>
      <c r="T40" s="11"/>
      <c r="U40" s="28"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8"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2330</v>
      </c>
      <c r="N42" s="11" t="s">
        <v>516</v>
      </c>
      <c r="O42" s="11" t="s">
        <v>517</v>
      </c>
      <c r="P42" s="11" t="s">
        <v>518</v>
      </c>
      <c r="Q42" s="11" t="s">
        <v>499</v>
      </c>
      <c r="R42" s="11" t="s">
        <v>519</v>
      </c>
      <c r="S42" s="11" t="s">
        <v>46</v>
      </c>
      <c r="T42" s="11"/>
      <c r="U42" s="28" t="s">
        <v>520</v>
      </c>
    </row>
    <row r="43" spans="1:21" ht="193.8" hidden="1">
      <c r="A43" s="11" t="s">
        <v>521</v>
      </c>
      <c r="B43" s="11" t="s">
        <v>57</v>
      </c>
      <c r="C43" s="11">
        <v>12</v>
      </c>
      <c r="D43" s="11" t="s">
        <v>89</v>
      </c>
      <c r="E43" s="11" t="s">
        <v>226</v>
      </c>
      <c r="F43" s="11" t="s">
        <v>522</v>
      </c>
      <c r="G43" s="11" t="s">
        <v>523</v>
      </c>
      <c r="H43" s="11" t="s">
        <v>93</v>
      </c>
      <c r="I43" s="16">
        <v>0.75</v>
      </c>
      <c r="J43" s="11" t="s">
        <v>2331</v>
      </c>
      <c r="K43" s="11" t="s">
        <v>524</v>
      </c>
      <c r="L43" s="11" t="s">
        <v>525</v>
      </c>
      <c r="M43" s="11" t="s">
        <v>2332</v>
      </c>
      <c r="N43" s="11" t="s">
        <v>526</v>
      </c>
      <c r="O43" s="11" t="s">
        <v>527</v>
      </c>
      <c r="P43" s="11" t="s">
        <v>115</v>
      </c>
      <c r="Q43" s="11" t="s">
        <v>528</v>
      </c>
      <c r="R43" s="11" t="s">
        <v>529</v>
      </c>
      <c r="S43" s="11" t="s">
        <v>46</v>
      </c>
      <c r="T43" s="11"/>
      <c r="U43" s="28"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2313</v>
      </c>
      <c r="N44" s="11" t="s">
        <v>243</v>
      </c>
      <c r="O44" s="11" t="s">
        <v>535</v>
      </c>
      <c r="P44" s="11" t="s">
        <v>536</v>
      </c>
      <c r="Q44" s="11" t="s">
        <v>521</v>
      </c>
      <c r="R44" s="11" t="s">
        <v>246</v>
      </c>
      <c r="S44" s="11" t="s">
        <v>46</v>
      </c>
      <c r="T44" s="11" t="s">
        <v>537</v>
      </c>
      <c r="U44" s="28"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46</v>
      </c>
      <c r="T45" s="11"/>
      <c r="U45" s="28"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46</v>
      </c>
      <c r="T46" s="11"/>
      <c r="U46" s="28"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46</v>
      </c>
      <c r="T47" s="11"/>
      <c r="U47" s="28"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46</v>
      </c>
      <c r="T48" s="11"/>
      <c r="U48" s="28"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46</v>
      </c>
      <c r="T49" s="11"/>
      <c r="U49" s="28"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46</v>
      </c>
      <c r="T50" s="11"/>
      <c r="U50" s="28"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46</v>
      </c>
      <c r="T51" s="11"/>
      <c r="U51" s="28"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46</v>
      </c>
      <c r="T52" s="11"/>
      <c r="U52" s="28"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46</v>
      </c>
      <c r="T53" s="11"/>
      <c r="U53" s="28"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46</v>
      </c>
      <c r="T54" s="11"/>
      <c r="U54" s="28"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2333</v>
      </c>
      <c r="N55" s="11" t="s">
        <v>657</v>
      </c>
      <c r="O55" s="11" t="s">
        <v>658</v>
      </c>
      <c r="P55" s="11" t="s">
        <v>518</v>
      </c>
      <c r="Q55" s="11" t="s">
        <v>659</v>
      </c>
      <c r="R55" s="11" t="s">
        <v>660</v>
      </c>
      <c r="S55" s="11" t="s">
        <v>46</v>
      </c>
      <c r="T55" s="11"/>
      <c r="U55" s="28" t="s">
        <v>661</v>
      </c>
    </row>
    <row r="56" spans="1:21" ht="193.8" hidden="1">
      <c r="A56" s="11" t="s">
        <v>662</v>
      </c>
      <c r="B56" s="11" t="s">
        <v>58</v>
      </c>
      <c r="C56" s="11">
        <v>12</v>
      </c>
      <c r="D56" s="11" t="s">
        <v>89</v>
      </c>
      <c r="E56" s="11" t="s">
        <v>226</v>
      </c>
      <c r="F56" s="11" t="s">
        <v>663</v>
      </c>
      <c r="G56" s="11" t="s">
        <v>664</v>
      </c>
      <c r="H56" s="11" t="s">
        <v>93</v>
      </c>
      <c r="I56" s="16">
        <v>0.75</v>
      </c>
      <c r="J56" s="11" t="s">
        <v>2334</v>
      </c>
      <c r="K56" s="11" t="s">
        <v>665</v>
      </c>
      <c r="L56" s="11" t="s">
        <v>666</v>
      </c>
      <c r="M56" s="11" t="s">
        <v>2335</v>
      </c>
      <c r="N56" s="11" t="s">
        <v>667</v>
      </c>
      <c r="O56" s="11" t="s">
        <v>668</v>
      </c>
      <c r="P56" s="11" t="s">
        <v>115</v>
      </c>
      <c r="Q56" s="11" t="s">
        <v>669</v>
      </c>
      <c r="R56" s="11" t="s">
        <v>670</v>
      </c>
      <c r="S56" s="11" t="s">
        <v>46</v>
      </c>
      <c r="T56" s="11"/>
      <c r="U56" s="28"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2314</v>
      </c>
      <c r="N57" s="11" t="s">
        <v>243</v>
      </c>
      <c r="O57" s="11" t="s">
        <v>676</v>
      </c>
      <c r="P57" s="11" t="s">
        <v>677</v>
      </c>
      <c r="Q57" s="11" t="s">
        <v>662</v>
      </c>
      <c r="R57" s="11" t="s">
        <v>246</v>
      </c>
      <c r="S57" s="11" t="s">
        <v>46</v>
      </c>
      <c r="T57" s="11" t="s">
        <v>678</v>
      </c>
      <c r="U57" s="28" t="s">
        <v>679</v>
      </c>
    </row>
    <row r="58" spans="1:21" ht="96.6">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2570</v>
      </c>
      <c r="T58" s="11"/>
      <c r="U58" s="28"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2336</v>
      </c>
      <c r="N59" s="11" t="s">
        <v>698</v>
      </c>
      <c r="O59" s="11" t="s">
        <v>699</v>
      </c>
      <c r="P59" s="11" t="s">
        <v>198</v>
      </c>
      <c r="Q59" s="11" t="s">
        <v>680</v>
      </c>
      <c r="R59" s="11" t="s">
        <v>700</v>
      </c>
      <c r="S59" s="11" t="s">
        <v>303</v>
      </c>
      <c r="T59" s="11"/>
      <c r="U59" s="28"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2337</v>
      </c>
      <c r="N60" s="11" t="s">
        <v>708</v>
      </c>
      <c r="O60" s="11" t="s">
        <v>709</v>
      </c>
      <c r="P60" s="11" t="s">
        <v>710</v>
      </c>
      <c r="Q60" s="11" t="s">
        <v>711</v>
      </c>
      <c r="R60" s="11" t="s">
        <v>712</v>
      </c>
      <c r="S60" s="11" t="s">
        <v>303</v>
      </c>
      <c r="T60" s="11"/>
      <c r="U60" s="28"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2338</v>
      </c>
      <c r="N61" s="11" t="s">
        <v>720</v>
      </c>
      <c r="O61" s="11" t="s">
        <v>721</v>
      </c>
      <c r="P61" s="11" t="s">
        <v>722</v>
      </c>
      <c r="Q61" s="11" t="s">
        <v>680</v>
      </c>
      <c r="R61" s="11" t="s">
        <v>723</v>
      </c>
      <c r="S61" s="11" t="s">
        <v>303</v>
      </c>
      <c r="T61" s="11"/>
      <c r="U61" s="28"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8"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2339</v>
      </c>
      <c r="N63" s="11" t="s">
        <v>745</v>
      </c>
      <c r="O63" s="11" t="s">
        <v>746</v>
      </c>
      <c r="P63" s="11" t="s">
        <v>747</v>
      </c>
      <c r="Q63" s="11" t="s">
        <v>748</v>
      </c>
      <c r="R63" s="11" t="s">
        <v>749</v>
      </c>
      <c r="S63" s="11" t="s">
        <v>303</v>
      </c>
      <c r="T63" s="11"/>
      <c r="U63" s="28"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8"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2340</v>
      </c>
      <c r="N65" s="11" t="s">
        <v>769</v>
      </c>
      <c r="O65" s="11" t="s">
        <v>770</v>
      </c>
      <c r="P65" s="11" t="s">
        <v>164</v>
      </c>
      <c r="Q65" s="11" t="s">
        <v>751</v>
      </c>
      <c r="R65" s="11" t="s">
        <v>771</v>
      </c>
      <c r="S65" s="11" t="s">
        <v>303</v>
      </c>
      <c r="T65" s="11"/>
      <c r="U65" s="28"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8"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8"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8"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2341</v>
      </c>
      <c r="N69" s="11" t="s">
        <v>811</v>
      </c>
      <c r="O69" s="11" t="s">
        <v>812</v>
      </c>
      <c r="P69" s="11" t="s">
        <v>222</v>
      </c>
      <c r="Q69" s="11" t="s">
        <v>795</v>
      </c>
      <c r="R69" s="11" t="s">
        <v>813</v>
      </c>
      <c r="S69" s="11" t="s">
        <v>303</v>
      </c>
      <c r="T69" s="11"/>
      <c r="U69" s="28" t="s">
        <v>814</v>
      </c>
    </row>
    <row r="70" spans="1:21" ht="96.6" hidden="1">
      <c r="A70" s="11" t="s">
        <v>815</v>
      </c>
      <c r="B70" s="11" t="s">
        <v>59</v>
      </c>
      <c r="C70" s="11">
        <v>13</v>
      </c>
      <c r="D70" s="11" t="s">
        <v>89</v>
      </c>
      <c r="E70" s="11" t="s">
        <v>226</v>
      </c>
      <c r="F70" s="11" t="s">
        <v>816</v>
      </c>
      <c r="G70" s="11" t="s">
        <v>817</v>
      </c>
      <c r="H70" s="11" t="s">
        <v>93</v>
      </c>
      <c r="I70" s="16">
        <v>0.75</v>
      </c>
      <c r="J70" s="11" t="s">
        <v>2342</v>
      </c>
      <c r="K70" s="11" t="s">
        <v>818</v>
      </c>
      <c r="L70" s="11" t="s">
        <v>819</v>
      </c>
      <c r="M70" s="11" t="s">
        <v>820</v>
      </c>
      <c r="N70" s="11" t="s">
        <v>821</v>
      </c>
      <c r="O70" s="11" t="s">
        <v>822</v>
      </c>
      <c r="P70" s="11" t="s">
        <v>115</v>
      </c>
      <c r="Q70" s="11" t="s">
        <v>823</v>
      </c>
      <c r="R70" s="11" t="s">
        <v>824</v>
      </c>
      <c r="S70" s="11" t="s">
        <v>303</v>
      </c>
      <c r="T70" s="11"/>
      <c r="U70" s="28"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2315</v>
      </c>
      <c r="N71" s="11" t="s">
        <v>243</v>
      </c>
      <c r="O71" s="11" t="s">
        <v>830</v>
      </c>
      <c r="P71" s="11" t="s">
        <v>831</v>
      </c>
      <c r="Q71" s="11" t="s">
        <v>815</v>
      </c>
      <c r="R71" s="11" t="s">
        <v>246</v>
      </c>
      <c r="S71" s="11" t="s">
        <v>303</v>
      </c>
      <c r="T71" s="11" t="s">
        <v>832</v>
      </c>
      <c r="U71" s="28"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8"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8"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8"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8"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8"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8"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8"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8"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8"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8" t="s">
        <v>949</v>
      </c>
    </row>
    <row r="82" spans="1:21" ht="110.4" hidden="1">
      <c r="A82" t="s">
        <v>950</v>
      </c>
      <c r="B82" t="s">
        <v>60</v>
      </c>
      <c r="C82">
        <v>11</v>
      </c>
      <c r="D82" t="s">
        <v>89</v>
      </c>
      <c r="E82" t="s">
        <v>951</v>
      </c>
      <c r="F82" t="s">
        <v>952</v>
      </c>
      <c r="G82" t="s">
        <v>953</v>
      </c>
      <c r="H82" t="s">
        <v>93</v>
      </c>
      <c r="I82">
        <v>0.75</v>
      </c>
      <c r="J82" t="s">
        <v>942</v>
      </c>
      <c r="K82" t="s">
        <v>357</v>
      </c>
      <c r="L82" t="s">
        <v>954</v>
      </c>
      <c r="M82" t="s">
        <v>2343</v>
      </c>
      <c r="N82" t="s">
        <v>955</v>
      </c>
      <c r="O82" t="s">
        <v>956</v>
      </c>
      <c r="P82" t="s">
        <v>518</v>
      </c>
      <c r="Q82" t="s">
        <v>938</v>
      </c>
      <c r="R82" t="s">
        <v>957</v>
      </c>
      <c r="S82" t="s">
        <v>303</v>
      </c>
      <c r="U82" s="28"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8"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8" t="s">
        <v>980</v>
      </c>
    </row>
    <row r="85" spans="1:21" ht="69" hidden="1">
      <c r="A85" t="s">
        <v>981</v>
      </c>
      <c r="B85" t="s">
        <v>60</v>
      </c>
      <c r="C85">
        <v>14</v>
      </c>
      <c r="D85" t="s">
        <v>89</v>
      </c>
      <c r="E85" t="s">
        <v>238</v>
      </c>
      <c r="F85" t="s">
        <v>982</v>
      </c>
      <c r="G85" t="s">
        <v>983</v>
      </c>
      <c r="H85" t="s">
        <v>109</v>
      </c>
      <c r="I85">
        <v>1.5</v>
      </c>
      <c r="J85" t="s">
        <v>241</v>
      </c>
      <c r="K85" t="s">
        <v>101</v>
      </c>
      <c r="L85" t="s">
        <v>984</v>
      </c>
      <c r="M85" t="s">
        <v>2316</v>
      </c>
      <c r="N85" t="s">
        <v>985</v>
      </c>
      <c r="O85" t="s">
        <v>986</v>
      </c>
      <c r="P85" t="s">
        <v>987</v>
      </c>
      <c r="Q85" t="s">
        <v>970</v>
      </c>
      <c r="R85" t="s">
        <v>246</v>
      </c>
      <c r="S85" t="s">
        <v>303</v>
      </c>
      <c r="T85" t="s">
        <v>988</v>
      </c>
      <c r="U85" s="28"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4" workbookViewId="0">
      <selection activeCell="N17" sqref="N17"/>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990</v>
      </c>
      <c r="B1" s="74"/>
      <c r="C1" s="74"/>
      <c r="D1" s="74"/>
      <c r="E1" s="74"/>
      <c r="F1" s="74"/>
      <c r="G1" s="74"/>
      <c r="H1" s="74"/>
      <c r="I1" s="74"/>
      <c r="J1" s="74"/>
      <c r="K1" s="74"/>
      <c r="L1" s="74"/>
      <c r="M1" s="74"/>
      <c r="N1" s="74"/>
      <c r="O1" s="74"/>
    </row>
    <row r="2" spans="1:16" ht="31.95" customHeight="1">
      <c r="A2" s="75" t="s">
        <v>991</v>
      </c>
      <c r="B2" s="75"/>
      <c r="C2" s="75"/>
      <c r="D2" s="75"/>
      <c r="E2" s="75"/>
      <c r="F2" s="75"/>
      <c r="G2" s="75"/>
      <c r="H2" s="75"/>
      <c r="I2" s="75"/>
      <c r="J2" s="75"/>
      <c r="K2" s="75"/>
      <c r="L2" s="75"/>
      <c r="M2" s="75"/>
      <c r="N2" s="75"/>
      <c r="O2" s="75"/>
    </row>
    <row r="4" spans="1:16" ht="28.05" customHeight="1">
      <c r="A4" s="59" t="s">
        <v>55</v>
      </c>
      <c r="B4" s="61"/>
      <c r="D4" s="59" t="s">
        <v>48</v>
      </c>
      <c r="E4" s="61"/>
      <c r="G4" s="59" t="s">
        <v>992</v>
      </c>
      <c r="H4" s="60"/>
      <c r="I4" s="60"/>
      <c r="J4" s="60"/>
      <c r="K4" s="60"/>
      <c r="L4" s="60"/>
      <c r="M4" s="60"/>
      <c r="N4" s="60"/>
      <c r="O4" s="61"/>
    </row>
    <row r="5" spans="1:16">
      <c r="A5" s="99">
        <f>IF(COUNTA(O10:O40)=0,0,COUNTIF(O10:O40,"Done")/COUNTA(A10:A40))</f>
        <v>0.56521739130434778</v>
      </c>
      <c r="B5" s="100"/>
      <c r="D5" s="103">
        <f>COUNTIF(O10:O40,"Blocked")</f>
        <v>0</v>
      </c>
      <c r="E5" s="104"/>
      <c r="G5" s="107" t="s">
        <v>993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2317</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2318</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2319</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2320</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2321</v>
      </c>
      <c r="J21" s="11" t="s">
        <v>229</v>
      </c>
      <c r="K21" s="11" t="s">
        <v>230</v>
      </c>
      <c r="L21" s="11" t="s">
        <v>2322</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2311</v>
      </c>
      <c r="M22" t="s">
        <v>244</v>
      </c>
      <c r="N22" t="s">
        <v>246</v>
      </c>
      <c r="O22" s="11" t="s">
        <v>46</v>
      </c>
      <c r="P22" s="29" t="s">
        <v>248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2321</v>
      </c>
      <c r="C32" s="35" t="s">
        <v>1036</v>
      </c>
      <c r="D32" s="35" t="s">
        <v>1037</v>
      </c>
      <c r="E32" s="35" t="s">
        <v>2344</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1043</v>
      </c>
      <c r="B1" s="74"/>
      <c r="C1" s="74"/>
      <c r="D1" s="74"/>
      <c r="E1" s="74"/>
      <c r="F1" s="74"/>
      <c r="G1" s="74"/>
      <c r="H1" s="74"/>
      <c r="I1" s="74"/>
      <c r="J1" s="74"/>
      <c r="K1" s="74"/>
      <c r="L1" s="74"/>
      <c r="M1" s="74"/>
      <c r="N1" s="74"/>
      <c r="O1" s="74"/>
    </row>
    <row r="2" spans="1:16" ht="31.95" customHeight="1">
      <c r="A2" s="75" t="s">
        <v>1044</v>
      </c>
      <c r="B2" s="75"/>
      <c r="C2" s="75"/>
      <c r="D2" s="75"/>
      <c r="E2" s="75"/>
      <c r="F2" s="75"/>
      <c r="G2" s="75"/>
      <c r="H2" s="75"/>
      <c r="I2" s="75"/>
      <c r="J2" s="75"/>
      <c r="K2" s="75"/>
      <c r="L2" s="75"/>
      <c r="M2" s="75"/>
      <c r="N2" s="75"/>
      <c r="O2" s="75"/>
    </row>
    <row r="4" spans="1:16" ht="28.05" customHeight="1">
      <c r="A4" s="59" t="s">
        <v>55</v>
      </c>
      <c r="B4" s="61"/>
      <c r="D4" s="59" t="s">
        <v>48</v>
      </c>
      <c r="E4" s="61"/>
      <c r="G4" s="59" t="s">
        <v>992</v>
      </c>
      <c r="H4" s="60"/>
      <c r="I4" s="60"/>
      <c r="J4" s="60"/>
      <c r="K4" s="60"/>
      <c r="L4" s="60"/>
      <c r="M4" s="60"/>
      <c r="N4" s="60"/>
      <c r="O4" s="61"/>
    </row>
    <row r="5" spans="1:16">
      <c r="A5" s="99">
        <f>IF(COUNTA(O10:O40)=0,0,COUNTIF(O10:O40,"Done")/COUNTA(A10:A40))</f>
        <v>0.59090909090909094</v>
      </c>
      <c r="B5" s="100"/>
      <c r="D5" s="103">
        <f>COUNTIF(O10:O40,"Blocked")</f>
        <v>0</v>
      </c>
      <c r="E5" s="104"/>
      <c r="G5" s="107" t="s">
        <v>1045</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2323</v>
      </c>
      <c r="M12" s="11" t="s">
        <v>278</v>
      </c>
      <c r="N12" s="11" t="s">
        <v>2324</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2323</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2325</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2326</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2327</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2328</v>
      </c>
      <c r="J21" s="11" t="s">
        <v>379</v>
      </c>
      <c r="K21" s="11" t="s">
        <v>380</v>
      </c>
      <c r="L21" s="11" t="s">
        <v>2329</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2312</v>
      </c>
      <c r="M22" t="s">
        <v>390</v>
      </c>
      <c r="N22" t="s">
        <v>246</v>
      </c>
      <c r="O22" s="11" t="s">
        <v>46</v>
      </c>
      <c r="P22" s="29" t="s">
        <v>392</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2345</v>
      </c>
      <c r="G30" s="22" t="s">
        <v>1065</v>
      </c>
    </row>
    <row r="31" spans="1:16" ht="52.05" customHeight="1">
      <c r="A31" s="35">
        <v>6</v>
      </c>
      <c r="B31" s="35" t="s">
        <v>2328</v>
      </c>
      <c r="C31" s="35" t="s">
        <v>1036</v>
      </c>
      <c r="D31" s="35" t="s">
        <v>1037</v>
      </c>
      <c r="E31" s="35" t="s">
        <v>2346</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L18" workbookViewId="0">
      <selection activeCell="P21" sqref="P21"/>
    </sheetView>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bestFit="1" customWidth="1"/>
    <col min="10" max="10" width="18" customWidth="1"/>
    <col min="11" max="11" width="36" customWidth="1"/>
    <col min="12" max="12" width="38" customWidth="1"/>
    <col min="13" max="13" width="31" bestFit="1" customWidth="1"/>
    <col min="14" max="14" width="40.796875" customWidth="1"/>
    <col min="15" max="15" width="16" customWidth="1"/>
    <col min="16" max="16" width="52" style="27" customWidth="1"/>
  </cols>
  <sheetData>
    <row r="1" spans="1:16" ht="31.95" customHeight="1">
      <c r="A1" s="74" t="s">
        <v>1068</v>
      </c>
      <c r="B1" s="74"/>
      <c r="C1" s="74"/>
      <c r="D1" s="74"/>
      <c r="E1" s="74"/>
      <c r="F1" s="74"/>
      <c r="G1" s="74"/>
      <c r="H1" s="74"/>
      <c r="I1" s="74"/>
      <c r="J1" s="74"/>
      <c r="K1" s="74"/>
      <c r="L1" s="74"/>
      <c r="M1" s="74"/>
      <c r="N1" s="74"/>
      <c r="O1" s="74"/>
    </row>
    <row r="2" spans="1:16" ht="31.95" customHeight="1">
      <c r="A2" s="75" t="s">
        <v>1069</v>
      </c>
      <c r="B2" s="75"/>
      <c r="C2" s="75"/>
      <c r="D2" s="75"/>
      <c r="E2" s="75"/>
      <c r="F2" s="75"/>
      <c r="G2" s="75"/>
      <c r="H2" s="75"/>
      <c r="I2" s="75"/>
      <c r="J2" s="75"/>
      <c r="K2" s="75"/>
      <c r="L2" s="75"/>
      <c r="M2" s="75"/>
      <c r="N2" s="75"/>
      <c r="O2" s="75"/>
    </row>
    <row r="4" spans="1:16" ht="28.05" customHeight="1">
      <c r="A4" s="59" t="s">
        <v>55</v>
      </c>
      <c r="B4" s="61"/>
      <c r="D4" s="59" t="s">
        <v>48</v>
      </c>
      <c r="E4" s="61"/>
      <c r="G4" s="59" t="s">
        <v>992</v>
      </c>
      <c r="H4" s="60"/>
      <c r="I4" s="60"/>
      <c r="J4" s="60"/>
      <c r="K4" s="60"/>
      <c r="L4" s="60"/>
      <c r="M4" s="60"/>
      <c r="N4" s="60"/>
      <c r="O4" s="61"/>
    </row>
    <row r="5" spans="1:16">
      <c r="A5" s="99">
        <f>IF(COUNTA(O10:O40)=0,0,COUNTIF(O10:O40,"Done")/COUNTA(A10:A40))</f>
        <v>0.5714285714285714</v>
      </c>
      <c r="B5" s="100"/>
      <c r="D5" s="103">
        <f>COUNTIF(O10:O40,"Blocked")</f>
        <v>0</v>
      </c>
      <c r="E5" s="104"/>
      <c r="G5" s="107" t="s">
        <v>1070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8"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8"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8"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8"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8"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8"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8"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8"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8"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2596</v>
      </c>
      <c r="P18" s="28"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8"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2330</v>
      </c>
      <c r="M20" s="11" t="s">
        <v>517</v>
      </c>
      <c r="N20" s="11" t="s">
        <v>519</v>
      </c>
      <c r="O20" s="11" t="s">
        <v>46</v>
      </c>
      <c r="P20" s="28" t="s">
        <v>520</v>
      </c>
    </row>
    <row r="21" spans="1:16" ht="193.8">
      <c r="A21" s="11" t="s">
        <v>521</v>
      </c>
      <c r="B21" s="11">
        <v>12</v>
      </c>
      <c r="C21" s="11" t="s">
        <v>89</v>
      </c>
      <c r="D21" s="11" t="s">
        <v>226</v>
      </c>
      <c r="E21" s="11" t="s">
        <v>522</v>
      </c>
      <c r="F21" s="11" t="s">
        <v>523</v>
      </c>
      <c r="G21" s="11" t="s">
        <v>93</v>
      </c>
      <c r="H21" s="16">
        <v>0.75</v>
      </c>
      <c r="I21" s="11" t="s">
        <v>2331</v>
      </c>
      <c r="J21" s="11" t="s">
        <v>524</v>
      </c>
      <c r="K21" s="11" t="s">
        <v>525</v>
      </c>
      <c r="L21" s="11" t="s">
        <v>2332</v>
      </c>
      <c r="M21" s="11" t="s">
        <v>527</v>
      </c>
      <c r="N21" s="11" t="s">
        <v>529</v>
      </c>
      <c r="O21" s="11" t="s">
        <v>46</v>
      </c>
      <c r="P21" s="28" t="s">
        <v>530</v>
      </c>
    </row>
    <row r="22" spans="1:16" ht="82.8">
      <c r="A22" t="s">
        <v>531</v>
      </c>
      <c r="B22">
        <v>13</v>
      </c>
      <c r="C22" t="s">
        <v>89</v>
      </c>
      <c r="D22" t="s">
        <v>238</v>
      </c>
      <c r="E22" t="s">
        <v>532</v>
      </c>
      <c r="F22" t="s">
        <v>533</v>
      </c>
      <c r="G22" t="s">
        <v>109</v>
      </c>
      <c r="H22">
        <v>1</v>
      </c>
      <c r="I22" t="s">
        <v>241</v>
      </c>
      <c r="J22" t="s">
        <v>101</v>
      </c>
      <c r="K22" t="s">
        <v>534</v>
      </c>
      <c r="L22" t="s">
        <v>2313</v>
      </c>
      <c r="M22" t="s">
        <v>535</v>
      </c>
      <c r="N22" t="s">
        <v>246</v>
      </c>
      <c r="O22" s="11" t="s">
        <v>46</v>
      </c>
      <c r="P22" s="28" t="s">
        <v>538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56"/>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2331</v>
      </c>
      <c r="C30" s="35" t="s">
        <v>1036</v>
      </c>
      <c r="D30" s="35" t="s">
        <v>1037</v>
      </c>
      <c r="E30" s="35" t="s">
        <v>2347</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topLeftCell="K20" workbookViewId="0">
      <selection activeCell="O22" sqref="O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74" t="s">
        <v>1089</v>
      </c>
      <c r="B1" s="74"/>
      <c r="C1" s="74"/>
      <c r="D1" s="74"/>
      <c r="E1" s="74"/>
      <c r="F1" s="74"/>
      <c r="G1" s="74"/>
      <c r="H1" s="74"/>
      <c r="I1" s="74"/>
      <c r="J1" s="74"/>
      <c r="K1" s="74"/>
      <c r="L1" s="74"/>
      <c r="M1" s="74"/>
      <c r="N1" s="74"/>
      <c r="O1" s="74"/>
    </row>
    <row r="2" spans="1:16" ht="31.95" customHeight="1">
      <c r="A2" s="75" t="s">
        <v>1090</v>
      </c>
      <c r="B2" s="75"/>
      <c r="C2" s="75"/>
      <c r="D2" s="75"/>
      <c r="E2" s="75"/>
      <c r="F2" s="75"/>
      <c r="G2" s="75"/>
      <c r="H2" s="75"/>
      <c r="I2" s="75"/>
      <c r="J2" s="75"/>
      <c r="K2" s="75"/>
      <c r="L2" s="75"/>
      <c r="M2" s="75"/>
      <c r="N2" s="75"/>
      <c r="O2" s="75"/>
    </row>
    <row r="4" spans="1:16" ht="28.05" customHeight="1">
      <c r="A4" s="59" t="s">
        <v>55</v>
      </c>
      <c r="B4" s="61"/>
      <c r="D4" s="59" t="s">
        <v>48</v>
      </c>
      <c r="E4" s="61"/>
      <c r="G4" s="59" t="s">
        <v>992</v>
      </c>
      <c r="H4" s="60"/>
      <c r="I4" s="60"/>
      <c r="J4" s="60"/>
      <c r="K4" s="60"/>
      <c r="L4" s="60"/>
      <c r="M4" s="60"/>
      <c r="N4" s="60"/>
      <c r="O4" s="61"/>
    </row>
    <row r="5" spans="1:16">
      <c r="A5" s="99">
        <f>IF(COUNTA(O10:O40)=0,0,COUNTIF(O10:O40,"Done")/COUNTA(A10:A40))</f>
        <v>0.61904761904761907</v>
      </c>
      <c r="B5" s="100"/>
      <c r="D5" s="103">
        <f>COUNTIF(O10:O40,"Blocked")</f>
        <v>0</v>
      </c>
      <c r="E5" s="104"/>
      <c r="G5" s="107" t="s">
        <v>1091</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8"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46</v>
      </c>
      <c r="P10" s="28"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46</v>
      </c>
      <c r="P11" s="28"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46</v>
      </c>
      <c r="P12" s="28"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46</v>
      </c>
      <c r="P13" s="28"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46</v>
      </c>
      <c r="P14" s="28"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46</v>
      </c>
      <c r="P15" s="28"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46</v>
      </c>
      <c r="P16" s="28"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46</v>
      </c>
      <c r="P17" s="28"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46</v>
      </c>
      <c r="P18" s="28"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46</v>
      </c>
      <c r="P19" s="28"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2333</v>
      </c>
      <c r="M20" s="11" t="s">
        <v>658</v>
      </c>
      <c r="N20" s="11" t="s">
        <v>660</v>
      </c>
      <c r="O20" s="11" t="s">
        <v>46</v>
      </c>
      <c r="P20" s="28" t="s">
        <v>661</v>
      </c>
    </row>
    <row r="21" spans="1:16" ht="193.8">
      <c r="A21" s="11" t="s">
        <v>662</v>
      </c>
      <c r="B21" s="11">
        <v>12</v>
      </c>
      <c r="C21" s="11" t="s">
        <v>89</v>
      </c>
      <c r="D21" s="11" t="s">
        <v>226</v>
      </c>
      <c r="E21" s="11" t="s">
        <v>663</v>
      </c>
      <c r="F21" s="11" t="s">
        <v>664</v>
      </c>
      <c r="G21" s="11" t="s">
        <v>93</v>
      </c>
      <c r="H21" s="16">
        <v>0.75</v>
      </c>
      <c r="I21" s="11" t="s">
        <v>2334</v>
      </c>
      <c r="J21" s="11" t="s">
        <v>665</v>
      </c>
      <c r="K21" s="11" t="s">
        <v>666</v>
      </c>
      <c r="L21" s="11" t="s">
        <v>2335</v>
      </c>
      <c r="M21" s="11" t="s">
        <v>668</v>
      </c>
      <c r="N21" s="11" t="s">
        <v>670</v>
      </c>
      <c r="O21" s="11" t="s">
        <v>46</v>
      </c>
      <c r="P21" s="28" t="s">
        <v>671</v>
      </c>
    </row>
    <row r="22" spans="1:16" ht="82.8">
      <c r="A22" t="s">
        <v>672</v>
      </c>
      <c r="B22">
        <v>13</v>
      </c>
      <c r="C22" t="s">
        <v>89</v>
      </c>
      <c r="D22" t="s">
        <v>238</v>
      </c>
      <c r="E22" t="s">
        <v>673</v>
      </c>
      <c r="F22" t="s">
        <v>674</v>
      </c>
      <c r="G22" t="s">
        <v>109</v>
      </c>
      <c r="H22">
        <v>1</v>
      </c>
      <c r="I22" t="s">
        <v>241</v>
      </c>
      <c r="J22" t="s">
        <v>101</v>
      </c>
      <c r="K22" t="s">
        <v>675</v>
      </c>
      <c r="L22" t="s">
        <v>2314</v>
      </c>
      <c r="M22" t="s">
        <v>676</v>
      </c>
      <c r="N22" t="s">
        <v>246</v>
      </c>
      <c r="O22" s="11" t="s">
        <v>46</v>
      </c>
      <c r="P22" s="28" t="s">
        <v>679</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56"/>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2334</v>
      </c>
      <c r="C30" s="35" t="s">
        <v>1036</v>
      </c>
      <c r="D30" s="35" t="s">
        <v>1037</v>
      </c>
      <c r="E30" s="35" t="s">
        <v>2348</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J1" workbookViewId="0">
      <selection activeCell="O10" sqref="O10"/>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1110</v>
      </c>
      <c r="B1" s="74"/>
      <c r="C1" s="74"/>
      <c r="D1" s="74"/>
      <c r="E1" s="74"/>
      <c r="F1" s="74"/>
      <c r="G1" s="74"/>
      <c r="H1" s="74"/>
      <c r="I1" s="74"/>
      <c r="J1" s="74"/>
      <c r="K1" s="74"/>
      <c r="L1" s="74"/>
      <c r="M1" s="74"/>
      <c r="N1" s="74"/>
      <c r="O1" s="74"/>
    </row>
    <row r="2" spans="1:16" ht="31.95" customHeight="1">
      <c r="A2" s="75" t="s">
        <v>1111</v>
      </c>
      <c r="B2" s="75"/>
      <c r="C2" s="75"/>
      <c r="D2" s="75"/>
      <c r="E2" s="75"/>
      <c r="F2" s="75"/>
      <c r="G2" s="75"/>
      <c r="H2" s="75"/>
      <c r="I2" s="75"/>
      <c r="J2" s="75"/>
      <c r="K2" s="75"/>
      <c r="L2" s="75"/>
      <c r="M2" s="75"/>
      <c r="N2" s="75"/>
      <c r="O2" s="75"/>
    </row>
    <row r="4" spans="1:16" ht="28.05" customHeight="1">
      <c r="A4" s="59" t="s">
        <v>55</v>
      </c>
      <c r="B4" s="61"/>
      <c r="D4" s="59" t="s">
        <v>48</v>
      </c>
      <c r="E4" s="61"/>
      <c r="G4" s="59" t="s">
        <v>992</v>
      </c>
      <c r="H4" s="60"/>
      <c r="I4" s="60"/>
      <c r="J4" s="60"/>
      <c r="K4" s="60"/>
      <c r="L4" s="60"/>
      <c r="M4" s="60"/>
      <c r="N4" s="60"/>
      <c r="O4" s="61"/>
    </row>
    <row r="5" spans="1:16">
      <c r="A5" s="99">
        <f>IF(COUNTA(O10:O40)=0,0,COUNTIF(O10:O40,"Done")/COUNTA(A10:A40))</f>
        <v>0</v>
      </c>
      <c r="B5" s="100"/>
      <c r="D5" s="103">
        <f>COUNTIF(O10:O40,"Blocked")</f>
        <v>0</v>
      </c>
      <c r="E5" s="104"/>
      <c r="G5" s="107" t="s">
        <v>1112</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2570</v>
      </c>
      <c r="P10" s="29" t="s">
        <v>691</v>
      </c>
    </row>
    <row r="11" spans="1:16" ht="193.8" hidden="1">
      <c r="A11" s="11" t="s">
        <v>692</v>
      </c>
      <c r="B11" s="11">
        <v>2</v>
      </c>
      <c r="C11" s="11" t="s">
        <v>89</v>
      </c>
      <c r="D11" s="11" t="s">
        <v>693</v>
      </c>
      <c r="E11" s="11" t="s">
        <v>694</v>
      </c>
      <c r="F11" s="11" t="s">
        <v>695</v>
      </c>
      <c r="G11" s="11" t="s">
        <v>123</v>
      </c>
      <c r="H11" s="16">
        <v>1.25</v>
      </c>
      <c r="I11" s="11" t="s">
        <v>696</v>
      </c>
      <c r="J11" s="11" t="s">
        <v>194</v>
      </c>
      <c r="K11" s="11" t="s">
        <v>697</v>
      </c>
      <c r="L11" s="11" t="s">
        <v>2336</v>
      </c>
      <c r="M11" s="11" t="s">
        <v>699</v>
      </c>
      <c r="N11" s="11" t="s">
        <v>700</v>
      </c>
      <c r="O11" s="11" t="s">
        <v>303</v>
      </c>
      <c r="P11" s="29" t="s">
        <v>701</v>
      </c>
    </row>
    <row r="12" spans="1:16" ht="193.8" hidden="1">
      <c r="A12" s="11" t="s">
        <v>702</v>
      </c>
      <c r="B12" s="11">
        <v>3</v>
      </c>
      <c r="C12" s="11" t="s">
        <v>89</v>
      </c>
      <c r="D12" s="11" t="s">
        <v>703</v>
      </c>
      <c r="E12" s="11" t="s">
        <v>704</v>
      </c>
      <c r="F12" s="11" t="s">
        <v>705</v>
      </c>
      <c r="G12" s="11" t="s">
        <v>123</v>
      </c>
      <c r="H12" s="16">
        <v>1.25</v>
      </c>
      <c r="I12" s="11" t="s">
        <v>696</v>
      </c>
      <c r="J12" s="11" t="s">
        <v>706</v>
      </c>
      <c r="K12" s="11" t="s">
        <v>707</v>
      </c>
      <c r="L12" s="11" t="s">
        <v>2337</v>
      </c>
      <c r="M12" s="11" t="s">
        <v>709</v>
      </c>
      <c r="N12" s="11" t="s">
        <v>712</v>
      </c>
      <c r="O12" s="11" t="s">
        <v>303</v>
      </c>
      <c r="P12" s="29" t="s">
        <v>713</v>
      </c>
    </row>
    <row r="13" spans="1:16" ht="193.8" hidden="1">
      <c r="A13" s="11" t="s">
        <v>714</v>
      </c>
      <c r="B13" s="11">
        <v>4</v>
      </c>
      <c r="C13" s="11" t="s">
        <v>89</v>
      </c>
      <c r="D13" s="11" t="s">
        <v>715</v>
      </c>
      <c r="E13" s="11" t="s">
        <v>716</v>
      </c>
      <c r="F13" s="11" t="s">
        <v>717</v>
      </c>
      <c r="G13" s="11" t="s">
        <v>123</v>
      </c>
      <c r="H13" s="16">
        <v>1.25</v>
      </c>
      <c r="I13" s="11" t="s">
        <v>696</v>
      </c>
      <c r="J13" s="11" t="s">
        <v>718</v>
      </c>
      <c r="K13" s="11" t="s">
        <v>719</v>
      </c>
      <c r="L13" s="11" t="s">
        <v>2338</v>
      </c>
      <c r="M13" s="11" t="s">
        <v>721</v>
      </c>
      <c r="N13" s="11" t="s">
        <v>723</v>
      </c>
      <c r="O13" s="11" t="s">
        <v>303</v>
      </c>
      <c r="P13" s="29" t="s">
        <v>724</v>
      </c>
    </row>
    <row r="14" spans="1:16" ht="110.4" hidden="1">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hidden="1">
      <c r="A15" s="11" t="s">
        <v>738</v>
      </c>
      <c r="B15" s="11">
        <v>6</v>
      </c>
      <c r="C15" s="11" t="s">
        <v>89</v>
      </c>
      <c r="D15" s="11" t="s">
        <v>739</v>
      </c>
      <c r="E15" s="11" t="s">
        <v>740</v>
      </c>
      <c r="F15" s="11" t="s">
        <v>741</v>
      </c>
      <c r="G15" s="11" t="s">
        <v>123</v>
      </c>
      <c r="H15" s="16">
        <v>1</v>
      </c>
      <c r="I15" s="11" t="s">
        <v>742</v>
      </c>
      <c r="J15" s="11" t="s">
        <v>743</v>
      </c>
      <c r="K15" s="11" t="s">
        <v>744</v>
      </c>
      <c r="L15" s="11" t="s">
        <v>2339</v>
      </c>
      <c r="M15" s="11" t="s">
        <v>746</v>
      </c>
      <c r="N15" s="11" t="s">
        <v>749</v>
      </c>
      <c r="O15" s="11" t="s">
        <v>303</v>
      </c>
      <c r="P15" s="29" t="s">
        <v>750</v>
      </c>
    </row>
    <row r="16" spans="1:16" ht="124.2" hidden="1">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hidden="1">
      <c r="A17" s="11" t="s">
        <v>764</v>
      </c>
      <c r="B17" s="11">
        <v>8</v>
      </c>
      <c r="C17" s="11" t="s">
        <v>89</v>
      </c>
      <c r="D17" s="11" t="s">
        <v>765</v>
      </c>
      <c r="E17" s="11" t="s">
        <v>766</v>
      </c>
      <c r="F17" s="11" t="s">
        <v>767</v>
      </c>
      <c r="G17" s="11" t="s">
        <v>123</v>
      </c>
      <c r="H17" s="16">
        <v>1</v>
      </c>
      <c r="I17" s="11" t="s">
        <v>755</v>
      </c>
      <c r="J17" s="11" t="s">
        <v>101</v>
      </c>
      <c r="K17" s="11" t="s">
        <v>768</v>
      </c>
      <c r="L17" s="11" t="s">
        <v>2340</v>
      </c>
      <c r="M17" s="11" t="s">
        <v>770</v>
      </c>
      <c r="N17" s="11" t="s">
        <v>771</v>
      </c>
      <c r="O17" s="11" t="s">
        <v>303</v>
      </c>
      <c r="P17" s="29" t="s">
        <v>772</v>
      </c>
    </row>
    <row r="18" spans="1:16" ht="110.4" hidden="1">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hidden="1">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hidden="1">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hidden="1">
      <c r="A21" s="11" t="s">
        <v>806</v>
      </c>
      <c r="B21" s="11">
        <v>12</v>
      </c>
      <c r="C21" s="11" t="s">
        <v>89</v>
      </c>
      <c r="D21" s="11" t="s">
        <v>807</v>
      </c>
      <c r="E21" s="11" t="s">
        <v>808</v>
      </c>
      <c r="F21" s="11" t="s">
        <v>809</v>
      </c>
      <c r="G21" s="11" t="s">
        <v>109</v>
      </c>
      <c r="H21" s="16">
        <v>1</v>
      </c>
      <c r="I21" s="11" t="s">
        <v>777</v>
      </c>
      <c r="J21" s="11" t="s">
        <v>217</v>
      </c>
      <c r="K21" s="11" t="s">
        <v>810</v>
      </c>
      <c r="L21" s="11" t="s">
        <v>2341</v>
      </c>
      <c r="M21" s="11" t="s">
        <v>812</v>
      </c>
      <c r="N21" s="11" t="s">
        <v>813</v>
      </c>
      <c r="O21" s="11" t="s">
        <v>303</v>
      </c>
      <c r="P21" s="29" t="s">
        <v>814</v>
      </c>
    </row>
    <row r="22" spans="1:16" ht="110.4" hidden="1">
      <c r="A22" s="11" t="s">
        <v>815</v>
      </c>
      <c r="B22" s="11">
        <v>13</v>
      </c>
      <c r="C22" s="11" t="s">
        <v>89</v>
      </c>
      <c r="D22" s="11" t="s">
        <v>226</v>
      </c>
      <c r="E22" s="11" t="s">
        <v>816</v>
      </c>
      <c r="F22" s="11" t="s">
        <v>817</v>
      </c>
      <c r="G22" s="11" t="s">
        <v>93</v>
      </c>
      <c r="H22" s="16">
        <v>0.75</v>
      </c>
      <c r="I22" s="11" t="s">
        <v>2342</v>
      </c>
      <c r="J22" s="11" t="s">
        <v>818</v>
      </c>
      <c r="K22" s="11" t="s">
        <v>819</v>
      </c>
      <c r="L22" s="11" t="s">
        <v>820</v>
      </c>
      <c r="M22" s="11" t="s">
        <v>822</v>
      </c>
      <c r="N22" s="11" t="s">
        <v>824</v>
      </c>
      <c r="O22" s="11" t="s">
        <v>303</v>
      </c>
      <c r="P22" s="29" t="s">
        <v>825</v>
      </c>
    </row>
    <row r="23" spans="1:16" ht="24" hidden="1" customHeight="1">
      <c r="A23" s="24" t="s">
        <v>826</v>
      </c>
      <c r="B23" s="24">
        <v>14</v>
      </c>
      <c r="C23" s="24" t="s">
        <v>89</v>
      </c>
      <c r="D23" s="24" t="s">
        <v>238</v>
      </c>
      <c r="E23" s="24" t="s">
        <v>827</v>
      </c>
      <c r="F23" s="24" t="s">
        <v>828</v>
      </c>
      <c r="G23" s="24" t="s">
        <v>109</v>
      </c>
      <c r="H23">
        <v>1</v>
      </c>
      <c r="I23" t="s">
        <v>241</v>
      </c>
      <c r="J23" t="s">
        <v>101</v>
      </c>
      <c r="K23" t="s">
        <v>829</v>
      </c>
      <c r="L23" t="s">
        <v>2315</v>
      </c>
      <c r="M23" t="s">
        <v>830</v>
      </c>
      <c r="N23" t="s">
        <v>246</v>
      </c>
      <c r="O23" t="s">
        <v>303</v>
      </c>
      <c r="P23" s="29" t="s">
        <v>833</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2342</v>
      </c>
      <c r="C32" s="35" t="s">
        <v>1036</v>
      </c>
      <c r="D32" s="35" t="s">
        <v>1037</v>
      </c>
      <c r="E32" s="35" t="s">
        <v>2349</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4" t="s">
        <v>1135</v>
      </c>
      <c r="B1" s="74"/>
      <c r="C1" s="74"/>
      <c r="D1" s="74"/>
      <c r="E1" s="74"/>
      <c r="F1" s="74"/>
      <c r="G1" s="74"/>
      <c r="H1" s="74"/>
      <c r="I1" s="74"/>
      <c r="J1" s="74"/>
      <c r="K1" s="74"/>
      <c r="L1" s="74"/>
      <c r="M1" s="74"/>
      <c r="N1" s="74"/>
      <c r="O1" s="74"/>
    </row>
    <row r="2" spans="1:16" ht="31.95" customHeight="1">
      <c r="A2" s="75" t="s">
        <v>1136</v>
      </c>
      <c r="B2" s="75"/>
      <c r="C2" s="75"/>
      <c r="D2" s="75"/>
      <c r="E2" s="75"/>
      <c r="F2" s="75"/>
      <c r="G2" s="75"/>
      <c r="H2" s="75"/>
      <c r="I2" s="75"/>
      <c r="J2" s="75"/>
      <c r="K2" s="75"/>
      <c r="L2" s="75"/>
      <c r="M2" s="75"/>
      <c r="N2" s="75"/>
      <c r="O2" s="75"/>
    </row>
    <row r="4" spans="1:16" ht="28.05" customHeight="1">
      <c r="A4" s="59" t="s">
        <v>55</v>
      </c>
      <c r="B4" s="61"/>
      <c r="D4" s="59" t="s">
        <v>48</v>
      </c>
      <c r="E4" s="61"/>
      <c r="G4" s="59" t="s">
        <v>992</v>
      </c>
      <c r="H4" s="60"/>
      <c r="I4" s="60"/>
      <c r="J4" s="60"/>
      <c r="K4" s="60"/>
      <c r="L4" s="60"/>
      <c r="M4" s="60"/>
      <c r="N4" s="60"/>
      <c r="O4" s="61"/>
    </row>
    <row r="5" spans="1:16">
      <c r="A5" s="99">
        <f>IF(COUNTA(O10:O40)=0,0,COUNTIF(O10:O40,"Done")/COUNTA(A10:A40))</f>
        <v>0</v>
      </c>
      <c r="B5" s="100"/>
      <c r="D5" s="103">
        <f>COUNTIF(O10:O40,"Blocked")</f>
        <v>0</v>
      </c>
      <c r="E5" s="104"/>
      <c r="G5" s="107" t="s">
        <v>1137</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2343</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2316</v>
      </c>
      <c r="M23" t="s">
        <v>986</v>
      </c>
      <c r="N23" t="s">
        <v>246</v>
      </c>
      <c r="O23" t="s">
        <v>303</v>
      </c>
      <c r="P23" s="29" t="s">
        <v>989</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74" t="s">
        <v>1152</v>
      </c>
      <c r="B1" s="74"/>
      <c r="C1" s="74"/>
      <c r="D1" s="74"/>
      <c r="E1" s="74"/>
      <c r="F1" s="74"/>
      <c r="G1" s="74"/>
      <c r="H1" s="74"/>
    </row>
    <row r="2" spans="1:8" ht="31.95" customHeight="1">
      <c r="A2" s="75" t="s">
        <v>1153</v>
      </c>
      <c r="B2" s="75"/>
      <c r="C2" s="75"/>
      <c r="D2" s="75"/>
      <c r="E2" s="75"/>
      <c r="F2" s="75"/>
      <c r="G2" s="75"/>
      <c r="H2" s="75"/>
    </row>
    <row r="4" spans="1:8" ht="46.05" customHeight="1">
      <c r="A4" s="114" t="s">
        <v>1154</v>
      </c>
      <c r="B4" s="115"/>
      <c r="C4" s="115"/>
      <c r="D4" s="115"/>
      <c r="E4" s="115"/>
      <c r="F4" s="115"/>
      <c r="G4" s="115"/>
      <c r="H4" s="116"/>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L28" workbookViewId="0">
      <selection activeCell="N28" sqref="N28"/>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7" t="s">
        <v>1272</v>
      </c>
      <c r="B1" s="57"/>
      <c r="C1" s="57"/>
      <c r="D1" s="57"/>
      <c r="E1" s="57"/>
      <c r="F1" s="57"/>
      <c r="G1" s="57"/>
      <c r="H1" s="57"/>
      <c r="I1" s="57"/>
      <c r="J1" s="57"/>
      <c r="K1" s="51"/>
      <c r="L1" s="51"/>
      <c r="M1" s="54"/>
      <c r="N1" s="54"/>
    </row>
    <row r="2" spans="1:14">
      <c r="A2" s="58" t="s">
        <v>1273</v>
      </c>
      <c r="B2" s="58"/>
      <c r="C2" s="58"/>
      <c r="D2" s="58"/>
      <c r="E2" s="58"/>
      <c r="F2" s="58"/>
      <c r="G2" s="58"/>
      <c r="H2" s="58"/>
      <c r="I2" s="58"/>
      <c r="J2" s="58"/>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2350</v>
      </c>
      <c r="B6" s="23" t="s">
        <v>1685</v>
      </c>
      <c r="C6" s="23" t="s">
        <v>2351</v>
      </c>
      <c r="D6" s="23" t="s">
        <v>2352</v>
      </c>
      <c r="E6" s="23" t="s">
        <v>2353</v>
      </c>
      <c r="F6" s="23" t="s">
        <v>2354</v>
      </c>
      <c r="G6" s="23" t="s">
        <v>2355</v>
      </c>
      <c r="H6" s="23" t="s">
        <v>2356</v>
      </c>
      <c r="I6" s="23" t="s">
        <v>2357</v>
      </c>
      <c r="J6" s="23" t="s">
        <v>2358</v>
      </c>
      <c r="K6" s="23" t="s">
        <v>1685</v>
      </c>
      <c r="L6" s="23" t="s">
        <v>2359</v>
      </c>
      <c r="M6" s="23" t="s">
        <v>2359</v>
      </c>
      <c r="N6" s="22" t="s">
        <v>2359</v>
      </c>
    </row>
    <row r="7" spans="1:14" ht="262.2">
      <c r="A7" s="22" t="s">
        <v>2360</v>
      </c>
      <c r="B7" s="22" t="s">
        <v>1685</v>
      </c>
      <c r="C7" s="22" t="s">
        <v>2361</v>
      </c>
      <c r="D7" s="22" t="s">
        <v>2362</v>
      </c>
      <c r="E7" s="22" t="s">
        <v>2363</v>
      </c>
      <c r="F7" s="22" t="s">
        <v>2364</v>
      </c>
      <c r="G7" s="22" t="s">
        <v>2365</v>
      </c>
      <c r="H7" s="22" t="s">
        <v>2356</v>
      </c>
      <c r="I7" s="22" t="s">
        <v>2357</v>
      </c>
      <c r="J7" s="22" t="s">
        <v>2358</v>
      </c>
      <c r="K7" s="22" t="s">
        <v>2366</v>
      </c>
      <c r="L7" s="22" t="s">
        <v>2359</v>
      </c>
      <c r="M7" s="22" t="s">
        <v>2359</v>
      </c>
      <c r="N7" s="55" t="s">
        <v>2359</v>
      </c>
    </row>
    <row r="8" spans="1:14" ht="228">
      <c r="A8" s="23" t="s">
        <v>2220</v>
      </c>
      <c r="B8" s="23" t="s">
        <v>1685</v>
      </c>
      <c r="C8" s="23" t="s">
        <v>2367</v>
      </c>
      <c r="D8" s="23" t="s">
        <v>2368</v>
      </c>
      <c r="E8" s="23" t="s">
        <v>2369</v>
      </c>
      <c r="F8" s="23" t="s">
        <v>2370</v>
      </c>
      <c r="G8" s="23" t="s">
        <v>2371</v>
      </c>
      <c r="H8" s="23" t="s">
        <v>2356</v>
      </c>
      <c r="I8" s="23" t="s">
        <v>2357</v>
      </c>
      <c r="J8" s="23" t="s">
        <v>2358</v>
      </c>
      <c r="K8" s="23" t="s">
        <v>1685</v>
      </c>
      <c r="L8" s="23" t="s">
        <v>2359</v>
      </c>
      <c r="M8" s="23" t="s">
        <v>2359</v>
      </c>
      <c r="N8" s="22" t="s">
        <v>2359</v>
      </c>
    </row>
    <row r="9" spans="1:14" ht="409.6">
      <c r="A9" s="22" t="s">
        <v>94</v>
      </c>
      <c r="B9" s="22" t="s">
        <v>56</v>
      </c>
      <c r="C9" s="22" t="s">
        <v>1010</v>
      </c>
      <c r="D9" s="22" t="s">
        <v>1011</v>
      </c>
      <c r="E9" s="22" t="s">
        <v>1012</v>
      </c>
      <c r="F9" s="22" t="s">
        <v>2372</v>
      </c>
      <c r="G9" s="22" t="s">
        <v>2373</v>
      </c>
      <c r="H9" s="22" t="s">
        <v>2374</v>
      </c>
      <c r="I9" s="22" t="s">
        <v>2375</v>
      </c>
      <c r="J9" s="22" t="s">
        <v>2376</v>
      </c>
      <c r="K9" s="22" t="s">
        <v>88</v>
      </c>
      <c r="L9" s="22" t="s">
        <v>2377</v>
      </c>
      <c r="M9" s="22" t="s">
        <v>2378</v>
      </c>
      <c r="N9" s="55" t="s">
        <v>2379</v>
      </c>
    </row>
    <row r="10" spans="1:14" ht="409.6">
      <c r="A10" s="23" t="s">
        <v>110</v>
      </c>
      <c r="B10" s="23" t="s">
        <v>56</v>
      </c>
      <c r="C10" s="23" t="s">
        <v>1015</v>
      </c>
      <c r="D10" s="23" t="s">
        <v>1016</v>
      </c>
      <c r="E10" s="23" t="s">
        <v>1017</v>
      </c>
      <c r="F10" s="23" t="s">
        <v>2372</v>
      </c>
      <c r="G10" s="23" t="s">
        <v>2380</v>
      </c>
      <c r="H10" s="23" t="s">
        <v>2374</v>
      </c>
      <c r="I10" s="23" t="s">
        <v>2381</v>
      </c>
      <c r="J10" s="23" t="s">
        <v>2376</v>
      </c>
      <c r="K10" s="23" t="s">
        <v>105</v>
      </c>
      <c r="L10" s="23" t="s">
        <v>2382</v>
      </c>
      <c r="M10" s="23" t="s">
        <v>2383</v>
      </c>
      <c r="N10" s="22" t="s">
        <v>2384</v>
      </c>
    </row>
    <row r="11" spans="1:14" ht="409.6">
      <c r="A11" s="22" t="s">
        <v>124</v>
      </c>
      <c r="B11" s="22" t="s">
        <v>56</v>
      </c>
      <c r="C11" s="22" t="s">
        <v>1019</v>
      </c>
      <c r="D11" s="22" t="s">
        <v>1020</v>
      </c>
      <c r="E11" s="22" t="s">
        <v>1021</v>
      </c>
      <c r="F11" s="22" t="s">
        <v>2385</v>
      </c>
      <c r="G11" s="22" t="s">
        <v>2386</v>
      </c>
      <c r="H11" s="22" t="s">
        <v>2387</v>
      </c>
      <c r="I11" s="22" t="s">
        <v>2388</v>
      </c>
      <c r="J11" s="22" t="s">
        <v>2376</v>
      </c>
      <c r="K11" s="22" t="s">
        <v>2389</v>
      </c>
      <c r="L11" s="22" t="s">
        <v>2390</v>
      </c>
      <c r="M11" s="22" t="s">
        <v>2296</v>
      </c>
      <c r="N11" s="55" t="s">
        <v>2391</v>
      </c>
    </row>
    <row r="12" spans="1:14" ht="409.6">
      <c r="A12" s="23" t="s">
        <v>147</v>
      </c>
      <c r="B12" s="23" t="s">
        <v>56</v>
      </c>
      <c r="C12" s="23" t="s">
        <v>1024</v>
      </c>
      <c r="D12" s="23" t="s">
        <v>1025</v>
      </c>
      <c r="E12" s="23" t="s">
        <v>1026</v>
      </c>
      <c r="F12" s="23" t="s">
        <v>2385</v>
      </c>
      <c r="G12" s="23" t="s">
        <v>2392</v>
      </c>
      <c r="H12" s="23" t="s">
        <v>2387</v>
      </c>
      <c r="I12" s="23" t="s">
        <v>2393</v>
      </c>
      <c r="J12" s="23" t="s">
        <v>2376</v>
      </c>
      <c r="K12" s="23" t="s">
        <v>143</v>
      </c>
      <c r="L12" s="23" t="s">
        <v>2394</v>
      </c>
      <c r="M12" s="23" t="s">
        <v>2297</v>
      </c>
      <c r="N12" s="22" t="s">
        <v>2395</v>
      </c>
    </row>
    <row r="13" spans="1:14" ht="409.6">
      <c r="A13" s="22" t="s">
        <v>159</v>
      </c>
      <c r="B13" s="22" t="s">
        <v>56</v>
      </c>
      <c r="C13" s="22" t="s">
        <v>1028</v>
      </c>
      <c r="D13" s="22" t="s">
        <v>1029</v>
      </c>
      <c r="E13" s="22" t="s">
        <v>1030</v>
      </c>
      <c r="F13" s="22" t="s">
        <v>2385</v>
      </c>
      <c r="G13" s="22" t="s">
        <v>2396</v>
      </c>
      <c r="H13" s="22" t="s">
        <v>2387</v>
      </c>
      <c r="I13" s="22" t="s">
        <v>2397</v>
      </c>
      <c r="J13" s="22" t="s">
        <v>2376</v>
      </c>
      <c r="K13" s="22" t="s">
        <v>2398</v>
      </c>
      <c r="L13" s="22" t="s">
        <v>2399</v>
      </c>
      <c r="M13" s="22" t="s">
        <v>2298</v>
      </c>
      <c r="N13" s="55" t="s">
        <v>2400</v>
      </c>
    </row>
    <row r="14" spans="1:14" ht="409.6">
      <c r="A14" s="23" t="s">
        <v>193</v>
      </c>
      <c r="B14" s="23" t="s">
        <v>56</v>
      </c>
      <c r="C14" s="23" t="s">
        <v>1032</v>
      </c>
      <c r="D14" s="23" t="s">
        <v>1033</v>
      </c>
      <c r="E14" s="23" t="s">
        <v>1034</v>
      </c>
      <c r="F14" s="23" t="s">
        <v>2385</v>
      </c>
      <c r="G14" s="23" t="s">
        <v>2401</v>
      </c>
      <c r="H14" s="23" t="s">
        <v>2387</v>
      </c>
      <c r="I14" s="23" t="s">
        <v>2402</v>
      </c>
      <c r="J14" s="23" t="s">
        <v>2376</v>
      </c>
      <c r="K14" s="23" t="s">
        <v>2403</v>
      </c>
      <c r="L14" s="23" t="s">
        <v>2404</v>
      </c>
      <c r="M14" s="23" t="s">
        <v>2299</v>
      </c>
      <c r="N14" s="22" t="s">
        <v>2405</v>
      </c>
    </row>
    <row r="15" spans="1:14" ht="409.6">
      <c r="A15" s="22" t="s">
        <v>253</v>
      </c>
      <c r="B15" s="22" t="s">
        <v>37</v>
      </c>
      <c r="C15" s="22" t="s">
        <v>2406</v>
      </c>
      <c r="D15" s="22" t="s">
        <v>2407</v>
      </c>
      <c r="E15" s="22" t="s">
        <v>2408</v>
      </c>
      <c r="F15" s="22" t="s">
        <v>2385</v>
      </c>
      <c r="G15" s="22" t="s">
        <v>2409</v>
      </c>
      <c r="H15" s="22" t="s">
        <v>2387</v>
      </c>
      <c r="I15" s="22" t="s">
        <v>2410</v>
      </c>
      <c r="J15" s="22" t="s">
        <v>2376</v>
      </c>
      <c r="K15" s="22" t="s">
        <v>2411</v>
      </c>
      <c r="L15" s="22" t="s">
        <v>2412</v>
      </c>
      <c r="M15" s="22" t="s">
        <v>2413</v>
      </c>
      <c r="N15" s="55" t="s">
        <v>2414</v>
      </c>
    </row>
    <row r="16" spans="1:14" ht="409.6">
      <c r="A16" s="23" t="s">
        <v>296</v>
      </c>
      <c r="B16" s="23" t="s">
        <v>37</v>
      </c>
      <c r="C16" s="23" t="s">
        <v>1050</v>
      </c>
      <c r="D16" s="23" t="s">
        <v>1051</v>
      </c>
      <c r="E16" s="23" t="s">
        <v>1052</v>
      </c>
      <c r="F16" s="23" t="s">
        <v>2385</v>
      </c>
      <c r="G16" s="23" t="s">
        <v>2415</v>
      </c>
      <c r="H16" s="23" t="s">
        <v>2387</v>
      </c>
      <c r="I16" s="23" t="s">
        <v>2416</v>
      </c>
      <c r="J16" s="23" t="s">
        <v>2376</v>
      </c>
      <c r="K16" s="23" t="s">
        <v>292</v>
      </c>
      <c r="L16" s="23" t="s">
        <v>2417</v>
      </c>
      <c r="M16" s="23" t="s">
        <v>2418</v>
      </c>
      <c r="N16" s="22" t="s">
        <v>2419</v>
      </c>
    </row>
    <row r="17" spans="1:14" ht="409.6">
      <c r="A17" s="22" t="s">
        <v>309</v>
      </c>
      <c r="B17" s="22" t="s">
        <v>37</v>
      </c>
      <c r="C17" s="22" t="s">
        <v>1054</v>
      </c>
      <c r="D17" s="22" t="s">
        <v>1055</v>
      </c>
      <c r="E17" s="22" t="s">
        <v>1056</v>
      </c>
      <c r="F17" s="22" t="s">
        <v>2385</v>
      </c>
      <c r="G17" s="22" t="s">
        <v>2420</v>
      </c>
      <c r="H17" s="22" t="s">
        <v>2387</v>
      </c>
      <c r="I17" s="22" t="s">
        <v>2421</v>
      </c>
      <c r="J17" s="22" t="s">
        <v>2376</v>
      </c>
      <c r="K17" s="22" t="s">
        <v>2422</v>
      </c>
      <c r="L17" s="22" t="s">
        <v>2423</v>
      </c>
      <c r="M17" s="22" t="s">
        <v>2424</v>
      </c>
      <c r="N17" s="55" t="s">
        <v>2425</v>
      </c>
    </row>
    <row r="18" spans="1:14" ht="409.6">
      <c r="A18" s="23" t="s">
        <v>345</v>
      </c>
      <c r="B18" s="23" t="s">
        <v>37</v>
      </c>
      <c r="C18" s="23" t="s">
        <v>2426</v>
      </c>
      <c r="D18" s="23" t="s">
        <v>2427</v>
      </c>
      <c r="E18" s="23" t="s">
        <v>2428</v>
      </c>
      <c r="F18" s="23" t="s">
        <v>2385</v>
      </c>
      <c r="G18" s="23" t="s">
        <v>2429</v>
      </c>
      <c r="H18" s="23" t="s">
        <v>2387</v>
      </c>
      <c r="I18" s="23" t="s">
        <v>2430</v>
      </c>
      <c r="J18" s="23" t="s">
        <v>2376</v>
      </c>
      <c r="K18" s="23" t="s">
        <v>2431</v>
      </c>
      <c r="L18" s="23" t="s">
        <v>2569</v>
      </c>
      <c r="M18" s="23" t="s">
        <v>2432</v>
      </c>
      <c r="N18" s="22" t="s">
        <v>2433</v>
      </c>
    </row>
    <row r="19" spans="1:14" ht="409.6">
      <c r="A19" s="22" t="s">
        <v>369</v>
      </c>
      <c r="B19" s="22" t="s">
        <v>37</v>
      </c>
      <c r="C19" s="22" t="s">
        <v>1062</v>
      </c>
      <c r="D19" s="22" t="s">
        <v>1063</v>
      </c>
      <c r="E19" s="22" t="s">
        <v>1064</v>
      </c>
      <c r="F19" s="22" t="s">
        <v>2434</v>
      </c>
      <c r="G19" s="22" t="s">
        <v>2435</v>
      </c>
      <c r="H19" s="22" t="s">
        <v>2436</v>
      </c>
      <c r="I19" s="22" t="s">
        <v>2437</v>
      </c>
      <c r="J19" s="22" t="s">
        <v>2438</v>
      </c>
      <c r="K19" s="22" t="s">
        <v>364</v>
      </c>
      <c r="L19" s="22" t="s">
        <v>2568</v>
      </c>
      <c r="M19" s="22" t="s">
        <v>2439</v>
      </c>
      <c r="N19" s="55" t="s">
        <v>2309</v>
      </c>
    </row>
    <row r="20" spans="1:14" ht="409.6">
      <c r="A20" s="23" t="s">
        <v>397</v>
      </c>
      <c r="B20" s="23" t="s">
        <v>57</v>
      </c>
      <c r="C20" s="23" t="s">
        <v>1071</v>
      </c>
      <c r="D20" s="23" t="s">
        <v>1072</v>
      </c>
      <c r="E20" s="23" t="s">
        <v>1073</v>
      </c>
      <c r="F20" s="23" t="s">
        <v>2385</v>
      </c>
      <c r="G20" s="23" t="s">
        <v>2572</v>
      </c>
      <c r="H20" s="23" t="s">
        <v>2387</v>
      </c>
      <c r="I20" s="23" t="s">
        <v>2440</v>
      </c>
      <c r="J20" s="23" t="s">
        <v>2376</v>
      </c>
      <c r="K20" s="23" t="s">
        <v>2441</v>
      </c>
      <c r="L20" s="23" t="s">
        <v>2571</v>
      </c>
      <c r="M20" s="23" t="s">
        <v>2300</v>
      </c>
      <c r="N20" s="22" t="s">
        <v>2442</v>
      </c>
    </row>
    <row r="21" spans="1:14" ht="409.6">
      <c r="A21" s="22" t="s">
        <v>457</v>
      </c>
      <c r="B21" s="22" t="s">
        <v>57</v>
      </c>
      <c r="C21" s="22" t="s">
        <v>1075</v>
      </c>
      <c r="D21" s="22" t="s">
        <v>1076</v>
      </c>
      <c r="E21" s="22" t="s">
        <v>1077</v>
      </c>
      <c r="F21" s="22" t="s">
        <v>2385</v>
      </c>
      <c r="G21" s="22" t="s">
        <v>2573</v>
      </c>
      <c r="H21" s="22" t="s">
        <v>2387</v>
      </c>
      <c r="I21" s="22" t="s">
        <v>2443</v>
      </c>
      <c r="J21" s="22" t="s">
        <v>2376</v>
      </c>
      <c r="K21" s="22" t="s">
        <v>2444</v>
      </c>
      <c r="L21" s="22" t="s">
        <v>2590</v>
      </c>
      <c r="M21" s="22" t="s">
        <v>2301</v>
      </c>
      <c r="N21" s="55" t="s">
        <v>2445</v>
      </c>
    </row>
    <row r="22" spans="1:14" ht="409.6">
      <c r="A22" s="23" t="s">
        <v>445</v>
      </c>
      <c r="B22" s="23" t="s">
        <v>57</v>
      </c>
      <c r="C22" s="23" t="s">
        <v>1079</v>
      </c>
      <c r="D22" s="23" t="s">
        <v>1080</v>
      </c>
      <c r="E22" s="23" t="s">
        <v>1081</v>
      </c>
      <c r="F22" s="23" t="s">
        <v>2385</v>
      </c>
      <c r="G22" s="23" t="s">
        <v>2591</v>
      </c>
      <c r="H22" s="23" t="s">
        <v>2387</v>
      </c>
      <c r="I22" s="23" t="s">
        <v>2446</v>
      </c>
      <c r="J22" s="23" t="s">
        <v>2376</v>
      </c>
      <c r="K22" s="23" t="s">
        <v>2447</v>
      </c>
      <c r="L22" s="23" t="s">
        <v>2592</v>
      </c>
      <c r="M22" s="23" t="s">
        <v>2448</v>
      </c>
      <c r="N22" s="22" t="s">
        <v>2449</v>
      </c>
    </row>
    <row r="23" spans="1:14" ht="409.6">
      <c r="A23" s="22" t="s">
        <v>514</v>
      </c>
      <c r="B23" s="22" t="s">
        <v>57</v>
      </c>
      <c r="C23" s="22" t="s">
        <v>1083</v>
      </c>
      <c r="D23" s="22" t="s">
        <v>1084</v>
      </c>
      <c r="E23" s="22" t="s">
        <v>1085</v>
      </c>
      <c r="F23" s="22" t="s">
        <v>2385</v>
      </c>
      <c r="G23" s="22" t="s">
        <v>2593</v>
      </c>
      <c r="H23" s="22" t="s">
        <v>2387</v>
      </c>
      <c r="I23" s="22" t="s">
        <v>2450</v>
      </c>
      <c r="J23" s="22" t="s">
        <v>2376</v>
      </c>
      <c r="K23" s="22" t="s">
        <v>510</v>
      </c>
      <c r="L23" s="22" t="s">
        <v>2594</v>
      </c>
      <c r="M23" s="22" t="s">
        <v>2595</v>
      </c>
      <c r="N23" s="55" t="s">
        <v>2451</v>
      </c>
    </row>
    <row r="24" spans="1:14" ht="409.6">
      <c r="A24" s="23" t="s">
        <v>543</v>
      </c>
      <c r="B24" s="23" t="s">
        <v>58</v>
      </c>
      <c r="C24" s="23" t="s">
        <v>1092</v>
      </c>
      <c r="D24" s="23" t="s">
        <v>1093</v>
      </c>
      <c r="E24" s="23" t="s">
        <v>1094</v>
      </c>
      <c r="F24" s="23" t="s">
        <v>2385</v>
      </c>
      <c r="G24" s="23" t="s">
        <v>2597</v>
      </c>
      <c r="H24" s="23" t="s">
        <v>2387</v>
      </c>
      <c r="I24" s="23" t="s">
        <v>2452</v>
      </c>
      <c r="J24" s="23" t="s">
        <v>2376</v>
      </c>
      <c r="K24" s="23" t="s">
        <v>2453</v>
      </c>
      <c r="L24" s="23" t="s">
        <v>2598</v>
      </c>
      <c r="M24" s="23" t="s">
        <v>2599</v>
      </c>
      <c r="N24" s="22" t="s">
        <v>2454</v>
      </c>
    </row>
    <row r="25" spans="1:14" ht="409.6">
      <c r="A25" s="22" t="s">
        <v>564</v>
      </c>
      <c r="B25" s="22" t="s">
        <v>58</v>
      </c>
      <c r="C25" s="22" t="s">
        <v>1096</v>
      </c>
      <c r="D25" s="22" t="s">
        <v>1097</v>
      </c>
      <c r="E25" s="22" t="s">
        <v>1098</v>
      </c>
      <c r="F25" s="22" t="s">
        <v>2385</v>
      </c>
      <c r="G25" s="22" t="s">
        <v>2600</v>
      </c>
      <c r="H25" s="22" t="s">
        <v>2387</v>
      </c>
      <c r="I25" s="22" t="s">
        <v>2455</v>
      </c>
      <c r="J25" s="22" t="s">
        <v>2376</v>
      </c>
      <c r="K25" s="22" t="s">
        <v>2456</v>
      </c>
      <c r="L25" s="22" t="s">
        <v>2601</v>
      </c>
      <c r="M25" s="22" t="s">
        <v>2602</v>
      </c>
      <c r="N25" s="55" t="s">
        <v>2457</v>
      </c>
    </row>
    <row r="26" spans="1:14" ht="409.6">
      <c r="A26" s="23" t="s">
        <v>490</v>
      </c>
      <c r="B26" s="23" t="s">
        <v>58</v>
      </c>
      <c r="C26" s="23" t="s">
        <v>1100</v>
      </c>
      <c r="D26" s="23" t="s">
        <v>1101</v>
      </c>
      <c r="E26" s="23" t="s">
        <v>1102</v>
      </c>
      <c r="F26" s="23" t="s">
        <v>2385</v>
      </c>
      <c r="G26" s="23" t="s">
        <v>2604</v>
      </c>
      <c r="H26" s="23" t="s">
        <v>2387</v>
      </c>
      <c r="I26" s="23" t="s">
        <v>2458</v>
      </c>
      <c r="J26" s="23" t="s">
        <v>2376</v>
      </c>
      <c r="K26" s="23" t="s">
        <v>2459</v>
      </c>
      <c r="L26" s="23" t="s">
        <v>2603</v>
      </c>
      <c r="M26" s="23" t="s">
        <v>2605</v>
      </c>
      <c r="N26" s="22" t="s">
        <v>2460</v>
      </c>
    </row>
    <row r="27" spans="1:14" ht="409.6">
      <c r="A27" s="22" t="s">
        <v>655</v>
      </c>
      <c r="B27" s="22" t="s">
        <v>58</v>
      </c>
      <c r="C27" s="22" t="s">
        <v>1104</v>
      </c>
      <c r="D27" s="22" t="s">
        <v>1105</v>
      </c>
      <c r="E27" s="22" t="s">
        <v>1106</v>
      </c>
      <c r="F27" s="22" t="s">
        <v>2385</v>
      </c>
      <c r="G27" s="22" t="s">
        <v>2606</v>
      </c>
      <c r="H27" s="22" t="s">
        <v>2387</v>
      </c>
      <c r="I27" s="22" t="s">
        <v>2461</v>
      </c>
      <c r="J27" s="22" t="s">
        <v>2376</v>
      </c>
      <c r="K27" s="22" t="s">
        <v>651</v>
      </c>
      <c r="L27" s="22" t="s">
        <v>2607</v>
      </c>
      <c r="M27" s="22" t="s">
        <v>2462</v>
      </c>
      <c r="N27" s="55" t="s">
        <v>2463</v>
      </c>
    </row>
    <row r="28" spans="1:14" ht="409.6">
      <c r="A28" s="23" t="s">
        <v>684</v>
      </c>
      <c r="B28" s="23" t="s">
        <v>59</v>
      </c>
      <c r="C28" s="23" t="s">
        <v>1113</v>
      </c>
      <c r="D28" s="23" t="s">
        <v>1114</v>
      </c>
      <c r="E28" s="23" t="s">
        <v>1115</v>
      </c>
      <c r="F28" s="23" t="s">
        <v>2372</v>
      </c>
      <c r="G28" s="23" t="s">
        <v>2609</v>
      </c>
      <c r="H28" s="23" t="s">
        <v>2374</v>
      </c>
      <c r="I28" s="23" t="s">
        <v>2464</v>
      </c>
      <c r="J28" s="23" t="s">
        <v>2376</v>
      </c>
      <c r="K28" s="23" t="s">
        <v>680</v>
      </c>
      <c r="L28" s="23" t="s">
        <v>2608</v>
      </c>
      <c r="M28" s="23" t="s">
        <v>2610</v>
      </c>
      <c r="N28" s="22" t="s">
        <v>2465</v>
      </c>
    </row>
    <row r="29" spans="1:14" ht="409.6">
      <c r="A29" s="22" t="s">
        <v>696</v>
      </c>
      <c r="B29" s="22" t="s">
        <v>59</v>
      </c>
      <c r="C29" s="22" t="s">
        <v>1117</v>
      </c>
      <c r="D29" s="22" t="s">
        <v>1118</v>
      </c>
      <c r="E29" s="22" t="s">
        <v>1119</v>
      </c>
      <c r="F29" s="22" t="s">
        <v>2385</v>
      </c>
      <c r="G29" s="22" t="s">
        <v>2466</v>
      </c>
      <c r="H29" s="22" t="s">
        <v>2387</v>
      </c>
      <c r="I29" s="22" t="s">
        <v>2467</v>
      </c>
      <c r="J29" s="22" t="s">
        <v>2376</v>
      </c>
      <c r="K29" s="22" t="s">
        <v>2468</v>
      </c>
      <c r="L29" s="22" t="s">
        <v>2574</v>
      </c>
      <c r="M29" s="22" t="s">
        <v>2302</v>
      </c>
      <c r="N29" s="55" t="s">
        <v>2469</v>
      </c>
    </row>
    <row r="30" spans="1:14" ht="409.6">
      <c r="A30" s="23" t="s">
        <v>755</v>
      </c>
      <c r="B30" s="23" t="s">
        <v>59</v>
      </c>
      <c r="C30" s="23" t="s">
        <v>1121</v>
      </c>
      <c r="D30" s="23" t="s">
        <v>1122</v>
      </c>
      <c r="E30" s="23" t="s">
        <v>1123</v>
      </c>
      <c r="F30" s="23" t="s">
        <v>2385</v>
      </c>
      <c r="G30" s="23" t="s">
        <v>2470</v>
      </c>
      <c r="H30" s="23" t="s">
        <v>2387</v>
      </c>
      <c r="I30" s="23" t="s">
        <v>2471</v>
      </c>
      <c r="J30" s="23" t="s">
        <v>2376</v>
      </c>
      <c r="K30" s="23" t="s">
        <v>2472</v>
      </c>
      <c r="L30" s="23" t="s">
        <v>2575</v>
      </c>
      <c r="M30" s="23" t="s">
        <v>2303</v>
      </c>
      <c r="N30" s="22" t="s">
        <v>2473</v>
      </c>
    </row>
    <row r="31" spans="1:14" ht="409.6">
      <c r="A31" s="22" t="s">
        <v>742</v>
      </c>
      <c r="B31" s="22" t="s">
        <v>59</v>
      </c>
      <c r="C31" s="22" t="s">
        <v>1125</v>
      </c>
      <c r="D31" s="22" t="s">
        <v>1126</v>
      </c>
      <c r="E31" s="22" t="s">
        <v>1127</v>
      </c>
      <c r="F31" s="22" t="s">
        <v>2385</v>
      </c>
      <c r="G31" s="22" t="s">
        <v>2474</v>
      </c>
      <c r="H31" s="22" t="s">
        <v>2387</v>
      </c>
      <c r="I31" s="22" t="s">
        <v>2475</v>
      </c>
      <c r="J31" s="22" t="s">
        <v>2376</v>
      </c>
      <c r="K31" s="22" t="s">
        <v>738</v>
      </c>
      <c r="L31" s="22" t="s">
        <v>2576</v>
      </c>
      <c r="M31" s="22" t="s">
        <v>2476</v>
      </c>
      <c r="N31" s="55" t="s">
        <v>2477</v>
      </c>
    </row>
    <row r="32" spans="1:14" ht="409.6">
      <c r="A32" s="23" t="s">
        <v>777</v>
      </c>
      <c r="B32" s="23" t="s">
        <v>59</v>
      </c>
      <c r="C32" s="23" t="s">
        <v>1129</v>
      </c>
      <c r="D32" s="23" t="s">
        <v>1130</v>
      </c>
      <c r="E32" s="23" t="s">
        <v>1131</v>
      </c>
      <c r="F32" s="23" t="s">
        <v>2385</v>
      </c>
      <c r="G32" s="23" t="s">
        <v>2478</v>
      </c>
      <c r="H32" s="23" t="s">
        <v>2387</v>
      </c>
      <c r="I32" s="23" t="s">
        <v>2479</v>
      </c>
      <c r="J32" s="23" t="s">
        <v>2376</v>
      </c>
      <c r="K32" s="23" t="s">
        <v>2480</v>
      </c>
      <c r="L32" s="23" t="s">
        <v>2577</v>
      </c>
      <c r="M32" s="23" t="s">
        <v>2304</v>
      </c>
      <c r="N32" s="22" t="s">
        <v>2481</v>
      </c>
    </row>
    <row r="33" spans="1:14" ht="409.6">
      <c r="A33" s="22" t="s">
        <v>850</v>
      </c>
      <c r="B33" s="22" t="s">
        <v>60</v>
      </c>
      <c r="C33" s="22" t="s">
        <v>1138</v>
      </c>
      <c r="D33" s="22" t="s">
        <v>1139</v>
      </c>
      <c r="E33" s="22" t="s">
        <v>1140</v>
      </c>
      <c r="F33" s="22" t="s">
        <v>2385</v>
      </c>
      <c r="G33" s="22" t="s">
        <v>2482</v>
      </c>
      <c r="H33" s="22" t="s">
        <v>2387</v>
      </c>
      <c r="I33" s="22" t="s">
        <v>2483</v>
      </c>
      <c r="J33" s="22" t="s">
        <v>2376</v>
      </c>
      <c r="K33" s="22" t="s">
        <v>2484</v>
      </c>
      <c r="L33" s="22" t="s">
        <v>2578</v>
      </c>
      <c r="M33" s="22" t="s">
        <v>2305</v>
      </c>
      <c r="N33" s="55" t="s">
        <v>2485</v>
      </c>
    </row>
    <row r="34" spans="1:14" ht="409.6">
      <c r="A34" s="23" t="s">
        <v>895</v>
      </c>
      <c r="B34" s="23" t="s">
        <v>60</v>
      </c>
      <c r="C34" s="23" t="s">
        <v>1142</v>
      </c>
      <c r="D34" s="23" t="s">
        <v>1143</v>
      </c>
      <c r="E34" s="23" t="s">
        <v>1144</v>
      </c>
      <c r="F34" s="23" t="s">
        <v>2385</v>
      </c>
      <c r="G34" s="23" t="s">
        <v>2486</v>
      </c>
      <c r="H34" s="23" t="s">
        <v>2387</v>
      </c>
      <c r="I34" s="23" t="s">
        <v>2487</v>
      </c>
      <c r="J34" s="23" t="s">
        <v>2376</v>
      </c>
      <c r="K34" s="23" t="s">
        <v>2488</v>
      </c>
      <c r="L34" s="23" t="s">
        <v>2579</v>
      </c>
      <c r="M34" s="23" t="s">
        <v>2489</v>
      </c>
      <c r="N34" s="22" t="s">
        <v>2490</v>
      </c>
    </row>
    <row r="35" spans="1:14" ht="409.6">
      <c r="A35" s="22" t="s">
        <v>942</v>
      </c>
      <c r="B35" s="22" t="s">
        <v>60</v>
      </c>
      <c r="C35" s="22" t="s">
        <v>1146</v>
      </c>
      <c r="D35" s="22" t="s">
        <v>1147</v>
      </c>
      <c r="E35" s="22" t="s">
        <v>1148</v>
      </c>
      <c r="F35" s="22" t="s">
        <v>2385</v>
      </c>
      <c r="G35" s="22" t="s">
        <v>2491</v>
      </c>
      <c r="H35" s="22" t="s">
        <v>2387</v>
      </c>
      <c r="I35" s="22" t="s">
        <v>2492</v>
      </c>
      <c r="J35" s="22" t="s">
        <v>2376</v>
      </c>
      <c r="K35" s="22" t="s">
        <v>2493</v>
      </c>
      <c r="L35" s="22" t="s">
        <v>2580</v>
      </c>
      <c r="M35" s="22" t="s">
        <v>2306</v>
      </c>
      <c r="N35" s="55" t="s">
        <v>2494</v>
      </c>
    </row>
    <row r="36" spans="1:14" ht="409.6">
      <c r="A36" s="23" t="s">
        <v>2321</v>
      </c>
      <c r="B36" s="23" t="s">
        <v>56</v>
      </c>
      <c r="C36" s="23" t="s">
        <v>2495</v>
      </c>
      <c r="D36" s="23" t="s">
        <v>2496</v>
      </c>
      <c r="E36" s="23" t="s">
        <v>2497</v>
      </c>
      <c r="F36" s="23" t="s">
        <v>2498</v>
      </c>
      <c r="G36" s="23" t="s">
        <v>2499</v>
      </c>
      <c r="H36" s="23" t="s">
        <v>2374</v>
      </c>
      <c r="I36" s="23" t="s">
        <v>2500</v>
      </c>
      <c r="J36" s="23" t="s">
        <v>2376</v>
      </c>
      <c r="K36" s="23" t="s">
        <v>225</v>
      </c>
      <c r="L36" s="23" t="s">
        <v>2581</v>
      </c>
      <c r="M36" s="23" t="s">
        <v>2501</v>
      </c>
      <c r="N36" s="22" t="s">
        <v>2502</v>
      </c>
    </row>
    <row r="37" spans="1:14" ht="409.6">
      <c r="A37" s="23" t="s">
        <v>2328</v>
      </c>
      <c r="B37" s="23" t="s">
        <v>37</v>
      </c>
      <c r="C37" s="23" t="s">
        <v>2503</v>
      </c>
      <c r="D37" s="23" t="s">
        <v>2504</v>
      </c>
      <c r="E37" s="23" t="s">
        <v>2505</v>
      </c>
      <c r="F37" s="23" t="s">
        <v>2498</v>
      </c>
      <c r="G37" s="23" t="s">
        <v>2506</v>
      </c>
      <c r="H37" s="23" t="s">
        <v>2374</v>
      </c>
      <c r="I37" s="23" t="s">
        <v>2507</v>
      </c>
      <c r="J37" s="23" t="s">
        <v>2376</v>
      </c>
      <c r="K37" s="23" t="s">
        <v>376</v>
      </c>
      <c r="L37" s="23" t="s">
        <v>2582</v>
      </c>
      <c r="M37" s="23" t="s">
        <v>2508</v>
      </c>
      <c r="N37" s="22" t="s">
        <v>2509</v>
      </c>
    </row>
    <row r="38" spans="1:14" ht="409.6">
      <c r="A38" s="23" t="s">
        <v>2331</v>
      </c>
      <c r="B38" s="23" t="s">
        <v>57</v>
      </c>
      <c r="C38" s="23" t="s">
        <v>2510</v>
      </c>
      <c r="D38" s="23" t="s">
        <v>2511</v>
      </c>
      <c r="E38" s="23" t="s">
        <v>2512</v>
      </c>
      <c r="F38" s="23" t="s">
        <v>2498</v>
      </c>
      <c r="G38" s="23" t="s">
        <v>2513</v>
      </c>
      <c r="H38" s="23" t="s">
        <v>2374</v>
      </c>
      <c r="I38" s="23" t="s">
        <v>2514</v>
      </c>
      <c r="J38" s="23" t="s">
        <v>2376</v>
      </c>
      <c r="K38" s="23" t="s">
        <v>521</v>
      </c>
      <c r="L38" s="23" t="s">
        <v>2583</v>
      </c>
      <c r="M38" s="23" t="s">
        <v>2515</v>
      </c>
      <c r="N38" s="22" t="s">
        <v>2516</v>
      </c>
    </row>
    <row r="39" spans="1:14" ht="409.6">
      <c r="A39" s="23" t="s">
        <v>2334</v>
      </c>
      <c r="B39" s="23" t="s">
        <v>58</v>
      </c>
      <c r="C39" s="23" t="s">
        <v>2517</v>
      </c>
      <c r="D39" s="23" t="s">
        <v>2518</v>
      </c>
      <c r="E39" s="23" t="s">
        <v>2519</v>
      </c>
      <c r="F39" s="23" t="s">
        <v>2498</v>
      </c>
      <c r="G39" s="23" t="s">
        <v>2520</v>
      </c>
      <c r="H39" s="23" t="s">
        <v>2374</v>
      </c>
      <c r="I39" s="23" t="s">
        <v>2521</v>
      </c>
      <c r="J39" s="23" t="s">
        <v>2376</v>
      </c>
      <c r="K39" s="23" t="s">
        <v>662</v>
      </c>
      <c r="L39" s="23" t="s">
        <v>2584</v>
      </c>
      <c r="M39" s="23" t="s">
        <v>2522</v>
      </c>
      <c r="N39" s="22" t="s">
        <v>2523</v>
      </c>
    </row>
    <row r="40" spans="1:14" ht="409.6">
      <c r="A40" s="23" t="s">
        <v>2342</v>
      </c>
      <c r="B40" s="23" t="s">
        <v>59</v>
      </c>
      <c r="C40" s="23" t="s">
        <v>2524</v>
      </c>
      <c r="D40" s="23" t="s">
        <v>2525</v>
      </c>
      <c r="E40" s="23" t="s">
        <v>2526</v>
      </c>
      <c r="F40" s="23" t="s">
        <v>2498</v>
      </c>
      <c r="G40" s="23" t="s">
        <v>2527</v>
      </c>
      <c r="H40" s="23" t="s">
        <v>2374</v>
      </c>
      <c r="I40" s="23" t="s">
        <v>2528</v>
      </c>
      <c r="J40" s="23" t="s">
        <v>2376</v>
      </c>
      <c r="K40" s="23" t="s">
        <v>815</v>
      </c>
      <c r="L40" s="23" t="s">
        <v>2585</v>
      </c>
      <c r="M40" s="23" t="s">
        <v>2529</v>
      </c>
      <c r="N40" s="22" t="s">
        <v>2530</v>
      </c>
    </row>
    <row r="41" spans="1:14" ht="409.6">
      <c r="A41" s="22" t="s">
        <v>2531</v>
      </c>
      <c r="B41" s="22" t="s">
        <v>1567</v>
      </c>
      <c r="C41" s="22" t="s">
        <v>2532</v>
      </c>
      <c r="D41" s="22" t="s">
        <v>2533</v>
      </c>
      <c r="E41" s="22" t="s">
        <v>2534</v>
      </c>
      <c r="F41" s="22" t="s">
        <v>2385</v>
      </c>
      <c r="G41" s="22" t="s">
        <v>2535</v>
      </c>
      <c r="H41" s="22" t="s">
        <v>2387</v>
      </c>
      <c r="I41" s="22" t="s">
        <v>2536</v>
      </c>
      <c r="J41" s="22" t="s">
        <v>2376</v>
      </c>
      <c r="K41" s="22" t="s">
        <v>1567</v>
      </c>
      <c r="L41" s="22" t="s">
        <v>2586</v>
      </c>
      <c r="M41" s="22" t="s">
        <v>2537</v>
      </c>
      <c r="N41" s="55" t="s">
        <v>2538</v>
      </c>
    </row>
    <row r="42" spans="1:14" ht="409.6">
      <c r="A42" s="23" t="s">
        <v>2539</v>
      </c>
      <c r="B42" s="23" t="s">
        <v>1567</v>
      </c>
      <c r="C42" s="23" t="s">
        <v>2540</v>
      </c>
      <c r="D42" s="23" t="s">
        <v>2541</v>
      </c>
      <c r="E42" s="23" t="s">
        <v>2542</v>
      </c>
      <c r="F42" s="23" t="s">
        <v>2385</v>
      </c>
      <c r="G42" s="23" t="s">
        <v>2543</v>
      </c>
      <c r="H42" s="23" t="s">
        <v>2387</v>
      </c>
      <c r="I42" s="23" t="s">
        <v>2544</v>
      </c>
      <c r="J42" s="23" t="s">
        <v>2376</v>
      </c>
      <c r="K42" s="23" t="s">
        <v>1567</v>
      </c>
      <c r="L42" s="23" t="s">
        <v>2587</v>
      </c>
      <c r="M42" s="23" t="s">
        <v>2545</v>
      </c>
      <c r="N42" s="22" t="s">
        <v>2546</v>
      </c>
    </row>
    <row r="43" spans="1:14" ht="409.6" customHeight="1">
      <c r="A43" s="27" t="s">
        <v>2547</v>
      </c>
      <c r="B43" s="27" t="s">
        <v>56</v>
      </c>
      <c r="C43" s="27" t="s">
        <v>2548</v>
      </c>
      <c r="D43" s="27" t="s">
        <v>2549</v>
      </c>
      <c r="E43" s="27" t="s">
        <v>2550</v>
      </c>
      <c r="F43" s="27" t="s">
        <v>2434</v>
      </c>
      <c r="G43" s="28" t="s">
        <v>2551</v>
      </c>
      <c r="H43" s="27" t="s">
        <v>2374</v>
      </c>
      <c r="I43" s="27" t="s">
        <v>2552</v>
      </c>
      <c r="J43" s="27" t="s">
        <v>2376</v>
      </c>
      <c r="K43" s="27" t="s">
        <v>2553</v>
      </c>
      <c r="L43" s="27" t="s">
        <v>2588</v>
      </c>
      <c r="M43" s="27" t="s">
        <v>2554</v>
      </c>
      <c r="N43" s="55" t="s">
        <v>2555</v>
      </c>
    </row>
    <row r="44" spans="1:14" ht="319.95" customHeight="1">
      <c r="A44" s="27" t="s">
        <v>241</v>
      </c>
      <c r="B44" s="27" t="s">
        <v>2556</v>
      </c>
      <c r="C44" s="27" t="s">
        <v>2557</v>
      </c>
      <c r="D44" s="27" t="s">
        <v>2558</v>
      </c>
      <c r="E44" s="27" t="s">
        <v>2559</v>
      </c>
      <c r="F44" s="27" t="s">
        <v>2560</v>
      </c>
      <c r="G44" s="28" t="s">
        <v>2561</v>
      </c>
      <c r="H44" s="27" t="s">
        <v>2307</v>
      </c>
      <c r="I44" s="27" t="s">
        <v>2562</v>
      </c>
      <c r="J44" s="27" t="s">
        <v>2438</v>
      </c>
      <c r="K44" s="27" t="s">
        <v>2563</v>
      </c>
      <c r="L44" s="27" t="s">
        <v>2589</v>
      </c>
      <c r="M44" s="27" t="s">
        <v>2308</v>
      </c>
      <c r="N44" s="22" t="s">
        <v>2310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25" workbookViewId="0">
      <selection activeCell="A23" sqref="A23"/>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74" t="s">
        <v>1282</v>
      </c>
      <c r="B1" s="74"/>
      <c r="C1" s="74"/>
      <c r="D1" s="74"/>
      <c r="E1" s="74"/>
      <c r="F1" s="74"/>
      <c r="G1" s="74"/>
      <c r="H1" s="74"/>
      <c r="I1" s="74"/>
      <c r="J1" s="74"/>
      <c r="K1" s="74"/>
      <c r="L1" s="74"/>
    </row>
    <row r="2" spans="1:12" ht="31.95" customHeight="1">
      <c r="A2" s="75" t="s">
        <v>1283</v>
      </c>
      <c r="B2" s="75"/>
      <c r="C2" s="75"/>
      <c r="D2" s="75"/>
      <c r="E2" s="75"/>
      <c r="F2" s="75"/>
      <c r="G2" s="75"/>
      <c r="H2" s="75"/>
      <c r="I2" s="75"/>
      <c r="J2" s="75"/>
      <c r="K2" s="75"/>
      <c r="L2" s="75"/>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2564</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2330</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2333</v>
      </c>
      <c r="F24" s="11" t="s">
        <v>1381</v>
      </c>
      <c r="G24" s="11" t="s">
        <v>658</v>
      </c>
      <c r="H24" s="11" t="s">
        <v>1320</v>
      </c>
      <c r="I24" s="18"/>
      <c r="J24" s="11"/>
      <c r="K24" s="11"/>
      <c r="L24" s="11"/>
    </row>
    <row r="25" spans="1:12" ht="171">
      <c r="A25" s="11" t="s">
        <v>1382</v>
      </c>
      <c r="B25" s="11" t="s">
        <v>59</v>
      </c>
      <c r="C25" s="11" t="s">
        <v>1383</v>
      </c>
      <c r="D25" s="11" t="s">
        <v>1384</v>
      </c>
      <c r="E25" s="11" t="s">
        <v>2565</v>
      </c>
      <c r="F25" s="11" t="s">
        <v>1385</v>
      </c>
      <c r="G25" s="11" t="s">
        <v>1386</v>
      </c>
      <c r="H25" s="11" t="s">
        <v>1320</v>
      </c>
      <c r="I25" s="18"/>
      <c r="J25" s="11"/>
      <c r="K25" s="11"/>
      <c r="L25" s="11"/>
    </row>
    <row r="26" spans="1:12" ht="182.4">
      <c r="A26" s="11" t="s">
        <v>1387</v>
      </c>
      <c r="B26" s="11" t="s">
        <v>59</v>
      </c>
      <c r="C26" s="11" t="s">
        <v>1388</v>
      </c>
      <c r="D26" s="11" t="s">
        <v>1389</v>
      </c>
      <c r="E26" s="11" t="s">
        <v>2566</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2567</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2343</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74" t="s">
        <v>1448</v>
      </c>
      <c r="B1" s="74"/>
      <c r="C1" s="74"/>
      <c r="D1" s="74"/>
      <c r="E1" s="74"/>
      <c r="F1" s="74"/>
      <c r="G1" s="74"/>
      <c r="H1" s="74"/>
      <c r="I1" s="74"/>
      <c r="J1" s="74"/>
      <c r="K1" s="74"/>
    </row>
    <row r="2" spans="1:11" ht="31.95" customHeight="1">
      <c r="A2" s="75" t="s">
        <v>1449</v>
      </c>
      <c r="B2" s="75"/>
      <c r="C2" s="75"/>
      <c r="D2" s="75"/>
      <c r="E2" s="75"/>
      <c r="F2" s="75"/>
      <c r="G2" s="75"/>
      <c r="H2" s="75"/>
      <c r="I2" s="75"/>
      <c r="J2" s="75"/>
      <c r="K2" s="75"/>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H29" sqref="H29"/>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74" t="s">
        <v>1573</v>
      </c>
      <c r="B1" s="74"/>
      <c r="C1" s="74"/>
      <c r="D1" s="74"/>
      <c r="E1" s="74"/>
      <c r="F1" s="74"/>
      <c r="G1" s="74"/>
      <c r="H1" s="74"/>
      <c r="I1" s="74"/>
      <c r="J1" s="74"/>
    </row>
    <row r="2" spans="1:10" ht="31.95" customHeight="1">
      <c r="A2" s="75" t="s">
        <v>1574</v>
      </c>
      <c r="B2" s="75"/>
      <c r="C2" s="75"/>
      <c r="D2" s="75"/>
      <c r="E2" s="75"/>
      <c r="F2" s="75"/>
      <c r="G2" s="75"/>
      <c r="H2" s="75"/>
      <c r="I2" s="75"/>
      <c r="J2" s="75"/>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hidden="1">
      <c r="A10" s="11" t="s">
        <v>469</v>
      </c>
      <c r="B10" s="11" t="s">
        <v>1354</v>
      </c>
      <c r="C10" s="20" t="s">
        <v>1597</v>
      </c>
      <c r="D10" s="11" t="s">
        <v>57</v>
      </c>
      <c r="E10" s="11" t="s">
        <v>1586</v>
      </c>
      <c r="F10" s="11" t="s">
        <v>46</v>
      </c>
      <c r="G10" s="11" t="s">
        <v>93</v>
      </c>
      <c r="H10" s="11" t="s">
        <v>1598</v>
      </c>
      <c r="I10" s="20"/>
      <c r="J10" s="18"/>
    </row>
    <row r="11" spans="1:10">
      <c r="A11" s="11" t="s">
        <v>1599</v>
      </c>
      <c r="B11" s="11" t="s">
        <v>1600</v>
      </c>
      <c r="C11" s="20" t="s">
        <v>1601</v>
      </c>
      <c r="D11" s="11" t="s">
        <v>59</v>
      </c>
      <c r="E11" s="11" t="s">
        <v>1586</v>
      </c>
      <c r="F11" s="11" t="s">
        <v>2570</v>
      </c>
      <c r="G11" s="11" t="s">
        <v>93</v>
      </c>
      <c r="H11" s="11" t="s">
        <v>1602</v>
      </c>
      <c r="I11" s="20"/>
      <c r="J11" s="18"/>
    </row>
    <row r="12" spans="1:10" ht="68.400000000000006">
      <c r="A12" s="11" t="s">
        <v>1603</v>
      </c>
      <c r="B12" s="11" t="s">
        <v>1600</v>
      </c>
      <c r="C12" s="20" t="s">
        <v>1604</v>
      </c>
      <c r="D12" s="11" t="s">
        <v>56</v>
      </c>
      <c r="E12" s="11" t="s">
        <v>1586</v>
      </c>
      <c r="F12" s="11" t="s">
        <v>46</v>
      </c>
      <c r="G12" s="11" t="s">
        <v>35</v>
      </c>
      <c r="H12" s="11" t="s">
        <v>1605</v>
      </c>
      <c r="I12" s="20" t="s">
        <v>1606</v>
      </c>
      <c r="J12" s="18">
        <v>46252</v>
      </c>
    </row>
    <row r="13" spans="1:10" ht="22.8">
      <c r="A13" s="11" t="s">
        <v>1607</v>
      </c>
      <c r="B13" s="11" t="s">
        <v>1608</v>
      </c>
      <c r="C13" s="20" t="s">
        <v>1609</v>
      </c>
      <c r="D13" s="11" t="s">
        <v>59</v>
      </c>
      <c r="E13" s="11" t="s">
        <v>1586</v>
      </c>
      <c r="F13" s="11" t="s">
        <v>2570</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hidden="1">
      <c r="A17" s="11" t="s">
        <v>398</v>
      </c>
      <c r="B17" s="11" t="s">
        <v>1618</v>
      </c>
      <c r="C17" s="20" t="s">
        <v>1619</v>
      </c>
      <c r="D17" s="11" t="s">
        <v>57</v>
      </c>
      <c r="E17" s="11" t="s">
        <v>1586</v>
      </c>
      <c r="F17" s="11" t="s">
        <v>2570</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46</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2570</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2570</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c r="A29" s="11" t="s">
        <v>1648</v>
      </c>
      <c r="B29" s="11" t="s">
        <v>319</v>
      </c>
      <c r="C29" s="20" t="s">
        <v>1649</v>
      </c>
      <c r="D29" s="11" t="s">
        <v>59</v>
      </c>
      <c r="E29" s="11" t="s">
        <v>1586</v>
      </c>
      <c r="F29" s="11" t="s">
        <v>303</v>
      </c>
      <c r="G29" s="11" t="s">
        <v>93</v>
      </c>
      <c r="H29" s="11" t="s">
        <v>1650</v>
      </c>
      <c r="I29" s="20"/>
      <c r="J29" s="18"/>
    </row>
    <row r="30" spans="1:10" ht="22.8" hidden="1">
      <c r="A30" s="11" t="s">
        <v>433</v>
      </c>
      <c r="B30" s="11" t="s">
        <v>1651</v>
      </c>
      <c r="C30" s="20" t="s">
        <v>1652</v>
      </c>
      <c r="D30" s="11" t="s">
        <v>57</v>
      </c>
      <c r="E30" s="11" t="s">
        <v>1625</v>
      </c>
      <c r="F30" s="11" t="s">
        <v>2570</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74" t="s">
        <v>1654</v>
      </c>
      <c r="B1" s="74"/>
      <c r="C1" s="74"/>
      <c r="D1" s="74"/>
      <c r="E1" s="74"/>
      <c r="F1" s="74"/>
      <c r="G1" s="74"/>
      <c r="H1" s="74"/>
      <c r="I1" s="74"/>
    </row>
    <row r="2" spans="1:9">
      <c r="A2" s="75" t="s">
        <v>1655</v>
      </c>
      <c r="B2" s="75"/>
      <c r="C2" s="75"/>
      <c r="D2" s="75"/>
      <c r="E2" s="75"/>
      <c r="F2" s="75"/>
      <c r="G2" s="75"/>
      <c r="H2" s="75"/>
      <c r="I2" s="75"/>
    </row>
    <row r="4" spans="1:9">
      <c r="A4" s="59" t="s">
        <v>1656</v>
      </c>
      <c r="B4" s="60"/>
      <c r="C4" s="60"/>
      <c r="D4" s="60"/>
      <c r="E4" s="60"/>
      <c r="F4" s="60"/>
      <c r="G4" s="60"/>
      <c r="H4" s="60"/>
      <c r="I4" s="61"/>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7" t="s">
        <v>1740</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74" t="s">
        <v>1741</v>
      </c>
      <c r="B1" s="74"/>
      <c r="C1" s="74"/>
      <c r="D1" s="74"/>
      <c r="E1" s="74"/>
      <c r="F1" s="74"/>
      <c r="G1" s="74"/>
    </row>
    <row r="2" spans="1:7" ht="31.95" customHeight="1">
      <c r="A2" s="75" t="s">
        <v>1742</v>
      </c>
      <c r="B2" s="75"/>
      <c r="C2" s="75"/>
      <c r="D2" s="75"/>
      <c r="E2" s="75"/>
      <c r="F2" s="75"/>
      <c r="G2" s="75"/>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74" t="s">
        <v>2049</v>
      </c>
      <c r="B1" s="74"/>
      <c r="C1" s="74"/>
      <c r="D1" s="74"/>
      <c r="E1" s="74"/>
      <c r="F1" s="74"/>
      <c r="G1" s="74"/>
      <c r="H1" s="74"/>
    </row>
    <row r="2" spans="1:8" ht="31.95" customHeight="1">
      <c r="A2" s="75" t="s">
        <v>2050</v>
      </c>
      <c r="B2" s="75"/>
      <c r="C2" s="75"/>
      <c r="D2" s="75"/>
      <c r="E2" s="75"/>
      <c r="F2" s="75"/>
      <c r="G2" s="75"/>
      <c r="H2" s="75"/>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74" t="s">
        <v>2174</v>
      </c>
      <c r="B1" s="74"/>
      <c r="C1" s="74"/>
      <c r="D1" s="74"/>
      <c r="E1" s="74"/>
      <c r="F1" s="74"/>
    </row>
    <row r="2" spans="1:6" ht="31.95" customHeight="1">
      <c r="A2" s="75" t="s">
        <v>2175</v>
      </c>
      <c r="B2" s="75"/>
      <c r="C2" s="75"/>
      <c r="D2" s="75"/>
      <c r="E2" s="75"/>
      <c r="F2" s="75"/>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7" t="s">
        <v>2199</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2200</v>
      </c>
      <c r="B1" s="120"/>
      <c r="C1" s="120"/>
      <c r="D1" s="120"/>
      <c r="E1" s="120"/>
      <c r="F1" s="120"/>
      <c r="G1" s="120"/>
      <c r="H1" s="120"/>
    </row>
    <row r="2" spans="1:8" ht="36" customHeight="1">
      <c r="A2" s="121" t="s">
        <v>2201</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Ready to teach</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Ready to teach</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2282</v>
      </c>
      <c r="B20" s="122"/>
      <c r="C20" s="122"/>
      <c r="D20" s="122"/>
      <c r="E20" s="122"/>
      <c r="F20" s="122"/>
      <c r="G20" s="122"/>
      <c r="H20" s="122"/>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2026-09-03T05:50:28Z</dcterms:modified>
</cp:coreProperties>
</file>