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52187EB8-A3D7-4B80-9845-5BF0BC2DCAF2}" xr6:coauthVersionLast="47" xr6:coauthVersionMax="47" xr10:uidLastSave="{00000000-0000-0000-0000-000000000000}"/>
  <bookViews>
    <workbookView xWindow="-108" yWindow="-108" windowWidth="23256" windowHeight="13896" tabRatio="788" firstSheet="2" activeTab="4"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<sst xmlns="http://schemas.openxmlformats.org/spreadsheetml/2006/main" count="5453" uniqueCount="2610">
  <si>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</si>
  <si>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</si>
  <si>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</si>
  <si>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</si>
  <si>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</si>
  <si>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</si>
  <si>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</si>
  <si>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</si>
  <si>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</si>
  <si>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</si>
  <si>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</si>
  <si>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</si>
  <si>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</si>
  <si>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</si>
  <si>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</si>
  <si>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</si>
  <si>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</si>
  <si>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</si>
  <si>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</si>
  <si>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</si>
  <si>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</si>
  <si>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</si>
  <si>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</si>
  <si>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</si>
  <si>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</si>
  <si>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</si>
  <si>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</si>
  <si>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</si>
  <si>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</si>
  <si>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</si>
  <si>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</si>
  <si>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</si>
  <si>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</si>
  <si>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</si>
  <si>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</si>
  <si>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</si>
  <si>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</si>
  <si>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</si>
  <si>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</si>
  <si>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</si>
  <si>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</si>
  <si>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</si>
  <si>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</si>
  <si>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</si>
  <si>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</si>
  <si>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</si>
  <si>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</si>
  <si>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</si>
  <si>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</si>
  <si>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</si>
  <si>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</si>
  <si>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</si>
  <si>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</si>
  <si>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</si>
  <si>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</si>
  <si>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</si>
  <si>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</si>
  <si>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</si>
  <si>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</si>
  <si>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</si>
  <si>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</si>
  <si>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</si>
  <si>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</si>
  <si>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</si>
  <si>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</si>
  <si>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</si>
  <si>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</si>
  <si>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</si>
  <si>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</si>
  <si>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</si>
  <si>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</si>
  <si>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</si>
  <si>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</si>
  <si>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</si>
  <si>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</si>
  <si>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</si>
  <si>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</si>
  <si>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</si>
  <si>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</si>
  <si>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</si>
  <si>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</si>
  <si>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</si>
  <si>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</si>
  <si>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</si>
  <si>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</si>
  <si>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</si>
  <si>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</si>
  <si>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</si>
  <si>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</si>
  <si>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</si>
  <si>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</si>
  <si>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</si>
  <si>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</si>
  <si>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</si>
  <si>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</si>
  <si>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</si>
  <si>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</si>
  <si>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</si>
  <si>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</si>
  <si>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</si>
  <si>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</si>
  <si>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</si>
  <si>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</si>
  <si>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</si>
  <si>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</si>
  <si>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</si>
  <si>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</si>
  <si>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</si>
  <si>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</si>
  <si>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</si>
  <si>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</si>
  <si>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</si>
  <si>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</si>
  <si>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</si>
  <si>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</si>
  <si>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</si>
  <si>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</si>
  <si>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</si>
  <si>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</si>
  <si>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</si>
  <si>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</si>
  <si>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</si>
  <si>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</si>
  <si>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</si>
  <si>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</si>
  <si>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</si>
  <si>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</si>
  <si>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</si>
  <si>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</si>
  <si>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</si>
  <si>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</si>
  <si>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</si>
  <si>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</si>
  <si>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</si>
  <si>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</si>
  <si>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</si>
  <si>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</si>
  <si>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</si>
  <si>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</si>
  <si>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</si>
  <si>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</si>
  <si>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</si>
  <si>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</si>
  <si>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</si>
  <si>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</si>
  <si>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</si>
  <si>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</si>
  <si>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</si>
  <si>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</si>
  <si>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</si>
  <si>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</si>
  <si>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</si>
  <si>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</si>
  <si>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</si>
  <si>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</si>
  <si>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</si>
  <si>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</si>
  <si>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</si>
  <si>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</si>
  <si>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</si>
  <si>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</si>
  <si>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</si>
  <si>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</si>
  <si>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</si>
  <si>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</si>
  <si>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</si>
  <si>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</si>
  <si>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</si>
  <si>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</si>
  <si>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</si>
  <si>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</si>
  <si>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</si>
  <si>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</si>
  <si>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</si>
  <si>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</si>
  <si>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</si>
  <si>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</si>
  <si>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</si>
  <si>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</si>
  <si>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</si>
  <si>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</si>
  <si>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</si>
  <si>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</si>
  <si>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</si>
  <si>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</si>
  <si>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</si>
  <si>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</si>
  <si>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</si>
  <si>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</si>
  <si>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</si>
  <si>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</si>
  <si>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</si>
  <si>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</si>
  <si>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</si>
  <si>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</si>
  <si>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</si>
  <si>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</si>
  <si>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</si>
  <si>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</si>
  <si>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</si>
  <si>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</si>
  <si>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</si>
  <si>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</si>
  <si>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</si>
  <si>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</si>
  <si>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</si>
  <si>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</si>
  <si>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</si>
  <si>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</si>
  <si>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</si>
  <si>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</si>
  <si>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</si>
  <si>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</si>
  <si>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</si>
  <si>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</si>
  <si>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</si>
  <si>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</si>
  <si>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</si>
  <si>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</si>
  <si>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</si>
  <si>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</si>
  <si>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</si>
  <si>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</si>
  <si>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</si>
  <si>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</si>
  <si>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</si>
  <si>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</si>
  <si>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</si>
  <si>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</si>
  <si>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</si>
  <si>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</si>
  <si>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</si>
  <si>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</si>
  <si>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</si>
  <si>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</si>
  <si>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</si>
  <si>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</si>
  <si>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</si>
  <si>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</si>
  <si>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</si>
  <si>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</si>
  <si>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</si>
  <si>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</si>
  <si>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</si>
  <si>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</si>
  <si>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</si>
  <si>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</si>
  <si>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</si>
  <si>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</si>
  <si>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</si>
  <si>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</si>
  <si>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</si>
  <si>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</si>
  <si>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</si>
  <si>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</si>
  <si>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</si>
  <si>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</si>
  <si>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</si>
  <si>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</si>
  <si>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</si>
  <si>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</si>
  <si>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</si>
  <si>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</si>
  <si>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</si>
  <si>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</si>
  <si>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</si>
  <si>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</si>
  <si>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</si>
  <si>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</si>
  <si>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</si>
  <si>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</si>
  <si>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</si>
  <si>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</si>
  <si>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</si>
  <si>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</si>
  <si>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</si>
  <si>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</si>
  <si>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</si>
  <si>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</si>
  <si>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</si>
  <si>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</si>
  <si>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</si>
  <si>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</si>
  <si>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</si>
  <si>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</si>
  <si>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</si>
  <si>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</si>
  <si>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</si>
  <si>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</si>
  <si>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</si>
  <si>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</si>
  <si>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</si>
  <si>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</si>
  <si>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</si>
  <si>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</si>
  <si>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</si>
  <si>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</si>
  <si>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</si>
  <si>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</si>
  <si>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</si>
  <si>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</si>
  <si>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</si>
  <si>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</si>
  <si>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</si>
  <si>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</si>
  <si>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</si>
  <si>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</si>
  <si>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</si>
  <si>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</si>
  <si>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</si>
  <si>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</si>
  <si>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</si>
  <si>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</si>
  <si>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</si>
  <si>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</si>
  <si>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</si>
  <si>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</si>
  <si>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</si>
  <si>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</si>
  <si>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</si>
  <si>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</si>
  <si>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</si>
  <si>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</si>
  <si>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</si>
  <si>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</si>
  <si>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</si>
  <si>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</si>
  <si>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</si>
  <si>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</si>
  <si>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</si>
  <si>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</si>
  <si>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</si>
  <si>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</si>
  <si>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</si>
  <si>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</si>
  <si>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</si>
  <si>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</si>
  <si>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</si>
  <si>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</si>
  <si>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</si>
  <si>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</si>
  <si>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</si>
  <si>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</si>
  <si>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</si>
  <si>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</si>
  <si>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</si>
  <si>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</si>
  <si>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</si>
  <si>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</si>
  <si>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</si>
  <si>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</si>
  <si>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</si>
  <si>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</si>
  <si>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</si>
  <si>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</si>
  <si>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</si>
  <si>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</si>
  <si>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</si>
  <si>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</si>
  <si>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</si>
  <si>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</si>
  <si>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</si>
  <si>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</si>
  <si>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</si>
  <si>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</si>
  <si>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</si>
  <si>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</si>
  <si>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</si>
  <si>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</si>
  <si>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</si>
  <si>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</si>
  <si>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</si>
  <si>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</si>
  <si>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</si>
  <si>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</si>
  <si>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</si>
  <si>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</si>
  <si>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</si>
  <si>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</si>
  <si>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</si>
  <si>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</si>
  <si>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</si>
  <si>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</si>
  <si>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</si>
  <si>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</si>
  <si>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</si>
  <si>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</si>
  <si>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</si>
  <si>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</si>
  <si>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</si>
  <si>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</si>
  <si>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</si>
  <si>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</si>
  <si>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</si>
  <si>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</si>
  <si>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</si>
  <si>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</si>
  <si>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</si>
  <si>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</si>
  <si>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</si>
  <si>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</si>
  <si>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</si>
  <si>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</si>
  <si>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</si>
  <si>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</si>
  <si>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</si>
  <si>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</si>
  <si>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</si>
  <si>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</si>
  <si>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</si>
  <si>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</si>
  <si>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</si>
  <si>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</si>
  <si>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</si>
  <si>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</si>
  <si>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</si>
  <si>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</si>
  <si>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</si>
  <si>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</si>
  <si>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</si>
  <si>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</si>
  <si>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</si>
  <si>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</si>
  <si>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</si>
  <si>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</si>
  <si>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</si>
  <si>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</si>
  <si>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</si>
  <si>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</si>
  <si>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</si>
  <si>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</si>
  <si>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</si>
  <si>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</si>
  <si>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</si>
  <si>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</si>
  <si>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</si>
  <si>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</si>
  <si>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</si>
  <si>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</si>
  <si>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</si>
  <si>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</si>
  <si>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</si>
  <si>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</si>
  <si>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</si>
  <si>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</si>
  <si>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</si>
  <si>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</si>
  <si>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</si>
  <si>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</si>
  <si>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</si>
  <si>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</si>
  <si>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</si>
  <si>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</si>
  <si>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</si>
  <si>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</si>
  <si>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</si>
  <si>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</si>
  <si>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</si>
  <si>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</si>
  <si>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</si>
  <si>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</si>
  <si>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</si>
  <si>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</si>
  <si>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</si>
  <si>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</si>
  <si>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</si>
  <si>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</si>
  <si>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</si>
  <si>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</si>
  <si>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</si>
  <si>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</si>
  <si>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</si>
  <si>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</si>
  <si>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</si>
  <si>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</si>
  <si>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</si>
  <si>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</si>
  <si>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</si>
  <si>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</si>
  <si>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</si>
  <si>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</si>
  <si>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</si>
  <si>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</si>
  <si>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</si>
  <si>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</si>
  <si>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</si>
  <si>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</si>
  <si>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</si>
  <si>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</si>
  <si>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</si>
  <si>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</si>
  <si>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</si>
  <si>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</si>
  <si>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</si>
  <si>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</si>
  <si>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</si>
  <si>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</si>
  <si>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</si>
  <si>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</si>
  <si>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</si>
  <si>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</si>
  <si>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</si>
  <si>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</si>
  <si>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</si>
  <si>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</si>
  <si>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</si>
  <si>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</si>
  <si>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</si>
  <si>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</si>
  <si>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</si>
  <si>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</si>
  <si>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</si>
  <si>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</si>
  <si>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</si>
  <si>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</si>
  <si>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</si>
  <si>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</si>
  <si>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</si>
  <si>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</si>
  <si>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</si>
  <si>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</si>
  <si>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</si>
  <si>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</si>
  <si>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</si>
  <si>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</si>
  <si>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</si>
  <si>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</si>
  <si>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</si>
  <si>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</si>
  <si>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</si>
  <si>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</si>
  <si>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</si>
  <si>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</si>
  <si>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</si>
  <si>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</si>
  <si>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</si>
  <si>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</si>
  <si>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</si>
  <si>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</si>
  <si>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</si>
  <si>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</si>
  <si>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</si>
  <si>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</si>
  <si>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</si>
  <si>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</si>
  <si>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</si>
  <si>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</si>
  <si>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</si>
  <si>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</si>
  <si>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</si>
  <si>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</si>
  <si>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</si>
  <si>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</si>
  <si>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</si>
  <si>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</si>
  <si>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</si>
  <si>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</si>
  <si>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</si>
  <si>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</si>
  <si>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</si>
  <si>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</si>
  <si>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</si>
  <si>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</si>
  <si>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</si>
  <si>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</si>
  <si>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</si>
  <si>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</si>
  <si>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</si>
  <si>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</si>
  <si>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</si>
  <si>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</si>
  <si>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</si>
  <si>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</si>
  <si>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</si>
  <si>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</si>
  <si>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</si>
  <si>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</si>
  <si>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</si>
  <si>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</si>
  <si>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</si>
  <si>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</si>
  <si>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</si>
  <si>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</si>
  <si>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</si>
  <si>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</si>
  <si>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</si>
  <si>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</si>
  <si>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</si>
  <si>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</si>
  <si>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</si>
  <si>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</si>
  <si>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</si>
  <si>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</si>
  <si>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</si>
  <si>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</si>
  <si>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</si>
  <si>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</si>
  <si>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</si>
  <si>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</si>
  <si>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</si>
  <si>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</si>
  <si>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</si>
  <si>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</si>
  <si>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</si>
  <si>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</si>
  <si>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</si>
  <si>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</si>
  <si>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</si>
  <si>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</si>
  <si>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</si>
  <si>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</si>
  <si>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</si>
  <si>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</si>
  <si>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</si>
  <si>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</si>
  <si>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</si>
  <si>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</si>
  <si>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</si>
  <si>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</si>
  <si>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</si>
  <si>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</si>
  <si>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</si>
  <si>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</si>
  <si>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</si>
  <si>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</si>
  <si>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</si>
  <si>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</si>
  <si>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</si>
  <si>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</si>
  <si>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</si>
  <si>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</si>
  <si>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</si>
  <si>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</si>
  <si>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</si>
  <si>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</si>
  <si>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</si>
  <si>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</si>
  <si>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</si>
  <si>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</si>
  <si>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</si>
  <si>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</si>
  <si>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</si>
  <si>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</si>
  <si>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</si>
  <si>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</si>
  <si>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</si>
  <si>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</si>
  <si>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</si>
  <si>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</si>
  <si>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</si>
  <si>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</si>
  <si>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</si>
  <si>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</si>
  <si>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</si>
  <si>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</si>
  <si>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</si>
  <si>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</si>
  <si>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</si>
  <si>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</si>
  <si>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</si>
  <si>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</si>
  <si>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</si>
  <si>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</si>
  <si>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</si>
  <si>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</si>
  <si>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</si>
  <si>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</si>
  <si>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</si>
  <si>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</si>
  <si>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</si>
  <si>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</si>
  <si>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</si>
  <si>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</si>
  <si>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</si>
  <si>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</si>
  <si>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</si>
  <si>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</si>
  <si>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</si>
  <si>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</si>
  <si>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</si>
  <si>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</si>
  <si>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</si>
  <si>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</si>
  <si>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</si>
  <si>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</si>
  <si>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</si>
  <si>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</si>
  <si>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</si>
  <si>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</si>
  <si>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</si>
  <si>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</si>
  <si>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</si>
  <si>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</si>
  <si>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</si>
  <si>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</si>
  <si>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</si>
  <si>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</si>
  <si>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</si>
  <si>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</si>
  <si>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</si>
  <si>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</si>
  <si>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</si>
  <si>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</si>
  <si>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</si>
  <si>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</si>
  <si>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</si>
  <si>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</si>
  <si>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</si>
  <si>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</si>
  <si>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</si>
  <si>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</si>
  <si>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</si>
  <si>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</si>
  <si>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</si>
  <si>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</si>
  <si>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</si>
  <si>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</si>
  <si>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</si>
  <si>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</si>
  <si>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</si>
  <si>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</si>
  <si>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</si>
  <si>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</si>
  <si>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</si>
  <si>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</si>
  <si>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</si>
  <si>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</si>
  <si>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</si>
  <si>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</si>
  <si>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</si>
  <si>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</si>
  <si>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</si>
  <si>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</si>
  <si>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</si>
  <si>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</si>
  <si>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</si>
  <si>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</si>
  <si>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</si>
  <si>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</si>
  <si>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</si>
  <si>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</si>
  <si>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</si>
  <si>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</si>
  <si>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</si>
  <si>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</si>
  <si>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</si>
  <si>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</si>
  <si>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</si>
  <si>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</si>
  <si>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</si>
  <si>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</si>
  <si>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</si>
  <si>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</si>
  <si>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</si>
  <si>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</si>
  <si>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</si>
  <si>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</si>
  <si>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</si>
  <si>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</si>
  <si>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</si>
  <si>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</si>
  <si>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</si>
  <si>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</si>
  <si>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</si>
  <si>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</si>
  <si>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</si>
  <si>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</si>
  <si>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</si>
  <si>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</si>
  <si>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</si>
  <si>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</si>
  <si>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</si>
  <si>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</si>
  <si>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</si>
  <si>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</si>
  <si>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</si>
  <si>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</si>
  <si>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</si>
  <si>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</si>
  <si>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</si>
  <si>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</si>
  <si>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</si>
  <si>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</si>
  <si>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</si>
  <si>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</si>
  <si>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</si>
  <si>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</si>
  <si>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</si>
  <si>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</si>
  <si>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</si>
  <si>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</si>
  <si>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</si>
  <si>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</si>
  <si>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</si>
  <si>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</si>
  <si>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</si>
  <si>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</si>
  <si>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</si>
  <si>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</si>
  <si>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</si>
  <si>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</si>
  <si>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</si>
  <si>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</si>
  <si>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</si>
  <si>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</si>
  <si>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</si>
  <si>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</si>
  <si>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</si>
  <si>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</si>
  <si>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</si>
  <si>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</si>
  <si>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</si>
  <si>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</si>
  <si>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</si>
  <si>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</si>
  <si>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</si>
  <si>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</si>
  <si>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</si>
  <si>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</si>
  <si>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</si>
  <si>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</si>
  <si>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</si>
  <si>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</si>
  <si>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</si>
  <si>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</si>
  <si>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</si>
  <si>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</si>
  <si>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</si>
  <si>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</si>
  <si>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</si>
  <si>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</si>
  <si>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</si>
  <si>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</si>
  <si>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</si>
  <si>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</si>
  <si>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</si>
  <si>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</si>
  <si>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</si>
  <si>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</si>
  <si>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</si>
  <si>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</si>
  <si>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</si>
  <si>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</si>
  <si>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</si>
  <si>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</si>
  <si>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</si>
  <si>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</si>
  <si>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</si>
  <si>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</si>
  <si>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</si>
  <si>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</si>
  <si>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</si>
  <si>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</si>
  <si>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</si>
  <si>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</si>
  <si>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</si>
  <si>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</si>
  <si>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</si>
  <si>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</si>
  <si>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</si>
  <si>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</si>
  <si>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</si>
  <si>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</si>
  <si>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</si>
  <si>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</si>
  <si>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</si>
  <si>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</si>
  <si>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</si>
  <si>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</si>
  <si>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</si>
  <si>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</si>
  <si>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</si>
  <si>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</si>
  <si>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</si>
  <si>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</si>
  <si>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</si>
  <si>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</si>
  <si>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</si>
  <si>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</si>
  <si>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</si>
  <si>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</si>
  <si>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</si>
  <si>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</si>
  <si>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</si>
  <si>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</si>
  <si>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</si>
  <si>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</si>
  <si>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</si>
  <si>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</si>
  <si>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</si>
  <si>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</si>
  <si>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</si>
  <si>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</si>
  <si>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</si>
  <si>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</si>
  <si>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</si>
  <si>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</si>
  <si>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</si>
  <si>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</si>
  <si>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</si>
  <si>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</si>
  <si>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</si>
  <si>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</si>
  <si>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</si>
  <si>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</si>
  <si>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</si>
  <si>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</si>
  <si>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</si>
  <si>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</si>
  <si>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</si>
  <si>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</si>
  <si>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</si>
  <si>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</si>
  <si>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</si>
  <si>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</si>
  <si>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</si>
  <si>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</si>
  <si>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</si>
  <si>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</si>
  <si>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</si>
  <si>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</si>
  <si>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</si>
  <si>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</si>
  <si>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</si>
  <si>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</si>
  <si>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</si>
  <si>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</si>
  <si>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</si>
  <si>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</si>
  <si>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</si>
  <si>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</si>
  <si>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</si>
  <si>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</si>
  <si>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</si>
  <si>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</si>
  <si>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</si>
  <si>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</si>
  <si>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</si>
  <si>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</si>
  <si>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</si>
  <si>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</si>
  <si>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</si>
  <si>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</si>
  <si>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</si>
  <si>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</si>
  <si>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</si>
  <si>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</si>
  <si>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</si>
  <si>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</si>
  <si>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</si>
  <si>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</si>
  <si>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</si>
  <si>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</si>
  <si>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</si>
  <si>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</si>
  <si>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</si>
  <si>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</si>
  <si>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</si>
  <si>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</si>
  <si>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</si>
  <si>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</si>
  <si>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</si>
  <si>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</si>
  <si>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</si>
  <si>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</si>
  <si>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</si>
  <si>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</si>
  <si>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</si>
  <si>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</si>
  <si>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</si>
  <si>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</si>
  <si>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</si>
  <si>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</si>
  <si>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</si>
  <si>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</si>
  <si>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</si>
  <si>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</si>
  <si>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</si>
  <si>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</si>
  <si>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</si>
  <si>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</si>
  <si>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</si>
  <si>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</si>
  <si>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</si>
  <si>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</si>
  <si>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</si>
  <si>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</si>
  <si>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</si>
  <si>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</si>
  <si>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</si>
  <si>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</si>
  <si>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</si>
  <si>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</si>
  <si>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</si>
  <si>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</si>
  <si>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</si>
  <si>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</si>
  <si>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</si>
  <si>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</si>
  <si>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</si>
  <si>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</si>
  <si>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</si>
  <si>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</si>
  <si>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</si>
  <si>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</si>
  <si>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</si>
  <si>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</si>
  <si>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</si>
  <si>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</si>
  <si>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</si>
  <si>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</si>
  <si>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</si>
  <si>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</si>
  <si>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</si>
  <si>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</si>
  <si>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</si>
  <si>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</si>
  <si>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</si>
  <si>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</si>
  <si>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</si>
  <si>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</si>
  <si>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</si>
  <si>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</si>
  <si>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</si>
  <si>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</si>
  <si>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</si>
  <si>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</si>
  <si>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</si>
  <si>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</si>
  <si>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</si>
  <si>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</si>
  <si>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</si>
  <si>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</si>
  <si>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</si>
  <si>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</si>
  <si>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</si>
  <si>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</si>
  <si>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</si>
  <si>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</si>
  <si>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</si>
  <si>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</si>
  <si>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</si>
  <si>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</si>
  <si>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</si>
  <si>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</si>
  <si>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</si>
  <si>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</si>
  <si>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</si>
  <si>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</si>
  <si>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</si>
  <si>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</si>
  <si>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</si>
  <si>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</si>
  <si>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</si>
  <si>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</si>
  <si>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</si>
  <si>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</si>
  <si>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</si>
  <si>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</si>
  <si>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</si>
  <si>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</si>
  <si>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</si>
  <si>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</si>
  <si>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</si>
  <si>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</si>
  <si>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</si>
  <si>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</si>
  <si>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</si>
  <si>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</si>
  <si>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</si>
  <si>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</si>
  <si>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</si>
  <si>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</si>
  <si>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</si>
  <si>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</si>
  <si>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</si>
  <si>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</si>
  <si>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</si>
  <si>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</si>
  <si>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</si>
  <si>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</si>
  <si>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</si>
  <si>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</si>
  <si>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</si>
  <si>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</si>
  <si>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</si>
  <si>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</si>
  <si>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</si>
  <si>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</si>
  <si>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</si>
  <si>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</si>
  <si>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</si>
  <si>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</si>
  <si>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</si>
  <si>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</si>
  <si>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</si>
  <si>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</si>
  <si>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</si>
  <si>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</si>
  <si>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</si>
  <si>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</si>
  <si>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</si>
  <si>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</si>
  <si>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</si>
  <si>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</si>
  <si>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</si>
  <si>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</si>
  <si>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</si>
  <si>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</si>
  <si>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</si>
  <si>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</si>
  <si>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</si>
  <si>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</si>
  <si>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</si>
  <si>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</si>
  <si>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</si>
  <si>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</si>
  <si>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</si>
  <si>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</si>
  <si>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</si>
  <si>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</si>
  <si>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</si>
  <si>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</si>
  <si>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</si>
  <si>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</si>
  <si>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</si>
  <si>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</si>
  <si>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</si>
  <si>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</si>
  <si>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</si>
  <si>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</si>
  <si>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</si>
  <si>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</si>
  <si>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</si>
  <si>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</si>
  <si>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</si>
  <si>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</si>
  <si>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</si>
  <si>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</si>
  <si>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</si>
  <si>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</si>
  <si>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</si>
  <si>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</si>
  <si>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</si>
  <si>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</si>
  <si>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</si>
  <si>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</si>
  <si>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</si>
  <si>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</si>
  <si>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</si>
  <si>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</si>
  <si>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</si>
  <si>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</si>
  <si>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</si>
  <si>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</si>
  <si>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</si>
  <si>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</si>
  <si>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</si>
  <si>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</si>
  <si>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</si>
  <si>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</si>
  <si>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</si>
  <si>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</si>
  <si>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</si>
  <si>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</si>
  <si>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</si>
  <si>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</si>
  <si>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</si>
  <si>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</si>
  <si>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</si>
  <si>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</si>
  <si>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</si>
  <si>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</si>
  <si>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</si>
  <si>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</si>
  <si>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</si>
  <si>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</si>
  <si>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</si>
  <si>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</si>
  <si>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</si>
  <si>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</si>
  <si>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</si>
  <si>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</si>
  <si>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</si>
  <si>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</si>
  <si>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</si>
  <si>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</si>
  <si>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</si>
  <si>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</si>
  <si>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</si>
  <si>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</si>
  <si>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</si>
  <si>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</si>
  <si>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</si>
  <si>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</si>
  <si>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</si>
  <si>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</si>
  <si>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</si>
  <si>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</si>
  <si>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</si>
  <si>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</si>
  <si>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</si>
  <si>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</si>
  <si>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</si>
  <si>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</si>
  <si>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</si>
  <si>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</si>
  <si>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</si>
  <si>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</si>
  <si>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</si>
  <si>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</si>
  <si>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</si>
  <si>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</si>
  <si>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</si>
  <si>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</si>
  <si>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</si>
  <si>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</si>
  <si>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</si>
  <si>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</si>
  <si>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</si>
  <si>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</si>
  <si>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</si>
  <si>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</si>
  <si>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</si>
  <si>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</si>
  <si>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</si>
  <si>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</si>
  <si>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</si>
  <si>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</si>
  <si>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</si>
  <si>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</si>
  <si>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</si>
  <si>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</si>
  <si>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</si>
  <si>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</si>
  <si>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</si>
  <si>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</si>
  <si>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</si>
  <si>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</si>
  <si>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</si>
  <si>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</si>
  <si>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</si>
  <si>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</si>
  <si>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</si>
  <si>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</si>
  <si>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</si>
  <si>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</si>
  <si>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</si>
  <si>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</si>
  <si>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</si>
  <si>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</si>
  <si>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</si>
  <si>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</si>
  <si>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</si>
  <si>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</si>
  <si>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</si>
  <si>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</si>
  <si>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</si>
  <si>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</si>
  <si>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</si>
  <si>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</si>
  <si>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</si>
  <si>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</si>
  <si>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</si>
  <si>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</si>
  <si>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</si>
  <si>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</si>
  <si>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</si>
  <si>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</si>
  <si>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</si>
  <si>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</si>
  <si>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</si>
  <si>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</si>
  <si>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</si>
  <si>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</si>
  <si>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</si>
  <si>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</si>
  <si>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</si>
  <si>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</si>
  <si>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</si>
  <si>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</si>
  <si>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</si>
  <si>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</si>
  <si>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</si>
  <si>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</si>
  <si>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</si>
  <si>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</si>
  <si>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</si>
  <si>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</si>
  <si>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</si>
  <si>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</si>
  <si>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</si>
  <si>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</si>
  <si>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</si>
  <si>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</si>
  <si>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</si>
  <si>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</si>
  <si>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</si>
  <si>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</si>
  <si>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</si>
  <si>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</si>
  <si>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</si>
  <si>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</si>
  <si>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</si>
  <si>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</si>
  <si>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</si>
  <si>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</si>
  <si>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</si>
  <si>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</si>
  <si>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</si>
  <si>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</si>
  <si>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</si>
  <si>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</si>
  <si>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</si>
  <si>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</si>
  <si>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</si>
  <si>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</si>
  <si>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</si>
  <si>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</si>
  <si>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</si>
  <si>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</si>
  <si>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</si>
  <si>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</si>
  <si>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</si>
  <si>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</si>
  <si>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</si>
  <si>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</si>
  <si>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</si>
  <si>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</si>
  <si>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</si>
  <si>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</si>
  <si>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</si>
  <si>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</si>
  <si>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</si>
  <si>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</si>
  <si>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</si>
  <si>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</si>
  <si>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</si>
  <si>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</si>
  <si>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</si>
  <si>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</si>
  <si>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</si>
  <si>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</si>
  <si>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</si>
  <si>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</si>
  <si>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</si>
  <si>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</si>
  <si>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</si>
  <si>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</si>
  <si>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</si>
  <si>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</si>
  <si>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</si>
  <si>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</si>
  <si>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</si>
  <si>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</si>
  <si>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</si>
  <si>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</si>
  <si>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</si>
  <si>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</si>
  <si>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</si>
  <si>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</si>
  <si>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</si>
  <si>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</si>
  <si>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</si>
  <si>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</si>
  <si>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</si>
  <si>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</si>
  <si>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</si>
  <si>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</si>
  <si>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</si>
  <si>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</si>
  <si>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</si>
  <si>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</si>
  <si>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</si>
  <si>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</si>
  <si>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</si>
  <si>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</si>
  <si>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</si>
  <si>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</si>
  <si>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</si>
  <si>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</si>
  <si>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</si>
  <si>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</si>
  <si>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</si>
  <si>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</si>
  <si>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</si>
  <si>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</si>
  <si>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</si>
  <si>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</si>
  <si>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</si>
  <si>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</si>
  <si>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</si>
  <si>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</si>
  <si>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</si>
  <si>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</si>
  <si>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</si>
  <si>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</si>
  <si>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</si>
  <si>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</si>
  <si>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</si>
  <si>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</si>
  <si>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</si>
  <si>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</si>
  <si>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</si>
  <si>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</si>
  <si>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</si>
  <si>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</si>
  <si>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</si>
  <si>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</si>
  <si>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</si>
  <si>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</si>
  <si>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</si>
  <si>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</si>
  <si>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</si>
  <si>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</si>
  <si>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</si>
  <si>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</si>
  <si>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</si>
  <si>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</si>
  <si>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</si>
  <si>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</si>
  <si>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</si>
  <si>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</si>
  <si>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</si>
  <si>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</si>
  <si>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</si>
  <si>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</si>
  <si>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</si>
  <si>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</si>
  <si>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</si>
  <si>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</si>
  <si>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</si>
  <si>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</si>
  <si>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</si>
  <si>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</si>
  <si>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</si>
  <si>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</si>
  <si>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</si>
  <si>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</si>
  <si>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</si>
  <si>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</si>
  <si>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</si>
  <si>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</si>
  <si>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</si>
  <si>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</si>
  <si>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</si>
  <si>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</si>
  <si>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</si>
  <si>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</si>
  <si>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</si>
  <si>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</si>
  <si>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</si>
  <si>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</si>
  <si>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</si>
  <si>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</si>
  <si>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</si>
  <si>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</si>
  <si>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</si>
  <si>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</si>
  <si>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</si>
  <si>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</si>
  <si>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</si>
  <si>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</si>
  <si>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</si>
  <si>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</si>
  <si>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</si>
  <si>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</si>
  <si>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</si>
  <si>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</si>
  <si>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</si>
  <si>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</si>
  <si>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</si>
  <si>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</si>
  <si>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</si>
  <si>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</si>
  <si>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</si>
  <si>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</si>
  <si>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</si>
  <si>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</si>
  <si>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</si>
  <si>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</si>
  <si>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</si>
  <si>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</si>
  <si>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</si>
  <si>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</si>
  <si>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</si>
  <si>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</si>
  <si>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</si>
  <si>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</si>
  <si>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</si>
  <si>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</si>
  <si>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</si>
  <si>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</si>
  <si>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</si>
  <si>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</si>
  <si>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</si>
  <si>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</si>
  <si>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</si>
  <si>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</si>
  <si>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</si>
  <si>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</si>
  <si>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</si>
  <si>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</si>
  <si>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</si>
  <si>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</si>
  <si>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</si>
  <si>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</si>
  <si>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</si>
  <si>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</si>
  <si>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</si>
  <si>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</si>
  <si>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</si>
  <si>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</si>
  <si>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</si>
  <si>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</si>
  <si>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</si>
  <si>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</si>
  <si>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</si>
  <si>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</si>
  <si>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</si>
  <si>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</si>
  <si>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</si>
  <si>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</si>
  <si>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</si>
  <si>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</si>
  <si>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</si>
  <si>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</si>
  <si>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</si>
  <si>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</si>
  <si>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</si>
  <si>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</si>
  <si>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</si>
  <si>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</si>
  <si>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</si>
  <si>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</si>
  <si>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</si>
  <si>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</si>
  <si>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</si>
  <si>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</si>
  <si>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</si>
  <si>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</si>
  <si>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</si>
  <si>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</si>
  <si>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</si>
  <si>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</si>
  <si>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</si>
  <si>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</si>
  <si>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</si>
  <si>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</si>
  <si>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</si>
  <si>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</si>
  <si>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</si>
  <si>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</si>
  <si>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</si>
  <si>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</si>
  <si>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</si>
  <si>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</si>
  <si>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</si>
  <si>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</si>
  <si>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</si>
  <si>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</si>
  <si>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</si>
  <si>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</si>
  <si>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</si>
  <si>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</si>
  <si>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</si>
  <si>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</si>
  <si>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</si>
  <si>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</si>
  <si>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</si>
  <si>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</si>
  <si>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</si>
  <si>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</si>
  <si>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</si>
  <si>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</si>
  <si>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</si>
  <si>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</si>
  <si>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</si>
  <si>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</si>
  <si>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</si>
  <si>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</si>
  <si>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</si>
  <si>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</si>
  <si>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</si>
  <si>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</si>
  <si>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</si>
  <si>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</si>
  <si>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</si>
  <si>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</si>
  <si>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</si>
  <si>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</si>
  <si>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</si>
  <si>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</si>
  <si>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</si>
  <si>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</si>
  <si>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</si>
  <si>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</si>
  <si>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</si>
  <si>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</si>
  <si>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</si>
  <si>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</si>
  <si>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</si>
  <si>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</si>
  <si>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</si>
  <si>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</si>
  <si>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</si>
  <si>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</si>
  <si>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</si>
  <si>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</si>
  <si>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</si>
  <si>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</si>
  <si>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</si>
  <si>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</si>
  <si>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</si>
  <si>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</si>
  <si>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</si>
  <si>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</si>
  <si>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</si>
  <si>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</si>
  <si>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</si>
  <si>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</si>
  <si>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</si>
  <si>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</si>
  <si>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</si>
  <si>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</si>
  <si>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</si>
  <si>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</si>
  <si>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</si>
  <si>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</si>
  <si>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</si>
  <si>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</si>
  <si>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</si>
  <si>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</si>
  <si>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</si>
  <si>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</si>
  <si>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</si>
  <si>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</si>
  <si>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</si>
  <si>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</si>
  <si>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</si>
  <si>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</si>
  <si>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</si>
  <si>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</si>
  <si>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</si>
  <si>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</si>
  <si>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</si>
  <si>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</si>
  <si>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</si>
  <si>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</si>
  <si>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</si>
  <si>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</si>
  <si>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</si>
  <si>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</si>
  <si>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</si>
  <si>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</si>
  <si>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</si>
  <si>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</si>
  <si>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</si>
  <si>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</si>
  <si>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</si>
  <si>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</si>
  <si>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</si>
  <si>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</si>
  <si>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</si>
  <si>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</si>
  <si>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</si>
  <si>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</si>
  <si>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</si>
  <si>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</si>
  <si>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</si>
  <si>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</si>
  <si>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</si>
  <si>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</si>
  <si>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</si>
  <si>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</si>
  <si>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</si>
  <si>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</si>
  <si>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</si>
  <si>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</si>
  <si>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</si>
  <si>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</si>
  <si>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</si>
  <si>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</si>
  <si>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</si>
  <si>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</si>
  <si>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</si>
  <si>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</si>
  <si>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</si>
  <si>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</si>
  <si>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</si>
  <si>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</si>
  <si>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</si>
  <si>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</si>
  <si>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</si>
  <si>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</si>
  <si>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</si>
  <si>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</si>
  <si>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</si>
  <si>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</si>
  <si>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</si>
  <si>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</si>
  <si>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</si>
  <si>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</si>
  <si>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</si>
  <si>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</si>
  <si>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</si>
  <si>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</si>
  <si>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</si>
  <si>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</si>
  <si>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</si>
  <si>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</si>
  <si>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</si>
  <si>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</si>
  <si>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</si>
  <si>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</si>
  <si>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</si>
  <si>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</si>
  <si>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</si>
  <si>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</si>
  <si>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</si>
  <si>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</si>
  <si>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</si>
  <si>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</si>
  <si>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</si>
  <si>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</si>
  <si>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</si>
  <si>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</si>
  <si>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</si>
  <si>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</si>
  <si>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</si>
  <si>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</si>
  <si>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</si>
  <si>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</si>
  <si>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</si>
  <si>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</si>
  <si>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</si>
  <si>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</si>
  <si>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</si>
  <si>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</si>
  <si>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</si>
  <si>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</si>
  <si>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</si>
  <si>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</si>
  <si>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</si>
  <si>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</si>
  <si>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</si>
  <si>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</si>
  <si>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</si>
  <si>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</si>
  <si>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</si>
  <si>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</si>
  <si>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</si>
  <si>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</si>
  <si>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</si>
  <si>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</si>
  <si>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</si>
  <si>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</si>
  <si>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</si>
  <si>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</si>
  <si>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</si>
  <si>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</si>
  <si>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</si>
  <si>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</si>
  <si>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</si>
  <si>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</si>
  <si>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</si>
  <si>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</si>
  <si>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</si>
  <si>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</si>
  <si>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</si>
  <si>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</si>
  <si>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</si>
  <si>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</si>
  <si>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</si>
  <si>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</si>
  <si>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</si>
  <si>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</si>
  <si>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</si>
  <si>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</si>
  <si>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</si>
  <si>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</si>
  <si>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</si>
  <si>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</si>
  <si>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</si>
  <si>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</si>
  <si>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</si>
  <si>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</si>
  <si>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</si>
  <si>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</si>
  <si>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</si>
  <si>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</si>
  <si>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</si>
  <si>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</si>
  <si>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</si>
  <si>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</si>
  <si>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</si>
  <si>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</si>
  <si>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</si>
  <si>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</si>
  <si>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</si>
  <si>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</si>
  <si>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</si>
  <si>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</si>
  <si>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</si>
  <si>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</si>
  <si>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</si>
  <si>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</si>
  <si>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</si>
  <si>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</si>
  <si>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</si>
  <si>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</si>
  <si>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</si>
  <si>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</si>
  <si>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</si>
  <si>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</si>
  <si>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</si>
  <si>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</si>
  <si>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</si>
  <si>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</si>
  <si>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</si>
  <si>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</si>
  <si>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</si>
  <si>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</si>
  <si>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</si>
  <si>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</si>
  <si>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</si>
  <si>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</si>
  <si>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</si>
  <si>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</si>
  <si>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</si>
  <si>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</si>
  <si>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</si>
  <si>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</si>
  <si>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</si>
  <si>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</si>
  <si>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</si>
  <si>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</si>
  <si>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</si>
  <si>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</si>
  <si>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</si>
  <si>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</si>
  <si>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</si>
  <si>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</si>
  <si>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</si>
  <si>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</si>
  <si>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</si>
  <si>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</si>
  <si>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</si>
  <si>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</si>
  <si>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</si>
  <si>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</si>
  <si>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</si>
  <si>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</si>
  <si>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</si>
  <si>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</si>
  <si>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</si>
  <si>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</si>
  <si>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</si>
  <si>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</si>
  <si>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</si>
  <si>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</si>
  <si>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</si>
  <si>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</si>
  <si>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</si>
  <si>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</si>
  <si>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</si>
  <si>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</si>
  <si>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</si>
  <si>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</si>
  <si>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</si>
  <si>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</si>
  <si>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</si>
  <si>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</si>
  <si>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</si>
  <si>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</si>
  <si>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</si>
  <si>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</si>
  <si>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</si>
  <si>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</si>
  <si>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</si>
  <si>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</si>
  <si>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</si>
  <si>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</si>
  <si>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</si>
  <si>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</si>
  <si>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</si>
  <si>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</si>
  <si>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</si>
  <si>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</si>
  <si>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</si>
  <si>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</si>
  <si>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</si>
  <si>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</si>
  <si>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</si>
  <si>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</si>
  <si>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</si>
  <si>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</si>
  <si>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</si>
  <si>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</si>
  <si>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</si>
  <si>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</si>
  <si>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</si>
  <si>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</si>
  <si>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</si>
  <si>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</si>
  <si>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</si>
  <si>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</si>
  <si>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</si>
  <si>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</si>
  <si>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</si>
  <si>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</si>
  <si>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</si>
  <si>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</si>
  <si>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</si>
  <si>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</si>
  <si>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</si>
  <si>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</si>
  <si>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</si>
  <si>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</si>
  <si>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</si>
  <si>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</si>
  <si>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</si>
  <si>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</si>
  <si>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</si>
  <si>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</si>
  <si>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</si>
  <si>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</si>
  <si>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</si>
  <si>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</si>
  <si>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</si>
  <si>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</si>
  <si>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</si>
  <si>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</si>
  <si>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</si>
  <si>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</si>
  <si>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</si>
  <si>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</si>
  <si>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</si>
  <si>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</si>
  <si>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</si>
  <si>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</si>
  <si>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</si>
  <si>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</si>
  <si>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</si>
  <si>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</si>
  <si>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</si>
  <si>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</si>
  <si>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</si>
  <si>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</si>
  <si>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</si>
  <si>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</si>
  <si>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</si>
  <si>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</si>
  <si>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</si>
  <si>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</si>
  <si>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</si>
  <si>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</si>
  <si>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</si>
  <si>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</si>
  <si>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</si>
  <si>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</si>
  <si>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</si>
  <si>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</si>
  <si>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</si>
  <si>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</si>
  <si>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</si>
  <si>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</si>
  <si>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</si>
  <si>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</si>
  <si>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</si>
  <si>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</si>
  <si>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</si>
  <si>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</si>
  <si>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</si>
  <si>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</si>
  <si>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</si>
  <si>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</si>
  <si>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</si>
  <si>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</si>
  <si>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</si>
  <si>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</si>
  <si>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</si>
  <si>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</si>
  <si>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</si>
  <si>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</si>
  <si>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</si>
  <si>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</si>
  <si>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</si>
  <si>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</si>
  <si>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</si>
  <si>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</si>
  <si>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</si>
  <si>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</si>
  <si>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</si>
  <si>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</si>
  <si>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</si>
  <si>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</si>
  <si>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</si>
  <si>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</si>
  <si>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</si>
  <si>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</si>
  <si>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</si>
  <si>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</si>
  <si>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</si>
  <si>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</si>
  <si>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</si>
  <si>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</si>
  <si>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</si>
  <si>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</si>
  <si>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</si>
  <si>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</si>
  <si>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</si>
  <si>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</si>
  <si>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</si>
  <si>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</si>
  <si>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</si>
  <si>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</si>
  <si>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</si>
  <si>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</si>
  <si>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</si>
  <si>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</si>
  <si>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</si>
  <si>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</si>
  <si>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</si>
  <si>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</si>
  <si>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</si>
  <si>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</si>
  <si>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</si>
  <si>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</si>
  <si>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</si>
  <si>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</si>
  <si>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</si>
  <si>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</si>
  <si>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</si>
  <si>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</si>
  <si>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</si>
  <si>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</si>
  <si>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</si>
  <si>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</si>
  <si>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</si>
  <si>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</si>
  <si>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</si>
  <si>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</si>
  <si>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</si>
  <si>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</si>
  <si>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</si>
  <si>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</si>
  <si>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</si>
  <si>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</si>
  <si>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</si>
  <si>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</si>
  <si>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</si>
  <si>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</si>
  <si>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</si>
  <si>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</si>
  <si>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</si>
  <si>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</si>
  <si>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</si>
  <si>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</si>
  <si>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</si>
  <si>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</si>
  <si>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</si>
  <si>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</si>
  <si>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</si>
  <si>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</si>
  <si>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</si>
  <si>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</si>
  <si>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</si>
  <si>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</si>
  <si>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</si>
  <si>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</si>
  <si>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</si>
  <si>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</si>
  <si>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</si>
  <si>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</si>
  <si>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</si>
  <si>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</si>
  <si>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</si>
  <si>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</si>
  <si>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</si>
  <si>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</si>
  <si>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</si>
  <si>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</si>
  <si>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</si>
  <si>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</si>
  <si>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</si>
  <si>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</si>
  <si>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</si>
  <si>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</si>
  <si>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</si>
  <si>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</si>
  <si>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</si>
  <si>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</si>
  <si>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</si>
  <si>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</si>
  <si>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</si>
  <si>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</si>
  <si>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</si>
  <si>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</si>
  <si>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</si>
  <si>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</si>
  <si>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</si>
  <si>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</si>
  <si>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</si>
  <si>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</si>
  <si>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</si>
  <si>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</si>
  <si>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</si>
  <si>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</si>
  <si>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</si>
  <si>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</si>
  <si>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</si>
  <si>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</si>
  <si>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</si>
  <si>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</si>
  <si>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</si>
  <si>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</si>
  <si>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</si>
  <si>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0.45</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</si>
  <si>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</si>
  <si>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</si>
  <si>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</si>
  <si>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</si>
  <si>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</si>
  <si>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</si>
  <si>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</si>
  <si>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</si>
  <si>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</si>
  <si>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</si>
  <si>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</si>
  <si>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</si>
  <si>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</si>
  <si>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</si>
  <si>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</si>
  <si>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</si>
  <si>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</si>
  <si>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</si>
  <si>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</si>
  <si>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</si>
  <si>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</si>
  <si>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</si>
  <si>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</si>
  <si>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</si>
  <si>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</si>
  <si>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</si>
  <si>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</si>
  <si>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</si>
  <si>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</si>
  <si>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</si>
  <si>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</si>
  <si>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</si>
  <si>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</si>
  <si>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</si>
  <si>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</si>
  <si>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</si>
  <si>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</si>
  <si>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</si>
  <si>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</si>
  <si>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</si>
  <si>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</si>
  <si>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</si>
  <si>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</si>
  <si>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</si>
  <si>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</si>
  <si>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</si>
  <si>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</si>
  <si>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</si>
  <si>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</si>
  <si>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</si>
  <si>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</si>
  <si>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</si>
  <si>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</si>
  <si>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</si>
  <si>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</si>
  <si>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</si>
  <si>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</si>
  <si>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</si>
  <si>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</si>
  <si>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</si>
  <si>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</si>
  <si>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</si>
  <si>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</si>
  <si>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</si>
  <si>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</si>
  <si>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</si>
  <si>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</si>
  <si>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</si>
  <si>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</si>
  <si>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</si>
  <si>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</si>
  <si>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</si>
  <si>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</si>
  <si>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</si>
  <si>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</si>
  <si>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</si>
  <si>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</si>
  <si>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</si>
  <si>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</si>
  <si>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</si>
  <si>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</si>
  <si>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</si>
  <si>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</si>
  <si>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</si>
  <si>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</si>
  <si>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</si>
  <si>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</si>
  <si>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</si>
  <si>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</si>
  <si>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</si>
  <si>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</si>
  <si>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</si>
  <si>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</si>
  <si>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</si>
  <si>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</si>
  <si>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</si>
  <si>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</si>
  <si>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</si>
  <si>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</si>
  <si>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</si>
  <si>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</si>
  <si>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</si>
  <si>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</si>
  <si>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</si>
  <si>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</si>
  <si>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</si>
  <si>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</si>
  <si>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</si>
  <si>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</si>
  <si>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</si>
  <si>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</si>
  <si>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</si>
  <si>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</si>
  <si>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</si>
  <si>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</si>
  <si>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</si>
  <si>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</si>
  <si>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</si>
  <si>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</si>
  <si>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</si>
  <si>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</si>
  <si>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</si>
  <si>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</si>
  <si>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</si>
  <si>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</si>
  <si>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</si>
  <si>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</si>
  <si>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</si>
  <si>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</si>
  <si>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</si>
  <si>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</si>
  <si>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</si>
  <si>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</si>
  <si>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</si>
  <si>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</si>
  <si>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</si>
  <si>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</si>
  <si>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</si>
  <si>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</si>
  <si>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</si>
  <si>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</si>
  <si>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</si>
  <si>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</si>
  <si>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</si>
  <si>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</si>
  <si>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</si>
  <si>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</si>
  <si>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</si>
  <si>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</si>
  <si>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</si>
  <si>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</si>
  <si>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</si>
  <si>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</si>
  <si>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</si>
  <si>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</si>
  <si>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</si>
  <si>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</si>
  <si>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</si>
  <si>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</si>
  <si>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</si>
  <si>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</si>
  <si>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</si>
  <si>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</si>
  <si>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</si>
  <si>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</si>
  <si>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</si>
  <si>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</si>
  <si>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</si>
  <si>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</si>
  <si>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</si>
  <si>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</si>
  <si>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</si>
  <si>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</si>
  <si>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</si>
  <si>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</si>
  <si>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</si>
  <si>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</si>
  <si>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</si>
  <si>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</si>
  <si>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</si>
  <si>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</si>
  <si>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</si>
  <si>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</si>
  <si>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W4-001
This is a separate owner approval after the bounded edit and owner testing or content review. Classify every path under one—and only one—of the CREATE and UPDATE headings after read-only preflight inspection.
EXACT DOCUMENTATION BOUNDARY
CREATE:
- docs/test-evidence/W4-001.md
- docs/test-evidence/W4-01-api.txt
- docs/test-evidence/W4-02-auth.txt
- docs/test-evidence/W4-10-load.json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W4-001.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</si>
  <si>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</si>
  <si>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</si>
  <si>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</si>
  <si>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</si>
  <si>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</si>
  <si>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</si>
  <si>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</si>
  <si>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</si>
  <si>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</si>
  <si>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</si>
  <si>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</si>
  <si>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</si>
  <si>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</si>
  <si>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</si>
  <si>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</si>
  <si>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</si>
  <si>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</si>
  <si>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</si>
  <si>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</si>
  <si>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</si>
  <si>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</si>
  <si>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</si>
  <si>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</si>
  <si>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</si>
  <si>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</si>
  <si>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</si>
  <si>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</si>
  <si>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</si>
  <si>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</si>
  <si>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</si>
  <si>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</si>
  <si>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</si>
  <si>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</si>
  <si>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</si>
  <si>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</si>
  <si>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</si>
  <si>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</si>
  <si>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</si>
  <si>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</si>
  <si>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</si>
  <si>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</si>
  <si>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</si>
  <si>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</si>
  <si>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</si>
  <si>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</si>
  <si>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</si>
  <si>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</si>
  <si>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</si>
  <si>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</si>
  <si>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</si>
  <si>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</si>
  <si>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</si>
  <si>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</si>
  <si>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</si>
  <si>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</si>
  <si>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</si>
  <si>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</si>
  <si>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</si>
  <si>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</si>
  <si>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</si>
  <si>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</si>
  <si>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</si>
  <si>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</si>
  <si>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</si>
  <si>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</si>
  <si>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</si>
  <si>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</si>
  <si>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</si>
  <si>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</si>
  <si>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</si>
  <si>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</si>
  <si>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</si>
  <si>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</si>
  <si>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</si>
  <si>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</si>
  <si>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</si>
  <si>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</si>
  <si>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</si>
  <si>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</si>
  <si>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</si>
  <si>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</si>
  <si>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</si>
  <si>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</si>
  <si>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</si>
  <si>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</si>
  <si>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</si>
  <si>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</si>
  <si>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</si>
  <si>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</si>
  <si>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</si>
  <si>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</si>
  <si>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</si>
  <si>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</si>
  <si>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</si>
  <si>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</si>
  <si>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</si>
  <si>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</si>
  <si>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</si>
  <si>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</si>
  <si>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</si>
  <si>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</si>
  <si>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</si>
  <si>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</si>
  <si>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</si>
  <si>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</si>
  <si>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</si>
  <si>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</si>
  <si>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</si>
  <si>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</si>
  <si>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</si>
  <si>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</si>
  <si>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</si>
  <si>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</si>
  <si>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</si>
  <si>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</si>
  <si>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</si>
  <si>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</si>
  <si>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</si>
  <si>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</si>
  <si>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</si>
  <si>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</si>
  <si>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</si>
  <si>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</si>
  <si>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</si>
  <si>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</si>
  <si>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</si>
  <si>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</si>
  <si>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</si>
  <si>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</si>
  <si>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</si>
  <si>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</si>
  <si>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</si>
  <si>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COLUMN L — COMPLETE BOUNDED CODE EDIT APPROVAL — W2-004
APPROVED TASK CONTRACT
- Prompt and tracker steps: W2-004 / W2-09, W2-10
- Business purpose: Prove approved retrieval end-to-end using the existing W2-001 Qdrant foundation, then restore and remove it cleanly.
- Architecture and design: RetrievalService composes the approved embedder and VectorStore to prove local query, rollback and complete removal without changing the Qdrant network boundary.
- Exact interfaces, functions and connections: index_manifest, retrieve and remove_document_version accept typed authorized requests; retrieve returns ranked chunks, and cleanup returns a verified absence result.
- Exact inputs, outputs, errors and invariants: Inputs are limited to Approved W2-001/W2-002/W2-003; Docker/model cache; approved corpus and retrieval fixture.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approved synthetic corpus and query fixture use W2 domain models, immutable version IDs, normalized vectors and deterministic expected rankings.
- Exact dependency and runtime API rules: The retained offline model snapshot and internal Qdrant runner are owner-started prerequisites; service calls use bounded timeouts and no host-port publication.
- Exact security, privacy, concurrency and operational controls: Authorization precedes vector search; rollback restores the previous manifest; teardown removes only the named test collection and verifies Compose-labelled residue is absent.
- Exact automated-test behavior: Local feature test proves index-query-rank flow; rollback test proves prior-version restoration; teardown test proves collection, container, volume, network and local runner-image cleanup.
- Accepted baseline: The inspected repository contains every UPDATE path and does not contain every CREATE path. Historical results remain unchanged; future execution must revalidate content and patch anchors.
EXACT APPROVED PATH MANIFEST
CREATE:
- src/enterprise_ai_platform/retrieval/service.py
- tests/feature/test_local_retrieval.py
- tests/feature/test_retrieval_rollback.py
- tests/teardown/test_w2_004_retrieval_cleanliness.py
UPDATE:
- tests/conftest.py
- Makefile
- feature-matrix.yaml
- tools/platformctl/validate.py
- tests/feature/test_feature_matrix.py
- tests/unit/test_platformctl.py
DELETE:
- None
VERIFIED IMPLEMENTED PRODUCERS / UNCHANGED CONSUMERS:
- src/enterprise_ai_platform/embeddings/base.py
- src/enterprise_ai_platform/embeddings/sentence_transformer.py
- src/enterprise_ai_platform/retrieval/models.py
- src/enterprise_ai_platform/retrieval/vector_store.py
- src/enterprise_ai_platform/retrieval/authorization.py
- src/enterprise_ai_platform/retrieval/adapters/qdrant.py
- docker-compose.yml
- docker/qdrant-test-runner.Dockerfile
REQUIRED UPSTREAM PRODUCERS:
- src/enterprise_ai_platform/retrieval/service.py — produced by W2-003 after its blocked Gate 1 is resolved; Gate 1 must verify existence and contract alignment before activation.
DEFERRED:
- W2-003 remains blocked; its exact retrieval-service output contract and external model-cache read-only mount decision must be owner-approved before this template can activate.
- Exact W2-004 ingestion/test-runner paths and mount details are PROPOSED only until Gate 1 reconciles them against the post-W2-003 baseline.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approved retrieval end-to-end using the existing W2-001 Qdrant foundation, then restore and remove it cleanly.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W2-004.</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</si>
  <si>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</si>
  <si>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</si>
  <si>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</si>
  <si>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</si>
  <si>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</si>
  <si>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</si>
  <si>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</si>
  <si>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 xml:space="preserve">COLUMN L — OWNER LEARNING POSITION — W2-LEARN-001
No code, configuration, infrastructure, schema, automated-test or Codex-authored document edit is authorized. Codex teaches from approved facts; the owner completes the teach-back and writes the evidence note at docs/architecture/local-retrieval.md. That owner-written note is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W2-LEARN-001.
</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</si>
  <si>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</si>
  <si>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FOUR APPROVAL GATES PLUS OWNER TESTING AND WEEKLY LEARNING — TRACKER v1.3.4
MAIN PROMPT — W3-001
TASK IDENTITY
- Week: Week 3
- Feature/outcome: LLM adapters and cited RAG pipeline
- Business purpose: Generate evidence-bound answers while retaining provider portability.
- Covered tracker steps: W3-01, W3-02, W3-03, W3-04
- Required inputs: LLM_PROVIDER, LLM_MODEL_ID, AWS_REGION; Bedrock test is marked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W3-01 — Create provider-neutral chat/tool/usage types and fake provider.
  Business reason: RAG logic should not depend on Bedrock response formats.
  Acceptance: Fake tests cover success, timeout and malformed response.
  Dependency: W2-13
  Owner verification reference: pytest tests/unit/test_llm_provider.py -q
  Expected result: Normalized errors and usage fields are stable.
  Canonical evidence: docs/test-evidence/W3-01-llm-contract.txt
  Rollback/teardown: Switch configuration back to fake provider.
  Current tracker status (read-only historical/current fact): Not Started
  Separate Task Context: 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
- W3-02 — Implement Bedrock adapter behind marked integration tests.
  Business reason: Bedrock is the primary AWS model boundary without GPU operations.
  Acceptance: Adapter has deadlines/retry caps and no hard-coded model ID.
  Dependency: W3-01
  Owner verification reference: pytest tests/unit/test_bedrock_adapter.py -q
  Expected result: Offline tests pass; live test is skipped unless explicitly enabled.
  Canonical evidence: docs/test-evidence/W3-02-bedrock.txt
  Rollback/teardown: Set LLM_PROVIDER=fake; revoke test session if created.
  Current tracker status (read-only historical/current fact): Not Started
  Separate Task Context: 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
- W3-03 — Create versioned evidence-bound prompt template.
  Business reason: Retrieved documents are data, never instructions.
  Acceptance: Prompt clearly delimits evidence and demands citations/abstention.
  Dependency: W3-01
  Owner verification reference: pytest tests/unit/test_prompt_template.py -q
  Expected result: Injection fixture cannot override system policy.
  Canonical evidence: docs/test-evidence/W3-03-prompt.txt
  Rollback/teardown: Restore previous approved prompt version.
  Current tracker status (read-only historical/current fact): Not Started
  Separate Task Context: 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
- W3-04 — Authorize, retrieve, grade, generate and validate citations.
  Business reason: This is the core safe-answer path.
  Acceptance: Structured Answer contains only supplied source IDs.
  Dependency: W3-01:W3-03,W2-09
  Owner verification reference: pytest tests/unit/test_rag_pipeline.py -q
  Expected result: Good evidence answers; low evidence abstains.
  Canonical evidence: docs/test-evidence/W3-04-rag.txt
  Rollback/teardown: Switch to last-known-good prompt/model/retriever configuration.
  Current tracker status (read-only historical/current fact): Not Started
  Separate Task Context: 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
Downstream tracker steps identified from recorded dependencies: W3-02, W3-03, W3-04, W3-05, W3-07, W3-09,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Define an async LLMProvider Protocol with normalized ChatRequest, ToolSpec, Usage and ChatResponse. Implement FakeLLMProvider and BedrockLLMProvider using boto3, configured model ID, explicit connect/read timeouts, retry caps, usage capture and normalized throttle/timeout errors. Implement cited RAG: authorize metadata before retrieval, retrieve top-k, reject weak evidence, delimit context as untrusted data, generate a structured Answer, validate every citation against supplied context and abstain when evidence is insufficient. Do not log prompts or document text.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CITED RAG AND OWNER-GATED BEDROCK
1. Require W2-12 owner sign-off, independently approved W2 implementation hashes, BED-001, SEC-001/DATA-002 and an explicit RAG-001 proposal for top_k, minimum score and context/token budget. Verify ADR-004 and step dependencies W3-01 → W3-02/W3-03 → W3-04.
2. FakeLLMProvider is the default for unit/feature tests. Bedrock unit tests use an injected/stubbed client; no AWS call. Live Bedrock model discovery/inference is networked, paid and owner-gated and requires exact account/region/model ID, quota, fallback, timeout/retry, expected maximum spend and privacy/residency approval. Never hard-code a model ID or silently substitute a region/model.
3. Treat identity and Query separately. Authorize before retrieval, retrieve only filtered evidence, delimit retrieved text as untrusted, grade evidence with deterministic rules, generate a typed Answer, validate every citation against supplied authorized source/chunk IDs and abstain on weak, conflicting, unauthorized or malformed evidence. Do not expose chain-of-thought.
4. Bound connect/read deadlines, retry only classified transient/throttle errors with caps/jitter, capture safe usage/cost fields and normalize timeout/throttle/malformed errors without endpoints, content or SDK exceptions. Never log prompt/context/document/PII/secrets.
5. Test LLM contract success/timeout/throttle/malformed/usage, prompt delimiter/injection, authorization short-circuit, weak/conflicting evidence, citation fabrication, abstention, deadlines/retry exhaustion and provider-object isolation.
6. Canonical evidence: W3-01-llm-contract.txt, W3-02-bedrock.txt, W3-03-prompt.txt and W3-04-rag.txt. Aggregate W3-rag.txt may summarize but must not conflict. Run normal developer commands and cleanliness. No unapproved AWS/paid call, Qdrant lifecycle change, tracker edit, stage, commit or push.
7. After W3-001 passes, run W4-003 Phase A for W3-09 telemetry before the Week 3 checkpoint; do not wait until Week 4.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Dependency/runtime API: Verify declared dependency bounds and exact runtime API names against the approved environment; do not install, upgrade or contact a package service.
- AWS/cloud: Use explicit account, region, role and service boundaries, short-lived identity, least privilege, cost limits and owner-only API execution.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Generate evidence-bound answers while retaining provider portability. The primary beneficiaries are knowledge users, compliance, application teams and model governance.
- Process and risk: This task supports authorized question -&gt; retrieval -&gt; evidence pack -&gt; provider-neutral LLM -&gt; citation validation -&gt; grounded answer. Without it, the platform can produce an unauditable, insecure or non-reproducible result at this exact layer.
- Measurable outcome: grounded answers with valid source IDs and no unauthorized provider call. It contributes to the MVP by making LLM adapters and cited RAG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END-TO-END ARCHITECTURE LEARNING
- Position and flow: authorized question -&gt; retrieval -&gt; evidence pack -&gt; provider-neutral LLM -&gt; citation validation -&gt; grounded answer.
- Upstream/dependency boundary: W2-13, W3-01, W3-01, W3-01:W3-03,W2-09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LLM protocol, fake and Bedrock adapters, prompt builder, RAG orchestrator, answer/citation schemas.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LLM protocol, fake and Bedrock adapters, prompt builder, RAG orchestrator, answer/citation schemas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research assistant allowed to answer only from numbered source cards.
- What goes in / happens / comes out: approved LLM_PROVIDER, LLM_MODEL_ID, AWS_REGION; Bedrock test is marked goes through LLM adapters and cited RAG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retrieval selects evidence; generation composes an answer; citation validation proves support.
ARCHITECTURE DECISIONS AND TRADE-OFFS
- Selected recorded direction: provider portability and evidence-bound generation are selected over model-specific orchestration.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precedes retrieval/LLM calls; retrieved text is untrusted and outputs expose approved citations only. Apply classification, PII handling, tenant isolation, authorization before provider/storage calls, secret exclusion, redacted evidence, residency, retention, provenance and least privilege where applicable.
- Failure/operations: timeouts, invalid citations or provider errors fail without fabricated answer; rollback restores prompt/model/retriever/index baseline.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LLM adapters and cited RAG pipeline addresses generate evidence-bound answers while retaining provider portability. It makes the result governed, testable and reversible, measured by grounded answers with valid source IDs and no unauthorized provider call.
- Two-minute technical explanation: describe LLM protocol, fake and Bedrock adapters, prompt builder, RAG orchestrator, answer/citation schemas; trace authorized question -&gt; retrieval -&gt; evidence pack -&gt; provider-neutral LLM -&gt; citation validation -&gt; grounded answer;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LLM adapters and cited RAG pipeline solve?
   Answer points: Connect Generate evidence-bound answers while retaining provider portability. to grounded answers with valid source IDs and no unauthorized provider call and identify knowledge users, compliance, application teams and model governance.
2. Q: Trace the end-to-end flow for W3-001.
   Answer points: Explain authorized question -&gt; retrieval -&gt; evidence pack -&gt; provider-neutral LLM -&gt; citation validation -&gt; grounded answer; name upstream dependencies, downstream consumers, trust and state boundaries.
3. Q: Which design decision matters most and what alternative was rejected?
   Answer points: Discuss provider portability and evidence-bound generation are selected over model-specific orchestration; compare the adjacent alternative and when it could be preferable.
4. Q: How does this task fail safely and how is it recovered?
   Answer points: Use this scenario: timeouts, invalid citations or provider errors fail without fabricated answer; rollback restores prompt/model/retriever/index baseline; distinguish retry, remediation, rollback, teardown and evidence.
5. Q: How are security, privacy and cost controlled?
   Answer points: Explain authorization precedes retrieval/LLM calls; retrieved text is untrusted and outputs expose approved citations only; include least privilege, redaction/residency, bounded resources and owner-only access.
- Design trade-off: volume/latency increases tenfold; explain whether provider portability and evidence-bound generation are selected over model-specific orchestration still holds and what evidence/ADR/approval must change.
- Failure/remediation: timeouts, invalid citations or provider errors fail without fabricated answer; rollback restores prompt/model/retriever/index baseline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LLM adapters and cited RAG pipeline. Task — establish the governed contract. Action — map consumers, work within gates, owner-test, diagnose completely and prove lifecycle. Result — report only accepted evidence and grounded answers with valid source IDs and no unauthorized provider call.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LLM_PROVIDER, LLM_MODEL_ID, AWS_REGION; Bedrock test is marked.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W3-001.
</t>
  </si>
  <si>
    <t>READY FOR PRE-EDIT REVIEW — W3-001</t>
  </si>
  <si>
    <t>W3-01, W3-02, W3-03, W3-04</t>
  </si>
  <si>
    <t>COLUMN L — COMPLETE BOUNDED CODE EDIT APPROVAL — W3-001
APPROVED TASK CONTRACT
- Prompt and tracker steps: W3-001 / W3-01, W3-02, W3-03, W3-04
- Business purpose: Generate evidence-bound answers while retaining provider portability.
- Architecture and design: LLMProvider separates FakeLLMProvider and Bedrock from a cited RAG pipeline that assembles only authorized retrieved evidence into the prompt.
- Exact interfaces, functions and connections: generate accepts LLMRequest and returns LLMResponse; answer_query retrieves authorized chunks, builds a bounded prompt and returns Answer with citations or an abstention reason.
- Exact inputs, outputs, errors and invariants: Inputs are limited to LLM_PROVIDER, LLM_MODEL_ID, AWS_REGION; Bedrock test is marked.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LLMRequest, LLMResponse, ToolSpec and usage records are vendor neutral; every answer citation carries source ID, chunk ID and version; missing support yields abstention.
- Exact dependency and runtime API rules: Fake provider is default; Bedrock client is injected, region and model ID are explicit, retries and timeouts are bounded, and live AWS tests remain marked opt-in.
- Exact security, privacy, concurrency and operational controls: No credentials or content in logs; tenant filters remain outside the model; cancellation prevents further provider calls; token and context budgets reject overflow.
- Exact automated-test behavior: Provider contract covers fake and injected Bedrock clients; pipeline unit tests cover prompt assembly and abstention; cited-RAG feature tests prove evidence mapping; security tests reject fabricated or unauthorized citations.
- Accepted baseline: The inspected repository contains every UPDATE path and does not contain every CREATE path. Historical results remain unchanged; future execution must revalidate content and patch anchors.
EXACT APPROVED PATH MANIFEST
CREATE:
- src/enterprise_ai_platform/llm/__init__.py
- src/enterprise_ai_platform/llm/base.py
- src/enterprise_ai_platform/llm/errors.py
- src/enterprise_ai_platform/llm/fake.py
- src/enterprise_ai_platform/llm/bedrock.py
- src/enterprise_ai_platform/rag/__init__.py
- src/enterprise_ai_platform/rag/models.py
- src/enterprise_ai_platform/rag/prompts.py
- src/enterprise_ai_platform/rag/pipeline.py
- tests/unit/test_rag_pipeline.py
- tests/unit/test_prompt_template.py
- tests/unit/test_llm_provider.py
- tests/unit/test_bedrock_adapter.py
- tests/feature/test_cited_rag.py
- tests/security/test_citation_contract.py
UPDATE:
- src/enterprise_ai_platform/config.py
- requirements.txt
- feature-matrix.yaml
- tools/platformctl/validate.py
- tests/feature/test_feature_matrix.py
- tests/unit/test_platformctl.py
DELETE:
- None
VERIFIED IMPLEMENTED PRODUCERS / UNCHANGED CONSUMERS:
- src/enterprise_ai_platform/retrieval/models.py
- src/enterprise_ai_platform/embeddings/base.py
REQUIRED UPSTREAM PRODUCERS:
- src/enterprise_ai_platform/retrieval/service.py — produced by W2-004;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Generate evidence-bound answers while retaining provider portability. and measurable acceptance.
2. Architecture position: authorized question -&gt; retrieval -&gt; evidence pack -&gt; provider-neutral LLM -&gt; citation validation -&gt; grounded answer,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research assistant allowed to answer only from numbered source cards; what goes in, happens and comes out.
7. Decisions/trade-offs: provider portability and evidence-bound generation are selected over model-specific orchestration, alternatives, pros/cons, conditions to differ and consequences.
8. Security/privacy/reliability/cost: authorization precedes retrieval/LLM calls; retrieved text is untrusted and outputs expose approved citations only, failure isolation, retained resources and accepted access/cost.
9. Failure/remediation/rollback/teardown: timeouts, invalid citations or provider errors fail without fabricated answer; rollback restores prompt/model/retriever/index baseline;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W3-001.</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</si>
  <si>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</si>
  <si>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 xml:space="preserve">FOUR APPROVAL GATES PLUS OWNER TESTING AND WEEKLY LEARNING — TRACKER v1.3.4
MAIN PROMPT — W3-002
TASK IDENTITY
- Week: Week 3
- Feature/outcome: Evaluation harness and release gate
- Business purpose: Replace subjective demonstrations with repeatable evidence.
- Covered tracker steps: W3-06, W3-07, W3-10
- Required inputs: configs/eval/golden.jsonl with 25+ approved cases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W3-06 — Create 25+ golden cases with sources, facts, tenant and safety tags.
  Business reason: Quality thresholds require versioned, representative truth data.
  Acceptance: Dataset passes schema and privacy review.
  Dependency: W2-09
  Owner verification reference: python tools/validate_eval_dataset.py configs/eval/golden.jsonl
  Expected result: 25+ valid cases; no prohibited data.
  Canonical evidence: docs/test-evidence/W3-06-golden.txt
  Rollback/teardown: Revert dataset version; never silently edit expected answers.
  Current tracker status (read-only historical/current fact): Not Started
  Separate Task Context: 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
- W3-07 — Measure retrieval, citations, abstention, latency and cost.
  Business reason: Promotion must rely on repeatable evidence, not a demo.
  Acceptance: Baseline report and nonzero regression exit behavior exist.
  Dependency: W3-04,W3-06
  Owner verification reference: python -m enterprise_ai_platform.evaluation.runner --dataset configs/eval/golden.jsonl --out reports/eval.json
  Expected result: Recall@5, citation precision, groundedness, latency and estimated cost recorded.
  Canonical evidence: reports/eval.json
  Rollback/teardown: Restore last approved baseline; block release on unresolved regression.
  Current tracker status (read-only historical/current fact): Not Started
  Separate Task Context: 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
- W3-10 — Set initial thresholds: Recall@5 &gt;=0.85 and citation-valid/safe-abstain &gt;=95%.
  Business reason: Thresholds convert evaluation into a release decision.
  Acceptance: CI-style command fails on a material regression.
  Dependency: W3-07
  Owner verification reference: make evaluate
  Expected result: Baseline passes; synthetic regression fails.
  Canonical evidence: docs/test-evidence/W3-10-gate.txt
  Rollback/teardown: Revert candidate prompt/model/index and preserve failing evidence.
  Current tracker status (read-only historical/current fact): Not Started
  Separate Task Context: 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
Downstream tracker steps identified from recorded dependencies: W3-07, W3-10, W3-11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a versioned JSONL evaluation harness with question, expected facts, expected source IDs, tenant and safety tags. Compute retrieval recall@k/MRR, citation precision, abstention correctness, latency and token/cost fields. Integrate Ragas behind an Evaluator Protocol; label LLM-judge metrics non-deterministic. Compare with a checked-in baseline and fail only on configured material regression. Redact case content in logs and output machine-readable JSON plus concise Markdown.
TASK-SPECIFIC CLARIFICATION
Include at least 25 versioned golden JSONL cases with question, expected facts, expected source IDs, tenant and safety tags. Validate schema and privacy; never silently alter approved expected facts.
TASK-SPECIFIC AMENDMENT — VERSIONED GOLDEN TRUTH AND DETERMINISTIC RELEASE GATE
1. Require W3-001, W3-003 and W4-003 Phase A to have independent PASS/final owner approval; EVAL-001 and DATA-001 owner approval; a valid corpus manifest; stable source IDs; and approved metric definitions/thresholds. Never generate expected facts from the candidate model.
2. Include at least 25 versioned cases with case ID, question, expected facts, expected source IDs, tenant, authorization context and safety tags. Validate every source ID, tenant/classification rule, schema, duplicate and privacy boundary. Owner-approved expected facts may change only through a separately reviewed dataset version.
3. Deterministic offline metrics and failure propagation are the release authority. Compute Recall@5/MRR, citation precision/validity, abstention correctness, latency and token/cost fields. Initial gates: Recall@5 &gt;= 0.85 and citation-valid grounded answer or correct safe abstention &gt;= 95%; unresolved security/isolation failure always blocks.
4. Ragas/LLM-judge metrics remain behind Evaluator and are non-deterministic supplemental results. Any judge call requires exact model/provider, case limit, maximum spend, residency/privacy and network approval. Paid/judge-disabled is NOT RUN, not PASS.
5. Compare to a versioned checked-in baseline with explicit tolerance and nonzero material-regression exit. Preserve candidate and failure evidence; never overwrite the last approved baseline on failure or tune thresholds to make a candidate pass.
6. Test schema/privacy/source validation, metric edge cases, deterministic repeatability, partial/failed provider behavior, nonzero regression, redacted reports and baseline immutability. Canonical evidence: W3-06-golden.txt, reports/eval.json and W3-10-gate.txt; reconcile aggregate evidence. No hidden model/Qdrant/AWS/paid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Replace subjective demonstrations with repeatable evidence. The primary beneficiaries are product owner, model risk, QA and release managers.
- Process and risk: This task supports versioned golden cases -&gt; RAG execution -&gt; deterministic metrics -&gt; thresholds -&gt; release gate and evidence. Without it, the platform can produce an unauditable, insecure or non-reproducible result at this exact layer.
- Measurable outcome: 25+ valid cases and repeatable threshold decisions. It contributes to the MVP by making Evaluation harness and release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END-TO-END ARCHITECTURE LEARNING
- Position and flow: versioned golden cases -&gt; RAG execution -&gt; deterministic metrics -&gt; thresholds -&gt; release gate and evidence.
- Upstream/dependency boundary: W2-09, W3-04,W3-06, W3-07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JSONL evaluation schema, dataset validator, metrics, report, threshold configuration and CI/release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JSONL evaluation schema, dataset validator, metrics, report, threshold configuration and CI/release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exam with fixed questions, marking rules and a pass score.
- What goes in / happens / comes out: approved configs/eval/golden.jsonl with 25+ approved cases goes through Evaluation harness and release gate;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verify code contracts; evaluation measures answer/retrieval quality.
ARCHITECTURE DECISIONS AND TRADE-OFFS
- Selected recorded direction: repeatable versioned evaluation and explicit thresholds replace subjective demonstration.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golden data is sanitized and tenant/classification context is enforced. Apply classification, PII handling, tenant isolation, authorization before provider/storage calls, secret exclusion, redacted evidence, residency, retention, provenance and least privilege where applicable.
- Failure/operations: malformed cases or threshold regression fail the release; rollback returns to last passing artifacts.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Evaluation harness and release gate addresses replace subjective demonstrations with repeatable evidence. It makes the result governed, testable and reversible, measured by 25+ valid cases and repeatable threshold decisions.
- Two-minute technical explanation: describe JSONL evaluation schema, dataset validator, metrics, report, threshold configuration and CI/release consumer; trace versioned golden cases -&gt; RAG execution -&gt; deterministic metrics -&gt; thresholds -&gt; release gate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Evaluation harness and release gate solve?
   Answer points: Connect Replace subjective demonstrations with repeatable evidence. to 25+ valid cases and repeatable threshold decisions and identify product owner, model risk, QA and release managers.
2. Q: Trace the end-to-end flow for W3-002.
   Answer points: Explain versioned golden cases -&gt; RAG execution -&gt; deterministic metrics -&gt; thresholds -&gt; release gate and evidence; name upstream dependencies, downstream consumers, trust and state boundaries.
3. Q: Which design decision matters most and what alternative was rejected?
   Answer points: Discuss repeatable versioned evaluation and explicit thresholds replace subjective demonstration; compare the adjacent alternative and when it could be preferable.
4. Q: How does this task fail safely and how is it recovered?
   Answer points: Use this scenario: malformed cases or threshold regression fail the release; rollback returns to last passing artifacts; distinguish retry, remediation, rollback, teardown and evidence.
5. Q: How are security, privacy and cost controlled?
   Answer points: Explain golden data is sanitized and tenant/classification context is enforced; include least privilege, redaction/residency, bounded resources and owner-only access.
- Design trade-off: volume/latency increases tenfold; explain whether repeatable versioned evaluation and explicit thresholds replace subjective demonstration still holds and what evidence/ADR/approval must change.
- Failure/remediation: malformed cases or threshold regression fail the release; rollback returns to last passing artifacts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Evaluation harness and release gate. Task — establish the governed contract. Action — map consumers, work within gates, owner-test, diagnose completely and prove lifecycle. Result — report only accepted evidence and 25+ valid cases and repeatable threshold decisions.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configs/eval/golden.jsonl with 25+ approved cases.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W3-002.
</t>
  </si>
  <si>
    <t>READY FOR PRE-EDIT REVIEW — W3-002</t>
  </si>
  <si>
    <t>W3-06, W3-07, W3-10</t>
  </si>
  <si>
    <t>COLUMN L — COMPLETE BOUNDED CODE EDIT APPROVAL — W3-002
APPROVED TASK CONTRACT
- Prompt and tracker steps: W3-002 / W3-06, W3-07, W3-10
- Business purpose: Replace subjective demonstrations with repeatable evidence.
- Architecture and design: A versioned JSON Lines golden set feeds deterministic evaluation metrics and a release gate without calling paid providers by default.
- Exact interfaces, functions and connections: load_cases, evaluate_case, aggregate_metrics and evaluate_release accept typed cases and return per-case plus aggregate gate results.
- Exact inputs, outputs, errors and invariants: Inputs are limited to configs/eval/golden.jsonl with 25+ approved cases.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Each golden case has case ID, tenant, query, expected sources, expected answer facts, abstention expectation and safety labels; duplicate or incomplete cases are rejected.
- Exact dependency and runtime API rules: Fake retrieval and LLM providers are default; case order and random seed are fixed; no network, model download or paid service is used in ordinary evaluation.
- Exact security, privacy, concurrency and operational controls: Evaluation artifacts exclude enterprise content and credentials; failures identify case IDs, not raw protected text; gate thresholds are explicit owner decisions.
- Exact automated-test behavior: Metric unit tests cover exact denominators; dataset contract tests require at least 25 unique cases; feature tests cover pass and regression gates; security tests prove redacted output.
- Accepted baseline: The inspected repository contains every UPDATE path and does not contain every CREATE path. Historical results remain unchanged; future execution must revalidate content and patch anchors.
EXACT APPROVED PATH MANIFEST
CREATE:
- configs/eval/golden.jsonl
- src/enterprise_ai_platform/evaluation/__init__.py
- src/enterprise_ai_platform/evaluation/models.py
- src/enterprise_ai_platform/evaluation/metrics.py
- src/enterprise_ai_platform/evaluation/runner.py
- tools/validate_eval_dataset.py
- tests/unit/test_evaluation_metrics.py
- tests/contract/test_golden_dataset.py
- tests/feature/test_evaluation_gate.py
- tests/security/test_evaluation_redaction.py
UPDATE:
- Makefile
- feature-matrix.yaml
- tools/platformctl/validate.py
- tests/feature/test_feature_matrix.py
- tests/unit/test_platformctl.py
DELETE:
- None
VERIFIED IMPLEMENTED PRODUCERS / UNCHANGED CONSUMERS:
- docs/features/MVP-001.md
REQUIRED UPSTREAM PRODUCERS:
- src/enterprise_ai_platform/rag/pipeline.py — produced by W3-001;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Replace subjective demonstrations with repeatable evidence. and measurable acceptance.
2. Architecture position: versioned golden cases -&gt; RAG execution -&gt; deterministic metrics -&gt; thresholds -&gt; release gate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exam with fixed questions, marking rules and a pass score; what goes in, happens and comes out.
7. Decisions/trade-offs: repeatable versioned evaluation and explicit thresholds replace subjective demonstration, alternatives, pros/cons, conditions to differ and consequences.
8. Security/privacy/reliability/cost: golden data is sanitized and tenant/classification context is enforced, failure isolation, retained resources and accepted access/cost.
9. Failure/remediation/rollback/teardown: malformed cases or threshold regression fail the release; rollback returns to last passing artifacts;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W3-002.</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</si>
  <si>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</si>
  <si>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 xml:space="preserve">FOUR APPROVAL GATES PLUS OWNER TESTING AND WEEKLY LEARNING — TRACKER v1.3.4
MAIN PROMPT — W3-003
TASK IDENTITY
- Week: Week 3
- Feature/outcome: RAG guardrails and security regression suite
- Business purpose: Treat retrieved content as untrusted and enforce authorization outside the model.
- Covered tracker steps: W3-05, W3-08
- Required inputs: Classification/tenant rules; injection fixtures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recorded dependencies: W3-08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approved W3-001 and execute before W3-002 establishes the release baseline.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retrieved content as untrusted and enforce authorization outside the model. The primary beneficiaries are users, security operations, compliance and model governance.
- Process and risk: This task supports untrusted user/retrieved content -&gt; deterministic policy checks -&gt; authorized RAG -&gt; safe response or refusal. Without it, the platform can produce an unauditable, insecure or non-reproducible result at this exact layer.
- Measurable outcome: known attacks are rejected without reducing valid grounded answers. It contributes to the MVP by making RAG guardrails and security regression suite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 Position and flow: untrusted user/retrieved content -&gt; deterministic policy checks -&gt; authorized RAG -&gt; safe response or refusal.
- Upstream/dependency boundary: W3-04, W3-05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airport security that screens every bag even if the passenger says it is safe.
-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guardrails constrain behavior; authorization determines access rights.
ARCHITECTURE DECISIONS AND TRADE-OFFS
- Selected recorded direction: deterministic external controls are selected over asking the model to police itself.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2. Q: Trace the end-to-end flow for W3-003.
   Answer points: Explain untrusted user/retrieved content -&gt; deterministic policy checks -&gt; authorized RAG -&gt; safe response or refusal; name upstream dependencies, downstream consumers, trust and state boundaries.
3. Q: Which design decision matters most and what alternative was rejected?
   Answer points: Discuss deterministic external controls are selected over asking the model to police itself; compare the adjacent alternative and when it could be preferable.
4. Q: How does this task fail safely and how is it recovered?
   Answer points: Use this scenario: injection or authorization ambiguity fails closed and creates redacted evidence; distinguish retry, remediation, rollback, teardown and evidence.
5. Q: How are security, privacy and cost controlled?
   Answer points: Explain tenant and ACL enforcement stay outside the LLM; sensitive instructions/content are not logged; include least privilege, redaction/residency, bounded resources and owner-only access.
- Design trade-off: volume/latency increases tenfold; explain whether deterministic external controls are selected over asking the model to police itself still holds and what evidence/ADR/approval must change.
- Failure/remediation: injection or authorization ambiguity fails closed and creates redacted evidence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Classification/tenant rules; injection fixtures.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W3-003.
</t>
  </si>
  <si>
    <t>READY FOR PRE-EDIT REVIEW — W3-003</t>
  </si>
  <si>
    <t>W3-05, W3-08</t>
  </si>
  <si>
    <t>COLUMN L — COMPLETE BOUNDED CODE EDIT APPROVAL — W3-003
APPROVED TASK CONTRACT
- Prompt and tracker steps: W3-003 / W3-05, W3-08
- Business purpose: Treat retrieved content as untrusted and enforce authorization outside the model.
- Architecture and design: Deterministic input, retrieved-content and output guardrails surround the RAG pipeline while authorization remains enforced by retrieval code.
- Exact interfaces, functions and connections: inspect_query, inspect_context and inspect_answer return allow, refuse or quarantine decisions with safe reason codes; the pipeline stops on any deny decision.
- Exact inputs, outputs, errors and invariants: Inputs are limited to Classification/tenant rules; injection fixtures.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GuardrailDecision contains decision, reason code, stage and policy version only; injection fixtures are synthetic and classified by expected action.
- Exact dependency and runtime API rules: Rules are local and deterministic; no remote moderation service or model download is introduced; timeouts and cancellation propagate through the pipeline.
- Exact security, privacy, concurrency and operational controls: Retrieved text is untrusted, tool-like instructions are not executed, tenant authorization cannot be overridden, and sensitive input is excluded from errors and telemetry.
- Exact automated-test behavior: Security suites cover direct and indirect injection, cross-tenant context, unsafe output and false-positive controls; feature test proves guardrail ordering and fail-closed behavior.
- Accepted baseline: The inspected repository contains every UPDATE path and does not contain every CREATE path. Historical results remain unchanged; future execution must revalidate content and patch anchors.
EXACT APPROVED PATH MANIFEST
CREATE:
- src/enterprise_ai_platform/guardrails/__init__.py
- src/enterprise_ai_platform/guardrails/errors.py
- src/enterprise_ai_platform/guardrails/prompt_injection.py
- src/enterprise_ai_platform/guardrails/output_policy.py
- tests/unit/test_guardrails.py
- tests/security/test_prompt_injection.py
- tests/security/test_rag_authorization.py
- tests/security/test_output_guardrails.py
- tests/feature/test_rag_guardrail_contract.py
UPDATE:
- src/enterprise_ai_platform/rag/pipeline.py
- src/enterprise_ai_platform/config.py
- feature-matrix.yaml
- tools/platformctl/validate.py
- tests/feature/test_feature_matrix.py
- tests/unit/test_platformctl.py
DELETE:
- None
VERIFIED IMPLEMENTED PRODUCERS / UNCHANGED CONSUMERS:
- src/enterprise_ai_platform/retrieval/authorization.py
REQUIRED UPSTREAM PRODUCERS:
- src/enterprise_ai_platform/llm/base.py — produced by W3-001;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retrieved content as untrusted and enforce authorization outside the model. and measurable acceptance.
2. Architecture position: untrusted user/retrieved content -&gt; deterministic policy checks -&gt; authorized RAG -&gt; safe response or refusal,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airport security that screens every bag even if the passenger says it is safe; what goes in, happens and comes out.
7. Decisions/trade-offs: deterministic external controls are selected over asking the model to police itself, alternatives, pros/cons, conditions to differ and consequences.
8. Security/privacy/reliability/cost: tenant and ACL enforcement stay outside the LLM; sensitive instructions/content are not logged, failure isolation, retained resources and accepted access/cost.
9. Failure/remediation/rollback/teardown: injection or authorization ambiguity fails closed and creates redacted evidence;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W3-003.</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</si>
  <si>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</si>
  <si>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</si>
  <si>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 xml:space="preserve">FOUR APPROVAL GATES PLUS OWNER TESTING AND WEEKLY LEARNING — TRACKER v1.3.4
MAIN PROMPT — W3-ROLLBACK-001
TASK IDENTITY
- Week: Week 3
- Feature/outcome: Cited-RAG configuration rollback drill
- Business purpose: Prove prompt/model/retriever/index configuration can return to a known-good baseline.
- Covered tracker steps: W3-11
- Required inputs: Approved baseline and exact local configuration paths from the pre-edit plan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W3-11 — Restore prior prompt/model/retriever/index configuration and re-evaluate.
  Business reason: RAG changes can regress without application code changes.
  Acceptance: Last-known-good configuration returns baseline results.
  Dependency: W3-10
  Owner verification reference: make rollback-rag &amp;&amp; make evaluate
  Expected result: Rollback record identifies versions and post-rollback metrics.
  Canonical evidence: docs/rollback-records/W3-rag.md
  Rollback/teardown: Forward-fix only after a new feature cycle.
  Current tracker status (read-only historical/current fact): Not Started
  Separate Task Context: 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
Downstream tracker steps identified from recorded dependencies: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W3-ROLLBACK-001
Use only the exact existing local prompt/model/retriever/index configuration files listed and approved in the pre-edit plan, plus docs/rollback-records/W3-rag.md. Plan owner-run TEST-001 to restore the prior known-good configuration, execute the exact rollback and evaluation commands, compare the checked-in baseline, and supply exact versions, results, elapsed time and residual risks for later Column M documentation. Do not hide regression, edit the golden truth set, mutate cloud resources or edit this tracker.
TASK-SPECIFIC AMENDMENT — SAFE CONFIGURATION ROLLBACK
Run only after W3-10 has a passing approved baseline and before W3-12. Freeze exact configuration N hashes and passing evidence; introduce only an owner-approved local test regression N+1; prove the gate detects it; restore N; rerun evaluation, citation/abstention, security/isolation and telemetry checks. Do not edit the golden truth set, lower thresholds, destroy shared data or use teardown as rollback. If Qdrant/model resources are needed, list their exact local lifecycle/cache boundary and clean or preserve them per approval. The rollback record must contain hashes, elapsed time, failure signal and restored results. Any mismatch or residual is FAIL.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prompt/model/retriever/index configuration can return to a known-good baseline.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Cited-RAG configuration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END-TO-END ARCHITECTURE LEARNING
- Position and flow: known-good baseline -&gt; bounded change -&gt; regression detection -&gt; owner rollback -&gt; verification and evidence.
- Upstream/dependency boundary: W3-10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baseline and exact local configuration paths from the pre-edit plan goes through Cited-RAG configuration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Cited-RAG configuration rollback drill addresses prove prompt/model/retriever/index configuration can return to a known-good baseline.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Cited-RAG configuration rollback drill solve?
   Answer points: Connect Prove prompt/model/retriever/index configuration can return to a known-good baseline. to restored baseline passes exact regression and leaves no ambiguous active version and identify release owner, SRE, support and risk managers.
2. Q: Trace the end-to-end flow for W3-ROLLBACK-001.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Cited-RAG configuration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baseline and exact local configuration paths from the pre-edit plan.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W3-ROLLBACK-001.
</t>
  </si>
  <si>
    <t>READY FOR PRE-EDIT REVIEW — W3-ROLLBACK-001</t>
  </si>
  <si>
    <t>COLUMN L — COMPLETE BOUNDED CODE EDIT APPROVAL — W3-ROLLBACK-001
APPROVED TASK CONTRACT
- Prompt and tracker steps: W3-ROLLBACK-001 / W3-11
- Business purpose: Prove prompt/model/retriever/index configuration can return to a known-good baseline.
- Architecture and design: Versioned JSON RAG configurations and platformctl rollback select a known-good prompt, model, retriever and index contract without changing stored evidence silently.
- Exact interfaces, functions and connections: validate_rag_config, compare_rag_config and rollback_rag_config accept exact configuration paths and return validation, diff and selected-baseline results.
- Exact inputs, outputs, errors and invariants: Inputs are limited to Approved baseline and exact local configuration paths from the pre-edit plan.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Configuration fixes schema version, prompt version, provider/model ID, retrieval parameters, index version and evaluation gate; unknown or missing fields are rejected.
- Exact dependency and runtime API rules: Rollback is local and dry-run by default; owner execution performs any service restart or data mutation; no cloud or model download is part of the code edit.
- Exact security, privacy, concurrency and operational controls: Candidate and baseline hashes are verified; rollback stops if the baseline is missing or incompatible; cleanup removes only drill artifacts.
- Exact automated-test behavior: Contract tests reject invalid configuration; feature tests force a safe regression and select baseline; teardown tests prove no temporary rollback state remains.
- Accepted baseline: The inspected repository contains every UPDATE path and does not contain every CREATE path. Historical results remain unchanged; future execution must revalidate content and patch anchors.
EXACT APPROVED PATH MANIFEST
CREATE:
- configs/rag/baseline.json
- configs/rag/candidate.json
- tools/platformctl/rag_rollback.py
- tests/contract/test_rag_config.py
- tests/feature/test_rag_configuration_rollback.py
- tests/teardown/test_w3_rag_rollback_cleanliness.py
UPDATE:
- tools/platformctl/cli.py
- tools/platformctl/contracts.py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configs/eval/golden.jsonl — produced by W3-002;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prompt/model/retriever/index configuration can return to a known-good baseline.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</si>
  <si>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docs/test-evidence/W3-ROLLBACK-001.md
- docs/rollback-records/W3-rag.md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</si>
  <si>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</si>
  <si>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 xml:space="preserve">FOUR APPROVAL GATES PLUS OWNER TESTING AND WEEKLY LEARNING — TRACKER v1.3.4
MAIN PROMPT — W4-001
TASK IDENTITY
- Week: Week 4
- Feature/outcome: FastAPI service boundary
- Business purpose: Expose production-shaped, testable endpoints.
- Covered tracker steps: W4-01, W4-02, W4-10
- Required inputs: Fake providers by default; auth interface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W4-01 — Implement health, query and agent endpoints using dependency interfaces.
  Business reason: A thin typed boundary isolates clients from implementation details.
  Acceptance: Endpoints return normalized schemas and request IDs.
  Dependency: W3-13
  Owner verification reference: pytest tests/unit/test_api.py -q
  Expected result: Health and fake query tests pass; no internal prompt/error leak.
  Canonical evidence: docs/test-evidence/W4-01-api.txt
  Rollback/teardown: Roll back image/config and disable new route.
  Current tracker status (read-only historical/current fact): Not Started
  Separate Task Context: 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
- W4-02 — Implement auth context interface and deny before retrieval/action.
  Business reason: Identity and authorization are deterministic platform controls.
  Acceptance: Unauthorized query never invokes retriever or tool.
  Dependency: W4-01
  Owner verification reference: pytest tests/security/test_api_authorization.py -q
  Expected result: Mock call assertions prove deny-before-retrieve.
  Canonical evidence: docs/test-evidence/W4-02-auth.txt
  Rollback/teardown: Disable endpoint or restore previous auth dependency.
  Current tracker status (read-only historical/current fact): Not Started
  Separate Task Context: 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
- W4-10 — Run bounded local smoke/load test with fake/approved model.
  Business reason: Concurrency and timeouts must fail predictably before EKS.
  Acceptance: No unbounded queue; p95/p99 baseline is recorded.
  Dependency: W4-01,W4-06
  Owner verification reference: pytest tests/feature/test_api_load_smoke.py -q
  Expected result: Latency/error/concurrency report is redacted.
  Canonical evidence: docs/test-evidence/W4-10-load.json
  Rollback/teardown: Reduce traffic; revert concurrency settings.
  Current tracker status (read-only historical/current fact): Not Started
  Separate Task Context: 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
Downstream tracker steps identified from recorded dependencies: W4-02, W4-03, W4-08, W4-10, W4-11,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FastAPI endpoints /health/live, /health/ready, /v1/query and /v1/agent. Use Pydantic schemas, correlation IDs, request-size limits, authentication/authorization interfaces, deadlines, concurrency limiting and normalized errors. Readiness checks dependencies with short timeouts. Return citations, model/retriever versions and request ID; never expose prompts, chain-of-thought, secrets or raw exceptions. Add JSON logging with redaction and OpenTelemetry spans.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TRUSTED API BOUNDARY
Require W3-12 sign-off plus SEC-001 and COST-001. The authentication dependency—not request JSON—constructs trusted AuthContext; deny before retriever or agent invocation. Keep /v1/agent disabled until W4-002 is approved. Validate request/body/content-type limits, correlation/request IDs, deadlines, bounded concurrency/backpressure, cancellation and normalized status/error mapping. Trust forwarded headers only from an explicitly configured proxy boundary. Readiness uses short dependency timeouts and differs from liveness. Never return prompts, context, chain-of-thought, secrets, PII, internal endpoints or raw exceptions. Load smoke must be bounded, local/fake by default, record p95/p99 and leave no process/cache residue. Canonical evidence: W4-01-api.txt, W4-02-auth.txt and W4-10-load.json; aggregate W4-api.txt must reconcile. Test auth short-circuit, size/type/rate/deadline/concurrency, dependency failure, schema/redaction and shutdown cleanup.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Expose production-shaped, testable endpoints. The primary beneficiaries are client teams, knowledge users, operations and security.
- Process and risk: This task supports authenticated HTTP request -&gt; FastAPI validation/auth -&gt; application service -&gt; fake or approved providers -&gt; typed response/error. Without it, the platform can produce an unauditable, insecure or non-reproducible result at this exact layer.
- Measurable outcome: stable contract, correct status codes and bounded latency under approved tests. It contributes to the MVP by making FastAPI service boundary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END-TO-END ARCHITECTURE LEARNING
- Position and flow: authenticated HTTP request -&gt; FastAPI validation/auth -&gt; application service -&gt; fake or approved providers -&gt; typed response/error.
- Upstream/dependency boundary: W3-13, W4-01, W4-01,W4-06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FastAPI routes, request/response schemas, dependency injection, auth interface, health/readiness and API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FastAPI routes, request/response schemas, dependency injection, auth interface, health/readiness and API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guarded reception desk that checks forms and identity before sending work inside.
- What goes in / happens / comes out: approved Fake providers by default; auth interface choice goes through FastAPI service boundary;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API exposes the capability; the service layer owns business rules.
ARCHITECTURE DECISIONS AND TRADE-OFFS
- Selected recorded direction: a thin transport boundary with injected providers and typed errors is selected over business logic in routes.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authentication, tenant context, limits and redaction happen before provider access. Apply classification, PII handling, tenant isolation, authorization before provider/storage calls, secret exclusion, redacted evidence, residency, retention, provenance and least privilege where applicable.
- Failure/operations: bad input/auth/provider timeout maps to stable status without content leakage; rollback restores the last API release.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FastAPI service boundary addresses expose production-shaped, testable endpoints. It makes the result governed, testable and reversible, measured by stable contract, correct status codes and bounded latency under approved tests.
- Two-minute technical explanation: describe FastAPI routes, request/response schemas, dependency injection, auth interface, health/readiness and API tests; trace authenticated HTTP request -&gt; FastAPI validation/auth -&gt; application service -&gt; fake or approved providers -&gt; typed response/error;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FastAPI service boundary solve?
   Answer points: Connect Expose production-shaped, testable endpoints. to stable contract, correct status codes and bounded latency under approved tests and identify client teams, knowledge users, operations and security.
2. Q: Trace the end-to-end flow for W4-001.
   Answer points: Explain authenticated HTTP request -&gt; FastAPI validation/auth -&gt; application service -&gt; fake or approved providers -&gt; typed response/error; name upstream dependencies, downstream consumers, trust and state boundaries.
3. Q: Which design decision matters most and what alternative was rejected?
   Answer points: Discuss a thin transport boundary with injected providers and typed errors is selected over business logic in routes; compare the adjacent alternative and when it could be preferable.
4. Q: How does this task fail safely and how is it recovered?
   Answer points: Use this scenario: bad input/auth/provider timeout maps to stable status without content leakage; rollback restores the last API release; distinguish retry, remediation, rollback, teardown and evidence.
5. Q: How are security, privacy and cost controlled?
   Answer points: Explain authentication, tenant context, limits and redaction happen before provider access; include least privilege, redaction/residency, bounded resources and owner-only access.
- Design trade-off: volume/latency increases tenfold; explain whether a thin transport boundary with injected providers and typed errors is selected over business logic in routes still holds and what evidence/ADR/approval must change.
- Failure/remediation: bad input/auth/provider timeout maps to stable status without content leakage; rollback restores the last API release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FastAPI service boundary. Task — establish the governed contract. Action — map consumers, work within gates, owner-test, diagnose completely and prove lifecycle. Result — report only accepted evidence and stable contract, correct status codes and bounded latency under approved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Fake providers by default; auth interface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W4-001.
</t>
  </si>
  <si>
    <t>READY FOR PRE-EDIT REVIEW — W4-001</t>
  </si>
  <si>
    <t>W4-01, W4-02, W4-10</t>
  </si>
  <si>
    <t>COLUMN L — COMPLETE BOUNDED CODE EDIT APPROVAL — W4-001
APPROVED TASK CONTRACT
- Prompt and tracker steps: W4-001 / W4-01, W4-02, W4-10
- Business purpose: Expose production-shaped, testable endpoints.
- Architecture and design: FastAPI routes expose health and query boundaries, inject fake providers by default and delegate business logic to the RAG service.
- Exact interfaces, functions and connections: GET health endpoints return readiness state; POST query accepts QueryRequest and returns QueryResponse with answer, citations, trace ID or typed error.
- Exact inputs, outputs, errors and invariants: Inputs are limited to Fake providers by default; auth interface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API models enforce tenant identity, classification, bounded query length and stable error codes; unknown fields and malformed authorization fail validation.
- Exact dependency and runtime API rules: FastAPI dependencies are injected; synchronous work stays outside the event loop; timeouts and cancellation propagate to retrieval and LLM providers.
- Exact security, privacy, concurrency and operational controls: Authentication and authorization precede retrieval; responses and logs exclude secrets and raw protected context; readiness fails when required dependencies are unavailable.
- Exact automated-test behavior: Model and contract tests prove status/schema stability; integration tests use fake providers; authorization tests cover missing and cross-tenant identity; feature and smoke tests cover query and health paths.
- Accepted baseline: The inspected repository contains every UPDATE path and does not contain every CREATE path. Historical results remain unchanged; future execution must revalidate content and patch anchors.
EXACT APPROVED PATH MANIFEST
CREATE:
- src/enterprise_ai_platform/api/__init__.py
- src/enterprise_ai_platform/api/dependencies.py
- src/enterprise_ai_platform/api/models.py
- src/enterprise_ai_platform/api/auth.py
- src/enterprise_ai_platform/api/routes_health.py
- src/enterprise_ai_platform/api/routes_query.py
- tests/contract/test_api_contract.py
- tests/unit/test_api.py
- tests/security/test_api_authorization.py
- tests/feature/test_api_query.py
- tests/feature/test_api_load_smoke.py
- tests/smoke/test_api_health.py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src/enterprise_ai_platform/retrieval/service.py — produced by W2-004;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Expose production-shaped, testable endpoints. and measurable acceptance.
2. Architecture position: authenticated HTTP request -&gt; FastAPI validation/auth -&gt; application service -&gt; fake or approved providers -&gt; typed response/error,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guarded reception desk that checks forms and identity before sending work inside; what goes in, happens and comes out.
7. Decisions/trade-offs: a thin transport boundary with injected providers and typed errors is selected over business logic in routes, alternatives, pros/cons, conditions to differ and consequences.
8. Security/privacy/reliability/cost: authentication, tenant context, limits and redaction happen before provider access, failure isolation, retained resources and accepted access/cost.
9. Failure/remediation/rollback/teardown: bad input/auth/provider timeout maps to stable status without content leakage; rollback restores the last API release;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W4-001.</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</si>
  <si>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</si>
  <si>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 xml:space="preserve">FOUR APPROVAL GATES PLUS OWNER TESTING AND WEEKLY LEARNING — TRACKER v1.3.4
MAIN PROMPT — W4-002
TASK IDENTITY
- Week: Week 4
- Feature/outcome: Bounded LangGraph agent controller
- Business purpose: Add controlled agent behavior without uncontrolled autonomy.
- Covered tracker steps: W4-03, W4-04, W4-05, W4-06, W4-07, W4-09
- Required inputs: Step/tool/time budgets; approval-store decision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W4-03 —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 routing tests pass; Mermaid matches implementation.
  Canonical evidence: docs/test-evidence/W4-03-graph.txt
  Rollback/teardown: Feature flag disables graph; query endpoint remains read-only.
  Current tracker status (read-only historical/current fact): Not Started
  Separate Task Context: 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
- W4-04 — Add one read-only status tool with narrow schema.
  Business reason: Read-only tool proves integration at low consequence.
  Acceptance: Allowlist and JSON schema reject malformed calls.
  Dependency: W4-03
  Owner verification reference: pytest tests/unit/test_agent_tools.py -q
  Expected result: Only allowlisted tool executes; output is normalized/redacted.
  Canonical evidence: docs/test-evidence/W4-04-read-tool.txt
  Rollback/teardown: Remove tool registration and restore prior graph.
  Current tracker status (read-only historical/current fact): Not Started
  Separate Task Context: 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
- W4-05 — Add mocked write tool that requires durable approval.
  Business reason: Consequential actions cannot rely on model intent.
  Acceptance: No approval/rejection/expired approval prevents execution.
  Dependency: W4-03,W4-04
  Owner verification reference: pytest tests/security/test_agent_approval.py -q
  Expected result: 100% write executions have valid approval and idempotency key.
  Canonical evidence: docs/test-evidence/W4-05-approval.txt
  Rollback/teardown: Disable write-tool feature flag and invalidate pending approvals.
  Current tracker status (read-only historical/current fact): Not Started
  Separate Task Context: 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
- W4-06 — Enforce step, tool-call, token/time deadline and retry limits.
  Business reason: Bounds prevent loops, retry storms and unplanned model spend.
  Acceptance: Budget-exceeded paths stop safely and record reason.
  Dependency: W4-03
  Owner verification reference: pytest tests/unit/test_agent_budgets.py -q
  Expected result: No repeated tool execution; timeouts are bounded.
  Canonical evidence: docs/test-evidence/W4-06-budgets.txt
  Rollback/teardown: Reduce limits or disable agent route.
  Current tracker status (read-only historical/current fact): Not Started
  Separate Task Context: 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
- W4-07 — Persist only redacted agent state and audit decisions.
  Business reason: Checkpoints must not become a secret/PII store.
  Acceptance: State fixture contains IDs/outcomes but no content/secrets.
  Dependency: W4-05
  Owner verification reference: pytest tests/security/test_agent_state_redaction.py -q
  Expected result: Redaction assertion passes.
  Canonical evidence: docs/test-evidence/W4-07-state.txt
  Rollback/teardown: Purge test checkpoints and restore safe serializer.
  Current tracker status (read-only historical/current fact): Not Started
  Separate Task Context: 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
- W4-09 — Exercise denial, malformed args, injection, timeout, loop and rejection.
  Business reason: Agent safety is proven through negative paths.
  Acceptance: All failure modes terminate without write side effects.
  Dependency: W4-05:W4-08
  Owner verification reference: pytest tests/security/test_agent_* tests/feature/test_agent_failures.py -q
  Expected result: Audit records show safe terminal reason.
  Canonical evidence: docs/test-evidence/W4-09-failures.txt
  Rollback/teardown: Disable agent endpoint and preserve evidence.
  Current tracker status (read-only historical/current fact): Not Started
  Separate Task Context: 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
Downstream tracker steps identified from recorded dependencies: W4-04, W4-05, W4-06, W4-07, W4-08, W4-09, W4-10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TASK-SPECIFIC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Add controlled agent behavior without uncontrolled autonomy. The primary beneficiaries are operators, approvers, application users and risk teams.
- Process and risk: This task supports authorized request -&gt; bounded state graph -&gt; permitted tool node -&gt; human approval when required -&gt; final response/audit. Without it, the platform can produce an unauditable, insecure or non-reproducible result at this exact layer.
- Measurable outcome: no unapproved tool call and deterministic state transitions. It contributes to the MVP by making Bounded LangGraph agent controller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END-TO-END ARCHITECTURE LEARNING
- Position and flow: authorized request -&gt; bounded state graph -&gt; permitted tool node -&gt; human approval when required -&gt; final response/audit.
- Upstream/dependency boundary: W4-02, W4-03, W4-03,W4-04, W4-03, W4-05, W4-05:W4-08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LangGraph state, node/edge contracts, tool registry, budgets, approval store and deterministic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LangGraph state, node/edge contracts, tool registry, budgets, approval store and deterministic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supervised checklist where each step and tool needs the right stamp.
- What goes in / happens / comes out: approved Step/tool/time budgets; approval-store decision goes through Bounded LangGraph agent controller;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RAG answers from evidence; an agent chooses among bounded actions and tools.
ARCHITECTURE DECISIONS AND TRADE-OFFS
- Selected recorded direction: explicit graph, step/tool/time budgets and human gates are selected over open-ended autonomy.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tool authorization and approval happen before side effects; state/logs redact content and credentials. Apply classification, PII handling, tenant isolation, authorization before provider/storage calls, secret exclusion, redacted evidence, residency, retention, provenance and least privilege where applicable.
- Failure/operations: budget exhaustion, denial, timeout or cancellation stops the graph without a later tool call.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Bounded LangGraph agent controller addresses add controlled agent behavior without uncontrolled autonomy. It makes the result governed, testable and reversible, measured by no unapproved tool call and deterministic state transitions.
- Two-minute technical explanation: describe LangGraph state, node/edge contracts, tool registry, budgets, approval store and deterministic tests; trace authorized request -&gt; bounded state graph -&gt; permitted tool node -&gt; human approval when required -&gt; final response/audit;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Bounded LangGraph agent controller solve?
   Answer points: Connect Add controlled agent behavior without uncontrolled autonomy. to no unapproved tool call and deterministic state transitions and identify operators, approvers, application users and risk teams.
2. Q: Trace the end-to-end flow for W4-002.
   Answer points: Explain authorized request -&gt; bounded state graph -&gt; permitted tool node -&gt; human approval when required -&gt; final response/audit; name upstream dependencies, downstream consumers, trust and state boundaries.
3. Q: Which design decision matters most and what alternative was rejected?
   Answer points: Discuss explicit graph, step/tool/time budgets and human gates are selected over open-ended autonomy; compare the adjacent alternative and when it could be preferable.
4. Q: How does this task fail safely and how is it recovered?
   Answer points: Use this scenario: budget exhaustion, denial, timeout or cancellation stops the graph without a later tool call; distinguish retry, remediation, rollback, teardown and evidence.
5. Q: How are security, privacy and cost controlled?
   Answer points: Explain tool authorization and approval happen before side effects; state/logs redact content and credentials; include least privilege, redaction/residency, bounded resources and owner-only access.
- Design trade-off: volume/latency increases tenfold; explain whether explicit graph, step/tool/time budgets and human gates are selected over open-ended autonomy still holds and what evidence/ADR/approval must change.
- Failure/remediation: budget exhaustion, denial, timeout or cancellation stops the graph without a later tool call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Bounded LangGraph agent controller. Task — establish the governed contract. Action — map consumers, work within gates, owner-test, diagnose completely and prove lifecycle. Result — report only accepted evidence and no unapproved tool call and deterministic state transitions.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Step/tool/time budgets; approval-store decision.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W4-002.
</t>
  </si>
  <si>
    <t>READY FOR PRE-EDIT REVIEW — W4-002</t>
  </si>
  <si>
    <t>W4-03, W4-04, W4-05, W4-06, W4-07, W4-09</t>
  </si>
  <si>
    <t>COLUMN L — COMPLETE BOUNDED CODE EDIT APPROVAL — W4-002
APPROVED TASK CONTRACT
- Prompt and tracker steps: W4-002 / W4-03, W4-04, W4-05, W4-06, W4-07, W4-09
- Business purpose: Add controlled agent behavior without uncontrolled autonomy.
- Architecture and design: A bounded LangGraph controller uses typed state, allowlisted tools, explicit approval checkpoints and resumable checkpoint records.
- Exact interfaces, functions and connections: build_graph, run_agent, request_approval and resume_agent accept AgentState and return terminal response, approval-needed or typed budget/error outcomes.
- Exact inputs, outputs, errors and invariants: Inputs are limited to Step/tool/time budgets; approval-store decision.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AgentState fixes request ID, tenant, step count, tool count, deadline, approval state and redacted messages; checkpoint serialization is versioned and rejects incompatible state.
- Exact dependency and runtime API rules: Step, tool and wall-clock budgets are explicit; provider calls and tools are injected; cancellation halts scheduling and checkpoint writes remain bounded.
- Exact security, privacy, concurrency and operational controls: Tools are allowlisted and tenant-scoped; side-effecting tools require owner approval; no arbitrary code, shell or network tool is exposed.
- Exact automated-test behavior: Unit and contract tests cover state and tools; feature tests cover budgets, pause and resume; security tests cover unauthorized tools and approval bypass; teardown test removes temporary checkpoints.
- Accepted baseline: The inspected repository contains every UPDATE path and does not contain every CREATE path. Historical results remain unchanged; future execution must revalidate content and patch anchors.
EXACT APPROVED PATH MANIFEST
CREATE:
- src/enterprise_ai_platform/agents/__init__.py
- src/enterprise_ai_platform/agents/errors.py
- src/enterprise_ai_platform/agents/state.py
- src/enterprise_ai_platform/agents/tools.py
- src/enterprise_ai_platform/agents/approval.py
- src/enterprise_ai_platform/agents/checkpoint.py
- src/enterprise_ai_platform/agents/graph.py
- tests/unit/test_agent_state.py
- tests/unit/test_agent_graph.py
- tests/unit/test_agent_tools.py
- tests/unit/test_agent_budgets.py
- tests/feature/test_agent_resume.py
- tests/feature/test_agent_failures.py
- tests/security/test_agent_authorization.py
- tests/security/test_agent_approval.py
- tests/security/test_agent_state_redaction.py
- tests/teardown/test_agent_checkpoint_cleanliness.py
UPDATE: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src/enterprise_ai_platform/api/auth.py — produced by W4-001;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Add controlled agent behavior without uncontrolled autonomy. and measurable acceptance.
2. Architecture position: authorized request -&gt; bounded state graph -&gt; permitted tool node -&gt; human approval when required -&gt; final response/audit,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supervised checklist where each step and tool needs the right stamp; what goes in, happens and comes out.
7. Decisions/trade-offs: explicit graph, step/tool/time budgets and human gates are selected over open-ended autonomy, alternatives, pros/cons, conditions to differ and consequences.
8. Security/privacy/reliability/cost: tool authorization and approval happen before side effects; state/logs redact content and credentials, failure isolation, retained resources and accepted access/cost.
9. Failure/remediation/rollback/teardown: budget exhaustion, denial, timeout or cancellation stops the graph without a later tool call;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</si>
  <si>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</si>
  <si>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</si>
  <si>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</si>
  <si>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</si>
  <si>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COLUMN L — COMPLETE BOUNDED CODE EDIT APPROVAL — W4-003
APPROVED TASK CONTRACT
- Prompt and tracker steps: W4-003 / W3-09, W4-08
- Business purpose: Make each RAG and agent stage explainable operationally.
- Architecture and design: OpenTelemetry-compatible tracing, metrics, structured logging and a redacted audit record instrument API, retrieval, RAG and agent stages.
- Exact interfaces, functions and connections: start_span, record_metric, log_event and write_audit_event accept identifiers and bounded attributes; exporters are configured through Settings.
- Exact inputs, outputs, errors and invariants: Inputs are limited to OTEL exporter endpoint; no content export.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carries trace ID, request ID, tenant hash, stage, duration, status and reason code; query text, retrieved content, credentials and tokens are prohibited.
- Exact dependency and runtime API rules: No-content export is the default; exporter timeouts are bounded and telemetry failure cannot expose data or block the business response indefinitely.
- Exact security, privacy, concurrency and operational controls: Redaction occurs before emission; tenant identifiers are pseudonymized; audit events are append-only logical records without secrets.
- Exact automated-test behavior: Unit tests cover attributes; integration proves trace correlation; feature tests cover stage metrics; security tests reject sensitive fields and exporter payload content.
- Accepted baseline: The inspected repository contains every UPDATE path and does not contain every CREATE path. Historical results remain unchanged; future execution must revalidate content and patch anchors.
EXACT APPROVED PATH MANIFEST
CREATE:
- src/enterprise_ai_platform/observability/__init__.py
- src/enterprise_ai_platform/observability/logging.py
- src/enterprise_ai_platform/observability/tracing.py
- src/enterprise_ai_platform/observability/metrics.py
- src/enterprise_ai_platform/observability/audit.py
- tests/unit/test_telemetry.py
- tests/feature/test_trace_correlation.py
- tests/feature/test_rag_stage_metrics.py
- tests/security/test_telemetry_redaction.py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src/enterprise_ai_platform/agents/graph.py — produced by W4-002;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each RAG and agent stage explainable operationally. and measurable acceptance.
2. Architecture position: RAG/agent/API events -&gt; redaction and correlation -&gt; OpenTelemetry -&gt; approved local/export destination -&gt; alerts/evidence,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flight recorder that stores instrument readings, not passengers' conversations; what goes in, happens and comes out.
7. Decisions/trade-offs: stage-level observability without prompt/document export balances diagnosis and privacy, alternatives, pros/cons, conditions to differ and consequences.
8. Security/privacy/reliability/cost: no raw content, PII, secrets or credentials leave process; exporter is explicit, failure isolation, retained resources and accepted access/cost.
9. Failure/remediation/rollback/teardown: export failure must not expose data or corrupt user flow; buffering/retry is bounded;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W4-003.</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</si>
  <si>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</si>
  <si>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</si>
  <si>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</si>
  <si>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COLUMN L — COMPLETE BOUNDED CODE EDIT APPROVAL — W4-ROLLBACK-001
APPROVED TASK CONTRACT
- Prompt and tracker steps: W4-ROLLBACK-001 / W4-11
- Business purpose: Prove release rollback separately from infrastructure rollback.
- Architecture and design: Signed local release manifests identify immutable releases N and N+1; platformctl validates and selects the previous release without conflating infrastructure rollback.
- Exact interfaces, functions and connections: validate_release_manifest, compare_releases and rollback_release return digest, configuration and health-verification plans; mutation remains owner executed.
- Exact inputs, outputs, errors and invariants: Inputs are limited to Approved local immutable releases N and N+1 and safe regression method.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Release manifest contains schema version, image digest, configuration hash, feature versions and creation evidence; mutable tags and missing hashes are rejected.
- Exact dependency and runtime API rules: Rollback planning is local and dry-run; Docker or service commands appear only in the Owner Execution Guide.
- Exact security, privacy, concurrency and operational controls: Only the verified prior digest may be selected; failed release remains blocked; cleanup removes drill-only state.
- Exact automated-test behavior: Contract tests reject mutable or mismatched manifests; feature test forces a safe regression and restores N; teardown test verifies no drill container, network, volume or state remains.
- Accepted baseline: The inspected repository contains every UPDATE path and does not contain every CREATE path. Historical results remain unchanged; future execution must revalidate content and patch anchors.
EXACT APPROVED PATH MANIFEST
CREATE:
- tests/fixtures/releases/release-n.json
- tests/fixtures/releases/release-n-plus-one.json
- tools/platformctl/release.py
- tests/contract/test_release_manifest.py
- tests/feature/test_release_rollback.py
- tests/teardown/test_w4_release_cleanliness.py
UPDATE:
- tools/platformctl/cli.py
- tools/platformctl/contracts.py
- feature-matrix.yaml
- tools/platformctl/validate.py
- tests/feature/test_feature_matrix.py
- tests/unit/test_platformctl.py
DELETE:
- None
VERIFIED IMPLEMENTED PRODUCERS / UNCHANGED CONSUMERS:
- src/enterprise_ai_platform/app.py
- docker-compose.yml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release rollback separately from infrastructure rollback.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</si>
  <si>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</si>
  <si>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</si>
  <si>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</si>
  <si>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</si>
  <si>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COLUMN L — COMPLETE BOUNDED CONTENT EDIT APPROVAL — W5-INPUTS-001
APPROVED TASK CONTRACT
- Prompt and tracker steps: W5-INPUTS-001 / W5-01
- Business purpose: Capture all non-secret AWS, network, tagging, residency and budget choices before Terraform work.
- Architecture position and content design: Capture non-secret AWS sandbox choices in a human-readable decision record and a Terraform variable example; neither file grants Terraform or AWS execution authority.
- Exact interfaces, functions and connections: No application function, class, API, service or infrastructure connection is changed. The exact document sections are Account and region placeholders, network identifiers, tags, budget, residency, GitHub/OIDC identifiers, Bedrock model IDs, unresolved owner decisions and explicit no-secret warnings.
- Exact inputs, outputs, errors and invariants: Inputs are limited to AWS-001, AWS-002, NET-001, TAG-001, COST-001 and PRIV-001;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or Terraform-example format; the Terraform example contains placeholders only,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infra/environments/sandbox/terraform.tfvars.example
- docs/cost-estimates/W5-inputs.md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and executable infrastructure other than the exact non-secret Terraform variable example.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Capture all non-secret AWS, network, tagging, residency and budget choices before Terraform work. and measurable acceptance.
2. Architecture position: owner-approved non-secret account/network/tag/residency/budget choices -&gt; decision record -&gt; Terraform inputs,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signed travel authorization before booking anything; what goes in, happens and comes out.
7. Decisions/trade-offs: record every cloud boundary before IaC so placeholders cannot become accidental production values, alternatives, pros/cons, conditions to differ and consequences.
8. Security/privacy/reliability/cost: no credentials in workbook/repository; least privilege, residency and budget are explicit, failure isolation, retained resources and accepted access/cost.
9. Failure/remediation/rollback/teardown: missing or conflicting input blocks Terraform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</si>
  <si>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</si>
  <si>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</si>
  <si>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</si>
  <si>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</si>
  <si>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</si>
  <si>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COLUMN L — COMPLETE BOUNDED CODE EDIT APPROVAL — W5-001
APPROVED TASK CONTRACT
- Prompt and tracker steps: W5-001 / W5-02, W5-03, W5-04, W5-05
- Business purpose: Produce reviewable infrastructure without secret material.
- Architecture and design: Separate Terraform bootstrap and sandbox roots compose KMS, storage, secret metadata, IAM, OpenSearch and ECR modules; state remains isolated and removed last.
- Exact interfaces, functions and connections: Typed Terraform variables accept owner-approved account, region, network, tags and service identifiers; module outputs expose only non-secret IDs and ARNs.
- Exact inputs, outputs, errors and invariants: Inputs are limited to TODO account, region, VPC/subnets, GitHub repo, tags, Bedrock models.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no model runtime or local inference control applies.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 inspects expected plan shape; teardown test preserves bootstrap-last boundary.
- Accepted baseline: The inspected repository contains every UPDATE path and does not contain every CREATE path. Historical results remain unchanged; future execution must revalidate content and patch anchors.
EXACT APPROVED PATH MANIFEST
CREATE: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src/enterprise_ai_platform/config.py
- src/enterprise_ai_platform/retrieval/adapters/opensearch.py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</si>
  <si>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</si>
  <si>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</si>
  <si>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</si>
  <si>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</si>
  <si>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</si>
  <si>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</si>
  <si>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</si>
  <si>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</si>
  <si>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</si>
  <si>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</si>
  <si>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</si>
  <si>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</si>
  <si>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</si>
  <si>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</si>
  <si>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</si>
  <si>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</si>
  <si>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</si>
  <si>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</si>
  <si>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</si>
  <si>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</si>
  <si>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</si>
  <si>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</si>
  <si>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</si>
  <si>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</si>
  <si>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</si>
  <si>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</si>
  <si>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</si>
  <si>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</si>
  <si>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</si>
  <si>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</si>
  <si>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</si>
  <si>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</si>
  <si>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</si>
  <si>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</si>
  <si>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</si>
  <si>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</si>
  <si>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</si>
  <si>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</si>
  <si>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</si>
  <si>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</si>
  <si>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</si>
  <si>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</si>
  <si>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</si>
  <si>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</si>
  <si>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</si>
  <si>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</si>
  <si>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</si>
  <si>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</si>
  <si>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</si>
  <si>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</si>
  <si>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</si>
  <si>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</si>
  <si>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</si>
  <si>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</si>
  <si>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</si>
  <si>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</si>
  <si>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</si>
  <si>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</si>
  <si>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</si>
  <si>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</si>
  <si>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</si>
  <si>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</si>
  <si>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</si>
  <si>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</si>
  <si>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</si>
  <si>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</si>
  <si>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</si>
  <si>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</si>
  <si>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</si>
  <si>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</si>
  <si>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</si>
  <si>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</si>
  <si>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</si>
  <si>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</si>
  <si>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</si>
  <si>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</si>
  <si>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</si>
  <si>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</si>
  <si>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</si>
  <si>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</si>
  <si>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</si>
  <si>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</si>
  <si>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</si>
  <si>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</si>
  <si>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</si>
  <si>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</si>
  <si>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</si>
  <si>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</si>
  <si>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</si>
  <si>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</si>
  <si>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</si>
  <si>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</si>
  <si>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</si>
  <si>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</si>
  <si>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</si>
  <si>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</si>
  <si>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</si>
  <si>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</si>
  <si>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</si>
  <si>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</si>
  <si>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</si>
  <si>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</si>
  <si>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</si>
  <si>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</si>
  <si>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</si>
  <si>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</si>
  <si>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</si>
  <si>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</si>
  <si>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</si>
  <si>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</si>
  <si>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</si>
  <si>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</si>
  <si>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</si>
  <si>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</si>
  <si>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In 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</si>
</sst>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2">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0.61538461538461542</c:v>
                </c:pt>
                <c:pt idx="2">
                  <c:v>0</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2"/>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44"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1"/>
        <filter val="Week 2"/>
      </filters>
    </filterColumn>
    <filterColumn colId="7">
      <filters>
        <filter val=".pre-commit-config.yaml; .secrets.baseline; docs/test-evidence/W1-08-precommit.txt"/>
        <filter val="configs/pii-policy.yaml"/>
        <filter val="configs/tags.yaml"/>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8" t="s">
        <v>0</v>
      </c>
      <c r="B1" s="58"/>
      <c r="C1" s="58"/>
      <c r="D1" s="58"/>
      <c r="E1" s="58"/>
      <c r="F1" s="58"/>
      <c r="G1" s="58"/>
      <c r="H1" s="58"/>
      <c r="I1" s="58"/>
      <c r="J1" s="58"/>
    </row>
    <row r="2" spans="1:10">
      <c r="A2" s="59" t="s">
        <v>1</v>
      </c>
      <c r="B2" s="59"/>
      <c r="C2" s="59"/>
      <c r="D2" s="59"/>
      <c r="E2" s="59"/>
      <c r="F2" s="59"/>
      <c r="G2" s="59"/>
      <c r="H2" s="59"/>
      <c r="I2" s="59"/>
      <c r="J2" s="59"/>
    </row>
    <row r="4" spans="1:10">
      <c r="A4" s="60" t="s">
        <v>2</v>
      </c>
      <c r="B4" s="61"/>
      <c r="C4" s="61"/>
      <c r="D4" s="61"/>
      <c r="E4" s="60" t="s">
        <v>3</v>
      </c>
      <c r="F4" s="61"/>
      <c r="G4" s="61"/>
      <c r="H4" s="61"/>
      <c r="I4" s="61"/>
      <c r="J4" s="62"/>
    </row>
    <row r="5" spans="1:10" ht="39.6">
      <c r="A5" s="21">
        <v>1</v>
      </c>
      <c r="B5" s="4" t="s">
        <v>4</v>
      </c>
      <c r="C5" s="4" t="s">
        <v>5</v>
      </c>
      <c r="E5" s="63" t="s">
        <v>6</v>
      </c>
      <c r="F5" s="64"/>
      <c r="G5" s="64"/>
      <c r="H5" s="64"/>
      <c r="I5" s="64"/>
      <c r="J5" s="65"/>
    </row>
    <row r="6" spans="1:10" ht="39.6">
      <c r="A6" s="21">
        <v>2</v>
      </c>
      <c r="B6" s="5" t="s">
        <v>7</v>
      </c>
      <c r="C6" s="5" t="s">
        <v>8</v>
      </c>
      <c r="E6" s="66" t="s">
        <v>9</v>
      </c>
      <c r="F6" s="67"/>
      <c r="G6" s="67"/>
      <c r="H6" s="67"/>
      <c r="I6" s="67"/>
      <c r="J6" s="68"/>
    </row>
    <row r="7" spans="1:10" ht="66">
      <c r="A7" s="21">
        <v>3</v>
      </c>
      <c r="B7" s="5" t="s">
        <v>10</v>
      </c>
      <c r="C7" s="5" t="s">
        <v>11</v>
      </c>
      <c r="E7" s="66" t="s">
        <v>12</v>
      </c>
      <c r="F7" s="67"/>
      <c r="G7" s="67"/>
      <c r="H7" s="67"/>
      <c r="I7" s="67"/>
      <c r="J7" s="68"/>
    </row>
    <row r="8" spans="1:10" ht="79.2">
      <c r="A8" s="21">
        <v>4</v>
      </c>
      <c r="B8" s="5" t="s">
        <v>13</v>
      </c>
      <c r="C8" s="5" t="s">
        <v>14</v>
      </c>
      <c r="E8" s="66" t="s">
        <v>15</v>
      </c>
      <c r="F8" s="67"/>
      <c r="G8" s="67"/>
      <c r="H8" s="67"/>
      <c r="I8" s="67"/>
      <c r="J8" s="68"/>
    </row>
    <row r="9" spans="1:10" ht="66">
      <c r="A9" s="21">
        <v>5</v>
      </c>
      <c r="B9" s="5" t="s">
        <v>16</v>
      </c>
      <c r="C9" s="5" t="s">
        <v>17</v>
      </c>
      <c r="E9" s="66" t="s">
        <v>18</v>
      </c>
      <c r="F9" s="67"/>
      <c r="G9" s="67"/>
      <c r="H9" s="67"/>
      <c r="I9" s="67"/>
      <c r="J9" s="68"/>
    </row>
    <row r="10" spans="1:10" ht="79.2">
      <c r="A10" s="21">
        <v>6</v>
      </c>
      <c r="B10" s="5" t="s">
        <v>19</v>
      </c>
      <c r="C10" s="5" t="s">
        <v>20</v>
      </c>
      <c r="E10" s="66" t="s">
        <v>21</v>
      </c>
      <c r="F10" s="67"/>
      <c r="G10" s="67"/>
      <c r="H10" s="67"/>
      <c r="I10" s="67"/>
      <c r="J10" s="68"/>
    </row>
    <row r="11" spans="1:10" ht="92.4">
      <c r="A11" s="21">
        <v>7</v>
      </c>
      <c r="B11" s="5" t="s">
        <v>22</v>
      </c>
      <c r="C11" s="5" t="s">
        <v>23</v>
      </c>
      <c r="E11" s="75" t="s">
        <v>24</v>
      </c>
      <c r="F11" s="76"/>
      <c r="G11" s="76"/>
      <c r="H11" s="76"/>
      <c r="I11" s="76"/>
      <c r="J11" s="77"/>
    </row>
    <row r="12" spans="1:10" ht="66">
      <c r="A12" s="21">
        <v>8</v>
      </c>
      <c r="B12" s="5" t="s">
        <v>25</v>
      </c>
      <c r="C12" s="5" t="s">
        <v>26</v>
      </c>
      <c r="E12" t="s">
        <v>27</v>
      </c>
    </row>
    <row r="13" spans="1:10" ht="66">
      <c r="A13" s="21">
        <v>9</v>
      </c>
      <c r="B13" s="5" t="s">
        <v>28</v>
      </c>
      <c r="C13" s="5" t="s">
        <v>29</v>
      </c>
      <c r="E13" s="60" t="s">
        <v>30</v>
      </c>
      <c r="F13" s="61"/>
      <c r="G13" s="61"/>
      <c r="H13" s="61"/>
      <c r="I13" s="61"/>
      <c r="J13" s="62"/>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69" t="s">
        <v>42</v>
      </c>
      <c r="B19" s="70"/>
      <c r="C19" s="70"/>
      <c r="D19" s="70"/>
      <c r="E19" s="70"/>
      <c r="F19" s="70"/>
      <c r="G19" s="70"/>
      <c r="H19" s="70"/>
      <c r="I19" s="70"/>
      <c r="J19" s="71"/>
    </row>
    <row r="20" spans="1:10">
      <c r="A20" s="72"/>
      <c r="B20" s="73"/>
      <c r="C20" s="73"/>
      <c r="D20" s="73"/>
      <c r="E20" s="73"/>
      <c r="F20" s="73"/>
      <c r="G20" s="73"/>
      <c r="H20" s="73"/>
      <c r="I20" s="73"/>
      <c r="J20" s="74"/>
    </row>
  </sheetData>
  <mergeCells count="12">
    <mergeCell ref="E13:J13"/>
    <mergeCell ref="A19:J20"/>
    <mergeCell ref="E7:J7"/>
    <mergeCell ref="E8:J8"/>
    <mergeCell ref="E9:J9"/>
    <mergeCell ref="E10:J10"/>
    <mergeCell ref="E11:J11"/>
    <mergeCell ref="A1:J1"/>
    <mergeCell ref="A2:J2"/>
    <mergeCell ref="A4:J4"/>
    <mergeCell ref="E5:J5"/>
    <mergeCell ref="E6:J6"/>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8" t="s">
        <v>43</v>
      </c>
      <c r="B1" s="58"/>
      <c r="C1" s="58"/>
      <c r="D1" s="58"/>
      <c r="E1" s="58"/>
      <c r="F1" s="58"/>
      <c r="G1" s="58"/>
      <c r="H1" s="58"/>
      <c r="I1" s="58"/>
      <c r="J1" s="58"/>
      <c r="K1" s="58"/>
      <c r="L1" s="58"/>
      <c r="M1" s="58"/>
      <c r="N1" s="58"/>
      <c r="O1" s="58"/>
      <c r="P1" s="58"/>
    </row>
    <row r="2" spans="1:16" ht="31.95" customHeight="1">
      <c r="A2" s="59" t="s">
        <v>44</v>
      </c>
      <c r="B2" s="59"/>
      <c r="C2" s="59"/>
      <c r="D2" s="59"/>
      <c r="E2" s="59"/>
      <c r="F2" s="59"/>
      <c r="G2" s="59"/>
      <c r="H2" s="59"/>
      <c r="I2" s="59"/>
      <c r="J2" s="59"/>
      <c r="K2" s="59"/>
      <c r="L2" s="59"/>
      <c r="M2" s="59"/>
      <c r="N2" s="59"/>
      <c r="O2" s="59"/>
      <c r="P2" s="59"/>
    </row>
    <row r="4" spans="1:16">
      <c r="A4" s="78" t="s">
        <v>45</v>
      </c>
      <c r="B4" s="78"/>
      <c r="D4" s="78" t="s">
        <v>46</v>
      </c>
      <c r="E4" s="78"/>
      <c r="G4" s="78" t="s">
        <v>47</v>
      </c>
      <c r="H4" s="78"/>
      <c r="J4" s="78" t="s">
        <v>48</v>
      </c>
      <c r="K4" s="78"/>
    </row>
    <row r="5" spans="1:16">
      <c r="A5" s="79">
        <f>COUNTA('02 Master Plan'!$A$6:$A$120)</f>
        <v>80</v>
      </c>
      <c r="B5" s="80"/>
      <c r="D5" s="79">
        <f>COUNTIF('02 Master Plan'!$S$6:$S$120,"Done")</f>
        <v>21</v>
      </c>
      <c r="E5" s="80"/>
      <c r="G5" s="83">
        <f>IF(A5=0,0,D5/A5)</f>
        <v>0.26250000000000001</v>
      </c>
      <c r="H5" s="84"/>
      <c r="J5" s="79">
        <f>COUNTIF('02 Master Plan'!$S$6:$S$120,"Blocked")</f>
        <v>0</v>
      </c>
      <c r="K5" s="80"/>
    </row>
    <row r="6" spans="1:16">
      <c r="A6" s="81"/>
      <c r="B6" s="82"/>
      <c r="D6" s="81"/>
      <c r="E6" s="82"/>
      <c r="G6" s="85"/>
      <c r="H6" s="86"/>
      <c r="J6" s="81"/>
      <c r="K6" s="82"/>
    </row>
    <row r="7" spans="1:16">
      <c r="A7" s="78" t="s">
        <v>49</v>
      </c>
      <c r="B7" s="78"/>
      <c r="D7" s="78" t="s">
        <v>50</v>
      </c>
      <c r="E7" s="78"/>
      <c r="G7" s="78" t="s">
        <v>51</v>
      </c>
      <c r="H7" s="78"/>
      <c r="J7" s="78" t="s">
        <v>52</v>
      </c>
      <c r="K7" s="78"/>
    </row>
    <row r="8" spans="1:16">
      <c r="A8" s="79">
        <f>COUNTIFS('13 Owner TODOs'!$F$6:$F$80,"&lt;&gt;Done",'13 Owner TODOs'!$A$6:$A$80,"&lt;&gt;")</f>
        <v>15</v>
      </c>
      <c r="B8" s="80"/>
      <c r="D8" s="79">
        <f>COUNTIF('11 Test Evidence'!$H$6:$H$80,"Pass")</f>
        <v>6</v>
      </c>
      <c r="E8" s="80"/>
      <c r="G8" s="79">
        <f>COUNTIF('12 Decision Log'!$C$6:$C$60,"Baseline Approved")+COUNTIF('12 Decision Log'!$C$6:$C$60,"Approved")</f>
        <v>18</v>
      </c>
      <c r="H8" s="80"/>
      <c r="J8" s="79">
        <f>COUNTIFS('11 Test Evidence'!$C$6:$C$80,"Teardown",'11 Test Evidence'!$H$6:$H$80,"Pass")</f>
        <v>1</v>
      </c>
      <c r="K8" s="80"/>
    </row>
    <row r="9" spans="1:16">
      <c r="A9" s="81"/>
      <c r="B9" s="82"/>
      <c r="D9" s="81"/>
      <c r="E9" s="82"/>
      <c r="G9" s="81"/>
      <c r="H9" s="82"/>
      <c r="J9" s="81"/>
      <c r="K9" s="82"/>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8</v>
      </c>
      <c r="D14" s="13">
        <f t="shared" si="0"/>
        <v>0.61538461538461542</v>
      </c>
      <c r="E14" s="11">
        <f>COUNTIFS('02 Master Plan'!$B$6:$B$120,A14,'02 Master Plan'!$S$6:$S$120,"Blocked")</f>
        <v>0</v>
      </c>
      <c r="G14" t="str">
        <f t="shared" si="1"/>
        <v>Week 2</v>
      </c>
      <c r="H14" s="14">
        <f t="shared" si="2"/>
        <v>0.61538461538461542</v>
      </c>
    </row>
    <row r="15" spans="1:16">
      <c r="A15" s="11" t="s">
        <v>57</v>
      </c>
      <c r="B15" s="11">
        <f>COUNTIF('02 Master Plan'!$B$6:$B$120,A15)</f>
        <v>13</v>
      </c>
      <c r="C15" s="11">
        <f>COUNTIFS('02 Master Plan'!$B$6:$B$120,A15,'02 Master Plan'!$S$6:$S$120,"Done")</f>
        <v>0</v>
      </c>
      <c r="D15" s="13">
        <f t="shared" si="0"/>
        <v>0</v>
      </c>
      <c r="E15" s="11">
        <f>COUNTIFS('02 Master Plan'!$B$6:$B$120,A15,'02 Master Plan'!$S$6:$S$120,"Blocked")</f>
        <v>0</v>
      </c>
      <c r="G15" t="str">
        <f t="shared" si="1"/>
        <v>Week 3</v>
      </c>
      <c r="H15" s="14">
        <f t="shared" si="2"/>
        <v>0</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60" t="s">
        <v>61</v>
      </c>
      <c r="B21" s="61"/>
      <c r="C21" s="61"/>
      <c r="D21" s="61"/>
      <c r="E21" s="61"/>
      <c r="F21" s="61"/>
      <c r="G21" s="61"/>
      <c r="H21" s="62"/>
    </row>
    <row r="22" spans="1:8" ht="30" customHeight="1">
      <c r="A22" s="93" t="s">
        <v>62</v>
      </c>
      <c r="B22" s="94"/>
      <c r="C22" s="94"/>
      <c r="D22" s="94"/>
      <c r="E22" s="94"/>
      <c r="F22" s="94"/>
      <c r="G22" s="94"/>
      <c r="H22" s="95"/>
    </row>
    <row r="23" spans="1:8" ht="30" customHeight="1">
      <c r="A23" s="87" t="s">
        <v>63</v>
      </c>
      <c r="B23" s="88"/>
      <c r="C23" s="88"/>
      <c r="D23" s="88"/>
      <c r="E23" s="88"/>
      <c r="F23" s="88"/>
      <c r="G23" s="88"/>
      <c r="H23" s="89"/>
    </row>
    <row r="24" spans="1:8" ht="30" customHeight="1">
      <c r="A24" s="87" t="s">
        <v>64</v>
      </c>
      <c r="B24" s="88"/>
      <c r="C24" s="88"/>
      <c r="D24" s="88"/>
      <c r="E24" s="88"/>
      <c r="F24" s="88"/>
      <c r="G24" s="88"/>
      <c r="H24" s="89"/>
    </row>
    <row r="25" spans="1:8" ht="30" customHeight="1">
      <c r="A25" s="87" t="s">
        <v>65</v>
      </c>
      <c r="B25" s="88"/>
      <c r="C25" s="88"/>
      <c r="D25" s="88"/>
      <c r="E25" s="88"/>
      <c r="F25" s="88"/>
      <c r="G25" s="88"/>
      <c r="H25" s="89"/>
    </row>
    <row r="26" spans="1:8" ht="30" customHeight="1">
      <c r="A26" s="90" t="s">
        <v>66</v>
      </c>
      <c r="B26" s="91"/>
      <c r="C26" s="91"/>
      <c r="D26" s="91"/>
      <c r="E26" s="91"/>
      <c r="F26" s="91"/>
      <c r="G26" s="91"/>
      <c r="H26" s="92"/>
    </row>
  </sheetData>
  <mergeCells count="24">
    <mergeCell ref="A24:H24"/>
    <mergeCell ref="A25:H25"/>
    <mergeCell ref="A26:H26"/>
    <mergeCell ref="J7:K7"/>
    <mergeCell ref="J8:K9"/>
    <mergeCell ref="A21:H21"/>
    <mergeCell ref="A22:H22"/>
    <mergeCell ref="A23:H23"/>
    <mergeCell ref="A7:B7"/>
    <mergeCell ref="A8:B9"/>
    <mergeCell ref="D7:E7"/>
    <mergeCell ref="D8:E9"/>
    <mergeCell ref="G7:H7"/>
    <mergeCell ref="G8:H9"/>
    <mergeCell ref="A1:P1"/>
    <mergeCell ref="A2:P2"/>
    <mergeCell ref="A4:B4"/>
    <mergeCell ref="A5:B6"/>
    <mergeCell ref="D4:E4"/>
    <mergeCell ref="D5:E6"/>
    <mergeCell ref="G4:H4"/>
    <mergeCell ref="G5:H6"/>
    <mergeCell ref="J4:K4"/>
    <mergeCell ref="J5:K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F2" workbookViewId="0">
      <selection activeCell="S24" sqref="S24"/>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customWidth="1"/>
  </cols>
  <sheetData>
    <row r="1" spans="1:21" ht="31.95" customHeight="1">
      <c r="A1" s="58" t="s">
        <v>67</v>
      </c>
      <c r="B1" s="58"/>
      <c r="C1" s="58"/>
      <c r="D1" s="58"/>
      <c r="E1" s="58"/>
      <c r="F1" s="58"/>
      <c r="G1" s="58"/>
      <c r="H1" s="58"/>
      <c r="I1" s="58"/>
      <c r="J1" s="58"/>
      <c r="K1" s="58"/>
      <c r="L1" s="58"/>
      <c r="M1" s="58"/>
      <c r="N1" s="58"/>
      <c r="O1" s="58"/>
      <c r="P1" s="58"/>
      <c r="Q1" s="58"/>
      <c r="R1" s="58"/>
      <c r="S1" s="58"/>
      <c r="T1" s="58"/>
    </row>
    <row r="2" spans="1:21" ht="31.95" customHeight="1">
      <c r="A2" s="59" t="s">
        <v>68</v>
      </c>
      <c r="B2" s="59"/>
      <c r="C2" s="59"/>
      <c r="D2" s="59"/>
      <c r="E2" s="59"/>
      <c r="F2" s="59"/>
      <c r="G2" s="59"/>
      <c r="H2" s="59"/>
      <c r="I2" s="59"/>
      <c r="J2" s="59"/>
      <c r="K2" s="59"/>
      <c r="L2" s="59"/>
      <c r="M2" s="59"/>
      <c r="N2" s="59"/>
      <c r="O2" s="59"/>
      <c r="P2" s="59"/>
      <c r="Q2" s="59"/>
      <c r="R2" s="59"/>
      <c r="S2" s="59"/>
      <c r="T2" s="59"/>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9"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9"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9"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9"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9"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2320</v>
      </c>
      <c r="N10" s="11" t="s">
        <v>150</v>
      </c>
      <c r="O10" s="11" t="s">
        <v>151</v>
      </c>
      <c r="P10" s="11" t="s">
        <v>152</v>
      </c>
      <c r="Q10" s="11" t="s">
        <v>119</v>
      </c>
      <c r="R10" s="11" t="s">
        <v>153</v>
      </c>
      <c r="S10" s="11" t="s">
        <v>46</v>
      </c>
      <c r="T10" s="11" t="s">
        <v>131</v>
      </c>
      <c r="U10" s="29"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9"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2321</v>
      </c>
      <c r="N12" s="11" t="s">
        <v>173</v>
      </c>
      <c r="O12" s="11" t="s">
        <v>174</v>
      </c>
      <c r="P12" s="11" t="s">
        <v>175</v>
      </c>
      <c r="Q12" s="11" t="s">
        <v>119</v>
      </c>
      <c r="R12" s="11" t="s">
        <v>176</v>
      </c>
      <c r="S12" s="11" t="s">
        <v>46</v>
      </c>
      <c r="T12" s="11" t="s">
        <v>131</v>
      </c>
      <c r="U12" s="29"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9"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2322</v>
      </c>
      <c r="N14" s="11" t="s">
        <v>196</v>
      </c>
      <c r="O14" s="11" t="s">
        <v>197</v>
      </c>
      <c r="P14" s="11" t="s">
        <v>198</v>
      </c>
      <c r="Q14" s="11" t="s">
        <v>119</v>
      </c>
      <c r="R14" s="11" t="s">
        <v>199</v>
      </c>
      <c r="S14" s="11" t="s">
        <v>46</v>
      </c>
      <c r="T14" s="11" t="s">
        <v>200</v>
      </c>
      <c r="U14" s="29"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2323</v>
      </c>
      <c r="N15" s="11" t="s">
        <v>208</v>
      </c>
      <c r="O15" s="11" t="s">
        <v>209</v>
      </c>
      <c r="P15" s="11" t="s">
        <v>210</v>
      </c>
      <c r="Q15" s="11" t="s">
        <v>189</v>
      </c>
      <c r="R15" s="11" t="s">
        <v>211</v>
      </c>
      <c r="S15" s="11" t="s">
        <v>46</v>
      </c>
      <c r="T15" s="11" t="s">
        <v>200</v>
      </c>
      <c r="U15" s="29"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9" t="s">
        <v>224</v>
      </c>
    </row>
    <row r="17" spans="1:21" ht="193.8" hidden="1">
      <c r="A17" s="11" t="s">
        <v>225</v>
      </c>
      <c r="B17" s="11" t="s">
        <v>56</v>
      </c>
      <c r="C17" s="11">
        <v>12</v>
      </c>
      <c r="D17" s="11" t="s">
        <v>89</v>
      </c>
      <c r="E17" s="11" t="s">
        <v>226</v>
      </c>
      <c r="F17" s="11" t="s">
        <v>227</v>
      </c>
      <c r="G17" s="11" t="s">
        <v>228</v>
      </c>
      <c r="H17" s="11" t="s">
        <v>93</v>
      </c>
      <c r="I17" s="16">
        <v>1</v>
      </c>
      <c r="J17" s="11" t="s">
        <v>2324</v>
      </c>
      <c r="K17" s="11" t="s">
        <v>229</v>
      </c>
      <c r="L17" s="11" t="s">
        <v>230</v>
      </c>
      <c r="M17" s="11" t="s">
        <v>2325</v>
      </c>
      <c r="N17" s="11" t="s">
        <v>231</v>
      </c>
      <c r="O17" s="11" t="s">
        <v>232</v>
      </c>
      <c r="P17" s="11" t="s">
        <v>115</v>
      </c>
      <c r="Q17" s="11" t="s">
        <v>233</v>
      </c>
      <c r="R17" s="11" t="s">
        <v>234</v>
      </c>
      <c r="S17" s="11" t="s">
        <v>46</v>
      </c>
      <c r="T17" s="11" t="s">
        <v>235</v>
      </c>
      <c r="U17" s="29"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2314</v>
      </c>
      <c r="N18" s="11" t="s">
        <v>243</v>
      </c>
      <c r="O18" s="11" t="s">
        <v>244</v>
      </c>
      <c r="P18" s="11" t="s">
        <v>245</v>
      </c>
      <c r="Q18" s="11" t="s">
        <v>225</v>
      </c>
      <c r="R18" s="11" t="s">
        <v>246</v>
      </c>
      <c r="S18" s="11" t="s">
        <v>46</v>
      </c>
      <c r="T18" s="11" t="s">
        <v>247</v>
      </c>
      <c r="U18" s="29" t="s">
        <v>248</v>
      </c>
    </row>
    <row r="19" spans="1:21" ht="110.4">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9" t="s">
        <v>260</v>
      </c>
    </row>
    <row r="20" spans="1:21" ht="110.4">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9" t="s">
        <v>271</v>
      </c>
    </row>
    <row r="21" spans="1:21" ht="330.6">
      <c r="A21" s="11" t="s">
        <v>272</v>
      </c>
      <c r="B21" s="11" t="s">
        <v>37</v>
      </c>
      <c r="C21" s="11">
        <v>3</v>
      </c>
      <c r="D21" s="11" t="s">
        <v>89</v>
      </c>
      <c r="E21" s="11" t="s">
        <v>273</v>
      </c>
      <c r="F21" s="11" t="s">
        <v>274</v>
      </c>
      <c r="G21" s="11" t="s">
        <v>275</v>
      </c>
      <c r="H21" s="11" t="s">
        <v>123</v>
      </c>
      <c r="I21" s="16">
        <v>1</v>
      </c>
      <c r="J21" s="11" t="s">
        <v>253</v>
      </c>
      <c r="K21" s="11" t="s">
        <v>101</v>
      </c>
      <c r="L21" s="11" t="s">
        <v>276</v>
      </c>
      <c r="M21" s="11" t="s">
        <v>2326</v>
      </c>
      <c r="N21" s="11" t="s">
        <v>277</v>
      </c>
      <c r="O21" s="11" t="s">
        <v>278</v>
      </c>
      <c r="P21" s="11" t="s">
        <v>279</v>
      </c>
      <c r="Q21" s="11" t="s">
        <v>225</v>
      </c>
      <c r="R21" s="11" t="s">
        <v>2327</v>
      </c>
      <c r="S21" s="11" t="s">
        <v>46</v>
      </c>
      <c r="T21" s="11"/>
      <c r="U21" s="29" t="s">
        <v>280</v>
      </c>
    </row>
    <row r="22" spans="1:21" ht="330.6">
      <c r="A22" s="11" t="s">
        <v>281</v>
      </c>
      <c r="B22" s="11" t="s">
        <v>37</v>
      </c>
      <c r="C22" s="11">
        <v>4</v>
      </c>
      <c r="D22" s="11" t="s">
        <v>89</v>
      </c>
      <c r="E22" s="11" t="s">
        <v>282</v>
      </c>
      <c r="F22" s="11" t="s">
        <v>283</v>
      </c>
      <c r="G22" s="11" t="s">
        <v>284</v>
      </c>
      <c r="H22" s="11" t="s">
        <v>123</v>
      </c>
      <c r="I22" s="16">
        <v>1.5</v>
      </c>
      <c r="J22" s="11" t="s">
        <v>253</v>
      </c>
      <c r="K22" s="11" t="s">
        <v>285</v>
      </c>
      <c r="L22" s="11" t="s">
        <v>286</v>
      </c>
      <c r="M22" s="11" t="s">
        <v>2326</v>
      </c>
      <c r="N22" s="11" t="s">
        <v>287</v>
      </c>
      <c r="O22" s="11" t="s">
        <v>288</v>
      </c>
      <c r="P22" s="11" t="s">
        <v>279</v>
      </c>
      <c r="Q22" s="11" t="s">
        <v>289</v>
      </c>
      <c r="R22" s="11" t="s">
        <v>290</v>
      </c>
      <c r="S22" s="11" t="s">
        <v>46</v>
      </c>
      <c r="T22" s="11"/>
      <c r="U22" s="29" t="s">
        <v>291</v>
      </c>
    </row>
    <row r="23" spans="1:21" ht="110.4">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9" t="s">
        <v>304</v>
      </c>
    </row>
    <row r="24" spans="1:21" ht="110.4">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9" t="s">
        <v>317</v>
      </c>
    </row>
    <row r="25" spans="1:21" ht="96.6">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9" t="s">
        <v>329</v>
      </c>
    </row>
    <row r="26" spans="1:21" ht="110.4">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9" t="s">
        <v>340</v>
      </c>
    </row>
    <row r="27" spans="1:21" ht="205.2">
      <c r="A27" s="11" t="s">
        <v>341</v>
      </c>
      <c r="B27" s="11" t="s">
        <v>37</v>
      </c>
      <c r="C27" s="11">
        <v>9</v>
      </c>
      <c r="D27" s="11" t="s">
        <v>89</v>
      </c>
      <c r="E27" s="11" t="s">
        <v>342</v>
      </c>
      <c r="F27" s="11" t="s">
        <v>343</v>
      </c>
      <c r="G27" s="11" t="s">
        <v>344</v>
      </c>
      <c r="H27" s="11" t="s">
        <v>109</v>
      </c>
      <c r="I27" s="16">
        <v>1</v>
      </c>
      <c r="J27" s="11" t="s">
        <v>345</v>
      </c>
      <c r="K27" s="11" t="s">
        <v>346</v>
      </c>
      <c r="L27" s="11" t="s">
        <v>347</v>
      </c>
      <c r="M27" s="11" t="s">
        <v>2328</v>
      </c>
      <c r="N27" s="11" t="s">
        <v>348</v>
      </c>
      <c r="O27" s="11" t="s">
        <v>349</v>
      </c>
      <c r="P27" s="11" t="s">
        <v>350</v>
      </c>
      <c r="Q27" s="11" t="s">
        <v>351</v>
      </c>
      <c r="R27" s="11" t="s">
        <v>352</v>
      </c>
      <c r="S27" s="11" t="s">
        <v>303</v>
      </c>
      <c r="T27" s="11"/>
      <c r="U27" s="29" t="s">
        <v>353</v>
      </c>
    </row>
    <row r="28" spans="1:21" ht="205.2">
      <c r="A28" s="11" t="s">
        <v>354</v>
      </c>
      <c r="B28" s="11" t="s">
        <v>37</v>
      </c>
      <c r="C28" s="11">
        <v>10</v>
      </c>
      <c r="D28" s="11" t="s">
        <v>89</v>
      </c>
      <c r="E28" s="11" t="s">
        <v>203</v>
      </c>
      <c r="F28" s="11" t="s">
        <v>355</v>
      </c>
      <c r="G28" s="11" t="s">
        <v>356</v>
      </c>
      <c r="H28" s="11" t="s">
        <v>109</v>
      </c>
      <c r="I28" s="16">
        <v>1</v>
      </c>
      <c r="J28" s="11" t="s">
        <v>345</v>
      </c>
      <c r="K28" s="11" t="s">
        <v>357</v>
      </c>
      <c r="L28" s="11" t="s">
        <v>358</v>
      </c>
      <c r="M28" s="11" t="s">
        <v>2329</v>
      </c>
      <c r="N28" s="11" t="s">
        <v>359</v>
      </c>
      <c r="O28" s="11" t="s">
        <v>360</v>
      </c>
      <c r="P28" s="11" t="s">
        <v>361</v>
      </c>
      <c r="Q28" s="11" t="s">
        <v>341</v>
      </c>
      <c r="R28" s="11" t="s">
        <v>362</v>
      </c>
      <c r="S28" s="11" t="s">
        <v>303</v>
      </c>
      <c r="T28" s="11"/>
      <c r="U28" s="29" t="s">
        <v>363</v>
      </c>
    </row>
    <row r="29" spans="1:21" ht="110.4">
      <c r="A29" s="11" t="s">
        <v>364</v>
      </c>
      <c r="B29" s="11" t="s">
        <v>37</v>
      </c>
      <c r="C29" s="11">
        <v>11</v>
      </c>
      <c r="D29" s="11" t="s">
        <v>365</v>
      </c>
      <c r="E29" s="11" t="s">
        <v>366</v>
      </c>
      <c r="F29" s="11" t="s">
        <v>367</v>
      </c>
      <c r="G29" s="11" t="s">
        <v>368</v>
      </c>
      <c r="H29" s="11" t="s">
        <v>93</v>
      </c>
      <c r="I29" s="16">
        <v>0.75</v>
      </c>
      <c r="J29" s="11" t="s">
        <v>369</v>
      </c>
      <c r="K29" s="11" t="s">
        <v>101</v>
      </c>
      <c r="L29" s="11" t="s">
        <v>370</v>
      </c>
      <c r="M29" s="11" t="s">
        <v>2330</v>
      </c>
      <c r="N29" s="11" t="s">
        <v>371</v>
      </c>
      <c r="O29" s="11" t="s">
        <v>372</v>
      </c>
      <c r="P29" s="11" t="s">
        <v>373</v>
      </c>
      <c r="Q29" s="11" t="s">
        <v>341</v>
      </c>
      <c r="R29" s="11" t="s">
        <v>374</v>
      </c>
      <c r="S29" s="11" t="s">
        <v>303</v>
      </c>
      <c r="T29" s="11"/>
      <c r="U29" s="29" t="s">
        <v>375</v>
      </c>
    </row>
    <row r="30" spans="1:21" ht="193.8">
      <c r="A30" s="11" t="s">
        <v>376</v>
      </c>
      <c r="B30" s="11" t="s">
        <v>37</v>
      </c>
      <c r="C30" s="11">
        <v>12</v>
      </c>
      <c r="D30" s="11" t="s">
        <v>89</v>
      </c>
      <c r="E30" s="11" t="s">
        <v>226</v>
      </c>
      <c r="F30" s="11" t="s">
        <v>377</v>
      </c>
      <c r="G30" s="11" t="s">
        <v>378</v>
      </c>
      <c r="H30" s="11" t="s">
        <v>93</v>
      </c>
      <c r="I30" s="16">
        <v>0.75</v>
      </c>
      <c r="J30" s="11" t="s">
        <v>2331</v>
      </c>
      <c r="K30" s="11" t="s">
        <v>379</v>
      </c>
      <c r="L30" s="11" t="s">
        <v>380</v>
      </c>
      <c r="M30" s="11" t="s">
        <v>2332</v>
      </c>
      <c r="N30" s="11" t="s">
        <v>381</v>
      </c>
      <c r="O30" s="11" t="s">
        <v>382</v>
      </c>
      <c r="P30" s="11" t="s">
        <v>115</v>
      </c>
      <c r="Q30" s="11" t="s">
        <v>383</v>
      </c>
      <c r="R30" s="11" t="s">
        <v>384</v>
      </c>
      <c r="S30" s="11" t="s">
        <v>303</v>
      </c>
      <c r="T30" s="11"/>
      <c r="U30" s="29" t="s">
        <v>385</v>
      </c>
    </row>
    <row r="31" spans="1:21" ht="69">
      <c r="A31" s="11" t="s">
        <v>386</v>
      </c>
      <c r="B31" s="11" t="s">
        <v>37</v>
      </c>
      <c r="C31" s="11">
        <v>13</v>
      </c>
      <c r="D31" s="11" t="s">
        <v>89</v>
      </c>
      <c r="E31" s="11" t="s">
        <v>238</v>
      </c>
      <c r="F31" s="11" t="s">
        <v>387</v>
      </c>
      <c r="G31" s="11" t="s">
        <v>388</v>
      </c>
      <c r="H31" s="11" t="s">
        <v>109</v>
      </c>
      <c r="I31" s="16">
        <v>1</v>
      </c>
      <c r="J31" s="11" t="s">
        <v>241</v>
      </c>
      <c r="K31" s="11" t="s">
        <v>101</v>
      </c>
      <c r="L31" s="11" t="s">
        <v>389</v>
      </c>
      <c r="M31" s="11" t="s">
        <v>2315</v>
      </c>
      <c r="N31" s="11" t="s">
        <v>243</v>
      </c>
      <c r="O31" s="11" t="s">
        <v>390</v>
      </c>
      <c r="P31" s="11" t="s">
        <v>373</v>
      </c>
      <c r="Q31" s="11" t="s">
        <v>376</v>
      </c>
      <c r="R31" s="11" t="s">
        <v>246</v>
      </c>
      <c r="S31" s="11" t="s">
        <v>303</v>
      </c>
      <c r="T31" s="11" t="s">
        <v>391</v>
      </c>
      <c r="U31" s="29" t="s">
        <v>392</v>
      </c>
    </row>
    <row r="32" spans="1:21" ht="110.4" hidden="1">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303</v>
      </c>
      <c r="T32" s="11"/>
      <c r="U32" s="29" t="s">
        <v>405</v>
      </c>
    </row>
    <row r="33" spans="1:21" ht="110.4" hidden="1">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303</v>
      </c>
      <c r="T33" s="11"/>
      <c r="U33" s="29" t="s">
        <v>417</v>
      </c>
    </row>
    <row r="34" spans="1:21" ht="96.6" hidden="1">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303</v>
      </c>
      <c r="T34" s="11"/>
      <c r="U34" s="29" t="s">
        <v>428</v>
      </c>
    </row>
    <row r="35" spans="1:21" ht="110.4" hidden="1">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303</v>
      </c>
      <c r="T35" s="11"/>
      <c r="U35" s="29" t="s">
        <v>440</v>
      </c>
    </row>
    <row r="36" spans="1:21" ht="110.4" hidden="1">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303</v>
      </c>
      <c r="T36" s="11"/>
      <c r="U36" s="29" t="s">
        <v>452</v>
      </c>
    </row>
    <row r="37" spans="1:21" ht="110.4" hidden="1">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303</v>
      </c>
      <c r="T37" s="11"/>
      <c r="U37" s="29" t="s">
        <v>464</v>
      </c>
    </row>
    <row r="38" spans="1:21" ht="110.4" hidden="1">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303</v>
      </c>
      <c r="T38" s="11"/>
      <c r="U38" s="29" t="s">
        <v>475</v>
      </c>
    </row>
    <row r="39" spans="1:21" ht="110.4" hidden="1">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303</v>
      </c>
      <c r="T39" s="11"/>
      <c r="U39" s="29" t="s">
        <v>485</v>
      </c>
    </row>
    <row r="40" spans="1:21" ht="110.4" hidden="1">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303</v>
      </c>
      <c r="T40" s="11"/>
      <c r="U40" s="29" t="s">
        <v>498</v>
      </c>
    </row>
    <row r="41" spans="1:21" ht="110.4" hidden="1">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303</v>
      </c>
      <c r="T41" s="11"/>
      <c r="U41" s="29" t="s">
        <v>509</v>
      </c>
    </row>
    <row r="42" spans="1:21" ht="193.8" hidden="1">
      <c r="A42" s="11" t="s">
        <v>510</v>
      </c>
      <c r="B42" s="11" t="s">
        <v>57</v>
      </c>
      <c r="C42" s="11">
        <v>11</v>
      </c>
      <c r="D42" s="11" t="s">
        <v>89</v>
      </c>
      <c r="E42" s="11" t="s">
        <v>511</v>
      </c>
      <c r="F42" s="11" t="s">
        <v>512</v>
      </c>
      <c r="G42" s="11" t="s">
        <v>513</v>
      </c>
      <c r="H42" s="11" t="s">
        <v>109</v>
      </c>
      <c r="I42" s="16">
        <v>1</v>
      </c>
      <c r="J42" s="11" t="s">
        <v>514</v>
      </c>
      <c r="K42" s="11" t="s">
        <v>101</v>
      </c>
      <c r="L42" s="11" t="s">
        <v>515</v>
      </c>
      <c r="M42" s="11" t="s">
        <v>2333</v>
      </c>
      <c r="N42" s="11" t="s">
        <v>516</v>
      </c>
      <c r="O42" s="11" t="s">
        <v>517</v>
      </c>
      <c r="P42" s="11" t="s">
        <v>518</v>
      </c>
      <c r="Q42" s="11" t="s">
        <v>499</v>
      </c>
      <c r="R42" s="11" t="s">
        <v>519</v>
      </c>
      <c r="S42" s="11" t="s">
        <v>303</v>
      </c>
      <c r="T42" s="11"/>
      <c r="U42" s="29" t="s">
        <v>520</v>
      </c>
    </row>
    <row r="43" spans="1:21" ht="193.8" hidden="1">
      <c r="A43" s="11" t="s">
        <v>521</v>
      </c>
      <c r="B43" s="11" t="s">
        <v>57</v>
      </c>
      <c r="C43" s="11">
        <v>12</v>
      </c>
      <c r="D43" s="11" t="s">
        <v>89</v>
      </c>
      <c r="E43" s="11" t="s">
        <v>226</v>
      </c>
      <c r="F43" s="11" t="s">
        <v>522</v>
      </c>
      <c r="G43" s="11" t="s">
        <v>523</v>
      </c>
      <c r="H43" s="11" t="s">
        <v>93</v>
      </c>
      <c r="I43" s="16">
        <v>0.75</v>
      </c>
      <c r="J43" s="11" t="s">
        <v>2334</v>
      </c>
      <c r="K43" s="11" t="s">
        <v>524</v>
      </c>
      <c r="L43" s="11" t="s">
        <v>525</v>
      </c>
      <c r="M43" s="11" t="s">
        <v>2335</v>
      </c>
      <c r="N43" s="11" t="s">
        <v>526</v>
      </c>
      <c r="O43" s="11" t="s">
        <v>527</v>
      </c>
      <c r="P43" s="11" t="s">
        <v>115</v>
      </c>
      <c r="Q43" s="11" t="s">
        <v>528</v>
      </c>
      <c r="R43" s="11" t="s">
        <v>529</v>
      </c>
      <c r="S43" s="11" t="s">
        <v>303</v>
      </c>
      <c r="T43" s="11"/>
      <c r="U43" s="29" t="s">
        <v>530</v>
      </c>
    </row>
    <row r="44" spans="1:21" ht="69" hidden="1">
      <c r="A44" s="11" t="s">
        <v>531</v>
      </c>
      <c r="B44" s="11" t="s">
        <v>57</v>
      </c>
      <c r="C44" s="11">
        <v>13</v>
      </c>
      <c r="D44" s="11" t="s">
        <v>89</v>
      </c>
      <c r="E44" s="11" t="s">
        <v>238</v>
      </c>
      <c r="F44" s="11" t="s">
        <v>532</v>
      </c>
      <c r="G44" s="11" t="s">
        <v>533</v>
      </c>
      <c r="H44" s="11" t="s">
        <v>109</v>
      </c>
      <c r="I44" s="16">
        <v>1</v>
      </c>
      <c r="J44" s="11" t="s">
        <v>241</v>
      </c>
      <c r="K44" s="11" t="s">
        <v>101</v>
      </c>
      <c r="L44" s="11" t="s">
        <v>534</v>
      </c>
      <c r="M44" s="11" t="s">
        <v>2316</v>
      </c>
      <c r="N44" s="11" t="s">
        <v>243</v>
      </c>
      <c r="O44" s="11" t="s">
        <v>535</v>
      </c>
      <c r="P44" s="11" t="s">
        <v>536</v>
      </c>
      <c r="Q44" s="11" t="s">
        <v>521</v>
      </c>
      <c r="R44" s="11" t="s">
        <v>246</v>
      </c>
      <c r="S44" s="11" t="s">
        <v>303</v>
      </c>
      <c r="T44" s="11" t="s">
        <v>537</v>
      </c>
      <c r="U44" s="29"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9"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9"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9"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9"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9"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9"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9"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9"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9"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9"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2336</v>
      </c>
      <c r="N55" s="11" t="s">
        <v>657</v>
      </c>
      <c r="O55" s="11" t="s">
        <v>658</v>
      </c>
      <c r="P55" s="11" t="s">
        <v>518</v>
      </c>
      <c r="Q55" s="11" t="s">
        <v>659</v>
      </c>
      <c r="R55" s="11" t="s">
        <v>660</v>
      </c>
      <c r="S55" s="11" t="s">
        <v>303</v>
      </c>
      <c r="T55" s="11"/>
      <c r="U55" s="29" t="s">
        <v>661</v>
      </c>
    </row>
    <row r="56" spans="1:21" ht="193.8" hidden="1">
      <c r="A56" s="11" t="s">
        <v>662</v>
      </c>
      <c r="B56" s="11" t="s">
        <v>58</v>
      </c>
      <c r="C56" s="11">
        <v>12</v>
      </c>
      <c r="D56" s="11" t="s">
        <v>89</v>
      </c>
      <c r="E56" s="11" t="s">
        <v>226</v>
      </c>
      <c r="F56" s="11" t="s">
        <v>663</v>
      </c>
      <c r="G56" s="11" t="s">
        <v>664</v>
      </c>
      <c r="H56" s="11" t="s">
        <v>93</v>
      </c>
      <c r="I56" s="16">
        <v>0.75</v>
      </c>
      <c r="J56" s="11" t="s">
        <v>2337</v>
      </c>
      <c r="K56" s="11" t="s">
        <v>665</v>
      </c>
      <c r="L56" s="11" t="s">
        <v>666</v>
      </c>
      <c r="M56" s="11" t="s">
        <v>2338</v>
      </c>
      <c r="N56" s="11" t="s">
        <v>667</v>
      </c>
      <c r="O56" s="11" t="s">
        <v>668</v>
      </c>
      <c r="P56" s="11" t="s">
        <v>115</v>
      </c>
      <c r="Q56" s="11" t="s">
        <v>669</v>
      </c>
      <c r="R56" s="11" t="s">
        <v>670</v>
      </c>
      <c r="S56" s="11" t="s">
        <v>303</v>
      </c>
      <c r="T56" s="11"/>
      <c r="U56" s="29"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2317</v>
      </c>
      <c r="N57" s="11" t="s">
        <v>243</v>
      </c>
      <c r="O57" s="11" t="s">
        <v>676</v>
      </c>
      <c r="P57" s="11" t="s">
        <v>677</v>
      </c>
      <c r="Q57" s="11" t="s">
        <v>662</v>
      </c>
      <c r="R57" s="11" t="s">
        <v>246</v>
      </c>
      <c r="S57" s="11" t="s">
        <v>303</v>
      </c>
      <c r="T57" s="11" t="s">
        <v>678</v>
      </c>
      <c r="U57" s="29"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9"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2339</v>
      </c>
      <c r="N59" s="11" t="s">
        <v>698</v>
      </c>
      <c r="O59" s="11" t="s">
        <v>699</v>
      </c>
      <c r="P59" s="11" t="s">
        <v>198</v>
      </c>
      <c r="Q59" s="11" t="s">
        <v>680</v>
      </c>
      <c r="R59" s="11" t="s">
        <v>700</v>
      </c>
      <c r="S59" s="11" t="s">
        <v>303</v>
      </c>
      <c r="T59" s="11"/>
      <c r="U59" s="29"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2340</v>
      </c>
      <c r="N60" s="11" t="s">
        <v>708</v>
      </c>
      <c r="O60" s="11" t="s">
        <v>709</v>
      </c>
      <c r="P60" s="11" t="s">
        <v>710</v>
      </c>
      <c r="Q60" s="11" t="s">
        <v>711</v>
      </c>
      <c r="R60" s="11" t="s">
        <v>712</v>
      </c>
      <c r="S60" s="11" t="s">
        <v>303</v>
      </c>
      <c r="T60" s="11"/>
      <c r="U60" s="29"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2341</v>
      </c>
      <c r="N61" s="11" t="s">
        <v>720</v>
      </c>
      <c r="O61" s="11" t="s">
        <v>721</v>
      </c>
      <c r="P61" s="11" t="s">
        <v>722</v>
      </c>
      <c r="Q61" s="11" t="s">
        <v>680</v>
      </c>
      <c r="R61" s="11" t="s">
        <v>723</v>
      </c>
      <c r="S61" s="11" t="s">
        <v>303</v>
      </c>
      <c r="T61" s="11"/>
      <c r="U61" s="29"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9"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2342</v>
      </c>
      <c r="N63" s="11" t="s">
        <v>745</v>
      </c>
      <c r="O63" s="11" t="s">
        <v>746</v>
      </c>
      <c r="P63" s="11" t="s">
        <v>747</v>
      </c>
      <c r="Q63" s="11" t="s">
        <v>748</v>
      </c>
      <c r="R63" s="11" t="s">
        <v>749</v>
      </c>
      <c r="S63" s="11" t="s">
        <v>303</v>
      </c>
      <c r="T63" s="11"/>
      <c r="U63" s="29"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9"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2343</v>
      </c>
      <c r="N65" s="11" t="s">
        <v>769</v>
      </c>
      <c r="O65" s="11" t="s">
        <v>770</v>
      </c>
      <c r="P65" s="11" t="s">
        <v>164</v>
      </c>
      <c r="Q65" s="11" t="s">
        <v>751</v>
      </c>
      <c r="R65" s="11" t="s">
        <v>771</v>
      </c>
      <c r="S65" s="11" t="s">
        <v>303</v>
      </c>
      <c r="T65" s="11"/>
      <c r="U65" s="29"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9"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9"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9"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2344</v>
      </c>
      <c r="N69" s="11" t="s">
        <v>811</v>
      </c>
      <c r="O69" s="11" t="s">
        <v>812</v>
      </c>
      <c r="P69" s="11" t="s">
        <v>222</v>
      </c>
      <c r="Q69" s="11" t="s">
        <v>795</v>
      </c>
      <c r="R69" s="11" t="s">
        <v>813</v>
      </c>
      <c r="S69" s="11" t="s">
        <v>303</v>
      </c>
      <c r="T69" s="11"/>
      <c r="U69" s="29" t="s">
        <v>814</v>
      </c>
    </row>
    <row r="70" spans="1:21" ht="96.6" hidden="1">
      <c r="A70" s="11" t="s">
        <v>815</v>
      </c>
      <c r="B70" s="11" t="s">
        <v>59</v>
      </c>
      <c r="C70" s="11">
        <v>13</v>
      </c>
      <c r="D70" s="11" t="s">
        <v>89</v>
      </c>
      <c r="E70" s="11" t="s">
        <v>226</v>
      </c>
      <c r="F70" s="11" t="s">
        <v>816</v>
      </c>
      <c r="G70" s="11" t="s">
        <v>817</v>
      </c>
      <c r="H70" s="11" t="s">
        <v>93</v>
      </c>
      <c r="I70" s="16">
        <v>0.75</v>
      </c>
      <c r="J70" s="11" t="s">
        <v>2345</v>
      </c>
      <c r="K70" s="11" t="s">
        <v>818</v>
      </c>
      <c r="L70" s="11" t="s">
        <v>819</v>
      </c>
      <c r="M70" s="11" t="s">
        <v>820</v>
      </c>
      <c r="N70" s="11" t="s">
        <v>821</v>
      </c>
      <c r="O70" s="11" t="s">
        <v>822</v>
      </c>
      <c r="P70" s="11" t="s">
        <v>115</v>
      </c>
      <c r="Q70" s="11" t="s">
        <v>823</v>
      </c>
      <c r="R70" s="11" t="s">
        <v>824</v>
      </c>
      <c r="S70" s="11" t="s">
        <v>303</v>
      </c>
      <c r="T70" s="11"/>
      <c r="U70" s="29"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2318</v>
      </c>
      <c r="N71" s="11" t="s">
        <v>243</v>
      </c>
      <c r="O71" s="11" t="s">
        <v>830</v>
      </c>
      <c r="P71" s="11" t="s">
        <v>831</v>
      </c>
      <c r="Q71" s="11" t="s">
        <v>815</v>
      </c>
      <c r="R71" s="11" t="s">
        <v>246</v>
      </c>
      <c r="S71" s="11" t="s">
        <v>303</v>
      </c>
      <c r="T71" s="11" t="s">
        <v>832</v>
      </c>
      <c r="U71" s="29"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9"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9"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9"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9"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9"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9"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9"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9"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9"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9" t="s">
        <v>949</v>
      </c>
    </row>
    <row r="82" spans="1:21" ht="110.4" hidden="1">
      <c r="A82" t="s">
        <v>950</v>
      </c>
      <c r="B82" t="s">
        <v>60</v>
      </c>
      <c r="C82">
        <v>11</v>
      </c>
      <c r="D82" t="s">
        <v>89</v>
      </c>
      <c r="E82" t="s">
        <v>951</v>
      </c>
      <c r="F82" t="s">
        <v>952</v>
      </c>
      <c r="G82" t="s">
        <v>953</v>
      </c>
      <c r="H82" t="s">
        <v>93</v>
      </c>
      <c r="I82">
        <v>0.75</v>
      </c>
      <c r="J82" t="s">
        <v>942</v>
      </c>
      <c r="K82" t="s">
        <v>357</v>
      </c>
      <c r="L82" t="s">
        <v>954</v>
      </c>
      <c r="M82" t="s">
        <v>2346</v>
      </c>
      <c r="N82" t="s">
        <v>955</v>
      </c>
      <c r="O82" t="s">
        <v>956</v>
      </c>
      <c r="P82" t="s">
        <v>518</v>
      </c>
      <c r="Q82" t="s">
        <v>938</v>
      </c>
      <c r="R82" t="s">
        <v>957</v>
      </c>
      <c r="S82" t="s">
        <v>303</v>
      </c>
      <c r="U82" s="29"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9"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9" t="s">
        <v>980</v>
      </c>
    </row>
    <row r="85" spans="1:21" ht="69" hidden="1">
      <c r="A85" t="s">
        <v>981</v>
      </c>
      <c r="B85" t="s">
        <v>60</v>
      </c>
      <c r="C85">
        <v>14</v>
      </c>
      <c r="D85" t="s">
        <v>89</v>
      </c>
      <c r="E85" t="s">
        <v>238</v>
      </c>
      <c r="F85" t="s">
        <v>982</v>
      </c>
      <c r="G85" t="s">
        <v>983</v>
      </c>
      <c r="H85" t="s">
        <v>109</v>
      </c>
      <c r="I85">
        <v>1.5</v>
      </c>
      <c r="J85" t="s">
        <v>241</v>
      </c>
      <c r="K85" t="s">
        <v>101</v>
      </c>
      <c r="L85" t="s">
        <v>984</v>
      </c>
      <c r="M85" t="s">
        <v>2319</v>
      </c>
      <c r="N85" t="s">
        <v>985</v>
      </c>
      <c r="O85" t="s">
        <v>986</v>
      </c>
      <c r="P85" t="s">
        <v>987</v>
      </c>
      <c r="Q85" t="s">
        <v>970</v>
      </c>
      <c r="R85" t="s">
        <v>246</v>
      </c>
      <c r="S85" t="s">
        <v>303</v>
      </c>
      <c r="T85" t="s">
        <v>988</v>
      </c>
      <c r="U85" s="29"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990</v>
      </c>
      <c r="B1" s="58"/>
      <c r="C1" s="58"/>
      <c r="D1" s="58"/>
      <c r="E1" s="58"/>
      <c r="F1" s="58"/>
      <c r="G1" s="58"/>
      <c r="H1" s="58"/>
      <c r="I1" s="58"/>
      <c r="J1" s="58"/>
      <c r="K1" s="58"/>
      <c r="L1" s="58"/>
      <c r="M1" s="58"/>
      <c r="N1" s="58"/>
      <c r="O1" s="58"/>
    </row>
    <row r="2" spans="1:16" ht="31.95" customHeight="1">
      <c r="A2" s="59" t="s">
        <v>991</v>
      </c>
      <c r="B2" s="59"/>
      <c r="C2" s="59"/>
      <c r="D2" s="59"/>
      <c r="E2" s="59"/>
      <c r="F2" s="59"/>
      <c r="G2" s="59"/>
      <c r="H2" s="59"/>
      <c r="I2" s="59"/>
      <c r="J2" s="59"/>
      <c r="K2" s="59"/>
      <c r="L2" s="59"/>
      <c r="M2" s="59"/>
      <c r="N2" s="59"/>
      <c r="O2" s="59"/>
    </row>
    <row r="4" spans="1:16" ht="28.05" customHeight="1">
      <c r="A4" s="60" t="s">
        <v>55</v>
      </c>
      <c r="B4" s="62"/>
      <c r="D4" s="60" t="s">
        <v>48</v>
      </c>
      <c r="E4" s="62"/>
      <c r="G4" s="60" t="s">
        <v>992</v>
      </c>
      <c r="H4" s="61"/>
      <c r="I4" s="61"/>
      <c r="J4" s="61"/>
      <c r="K4" s="61"/>
      <c r="L4" s="61"/>
      <c r="M4" s="61"/>
      <c r="N4" s="61"/>
      <c r="O4" s="62"/>
    </row>
    <row r="5" spans="1:16">
      <c r="A5" s="98">
        <f>IF(COUNTA(O10:O40)=0,0,COUNTIF(O10:O40,"Done")/COUNTA(A10:A40))</f>
        <v>0.56521739130434778</v>
      </c>
      <c r="B5" s="99"/>
      <c r="D5" s="102">
        <f>COUNTIF(O10:O40,"Blocked")</f>
        <v>0</v>
      </c>
      <c r="E5" s="103"/>
      <c r="G5" s="106" t="s">
        <v>993</v>
      </c>
      <c r="H5" s="107"/>
      <c r="I5" s="107"/>
      <c r="J5" s="107"/>
      <c r="K5" s="107"/>
      <c r="L5" s="107"/>
      <c r="M5" s="107"/>
      <c r="N5" s="107"/>
      <c r="O5" s="108"/>
    </row>
    <row r="6" spans="1:16">
      <c r="A6" s="100"/>
      <c r="B6" s="101"/>
      <c r="D6" s="104"/>
      <c r="E6" s="105"/>
      <c r="G6" s="109"/>
      <c r="H6" s="110"/>
      <c r="I6" s="110"/>
      <c r="J6" s="110"/>
      <c r="K6" s="110"/>
      <c r="L6" s="110"/>
      <c r="M6" s="110"/>
      <c r="N6" s="110"/>
      <c r="O6" s="111"/>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2320</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2321</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2322</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2323</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2324</v>
      </c>
      <c r="J21" s="11" t="s">
        <v>229</v>
      </c>
      <c r="K21" s="11" t="s">
        <v>230</v>
      </c>
      <c r="L21" s="11" t="s">
        <v>2325</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2314</v>
      </c>
      <c r="M22" t="s">
        <v>244</v>
      </c>
      <c r="N22" t="s">
        <v>246</v>
      </c>
      <c r="O22" s="11" t="s">
        <v>46</v>
      </c>
      <c r="P22" s="29" t="s">
        <v>248</v>
      </c>
    </row>
    <row r="23" spans="1:16" ht="24" customHeight="1">
      <c r="A23" s="96"/>
      <c r="B23" s="96"/>
      <c r="C23" s="96"/>
      <c r="D23" s="96"/>
      <c r="E23" s="96"/>
      <c r="F23" s="96"/>
      <c r="G23" s="96"/>
      <c r="H23" s="97"/>
      <c r="I23" s="97"/>
      <c r="J23" s="97"/>
      <c r="K23" s="97"/>
      <c r="L23" s="97"/>
      <c r="M23" s="97"/>
      <c r="N23" s="97"/>
      <c r="O23" s="9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2324</v>
      </c>
      <c r="C32" s="35" t="s">
        <v>1036</v>
      </c>
      <c r="D32" s="35" t="s">
        <v>1037</v>
      </c>
      <c r="E32" s="35" t="s">
        <v>2347</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abSelected="1" topLeftCell="F2" workbookViewId="0">
      <selection activeCell="O19" sqref="O19"/>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1043</v>
      </c>
      <c r="B1" s="58"/>
      <c r="C1" s="58"/>
      <c r="D1" s="58"/>
      <c r="E1" s="58"/>
      <c r="F1" s="58"/>
      <c r="G1" s="58"/>
      <c r="H1" s="58"/>
      <c r="I1" s="58"/>
      <c r="J1" s="58"/>
      <c r="K1" s="58"/>
      <c r="L1" s="58"/>
      <c r="M1" s="58"/>
      <c r="N1" s="58"/>
      <c r="O1" s="58"/>
    </row>
    <row r="2" spans="1:16" ht="31.95" customHeight="1">
      <c r="A2" s="59" t="s">
        <v>1044</v>
      </c>
      <c r="B2" s="59"/>
      <c r="C2" s="59"/>
      <c r="D2" s="59"/>
      <c r="E2" s="59"/>
      <c r="F2" s="59"/>
      <c r="G2" s="59"/>
      <c r="H2" s="59"/>
      <c r="I2" s="59"/>
      <c r="J2" s="59"/>
      <c r="K2" s="59"/>
      <c r="L2" s="59"/>
      <c r="M2" s="59"/>
      <c r="N2" s="59"/>
      <c r="O2" s="59"/>
    </row>
    <row r="4" spans="1:16" ht="28.05" customHeight="1">
      <c r="A4" s="60" t="s">
        <v>55</v>
      </c>
      <c r="B4" s="62"/>
      <c r="D4" s="60" t="s">
        <v>48</v>
      </c>
      <c r="E4" s="62"/>
      <c r="G4" s="60" t="s">
        <v>992</v>
      </c>
      <c r="H4" s="61"/>
      <c r="I4" s="61"/>
      <c r="J4" s="61"/>
      <c r="K4" s="61"/>
      <c r="L4" s="61"/>
      <c r="M4" s="61"/>
      <c r="N4" s="61"/>
      <c r="O4" s="62"/>
    </row>
    <row r="5" spans="1:16">
      <c r="A5" s="98">
        <f>IF(COUNTA(O10:O40)=0,0,COUNTIF(O10:O40,"Done")/COUNTA(A10:A40))</f>
        <v>0.31818181818181818</v>
      </c>
      <c r="B5" s="99"/>
      <c r="D5" s="102">
        <f>COUNTIF(O10:O40,"Blocked")</f>
        <v>0</v>
      </c>
      <c r="E5" s="103"/>
      <c r="G5" s="106" t="s">
        <v>1045</v>
      </c>
      <c r="H5" s="107"/>
      <c r="I5" s="107"/>
      <c r="J5" s="107"/>
      <c r="K5" s="107"/>
      <c r="L5" s="107"/>
      <c r="M5" s="107"/>
      <c r="N5" s="107"/>
      <c r="O5" s="108"/>
    </row>
    <row r="6" spans="1:16">
      <c r="A6" s="100"/>
      <c r="B6" s="101"/>
      <c r="D6" s="104"/>
      <c r="E6" s="105"/>
      <c r="G6" s="109"/>
      <c r="H6" s="110"/>
      <c r="I6" s="110"/>
      <c r="J6" s="110"/>
      <c r="K6" s="110"/>
      <c r="L6" s="110"/>
      <c r="M6" s="110"/>
      <c r="N6" s="110"/>
      <c r="O6" s="111"/>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2326</v>
      </c>
      <c r="M12" s="11" t="s">
        <v>278</v>
      </c>
      <c r="N12" s="11" t="s">
        <v>2327</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2326</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303</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2328</v>
      </c>
      <c r="M18" s="11" t="s">
        <v>349</v>
      </c>
      <c r="N18" s="11" t="s">
        <v>352</v>
      </c>
      <c r="O18" s="11" t="s">
        <v>2609</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2329</v>
      </c>
      <c r="M19" s="11" t="s">
        <v>360</v>
      </c>
      <c r="N19" s="11" t="s">
        <v>362</v>
      </c>
      <c r="O19" s="11" t="s">
        <v>2609</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2330</v>
      </c>
      <c r="M20" s="11" t="s">
        <v>372</v>
      </c>
      <c r="N20" s="11" t="s">
        <v>374</v>
      </c>
      <c r="O20" s="11" t="s">
        <v>303</v>
      </c>
      <c r="P20" s="29" t="s">
        <v>375</v>
      </c>
    </row>
    <row r="21" spans="1:16" ht="193.8">
      <c r="A21" s="11" t="s">
        <v>376</v>
      </c>
      <c r="B21" s="11">
        <v>12</v>
      </c>
      <c r="C21" s="11" t="s">
        <v>89</v>
      </c>
      <c r="D21" s="11" t="s">
        <v>226</v>
      </c>
      <c r="E21" s="11" t="s">
        <v>377</v>
      </c>
      <c r="F21" s="11" t="s">
        <v>378</v>
      </c>
      <c r="G21" s="11" t="s">
        <v>93</v>
      </c>
      <c r="H21" s="16">
        <v>0.75</v>
      </c>
      <c r="I21" s="11" t="s">
        <v>2331</v>
      </c>
      <c r="J21" s="11" t="s">
        <v>379</v>
      </c>
      <c r="K21" s="11" t="s">
        <v>380</v>
      </c>
      <c r="L21" s="11" t="s">
        <v>2332</v>
      </c>
      <c r="M21" s="11" t="s">
        <v>382</v>
      </c>
      <c r="N21" s="11" t="s">
        <v>384</v>
      </c>
      <c r="O21" s="11" t="s">
        <v>303</v>
      </c>
      <c r="P21" s="29" t="s">
        <v>385</v>
      </c>
    </row>
    <row r="22" spans="1:16" ht="82.8">
      <c r="A22" t="s">
        <v>386</v>
      </c>
      <c r="B22">
        <v>13</v>
      </c>
      <c r="C22" t="s">
        <v>89</v>
      </c>
      <c r="D22" t="s">
        <v>238</v>
      </c>
      <c r="E22" t="s">
        <v>387</v>
      </c>
      <c r="F22" t="s">
        <v>388</v>
      </c>
      <c r="G22" t="s">
        <v>109</v>
      </c>
      <c r="H22">
        <v>1</v>
      </c>
      <c r="I22" t="s">
        <v>241</v>
      </c>
      <c r="J22" t="s">
        <v>101</v>
      </c>
      <c r="K22" t="s">
        <v>389</v>
      </c>
      <c r="L22" t="s">
        <v>2315</v>
      </c>
      <c r="M22" t="s">
        <v>390</v>
      </c>
      <c r="N22" t="s">
        <v>246</v>
      </c>
      <c r="O22" t="s">
        <v>303</v>
      </c>
      <c r="P22" s="29" t="s">
        <v>392</v>
      </c>
    </row>
    <row r="23" spans="1:16" ht="24" customHeight="1">
      <c r="A23" s="96"/>
      <c r="B23" s="96"/>
      <c r="C23" s="96"/>
      <c r="D23" s="96"/>
      <c r="E23" s="96"/>
      <c r="F23" s="96"/>
      <c r="G23" s="96"/>
      <c r="H23" s="97"/>
      <c r="I23" s="97"/>
      <c r="J23" s="97"/>
      <c r="K23" s="97"/>
      <c r="L23" s="97"/>
      <c r="M23" s="97"/>
      <c r="N23" s="97"/>
      <c r="O23" s="9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2348</v>
      </c>
      <c r="G30" s="22" t="s">
        <v>1065</v>
      </c>
    </row>
    <row r="31" spans="1:16" ht="52.05" customHeight="1">
      <c r="A31" s="35">
        <v>6</v>
      </c>
      <c r="B31" s="35" t="s">
        <v>2331</v>
      </c>
      <c r="C31" s="35" t="s">
        <v>1036</v>
      </c>
      <c r="D31" s="35" t="s">
        <v>1037</v>
      </c>
      <c r="E31" s="35" t="s">
        <v>2349</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1"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1068</v>
      </c>
      <c r="B1" s="58"/>
      <c r="C1" s="58"/>
      <c r="D1" s="58"/>
      <c r="E1" s="58"/>
      <c r="F1" s="58"/>
      <c r="G1" s="58"/>
      <c r="H1" s="58"/>
      <c r="I1" s="58"/>
      <c r="J1" s="58"/>
      <c r="K1" s="58"/>
      <c r="L1" s="58"/>
      <c r="M1" s="58"/>
      <c r="N1" s="58"/>
      <c r="O1" s="58"/>
    </row>
    <row r="2" spans="1:16" ht="31.95" customHeight="1">
      <c r="A2" s="59" t="s">
        <v>1069</v>
      </c>
      <c r="B2" s="59"/>
      <c r="C2" s="59"/>
      <c r="D2" s="59"/>
      <c r="E2" s="59"/>
      <c r="F2" s="59"/>
      <c r="G2" s="59"/>
      <c r="H2" s="59"/>
      <c r="I2" s="59"/>
      <c r="J2" s="59"/>
      <c r="K2" s="59"/>
      <c r="L2" s="59"/>
      <c r="M2" s="59"/>
      <c r="N2" s="59"/>
      <c r="O2" s="59"/>
    </row>
    <row r="4" spans="1:16" ht="28.05" customHeight="1">
      <c r="A4" s="60" t="s">
        <v>55</v>
      </c>
      <c r="B4" s="62"/>
      <c r="D4" s="60" t="s">
        <v>48</v>
      </c>
      <c r="E4" s="62"/>
      <c r="G4" s="60" t="s">
        <v>992</v>
      </c>
      <c r="H4" s="61"/>
      <c r="I4" s="61"/>
      <c r="J4" s="61"/>
      <c r="K4" s="61"/>
      <c r="L4" s="61"/>
      <c r="M4" s="61"/>
      <c r="N4" s="61"/>
      <c r="O4" s="62"/>
    </row>
    <row r="5" spans="1:16">
      <c r="A5" s="98">
        <f>IF(COUNTA(O10:O40)=0,0,COUNTIF(O10:O40,"Done")/COUNTA(A10:A40))</f>
        <v>0</v>
      </c>
      <c r="B5" s="99"/>
      <c r="D5" s="102">
        <f>COUNTIF(O10:O40,"Blocked")</f>
        <v>0</v>
      </c>
      <c r="E5" s="103"/>
      <c r="G5" s="106" t="s">
        <v>1070</v>
      </c>
      <c r="H5" s="107"/>
      <c r="I5" s="107"/>
      <c r="J5" s="107"/>
      <c r="K5" s="107"/>
      <c r="L5" s="107"/>
      <c r="M5" s="107"/>
      <c r="N5" s="107"/>
      <c r="O5" s="108"/>
    </row>
    <row r="6" spans="1:16">
      <c r="A6" s="100"/>
      <c r="B6" s="101"/>
      <c r="D6" s="104"/>
      <c r="E6" s="105"/>
      <c r="G6" s="109"/>
      <c r="H6" s="110"/>
      <c r="I6" s="110"/>
      <c r="J6" s="110"/>
      <c r="K6" s="110"/>
      <c r="L6" s="110"/>
      <c r="M6" s="110"/>
      <c r="N6" s="110"/>
      <c r="O6" s="111"/>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303</v>
      </c>
      <c r="P10" s="29" t="s">
        <v>405</v>
      </c>
    </row>
    <row r="11" spans="1:16" ht="110.4">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303</v>
      </c>
      <c r="P11" s="29" t="s">
        <v>417</v>
      </c>
    </row>
    <row r="12" spans="1:16" ht="110.4">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303</v>
      </c>
      <c r="P12" s="29" t="s">
        <v>428</v>
      </c>
    </row>
    <row r="13" spans="1:16" ht="110.4">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303</v>
      </c>
      <c r="P13" s="29" t="s">
        <v>440</v>
      </c>
    </row>
    <row r="14" spans="1:16" ht="110.4">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303</v>
      </c>
      <c r="P14" s="29" t="s">
        <v>452</v>
      </c>
    </row>
    <row r="15" spans="1:16" ht="110.4">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303</v>
      </c>
      <c r="P15" s="29" t="s">
        <v>464</v>
      </c>
    </row>
    <row r="16" spans="1:16" ht="110.4">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303</v>
      </c>
      <c r="P16" s="29" t="s">
        <v>475</v>
      </c>
    </row>
    <row r="17" spans="1:16" ht="110.4">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303</v>
      </c>
      <c r="P17" s="29" t="s">
        <v>485</v>
      </c>
    </row>
    <row r="18" spans="1:16" ht="110.4">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303</v>
      </c>
      <c r="P18" s="29" t="s">
        <v>498</v>
      </c>
    </row>
    <row r="19" spans="1:16" ht="110.4">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303</v>
      </c>
      <c r="P19" s="29" t="s">
        <v>509</v>
      </c>
    </row>
    <row r="20" spans="1:16" ht="193.8">
      <c r="A20" s="11" t="s">
        <v>510</v>
      </c>
      <c r="B20" s="11">
        <v>11</v>
      </c>
      <c r="C20" s="11" t="s">
        <v>89</v>
      </c>
      <c r="D20" s="11" t="s">
        <v>511</v>
      </c>
      <c r="E20" s="11" t="s">
        <v>512</v>
      </c>
      <c r="F20" s="11" t="s">
        <v>513</v>
      </c>
      <c r="G20" s="11" t="s">
        <v>109</v>
      </c>
      <c r="H20" s="16">
        <v>1</v>
      </c>
      <c r="I20" s="11" t="s">
        <v>514</v>
      </c>
      <c r="J20" s="11" t="s">
        <v>101</v>
      </c>
      <c r="K20" s="11" t="s">
        <v>515</v>
      </c>
      <c r="L20" s="11" t="s">
        <v>2333</v>
      </c>
      <c r="M20" s="11" t="s">
        <v>517</v>
      </c>
      <c r="N20" s="11" t="s">
        <v>519</v>
      </c>
      <c r="O20" s="11" t="s">
        <v>303</v>
      </c>
      <c r="P20" s="29" t="s">
        <v>520</v>
      </c>
    </row>
    <row r="21" spans="1:16" ht="193.8">
      <c r="A21" s="11" t="s">
        <v>521</v>
      </c>
      <c r="B21" s="11">
        <v>12</v>
      </c>
      <c r="C21" s="11" t="s">
        <v>89</v>
      </c>
      <c r="D21" s="11" t="s">
        <v>226</v>
      </c>
      <c r="E21" s="11" t="s">
        <v>522</v>
      </c>
      <c r="F21" s="11" t="s">
        <v>523</v>
      </c>
      <c r="G21" s="11" t="s">
        <v>93</v>
      </c>
      <c r="H21" s="16">
        <v>0.75</v>
      </c>
      <c r="I21" s="11" t="s">
        <v>2334</v>
      </c>
      <c r="J21" s="11" t="s">
        <v>524</v>
      </c>
      <c r="K21" s="11" t="s">
        <v>525</v>
      </c>
      <c r="L21" s="11" t="s">
        <v>2335</v>
      </c>
      <c r="M21" s="11" t="s">
        <v>527</v>
      </c>
      <c r="N21" s="11" t="s">
        <v>529</v>
      </c>
      <c r="O21" s="11" t="s">
        <v>303</v>
      </c>
      <c r="P21" s="29" t="s">
        <v>530</v>
      </c>
    </row>
    <row r="22" spans="1:16" ht="82.8">
      <c r="A22" t="s">
        <v>531</v>
      </c>
      <c r="B22">
        <v>13</v>
      </c>
      <c r="C22" t="s">
        <v>89</v>
      </c>
      <c r="D22" t="s">
        <v>238</v>
      </c>
      <c r="E22" t="s">
        <v>532</v>
      </c>
      <c r="F22" t="s">
        <v>533</v>
      </c>
      <c r="G22" t="s">
        <v>109</v>
      </c>
      <c r="H22">
        <v>1</v>
      </c>
      <c r="I22" t="s">
        <v>241</v>
      </c>
      <c r="J22" t="s">
        <v>101</v>
      </c>
      <c r="K22" t="s">
        <v>534</v>
      </c>
      <c r="L22" t="s">
        <v>2316</v>
      </c>
      <c r="M22" t="s">
        <v>535</v>
      </c>
      <c r="N22" t="s">
        <v>246</v>
      </c>
      <c r="O22" t="s">
        <v>303</v>
      </c>
      <c r="P22" s="29" t="s">
        <v>538</v>
      </c>
    </row>
    <row r="23" spans="1:16" ht="24" customHeight="1">
      <c r="A23" s="96"/>
      <c r="B23" s="96"/>
      <c r="C23" s="96"/>
      <c r="D23" s="96"/>
      <c r="E23" s="96"/>
      <c r="F23" s="96"/>
      <c r="G23" s="96"/>
      <c r="H23" s="97"/>
      <c r="I23" s="97"/>
      <c r="J23" s="97"/>
      <c r="K23" s="97"/>
      <c r="L23" s="97"/>
      <c r="M23" s="97"/>
      <c r="N23" s="97"/>
      <c r="O23" s="9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2334</v>
      </c>
      <c r="C30" s="35" t="s">
        <v>1036</v>
      </c>
      <c r="D30" s="35" t="s">
        <v>1037</v>
      </c>
      <c r="E30" s="35" t="s">
        <v>2350</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1"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1089</v>
      </c>
      <c r="B1" s="58"/>
      <c r="C1" s="58"/>
      <c r="D1" s="58"/>
      <c r="E1" s="58"/>
      <c r="F1" s="58"/>
      <c r="G1" s="58"/>
      <c r="H1" s="58"/>
      <c r="I1" s="58"/>
      <c r="J1" s="58"/>
      <c r="K1" s="58"/>
      <c r="L1" s="58"/>
      <c r="M1" s="58"/>
      <c r="N1" s="58"/>
      <c r="O1" s="58"/>
    </row>
    <row r="2" spans="1:16" ht="31.95" customHeight="1">
      <c r="A2" s="59" t="s">
        <v>1090</v>
      </c>
      <c r="B2" s="59"/>
      <c r="C2" s="59"/>
      <c r="D2" s="59"/>
      <c r="E2" s="59"/>
      <c r="F2" s="59"/>
      <c r="G2" s="59"/>
      <c r="H2" s="59"/>
      <c r="I2" s="59"/>
      <c r="J2" s="59"/>
      <c r="K2" s="59"/>
      <c r="L2" s="59"/>
      <c r="M2" s="59"/>
      <c r="N2" s="59"/>
      <c r="O2" s="59"/>
    </row>
    <row r="4" spans="1:16" ht="28.05" customHeight="1">
      <c r="A4" s="60" t="s">
        <v>55</v>
      </c>
      <c r="B4" s="62"/>
      <c r="D4" s="60" t="s">
        <v>48</v>
      </c>
      <c r="E4" s="62"/>
      <c r="G4" s="60" t="s">
        <v>992</v>
      </c>
      <c r="H4" s="61"/>
      <c r="I4" s="61"/>
      <c r="J4" s="61"/>
      <c r="K4" s="61"/>
      <c r="L4" s="61"/>
      <c r="M4" s="61"/>
      <c r="N4" s="61"/>
      <c r="O4" s="62"/>
    </row>
    <row r="5" spans="1:16">
      <c r="A5" s="98">
        <f>IF(COUNTA(O10:O40)=0,0,COUNTIF(O10:O40,"Done")/COUNTA(A10:A40))</f>
        <v>0</v>
      </c>
      <c r="B5" s="99"/>
      <c r="D5" s="102">
        <f>COUNTIF(O10:O40,"Blocked")</f>
        <v>0</v>
      </c>
      <c r="E5" s="103"/>
      <c r="G5" s="106" t="s">
        <v>1091</v>
      </c>
      <c r="H5" s="107"/>
      <c r="I5" s="107"/>
      <c r="J5" s="107"/>
      <c r="K5" s="107"/>
      <c r="L5" s="107"/>
      <c r="M5" s="107"/>
      <c r="N5" s="107"/>
      <c r="O5" s="108"/>
    </row>
    <row r="6" spans="1:16">
      <c r="A6" s="100"/>
      <c r="B6" s="101"/>
      <c r="D6" s="104"/>
      <c r="E6" s="105"/>
      <c r="G6" s="109"/>
      <c r="H6" s="110"/>
      <c r="I6" s="110"/>
      <c r="J6" s="110"/>
      <c r="K6" s="110"/>
      <c r="L6" s="110"/>
      <c r="M6" s="110"/>
      <c r="N6" s="110"/>
      <c r="O6" s="111"/>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2336</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2337</v>
      </c>
      <c r="J21" s="11" t="s">
        <v>665</v>
      </c>
      <c r="K21" s="11" t="s">
        <v>666</v>
      </c>
      <c r="L21" s="11" t="s">
        <v>2338</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2317</v>
      </c>
      <c r="M22" t="s">
        <v>676</v>
      </c>
      <c r="N22" t="s">
        <v>246</v>
      </c>
      <c r="O22" t="s">
        <v>303</v>
      </c>
      <c r="P22" s="29" t="s">
        <v>679</v>
      </c>
    </row>
    <row r="23" spans="1:16" ht="24" customHeight="1">
      <c r="A23" s="96"/>
      <c r="B23" s="96"/>
      <c r="C23" s="96"/>
      <c r="D23" s="96"/>
      <c r="E23" s="96"/>
      <c r="F23" s="96"/>
      <c r="G23" s="96"/>
      <c r="H23" s="97"/>
      <c r="I23" s="97"/>
      <c r="J23" s="97"/>
      <c r="K23" s="97"/>
      <c r="L23" s="97"/>
      <c r="M23" s="97"/>
      <c r="N23" s="97"/>
      <c r="O23" s="9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2337</v>
      </c>
      <c r="C30" s="35" t="s">
        <v>1036</v>
      </c>
      <c r="D30" s="35" t="s">
        <v>1037</v>
      </c>
      <c r="E30" s="35" t="s">
        <v>2351</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1110</v>
      </c>
      <c r="B1" s="58"/>
      <c r="C1" s="58"/>
      <c r="D1" s="58"/>
      <c r="E1" s="58"/>
      <c r="F1" s="58"/>
      <c r="G1" s="58"/>
      <c r="H1" s="58"/>
      <c r="I1" s="58"/>
      <c r="J1" s="58"/>
      <c r="K1" s="58"/>
      <c r="L1" s="58"/>
      <c r="M1" s="58"/>
      <c r="N1" s="58"/>
      <c r="O1" s="58"/>
    </row>
    <row r="2" spans="1:16" ht="31.95" customHeight="1">
      <c r="A2" s="59" t="s">
        <v>1111</v>
      </c>
      <c r="B2" s="59"/>
      <c r="C2" s="59"/>
      <c r="D2" s="59"/>
      <c r="E2" s="59"/>
      <c r="F2" s="59"/>
      <c r="G2" s="59"/>
      <c r="H2" s="59"/>
      <c r="I2" s="59"/>
      <c r="J2" s="59"/>
      <c r="K2" s="59"/>
      <c r="L2" s="59"/>
      <c r="M2" s="59"/>
      <c r="N2" s="59"/>
      <c r="O2" s="59"/>
    </row>
    <row r="4" spans="1:16" ht="28.05" customHeight="1">
      <c r="A4" s="60" t="s">
        <v>55</v>
      </c>
      <c r="B4" s="62"/>
      <c r="D4" s="60" t="s">
        <v>48</v>
      </c>
      <c r="E4" s="62"/>
      <c r="G4" s="60" t="s">
        <v>992</v>
      </c>
      <c r="H4" s="61"/>
      <c r="I4" s="61"/>
      <c r="J4" s="61"/>
      <c r="K4" s="61"/>
      <c r="L4" s="61"/>
      <c r="M4" s="61"/>
      <c r="N4" s="61"/>
      <c r="O4" s="62"/>
    </row>
    <row r="5" spans="1:16">
      <c r="A5" s="98">
        <f>IF(COUNTA(O10:O40)=0,0,COUNTIF(O10:O40,"Done")/COUNTA(A10:A40))</f>
        <v>0</v>
      </c>
      <c r="B5" s="99"/>
      <c r="D5" s="102">
        <f>COUNTIF(O10:O40,"Blocked")</f>
        <v>0</v>
      </c>
      <c r="E5" s="103"/>
      <c r="G5" s="106" t="s">
        <v>1112</v>
      </c>
      <c r="H5" s="107"/>
      <c r="I5" s="107"/>
      <c r="J5" s="107"/>
      <c r="K5" s="107"/>
      <c r="L5" s="107"/>
      <c r="M5" s="107"/>
      <c r="N5" s="107"/>
      <c r="O5" s="108"/>
    </row>
    <row r="6" spans="1:16">
      <c r="A6" s="100"/>
      <c r="B6" s="101"/>
      <c r="D6" s="104"/>
      <c r="E6" s="105"/>
      <c r="G6" s="109"/>
      <c r="H6" s="110"/>
      <c r="I6" s="110"/>
      <c r="J6" s="110"/>
      <c r="K6" s="110"/>
      <c r="L6" s="110"/>
      <c r="M6" s="110"/>
      <c r="N6" s="110"/>
      <c r="O6" s="111"/>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2339</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2340</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2341</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2342</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2343</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2344</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2345</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2318</v>
      </c>
      <c r="M23" t="s">
        <v>830</v>
      </c>
      <c r="N23" t="s">
        <v>246</v>
      </c>
      <c r="O23" t="s">
        <v>303</v>
      </c>
      <c r="P23" s="29" t="s">
        <v>833</v>
      </c>
    </row>
    <row r="24" spans="1:16" ht="34.049999999999997" customHeight="1">
      <c r="A24" s="112"/>
      <c r="B24" s="112"/>
      <c r="C24" s="112"/>
      <c r="D24" s="112"/>
      <c r="E24" s="112"/>
      <c r="F24" s="112"/>
      <c r="G24" s="112"/>
      <c r="H24" s="97"/>
      <c r="I24" s="97"/>
      <c r="J24" s="97"/>
      <c r="K24" s="97"/>
      <c r="L24" s="97"/>
      <c r="M24" s="97"/>
      <c r="N24" s="97"/>
      <c r="O24" s="97"/>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2345</v>
      </c>
      <c r="C32" s="35" t="s">
        <v>1036</v>
      </c>
      <c r="D32" s="35" t="s">
        <v>1037</v>
      </c>
      <c r="E32" s="35" t="s">
        <v>2352</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1135</v>
      </c>
      <c r="B1" s="58"/>
      <c r="C1" s="58"/>
      <c r="D1" s="58"/>
      <c r="E1" s="58"/>
      <c r="F1" s="58"/>
      <c r="G1" s="58"/>
      <c r="H1" s="58"/>
      <c r="I1" s="58"/>
      <c r="J1" s="58"/>
      <c r="K1" s="58"/>
      <c r="L1" s="58"/>
      <c r="M1" s="58"/>
      <c r="N1" s="58"/>
      <c r="O1" s="58"/>
    </row>
    <row r="2" spans="1:16" ht="31.95" customHeight="1">
      <c r="A2" s="59" t="s">
        <v>1136</v>
      </c>
      <c r="B2" s="59"/>
      <c r="C2" s="59"/>
      <c r="D2" s="59"/>
      <c r="E2" s="59"/>
      <c r="F2" s="59"/>
      <c r="G2" s="59"/>
      <c r="H2" s="59"/>
      <c r="I2" s="59"/>
      <c r="J2" s="59"/>
      <c r="K2" s="59"/>
      <c r="L2" s="59"/>
      <c r="M2" s="59"/>
      <c r="N2" s="59"/>
      <c r="O2" s="59"/>
    </row>
    <row r="4" spans="1:16" ht="28.05" customHeight="1">
      <c r="A4" s="60" t="s">
        <v>55</v>
      </c>
      <c r="B4" s="62"/>
      <c r="D4" s="60" t="s">
        <v>48</v>
      </c>
      <c r="E4" s="62"/>
      <c r="G4" s="60" t="s">
        <v>992</v>
      </c>
      <c r="H4" s="61"/>
      <c r="I4" s="61"/>
      <c r="J4" s="61"/>
      <c r="K4" s="61"/>
      <c r="L4" s="61"/>
      <c r="M4" s="61"/>
      <c r="N4" s="61"/>
      <c r="O4" s="62"/>
    </row>
    <row r="5" spans="1:16">
      <c r="A5" s="98">
        <f>IF(COUNTA(O10:O40)=0,0,COUNTIF(O10:O40,"Done")/COUNTA(A10:A40))</f>
        <v>0</v>
      </c>
      <c r="B5" s="99"/>
      <c r="D5" s="102">
        <f>COUNTIF(O10:O40,"Blocked")</f>
        <v>0</v>
      </c>
      <c r="E5" s="103"/>
      <c r="G5" s="106" t="s">
        <v>1137</v>
      </c>
      <c r="H5" s="107"/>
      <c r="I5" s="107"/>
      <c r="J5" s="107"/>
      <c r="K5" s="107"/>
      <c r="L5" s="107"/>
      <c r="M5" s="107"/>
      <c r="N5" s="107"/>
      <c r="O5" s="108"/>
    </row>
    <row r="6" spans="1:16">
      <c r="A6" s="100"/>
      <c r="B6" s="101"/>
      <c r="D6" s="104"/>
      <c r="E6" s="105"/>
      <c r="G6" s="109"/>
      <c r="H6" s="110"/>
      <c r="I6" s="110"/>
      <c r="J6" s="110"/>
      <c r="K6" s="110"/>
      <c r="L6" s="110"/>
      <c r="M6" s="110"/>
      <c r="N6" s="110"/>
      <c r="O6" s="111"/>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2346</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2319</v>
      </c>
      <c r="M23" t="s">
        <v>986</v>
      </c>
      <c r="N23" t="s">
        <v>246</v>
      </c>
      <c r="O23" t="s">
        <v>303</v>
      </c>
      <c r="P23" s="29" t="s">
        <v>989</v>
      </c>
    </row>
    <row r="24" spans="1:16" ht="34.049999999999997" customHeight="1">
      <c r="A24" s="112"/>
      <c r="B24" s="112"/>
      <c r="C24" s="112"/>
      <c r="D24" s="112"/>
      <c r="E24" s="112"/>
      <c r="F24" s="112"/>
      <c r="G24" s="112"/>
      <c r="H24" s="97"/>
      <c r="I24" s="97"/>
      <c r="J24" s="97"/>
      <c r="K24" s="97"/>
      <c r="L24" s="97"/>
      <c r="M24" s="97"/>
      <c r="N24" s="97"/>
      <c r="O24" s="97"/>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8" t="s">
        <v>1152</v>
      </c>
      <c r="B1" s="58"/>
      <c r="C1" s="58"/>
      <c r="D1" s="58"/>
      <c r="E1" s="58"/>
      <c r="F1" s="58"/>
      <c r="G1" s="58"/>
      <c r="H1" s="58"/>
    </row>
    <row r="2" spans="1:8" ht="31.95" customHeight="1">
      <c r="A2" s="59" t="s">
        <v>1153</v>
      </c>
      <c r="B2" s="59"/>
      <c r="C2" s="59"/>
      <c r="D2" s="59"/>
      <c r="E2" s="59"/>
      <c r="F2" s="59"/>
      <c r="G2" s="59"/>
      <c r="H2" s="59"/>
    </row>
    <row r="4" spans="1:8" ht="46.05" customHeight="1">
      <c r="A4" s="113" t="s">
        <v>1154</v>
      </c>
      <c r="B4" s="114"/>
      <c r="C4" s="114"/>
      <c r="D4" s="114"/>
      <c r="E4" s="114"/>
      <c r="F4" s="114"/>
      <c r="G4" s="114"/>
      <c r="H4" s="115"/>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opLeftCell="F18" workbookViewId="0">
      <selection activeCell="G18" sqref="G18"/>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56" t="s">
        <v>1272</v>
      </c>
      <c r="B1" s="56"/>
      <c r="C1" s="56"/>
      <c r="D1" s="56"/>
      <c r="E1" s="56"/>
      <c r="F1" s="56"/>
      <c r="G1" s="56"/>
      <c r="H1" s="56"/>
      <c r="I1" s="56"/>
      <c r="J1" s="56"/>
      <c r="K1" s="51"/>
      <c r="L1" s="51"/>
      <c r="M1" s="54"/>
      <c r="N1" s="54"/>
    </row>
    <row r="2" spans="1:14">
      <c r="A2" s="57" t="s">
        <v>1273</v>
      </c>
      <c r="B2" s="57"/>
      <c r="C2" s="57"/>
      <c r="D2" s="57"/>
      <c r="E2" s="57"/>
      <c r="F2" s="57"/>
      <c r="G2" s="57"/>
      <c r="H2" s="57"/>
      <c r="I2" s="57"/>
      <c r="J2" s="57"/>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2353</v>
      </c>
      <c r="B6" s="23" t="s">
        <v>1685</v>
      </c>
      <c r="C6" s="23" t="s">
        <v>2354</v>
      </c>
      <c r="D6" s="23" t="s">
        <v>2355</v>
      </c>
      <c r="E6" s="23" t="s">
        <v>2356</v>
      </c>
      <c r="F6" s="23" t="s">
        <v>2357</v>
      </c>
      <c r="G6" s="23" t="s">
        <v>2358</v>
      </c>
      <c r="H6" s="23" t="s">
        <v>2359</v>
      </c>
      <c r="I6" s="23" t="s">
        <v>2360</v>
      </c>
      <c r="J6" s="23" t="s">
        <v>2361</v>
      </c>
      <c r="K6" s="23" t="s">
        <v>1685</v>
      </c>
      <c r="L6" s="23" t="s">
        <v>2362</v>
      </c>
      <c r="M6" s="23" t="s">
        <v>2362</v>
      </c>
      <c r="N6" s="22" t="s">
        <v>2362</v>
      </c>
    </row>
    <row r="7" spans="1:14" ht="262.2">
      <c r="A7" s="22" t="s">
        <v>2363</v>
      </c>
      <c r="B7" s="22" t="s">
        <v>1685</v>
      </c>
      <c r="C7" s="22" t="s">
        <v>2364</v>
      </c>
      <c r="D7" s="22" t="s">
        <v>2365</v>
      </c>
      <c r="E7" s="22" t="s">
        <v>2366</v>
      </c>
      <c r="F7" s="22" t="s">
        <v>2367</v>
      </c>
      <c r="G7" s="22" t="s">
        <v>2368</v>
      </c>
      <c r="H7" s="22" t="s">
        <v>2359</v>
      </c>
      <c r="I7" s="22" t="s">
        <v>2360</v>
      </c>
      <c r="J7" s="22" t="s">
        <v>2361</v>
      </c>
      <c r="K7" s="22" t="s">
        <v>2369</v>
      </c>
      <c r="L7" s="22" t="s">
        <v>2362</v>
      </c>
      <c r="M7" s="22" t="s">
        <v>2362</v>
      </c>
      <c r="N7" s="55" t="s">
        <v>2362</v>
      </c>
    </row>
    <row r="8" spans="1:14" ht="228">
      <c r="A8" s="23" t="s">
        <v>2220</v>
      </c>
      <c r="B8" s="23" t="s">
        <v>1685</v>
      </c>
      <c r="C8" s="23" t="s">
        <v>2370</v>
      </c>
      <c r="D8" s="23" t="s">
        <v>2371</v>
      </c>
      <c r="E8" s="23" t="s">
        <v>2372</v>
      </c>
      <c r="F8" s="23" t="s">
        <v>2373</v>
      </c>
      <c r="G8" s="23" t="s">
        <v>2374</v>
      </c>
      <c r="H8" s="23" t="s">
        <v>2359</v>
      </c>
      <c r="I8" s="23" t="s">
        <v>2360</v>
      </c>
      <c r="J8" s="23" t="s">
        <v>2361</v>
      </c>
      <c r="K8" s="23" t="s">
        <v>1685</v>
      </c>
      <c r="L8" s="23" t="s">
        <v>2362</v>
      </c>
      <c r="M8" s="23" t="s">
        <v>2362</v>
      </c>
      <c r="N8" s="22" t="s">
        <v>2362</v>
      </c>
    </row>
    <row r="9" spans="1:14" ht="409.6">
      <c r="A9" s="22" t="s">
        <v>94</v>
      </c>
      <c r="B9" s="22" t="s">
        <v>56</v>
      </c>
      <c r="C9" s="22" t="s">
        <v>1010</v>
      </c>
      <c r="D9" s="22" t="s">
        <v>1011</v>
      </c>
      <c r="E9" s="22" t="s">
        <v>1012</v>
      </c>
      <c r="F9" s="22" t="s">
        <v>2375</v>
      </c>
      <c r="G9" s="22" t="s">
        <v>2376</v>
      </c>
      <c r="H9" s="22" t="s">
        <v>2377</v>
      </c>
      <c r="I9" s="22" t="s">
        <v>2378</v>
      </c>
      <c r="J9" s="22" t="s">
        <v>2379</v>
      </c>
      <c r="K9" s="22" t="s">
        <v>88</v>
      </c>
      <c r="L9" s="22" t="s">
        <v>2380</v>
      </c>
      <c r="M9" s="22" t="s">
        <v>2381</v>
      </c>
      <c r="N9" s="55" t="s">
        <v>2382</v>
      </c>
    </row>
    <row r="10" spans="1:14" ht="409.6">
      <c r="A10" s="23" t="s">
        <v>110</v>
      </c>
      <c r="B10" s="23" t="s">
        <v>56</v>
      </c>
      <c r="C10" s="23" t="s">
        <v>1015</v>
      </c>
      <c r="D10" s="23" t="s">
        <v>1016</v>
      </c>
      <c r="E10" s="23" t="s">
        <v>1017</v>
      </c>
      <c r="F10" s="23" t="s">
        <v>2375</v>
      </c>
      <c r="G10" s="23" t="s">
        <v>2383</v>
      </c>
      <c r="H10" s="23" t="s">
        <v>2377</v>
      </c>
      <c r="I10" s="23" t="s">
        <v>2384</v>
      </c>
      <c r="J10" s="23" t="s">
        <v>2379</v>
      </c>
      <c r="K10" s="23" t="s">
        <v>105</v>
      </c>
      <c r="L10" s="23" t="s">
        <v>2385</v>
      </c>
      <c r="M10" s="23" t="s">
        <v>2386</v>
      </c>
      <c r="N10" s="22" t="s">
        <v>2387</v>
      </c>
    </row>
    <row r="11" spans="1:14" ht="409.6">
      <c r="A11" s="22" t="s">
        <v>124</v>
      </c>
      <c r="B11" s="22" t="s">
        <v>56</v>
      </c>
      <c r="C11" s="22" t="s">
        <v>1019</v>
      </c>
      <c r="D11" s="22" t="s">
        <v>1020</v>
      </c>
      <c r="E11" s="22" t="s">
        <v>1021</v>
      </c>
      <c r="F11" s="22" t="s">
        <v>2388</v>
      </c>
      <c r="G11" s="22" t="s">
        <v>2389</v>
      </c>
      <c r="H11" s="22" t="s">
        <v>2390</v>
      </c>
      <c r="I11" s="22" t="s">
        <v>2391</v>
      </c>
      <c r="J11" s="22" t="s">
        <v>2379</v>
      </c>
      <c r="K11" s="22" t="s">
        <v>2392</v>
      </c>
      <c r="L11" s="22" t="s">
        <v>2393</v>
      </c>
      <c r="M11" s="22" t="s">
        <v>2296</v>
      </c>
      <c r="N11" s="55" t="s">
        <v>2394</v>
      </c>
    </row>
    <row r="12" spans="1:14" ht="409.6">
      <c r="A12" s="23" t="s">
        <v>147</v>
      </c>
      <c r="B12" s="23" t="s">
        <v>56</v>
      </c>
      <c r="C12" s="23" t="s">
        <v>1024</v>
      </c>
      <c r="D12" s="23" t="s">
        <v>1025</v>
      </c>
      <c r="E12" s="23" t="s">
        <v>1026</v>
      </c>
      <c r="F12" s="23" t="s">
        <v>2388</v>
      </c>
      <c r="G12" s="23" t="s">
        <v>2395</v>
      </c>
      <c r="H12" s="23" t="s">
        <v>2390</v>
      </c>
      <c r="I12" s="23" t="s">
        <v>2396</v>
      </c>
      <c r="J12" s="23" t="s">
        <v>2379</v>
      </c>
      <c r="K12" s="23" t="s">
        <v>143</v>
      </c>
      <c r="L12" s="23" t="s">
        <v>2397</v>
      </c>
      <c r="M12" s="23" t="s">
        <v>2297</v>
      </c>
      <c r="N12" s="22" t="s">
        <v>2398</v>
      </c>
    </row>
    <row r="13" spans="1:14" ht="409.6">
      <c r="A13" s="22" t="s">
        <v>159</v>
      </c>
      <c r="B13" s="22" t="s">
        <v>56</v>
      </c>
      <c r="C13" s="22" t="s">
        <v>1028</v>
      </c>
      <c r="D13" s="22" t="s">
        <v>1029</v>
      </c>
      <c r="E13" s="22" t="s">
        <v>1030</v>
      </c>
      <c r="F13" s="22" t="s">
        <v>2388</v>
      </c>
      <c r="G13" s="22" t="s">
        <v>2399</v>
      </c>
      <c r="H13" s="22" t="s">
        <v>2390</v>
      </c>
      <c r="I13" s="22" t="s">
        <v>2400</v>
      </c>
      <c r="J13" s="22" t="s">
        <v>2379</v>
      </c>
      <c r="K13" s="22" t="s">
        <v>2401</v>
      </c>
      <c r="L13" s="22" t="s">
        <v>2402</v>
      </c>
      <c r="M13" s="22" t="s">
        <v>2298</v>
      </c>
      <c r="N13" s="55" t="s">
        <v>2403</v>
      </c>
    </row>
    <row r="14" spans="1:14" ht="409.6">
      <c r="A14" s="23" t="s">
        <v>193</v>
      </c>
      <c r="B14" s="23" t="s">
        <v>56</v>
      </c>
      <c r="C14" s="23" t="s">
        <v>1032</v>
      </c>
      <c r="D14" s="23" t="s">
        <v>1033</v>
      </c>
      <c r="E14" s="23" t="s">
        <v>1034</v>
      </c>
      <c r="F14" s="23" t="s">
        <v>2388</v>
      </c>
      <c r="G14" s="23" t="s">
        <v>2404</v>
      </c>
      <c r="H14" s="23" t="s">
        <v>2390</v>
      </c>
      <c r="I14" s="23" t="s">
        <v>2405</v>
      </c>
      <c r="J14" s="23" t="s">
        <v>2379</v>
      </c>
      <c r="K14" s="23" t="s">
        <v>2406</v>
      </c>
      <c r="L14" s="23" t="s">
        <v>2407</v>
      </c>
      <c r="M14" s="23" t="s">
        <v>2299</v>
      </c>
      <c r="N14" s="22" t="s">
        <v>2408</v>
      </c>
    </row>
    <row r="15" spans="1:14" ht="409.6">
      <c r="A15" s="22" t="s">
        <v>253</v>
      </c>
      <c r="B15" s="22" t="s">
        <v>37</v>
      </c>
      <c r="C15" s="22" t="s">
        <v>2409</v>
      </c>
      <c r="D15" s="22" t="s">
        <v>2410</v>
      </c>
      <c r="E15" s="22" t="s">
        <v>2411</v>
      </c>
      <c r="F15" s="22" t="s">
        <v>2388</v>
      </c>
      <c r="G15" s="22" t="s">
        <v>2412</v>
      </c>
      <c r="H15" s="22" t="s">
        <v>2390</v>
      </c>
      <c r="I15" s="22" t="s">
        <v>2413</v>
      </c>
      <c r="J15" s="22" t="s">
        <v>2379</v>
      </c>
      <c r="K15" s="22" t="s">
        <v>2414</v>
      </c>
      <c r="L15" s="22" t="s">
        <v>2415</v>
      </c>
      <c r="M15" s="22" t="s">
        <v>2416</v>
      </c>
      <c r="N15" s="55" t="s">
        <v>2417</v>
      </c>
    </row>
    <row r="16" spans="1:14" ht="409.6">
      <c r="A16" s="23" t="s">
        <v>296</v>
      </c>
      <c r="B16" s="23" t="s">
        <v>37</v>
      </c>
      <c r="C16" s="23" t="s">
        <v>1050</v>
      </c>
      <c r="D16" s="23" t="s">
        <v>1051</v>
      </c>
      <c r="E16" s="23" t="s">
        <v>1052</v>
      </c>
      <c r="F16" s="23" t="s">
        <v>2388</v>
      </c>
      <c r="G16" s="23" t="s">
        <v>2418</v>
      </c>
      <c r="H16" s="23" t="s">
        <v>2390</v>
      </c>
      <c r="I16" s="23" t="s">
        <v>2419</v>
      </c>
      <c r="J16" s="23" t="s">
        <v>2379</v>
      </c>
      <c r="K16" s="23" t="s">
        <v>292</v>
      </c>
      <c r="L16" s="23" t="s">
        <v>2420</v>
      </c>
      <c r="M16" s="23" t="s">
        <v>2421</v>
      </c>
      <c r="N16" s="22" t="s">
        <v>2422</v>
      </c>
    </row>
    <row r="17" spans="1:14" ht="409.6">
      <c r="A17" s="22" t="s">
        <v>309</v>
      </c>
      <c r="B17" s="22" t="s">
        <v>37</v>
      </c>
      <c r="C17" s="22" t="s">
        <v>1054</v>
      </c>
      <c r="D17" s="22" t="s">
        <v>1055</v>
      </c>
      <c r="E17" s="22" t="s">
        <v>1056</v>
      </c>
      <c r="F17" s="22" t="s">
        <v>2388</v>
      </c>
      <c r="G17" s="22" t="s">
        <v>2423</v>
      </c>
      <c r="H17" s="22" t="s">
        <v>2390</v>
      </c>
      <c r="I17" s="22" t="s">
        <v>2424</v>
      </c>
      <c r="J17" s="22" t="s">
        <v>2379</v>
      </c>
      <c r="K17" s="22" t="s">
        <v>2425</v>
      </c>
      <c r="L17" s="22" t="s">
        <v>2426</v>
      </c>
      <c r="M17" s="22" t="s">
        <v>2427</v>
      </c>
      <c r="N17" s="55" t="s">
        <v>2428</v>
      </c>
    </row>
    <row r="18" spans="1:14" ht="409.6">
      <c r="A18" s="23" t="s">
        <v>345</v>
      </c>
      <c r="B18" s="23" t="s">
        <v>37</v>
      </c>
      <c r="C18" s="23" t="s">
        <v>2429</v>
      </c>
      <c r="D18" s="23" t="s">
        <v>2430</v>
      </c>
      <c r="E18" s="23" t="s">
        <v>2431</v>
      </c>
      <c r="F18" s="23" t="s">
        <v>2388</v>
      </c>
      <c r="G18" s="23" t="s">
        <v>2432</v>
      </c>
      <c r="H18" s="23" t="s">
        <v>2390</v>
      </c>
      <c r="I18" s="23" t="s">
        <v>2433</v>
      </c>
      <c r="J18" s="23" t="s">
        <v>2379</v>
      </c>
      <c r="K18" s="23" t="s">
        <v>2434</v>
      </c>
      <c r="L18" s="23" t="s">
        <v>2435</v>
      </c>
      <c r="M18" s="23" t="s">
        <v>2436</v>
      </c>
      <c r="N18" s="22" t="s">
        <v>2437</v>
      </c>
    </row>
    <row r="19" spans="1:14" ht="409.6">
      <c r="A19" s="22" t="s">
        <v>369</v>
      </c>
      <c r="B19" s="22" t="s">
        <v>37</v>
      </c>
      <c r="C19" s="22" t="s">
        <v>1062</v>
      </c>
      <c r="D19" s="22" t="s">
        <v>1063</v>
      </c>
      <c r="E19" s="22" t="s">
        <v>1064</v>
      </c>
      <c r="F19" s="22" t="s">
        <v>2438</v>
      </c>
      <c r="G19" s="22" t="s">
        <v>2439</v>
      </c>
      <c r="H19" s="22" t="s">
        <v>2440</v>
      </c>
      <c r="I19" s="22" t="s">
        <v>2441</v>
      </c>
      <c r="J19" s="22" t="s">
        <v>2442</v>
      </c>
      <c r="K19" s="22" t="s">
        <v>364</v>
      </c>
      <c r="L19" s="22" t="s">
        <v>2443</v>
      </c>
      <c r="M19" s="22" t="s">
        <v>2444</v>
      </c>
      <c r="N19" s="55" t="s">
        <v>2312</v>
      </c>
    </row>
    <row r="20" spans="1:14" ht="409.6">
      <c r="A20" s="23" t="s">
        <v>397</v>
      </c>
      <c r="B20" s="23" t="s">
        <v>57</v>
      </c>
      <c r="C20" s="23" t="s">
        <v>1071</v>
      </c>
      <c r="D20" s="23" t="s">
        <v>1072</v>
      </c>
      <c r="E20" s="23" t="s">
        <v>1073</v>
      </c>
      <c r="F20" s="23" t="s">
        <v>2388</v>
      </c>
      <c r="G20" s="23" t="s">
        <v>2445</v>
      </c>
      <c r="H20" s="23" t="s">
        <v>2390</v>
      </c>
      <c r="I20" s="23" t="s">
        <v>2446</v>
      </c>
      <c r="J20" s="23" t="s">
        <v>2379</v>
      </c>
      <c r="K20" s="23" t="s">
        <v>2447</v>
      </c>
      <c r="L20" s="23" t="s">
        <v>2448</v>
      </c>
      <c r="M20" s="23" t="s">
        <v>2300</v>
      </c>
      <c r="N20" s="22" t="s">
        <v>2449</v>
      </c>
    </row>
    <row r="21" spans="1:14" ht="409.6">
      <c r="A21" s="22" t="s">
        <v>457</v>
      </c>
      <c r="B21" s="22" t="s">
        <v>57</v>
      </c>
      <c r="C21" s="22" t="s">
        <v>1075</v>
      </c>
      <c r="D21" s="22" t="s">
        <v>1076</v>
      </c>
      <c r="E21" s="22" t="s">
        <v>1077</v>
      </c>
      <c r="F21" s="22" t="s">
        <v>2388</v>
      </c>
      <c r="G21" s="22" t="s">
        <v>2450</v>
      </c>
      <c r="H21" s="22" t="s">
        <v>2390</v>
      </c>
      <c r="I21" s="22" t="s">
        <v>2451</v>
      </c>
      <c r="J21" s="22" t="s">
        <v>2379</v>
      </c>
      <c r="K21" s="22" t="s">
        <v>2452</v>
      </c>
      <c r="L21" s="22" t="s">
        <v>2453</v>
      </c>
      <c r="M21" s="22" t="s">
        <v>2301</v>
      </c>
      <c r="N21" s="55" t="s">
        <v>2454</v>
      </c>
    </row>
    <row r="22" spans="1:14" ht="409.6">
      <c r="A22" s="23" t="s">
        <v>445</v>
      </c>
      <c r="B22" s="23" t="s">
        <v>57</v>
      </c>
      <c r="C22" s="23" t="s">
        <v>1079</v>
      </c>
      <c r="D22" s="23" t="s">
        <v>1080</v>
      </c>
      <c r="E22" s="23" t="s">
        <v>1081</v>
      </c>
      <c r="F22" s="23" t="s">
        <v>2388</v>
      </c>
      <c r="G22" s="23" t="s">
        <v>2455</v>
      </c>
      <c r="H22" s="23" t="s">
        <v>2390</v>
      </c>
      <c r="I22" s="23" t="s">
        <v>2456</v>
      </c>
      <c r="J22" s="23" t="s">
        <v>2379</v>
      </c>
      <c r="K22" s="23" t="s">
        <v>2457</v>
      </c>
      <c r="L22" s="23" t="s">
        <v>2458</v>
      </c>
      <c r="M22" s="23" t="s">
        <v>2459</v>
      </c>
      <c r="N22" s="22" t="s">
        <v>2460</v>
      </c>
    </row>
    <row r="23" spans="1:14" ht="409.6">
      <c r="A23" s="22" t="s">
        <v>514</v>
      </c>
      <c r="B23" s="22" t="s">
        <v>57</v>
      </c>
      <c r="C23" s="22" t="s">
        <v>1083</v>
      </c>
      <c r="D23" s="22" t="s">
        <v>1084</v>
      </c>
      <c r="E23" s="22" t="s">
        <v>1085</v>
      </c>
      <c r="F23" s="22" t="s">
        <v>2388</v>
      </c>
      <c r="G23" s="22" t="s">
        <v>2461</v>
      </c>
      <c r="H23" s="22" t="s">
        <v>2390</v>
      </c>
      <c r="I23" s="22" t="s">
        <v>2462</v>
      </c>
      <c r="J23" s="22" t="s">
        <v>2379</v>
      </c>
      <c r="K23" s="22" t="s">
        <v>510</v>
      </c>
      <c r="L23" s="22" t="s">
        <v>2463</v>
      </c>
      <c r="M23" s="22" t="s">
        <v>2464</v>
      </c>
      <c r="N23" s="55" t="s">
        <v>2465</v>
      </c>
    </row>
    <row r="24" spans="1:14" ht="409.6">
      <c r="A24" s="23" t="s">
        <v>543</v>
      </c>
      <c r="B24" s="23" t="s">
        <v>58</v>
      </c>
      <c r="C24" s="23" t="s">
        <v>1092</v>
      </c>
      <c r="D24" s="23" t="s">
        <v>1093</v>
      </c>
      <c r="E24" s="23" t="s">
        <v>1094</v>
      </c>
      <c r="F24" s="23" t="s">
        <v>2388</v>
      </c>
      <c r="G24" s="23" t="s">
        <v>2466</v>
      </c>
      <c r="H24" s="23" t="s">
        <v>2390</v>
      </c>
      <c r="I24" s="23" t="s">
        <v>2467</v>
      </c>
      <c r="J24" s="23" t="s">
        <v>2379</v>
      </c>
      <c r="K24" s="23" t="s">
        <v>2468</v>
      </c>
      <c r="L24" s="23" t="s">
        <v>2469</v>
      </c>
      <c r="M24" s="23" t="s">
        <v>2302</v>
      </c>
      <c r="N24" s="22" t="s">
        <v>2470</v>
      </c>
    </row>
    <row r="25" spans="1:14" ht="409.6">
      <c r="A25" s="22" t="s">
        <v>564</v>
      </c>
      <c r="B25" s="22" t="s">
        <v>58</v>
      </c>
      <c r="C25" s="22" t="s">
        <v>1096</v>
      </c>
      <c r="D25" s="22" t="s">
        <v>1097</v>
      </c>
      <c r="E25" s="22" t="s">
        <v>1098</v>
      </c>
      <c r="F25" s="22" t="s">
        <v>2388</v>
      </c>
      <c r="G25" s="22" t="s">
        <v>2471</v>
      </c>
      <c r="H25" s="22" t="s">
        <v>2390</v>
      </c>
      <c r="I25" s="22" t="s">
        <v>2472</v>
      </c>
      <c r="J25" s="22" t="s">
        <v>2379</v>
      </c>
      <c r="K25" s="22" t="s">
        <v>2473</v>
      </c>
      <c r="L25" s="22" t="s">
        <v>2474</v>
      </c>
      <c r="M25" s="22" t="s">
        <v>2303</v>
      </c>
      <c r="N25" s="55" t="s">
        <v>2475</v>
      </c>
    </row>
    <row r="26" spans="1:14" ht="409.6">
      <c r="A26" s="23" t="s">
        <v>490</v>
      </c>
      <c r="B26" s="23" t="s">
        <v>58</v>
      </c>
      <c r="C26" s="23" t="s">
        <v>1100</v>
      </c>
      <c r="D26" s="23" t="s">
        <v>1101</v>
      </c>
      <c r="E26" s="23" t="s">
        <v>1102</v>
      </c>
      <c r="F26" s="23" t="s">
        <v>2388</v>
      </c>
      <c r="G26" s="23" t="s">
        <v>2476</v>
      </c>
      <c r="H26" s="23" t="s">
        <v>2390</v>
      </c>
      <c r="I26" s="23" t="s">
        <v>2477</v>
      </c>
      <c r="J26" s="23" t="s">
        <v>2379</v>
      </c>
      <c r="K26" s="23" t="s">
        <v>2478</v>
      </c>
      <c r="L26" s="23" t="s">
        <v>2479</v>
      </c>
      <c r="M26" s="23" t="s">
        <v>2304</v>
      </c>
      <c r="N26" s="22" t="s">
        <v>2480</v>
      </c>
    </row>
    <row r="27" spans="1:14" ht="409.6">
      <c r="A27" s="22" t="s">
        <v>655</v>
      </c>
      <c r="B27" s="22" t="s">
        <v>58</v>
      </c>
      <c r="C27" s="22" t="s">
        <v>1104</v>
      </c>
      <c r="D27" s="22" t="s">
        <v>1105</v>
      </c>
      <c r="E27" s="22" t="s">
        <v>1106</v>
      </c>
      <c r="F27" s="22" t="s">
        <v>2388</v>
      </c>
      <c r="G27" s="22" t="s">
        <v>2481</v>
      </c>
      <c r="H27" s="22" t="s">
        <v>2390</v>
      </c>
      <c r="I27" s="22" t="s">
        <v>2482</v>
      </c>
      <c r="J27" s="22" t="s">
        <v>2379</v>
      </c>
      <c r="K27" s="22" t="s">
        <v>651</v>
      </c>
      <c r="L27" s="22" t="s">
        <v>2483</v>
      </c>
      <c r="M27" s="22" t="s">
        <v>2484</v>
      </c>
      <c r="N27" s="55" t="s">
        <v>2485</v>
      </c>
    </row>
    <row r="28" spans="1:14" ht="409.6">
      <c r="A28" s="23" t="s">
        <v>684</v>
      </c>
      <c r="B28" s="23" t="s">
        <v>59</v>
      </c>
      <c r="C28" s="23" t="s">
        <v>1113</v>
      </c>
      <c r="D28" s="23" t="s">
        <v>1114</v>
      </c>
      <c r="E28" s="23" t="s">
        <v>1115</v>
      </c>
      <c r="F28" s="23" t="s">
        <v>2375</v>
      </c>
      <c r="G28" s="23" t="s">
        <v>2486</v>
      </c>
      <c r="H28" s="23" t="s">
        <v>2377</v>
      </c>
      <c r="I28" s="23" t="s">
        <v>2487</v>
      </c>
      <c r="J28" s="23" t="s">
        <v>2379</v>
      </c>
      <c r="K28" s="23" t="s">
        <v>680</v>
      </c>
      <c r="L28" s="23" t="s">
        <v>2488</v>
      </c>
      <c r="M28" s="23" t="s">
        <v>2489</v>
      </c>
      <c r="N28" s="22" t="s">
        <v>2490</v>
      </c>
    </row>
    <row r="29" spans="1:14" ht="409.6">
      <c r="A29" s="22" t="s">
        <v>696</v>
      </c>
      <c r="B29" s="22" t="s">
        <v>59</v>
      </c>
      <c r="C29" s="22" t="s">
        <v>1117</v>
      </c>
      <c r="D29" s="22" t="s">
        <v>1118</v>
      </c>
      <c r="E29" s="22" t="s">
        <v>1119</v>
      </c>
      <c r="F29" s="22" t="s">
        <v>2388</v>
      </c>
      <c r="G29" s="22" t="s">
        <v>2491</v>
      </c>
      <c r="H29" s="22" t="s">
        <v>2390</v>
      </c>
      <c r="I29" s="22" t="s">
        <v>2492</v>
      </c>
      <c r="J29" s="22" t="s">
        <v>2379</v>
      </c>
      <c r="K29" s="22" t="s">
        <v>2493</v>
      </c>
      <c r="L29" s="22" t="s">
        <v>2494</v>
      </c>
      <c r="M29" s="22" t="s">
        <v>2305</v>
      </c>
      <c r="N29" s="55" t="s">
        <v>2495</v>
      </c>
    </row>
    <row r="30" spans="1:14" ht="409.6">
      <c r="A30" s="23" t="s">
        <v>755</v>
      </c>
      <c r="B30" s="23" t="s">
        <v>59</v>
      </c>
      <c r="C30" s="23" t="s">
        <v>1121</v>
      </c>
      <c r="D30" s="23" t="s">
        <v>1122</v>
      </c>
      <c r="E30" s="23" t="s">
        <v>1123</v>
      </c>
      <c r="F30" s="23" t="s">
        <v>2388</v>
      </c>
      <c r="G30" s="23" t="s">
        <v>2496</v>
      </c>
      <c r="H30" s="23" t="s">
        <v>2390</v>
      </c>
      <c r="I30" s="23" t="s">
        <v>2497</v>
      </c>
      <c r="J30" s="23" t="s">
        <v>2379</v>
      </c>
      <c r="K30" s="23" t="s">
        <v>2498</v>
      </c>
      <c r="L30" s="23" t="s">
        <v>2499</v>
      </c>
      <c r="M30" s="23" t="s">
        <v>2306</v>
      </c>
      <c r="N30" s="22" t="s">
        <v>2500</v>
      </c>
    </row>
    <row r="31" spans="1:14" ht="409.6">
      <c r="A31" s="22" t="s">
        <v>742</v>
      </c>
      <c r="B31" s="22" t="s">
        <v>59</v>
      </c>
      <c r="C31" s="22" t="s">
        <v>1125</v>
      </c>
      <c r="D31" s="22" t="s">
        <v>1126</v>
      </c>
      <c r="E31" s="22" t="s">
        <v>1127</v>
      </c>
      <c r="F31" s="22" t="s">
        <v>2388</v>
      </c>
      <c r="G31" s="22" t="s">
        <v>2501</v>
      </c>
      <c r="H31" s="22" t="s">
        <v>2390</v>
      </c>
      <c r="I31" s="22" t="s">
        <v>2502</v>
      </c>
      <c r="J31" s="22" t="s">
        <v>2379</v>
      </c>
      <c r="K31" s="22" t="s">
        <v>738</v>
      </c>
      <c r="L31" s="22" t="s">
        <v>2503</v>
      </c>
      <c r="M31" s="22" t="s">
        <v>2504</v>
      </c>
      <c r="N31" s="55" t="s">
        <v>2505</v>
      </c>
    </row>
    <row r="32" spans="1:14" ht="409.6">
      <c r="A32" s="23" t="s">
        <v>777</v>
      </c>
      <c r="B32" s="23" t="s">
        <v>59</v>
      </c>
      <c r="C32" s="23" t="s">
        <v>1129</v>
      </c>
      <c r="D32" s="23" t="s">
        <v>1130</v>
      </c>
      <c r="E32" s="23" t="s">
        <v>1131</v>
      </c>
      <c r="F32" s="23" t="s">
        <v>2388</v>
      </c>
      <c r="G32" s="23" t="s">
        <v>2506</v>
      </c>
      <c r="H32" s="23" t="s">
        <v>2390</v>
      </c>
      <c r="I32" s="23" t="s">
        <v>2507</v>
      </c>
      <c r="J32" s="23" t="s">
        <v>2379</v>
      </c>
      <c r="K32" s="23" t="s">
        <v>2508</v>
      </c>
      <c r="L32" s="23" t="s">
        <v>2509</v>
      </c>
      <c r="M32" s="23" t="s">
        <v>2307</v>
      </c>
      <c r="N32" s="22" t="s">
        <v>2510</v>
      </c>
    </row>
    <row r="33" spans="1:14" ht="409.6">
      <c r="A33" s="22" t="s">
        <v>850</v>
      </c>
      <c r="B33" s="22" t="s">
        <v>60</v>
      </c>
      <c r="C33" s="22" t="s">
        <v>1138</v>
      </c>
      <c r="D33" s="22" t="s">
        <v>1139</v>
      </c>
      <c r="E33" s="22" t="s">
        <v>1140</v>
      </c>
      <c r="F33" s="22" t="s">
        <v>2388</v>
      </c>
      <c r="G33" s="22" t="s">
        <v>2511</v>
      </c>
      <c r="H33" s="22" t="s">
        <v>2390</v>
      </c>
      <c r="I33" s="22" t="s">
        <v>2512</v>
      </c>
      <c r="J33" s="22" t="s">
        <v>2379</v>
      </c>
      <c r="K33" s="22" t="s">
        <v>2513</v>
      </c>
      <c r="L33" s="22" t="s">
        <v>2514</v>
      </c>
      <c r="M33" s="22" t="s">
        <v>2308</v>
      </c>
      <c r="N33" s="55" t="s">
        <v>2515</v>
      </c>
    </row>
    <row r="34" spans="1:14" ht="409.6">
      <c r="A34" s="23" t="s">
        <v>895</v>
      </c>
      <c r="B34" s="23" t="s">
        <v>60</v>
      </c>
      <c r="C34" s="23" t="s">
        <v>1142</v>
      </c>
      <c r="D34" s="23" t="s">
        <v>1143</v>
      </c>
      <c r="E34" s="23" t="s">
        <v>1144</v>
      </c>
      <c r="F34" s="23" t="s">
        <v>2388</v>
      </c>
      <c r="G34" s="23" t="s">
        <v>2516</v>
      </c>
      <c r="H34" s="23" t="s">
        <v>2390</v>
      </c>
      <c r="I34" s="23" t="s">
        <v>2517</v>
      </c>
      <c r="J34" s="23" t="s">
        <v>2379</v>
      </c>
      <c r="K34" s="23" t="s">
        <v>2518</v>
      </c>
      <c r="L34" s="23" t="s">
        <v>2519</v>
      </c>
      <c r="M34" s="23" t="s">
        <v>2520</v>
      </c>
      <c r="N34" s="22" t="s">
        <v>2521</v>
      </c>
    </row>
    <row r="35" spans="1:14" ht="409.6">
      <c r="A35" s="22" t="s">
        <v>942</v>
      </c>
      <c r="B35" s="22" t="s">
        <v>60</v>
      </c>
      <c r="C35" s="22" t="s">
        <v>1146</v>
      </c>
      <c r="D35" s="22" t="s">
        <v>1147</v>
      </c>
      <c r="E35" s="22" t="s">
        <v>1148</v>
      </c>
      <c r="F35" s="22" t="s">
        <v>2388</v>
      </c>
      <c r="G35" s="22" t="s">
        <v>2522</v>
      </c>
      <c r="H35" s="22" t="s">
        <v>2390</v>
      </c>
      <c r="I35" s="22" t="s">
        <v>2523</v>
      </c>
      <c r="J35" s="22" t="s">
        <v>2379</v>
      </c>
      <c r="K35" s="22" t="s">
        <v>2524</v>
      </c>
      <c r="L35" s="22" t="s">
        <v>2525</v>
      </c>
      <c r="M35" s="22" t="s">
        <v>2309</v>
      </c>
      <c r="N35" s="55" t="s">
        <v>2526</v>
      </c>
    </row>
    <row r="36" spans="1:14" ht="409.6">
      <c r="A36" s="23" t="s">
        <v>2324</v>
      </c>
      <c r="B36" s="23" t="s">
        <v>56</v>
      </c>
      <c r="C36" s="23" t="s">
        <v>2527</v>
      </c>
      <c r="D36" s="23" t="s">
        <v>2528</v>
      </c>
      <c r="E36" s="23" t="s">
        <v>2529</v>
      </c>
      <c r="F36" s="23" t="s">
        <v>2530</v>
      </c>
      <c r="G36" s="23" t="s">
        <v>2531</v>
      </c>
      <c r="H36" s="23" t="s">
        <v>2377</v>
      </c>
      <c r="I36" s="23" t="s">
        <v>2532</v>
      </c>
      <c r="J36" s="23" t="s">
        <v>2379</v>
      </c>
      <c r="K36" s="23" t="s">
        <v>225</v>
      </c>
      <c r="L36" s="23" t="s">
        <v>2533</v>
      </c>
      <c r="M36" s="23" t="s">
        <v>2534</v>
      </c>
      <c r="N36" s="22" t="s">
        <v>2535</v>
      </c>
    </row>
    <row r="37" spans="1:14" ht="409.6">
      <c r="A37" s="23" t="s">
        <v>2331</v>
      </c>
      <c r="B37" s="23" t="s">
        <v>37</v>
      </c>
      <c r="C37" s="23" t="s">
        <v>2536</v>
      </c>
      <c r="D37" s="23" t="s">
        <v>2537</v>
      </c>
      <c r="E37" s="23" t="s">
        <v>2538</v>
      </c>
      <c r="F37" s="23" t="s">
        <v>2530</v>
      </c>
      <c r="G37" s="23" t="s">
        <v>2539</v>
      </c>
      <c r="H37" s="23" t="s">
        <v>2377</v>
      </c>
      <c r="I37" s="23" t="s">
        <v>2540</v>
      </c>
      <c r="J37" s="23" t="s">
        <v>2379</v>
      </c>
      <c r="K37" s="23" t="s">
        <v>376</v>
      </c>
      <c r="L37" s="23" t="s">
        <v>2541</v>
      </c>
      <c r="M37" s="23" t="s">
        <v>2542</v>
      </c>
      <c r="N37" s="22" t="s">
        <v>2543</v>
      </c>
    </row>
    <row r="38" spans="1:14" ht="409.6">
      <c r="A38" s="23" t="s">
        <v>2334</v>
      </c>
      <c r="B38" s="23" t="s">
        <v>57</v>
      </c>
      <c r="C38" s="23" t="s">
        <v>2544</v>
      </c>
      <c r="D38" s="23" t="s">
        <v>2545</v>
      </c>
      <c r="E38" s="23" t="s">
        <v>2546</v>
      </c>
      <c r="F38" s="23" t="s">
        <v>2530</v>
      </c>
      <c r="G38" s="23" t="s">
        <v>2547</v>
      </c>
      <c r="H38" s="23" t="s">
        <v>2377</v>
      </c>
      <c r="I38" s="23" t="s">
        <v>2548</v>
      </c>
      <c r="J38" s="23" t="s">
        <v>2379</v>
      </c>
      <c r="K38" s="23" t="s">
        <v>521</v>
      </c>
      <c r="L38" s="23" t="s">
        <v>2549</v>
      </c>
      <c r="M38" s="23" t="s">
        <v>2550</v>
      </c>
      <c r="N38" s="22" t="s">
        <v>2551</v>
      </c>
    </row>
    <row r="39" spans="1:14" ht="409.6">
      <c r="A39" s="23" t="s">
        <v>2337</v>
      </c>
      <c r="B39" s="23" t="s">
        <v>58</v>
      </c>
      <c r="C39" s="23" t="s">
        <v>2552</v>
      </c>
      <c r="D39" s="23" t="s">
        <v>2553</v>
      </c>
      <c r="E39" s="23" t="s">
        <v>2554</v>
      </c>
      <c r="F39" s="23" t="s">
        <v>2530</v>
      </c>
      <c r="G39" s="23" t="s">
        <v>2555</v>
      </c>
      <c r="H39" s="23" t="s">
        <v>2377</v>
      </c>
      <c r="I39" s="23" t="s">
        <v>2556</v>
      </c>
      <c r="J39" s="23" t="s">
        <v>2379</v>
      </c>
      <c r="K39" s="23" t="s">
        <v>662</v>
      </c>
      <c r="L39" s="23" t="s">
        <v>2557</v>
      </c>
      <c r="M39" s="23" t="s">
        <v>2558</v>
      </c>
      <c r="N39" s="22" t="s">
        <v>2559</v>
      </c>
    </row>
    <row r="40" spans="1:14" ht="409.6">
      <c r="A40" s="23" t="s">
        <v>2345</v>
      </c>
      <c r="B40" s="23" t="s">
        <v>59</v>
      </c>
      <c r="C40" s="23" t="s">
        <v>2560</v>
      </c>
      <c r="D40" s="23" t="s">
        <v>2561</v>
      </c>
      <c r="E40" s="23" t="s">
        <v>2562</v>
      </c>
      <c r="F40" s="23" t="s">
        <v>2530</v>
      </c>
      <c r="G40" s="23" t="s">
        <v>2563</v>
      </c>
      <c r="H40" s="23" t="s">
        <v>2377</v>
      </c>
      <c r="I40" s="23" t="s">
        <v>2564</v>
      </c>
      <c r="J40" s="23" t="s">
        <v>2379</v>
      </c>
      <c r="K40" s="23" t="s">
        <v>815</v>
      </c>
      <c r="L40" s="23" t="s">
        <v>2565</v>
      </c>
      <c r="M40" s="23" t="s">
        <v>2566</v>
      </c>
      <c r="N40" s="22" t="s">
        <v>2567</v>
      </c>
    </row>
    <row r="41" spans="1:14" ht="409.6">
      <c r="A41" s="22" t="s">
        <v>2568</v>
      </c>
      <c r="B41" s="22" t="s">
        <v>1567</v>
      </c>
      <c r="C41" s="22" t="s">
        <v>2569</v>
      </c>
      <c r="D41" s="22" t="s">
        <v>2570</v>
      </c>
      <c r="E41" s="22" t="s">
        <v>2571</v>
      </c>
      <c r="F41" s="22" t="s">
        <v>2388</v>
      </c>
      <c r="G41" s="22" t="s">
        <v>2572</v>
      </c>
      <c r="H41" s="22" t="s">
        <v>2390</v>
      </c>
      <c r="I41" s="22" t="s">
        <v>2573</v>
      </c>
      <c r="J41" s="22" t="s">
        <v>2379</v>
      </c>
      <c r="K41" s="22" t="s">
        <v>1567</v>
      </c>
      <c r="L41" s="22" t="s">
        <v>2574</v>
      </c>
      <c r="M41" s="22" t="s">
        <v>2575</v>
      </c>
      <c r="N41" s="55" t="s">
        <v>2576</v>
      </c>
    </row>
    <row r="42" spans="1:14" ht="409.6">
      <c r="A42" s="23" t="s">
        <v>2577</v>
      </c>
      <c r="B42" s="23" t="s">
        <v>1567</v>
      </c>
      <c r="C42" s="23" t="s">
        <v>2578</v>
      </c>
      <c r="D42" s="23" t="s">
        <v>2579</v>
      </c>
      <c r="E42" s="23" t="s">
        <v>2580</v>
      </c>
      <c r="F42" s="23" t="s">
        <v>2388</v>
      </c>
      <c r="G42" s="23" t="s">
        <v>2581</v>
      </c>
      <c r="H42" s="23" t="s">
        <v>2390</v>
      </c>
      <c r="I42" s="23" t="s">
        <v>2582</v>
      </c>
      <c r="J42" s="23" t="s">
        <v>2379</v>
      </c>
      <c r="K42" s="23" t="s">
        <v>1567</v>
      </c>
      <c r="L42" s="23" t="s">
        <v>2583</v>
      </c>
      <c r="M42" s="23" t="s">
        <v>2584</v>
      </c>
      <c r="N42" s="22" t="s">
        <v>2585</v>
      </c>
    </row>
    <row r="43" spans="1:14" ht="409.6" customHeight="1">
      <c r="A43" s="27" t="s">
        <v>2586</v>
      </c>
      <c r="B43" s="27" t="s">
        <v>56</v>
      </c>
      <c r="C43" s="27" t="s">
        <v>2587</v>
      </c>
      <c r="D43" s="27" t="s">
        <v>2588</v>
      </c>
      <c r="E43" s="27" t="s">
        <v>2589</v>
      </c>
      <c r="F43" s="27" t="s">
        <v>2438</v>
      </c>
      <c r="G43" s="28" t="s">
        <v>2590</v>
      </c>
      <c r="H43" s="27" t="s">
        <v>2377</v>
      </c>
      <c r="I43" s="27" t="s">
        <v>2591</v>
      </c>
      <c r="J43" s="27" t="s">
        <v>2379</v>
      </c>
      <c r="K43" s="27" t="s">
        <v>2592</v>
      </c>
      <c r="L43" s="27" t="s">
        <v>2593</v>
      </c>
      <c r="M43" s="27" t="s">
        <v>2594</v>
      </c>
      <c r="N43" s="55" t="s">
        <v>2595</v>
      </c>
    </row>
    <row r="44" spans="1:14" ht="319.95" customHeight="1">
      <c r="A44" s="27" t="s">
        <v>241</v>
      </c>
      <c r="B44" s="27" t="s">
        <v>2596</v>
      </c>
      <c r="C44" s="27" t="s">
        <v>2597</v>
      </c>
      <c r="D44" s="27" t="s">
        <v>2598</v>
      </c>
      <c r="E44" s="27" t="s">
        <v>2599</v>
      </c>
      <c r="F44" s="27" t="s">
        <v>2600</v>
      </c>
      <c r="G44" s="27" t="s">
        <v>2601</v>
      </c>
      <c r="H44" s="27" t="s">
        <v>2310</v>
      </c>
      <c r="I44" s="27" t="s">
        <v>2602</v>
      </c>
      <c r="J44" s="27" t="s">
        <v>2442</v>
      </c>
      <c r="K44" s="27" t="s">
        <v>2603</v>
      </c>
      <c r="L44" s="27" t="s">
        <v>2604</v>
      </c>
      <c r="M44" s="27" t="s">
        <v>2311</v>
      </c>
      <c r="N44" s="22" t="s">
        <v>2313</v>
      </c>
    </row>
  </sheetData>
  <mergeCells count="2">
    <mergeCell ref="A1:J1"/>
    <mergeCell ref="A2:J2"/>
  </mergeCells>
  <conditionalFormatting sqref="J6:J44">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44"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8" t="s">
        <v>1282</v>
      </c>
      <c r="B1" s="58"/>
      <c r="C1" s="58"/>
      <c r="D1" s="58"/>
      <c r="E1" s="58"/>
      <c r="F1" s="58"/>
      <c r="G1" s="58"/>
      <c r="H1" s="58"/>
      <c r="I1" s="58"/>
      <c r="J1" s="58"/>
      <c r="K1" s="58"/>
      <c r="L1" s="58"/>
    </row>
    <row r="2" spans="1:12" ht="31.95" customHeight="1">
      <c r="A2" s="59" t="s">
        <v>1283</v>
      </c>
      <c r="B2" s="59"/>
      <c r="C2" s="59"/>
      <c r="D2" s="59"/>
      <c r="E2" s="59"/>
      <c r="F2" s="59"/>
      <c r="G2" s="59"/>
      <c r="H2" s="59"/>
      <c r="I2" s="59"/>
      <c r="J2" s="59"/>
      <c r="K2" s="59"/>
      <c r="L2" s="59"/>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2605</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2333</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2336</v>
      </c>
      <c r="F24" s="11" t="s">
        <v>1381</v>
      </c>
      <c r="G24" s="11" t="s">
        <v>658</v>
      </c>
      <c r="H24" s="11" t="s">
        <v>1320</v>
      </c>
      <c r="I24" s="18"/>
      <c r="J24" s="11"/>
      <c r="K24" s="11"/>
      <c r="L24" s="11"/>
    </row>
    <row r="25" spans="1:12" ht="171">
      <c r="A25" s="11" t="s">
        <v>1382</v>
      </c>
      <c r="B25" s="11" t="s">
        <v>59</v>
      </c>
      <c r="C25" s="11" t="s">
        <v>1383</v>
      </c>
      <c r="D25" s="11" t="s">
        <v>1384</v>
      </c>
      <c r="E25" s="11" t="s">
        <v>2606</v>
      </c>
      <c r="F25" s="11" t="s">
        <v>1385</v>
      </c>
      <c r="G25" s="11" t="s">
        <v>1386</v>
      </c>
      <c r="H25" s="11" t="s">
        <v>1320</v>
      </c>
      <c r="I25" s="18"/>
      <c r="J25" s="11"/>
      <c r="K25" s="11"/>
      <c r="L25" s="11"/>
    </row>
    <row r="26" spans="1:12" ht="182.4">
      <c r="A26" s="11" t="s">
        <v>1387</v>
      </c>
      <c r="B26" s="11" t="s">
        <v>59</v>
      </c>
      <c r="C26" s="11" t="s">
        <v>1388</v>
      </c>
      <c r="D26" s="11" t="s">
        <v>1389</v>
      </c>
      <c r="E26" s="11" t="s">
        <v>2607</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2608</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2346</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8" t="s">
        <v>1448</v>
      </c>
      <c r="B1" s="58"/>
      <c r="C1" s="58"/>
      <c r="D1" s="58"/>
      <c r="E1" s="58"/>
      <c r="F1" s="58"/>
      <c r="G1" s="58"/>
      <c r="H1" s="58"/>
      <c r="I1" s="58"/>
      <c r="J1" s="58"/>
      <c r="K1" s="58"/>
    </row>
    <row r="2" spans="1:11" ht="31.95" customHeight="1">
      <c r="A2" s="59" t="s">
        <v>1449</v>
      </c>
      <c r="B2" s="59"/>
      <c r="C2" s="59"/>
      <c r="D2" s="59"/>
      <c r="E2" s="59"/>
      <c r="F2" s="59"/>
      <c r="G2" s="59"/>
      <c r="H2" s="59"/>
      <c r="I2" s="59"/>
      <c r="J2" s="59"/>
      <c r="K2" s="59"/>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8" t="s">
        <v>1573</v>
      </c>
      <c r="B1" s="58"/>
      <c r="C1" s="58"/>
      <c r="D1" s="58"/>
      <c r="E1" s="58"/>
      <c r="F1" s="58"/>
      <c r="G1" s="58"/>
      <c r="H1" s="58"/>
      <c r="I1" s="58"/>
      <c r="J1" s="58"/>
    </row>
    <row r="2" spans="1:10" ht="31.95" customHeight="1">
      <c r="A2" s="59" t="s">
        <v>1574</v>
      </c>
      <c r="B2" s="59"/>
      <c r="C2" s="59"/>
      <c r="D2" s="59"/>
      <c r="E2" s="59"/>
      <c r="F2" s="59"/>
      <c r="G2" s="59"/>
      <c r="H2" s="59"/>
      <c r="I2" s="59"/>
      <c r="J2" s="59"/>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hidden="1">
      <c r="A6" s="10" t="s">
        <v>1583</v>
      </c>
      <c r="B6" s="10" t="s">
        <v>1584</v>
      </c>
      <c r="C6" s="19" t="s">
        <v>1585</v>
      </c>
      <c r="D6" s="10" t="s">
        <v>56</v>
      </c>
      <c r="E6" s="10" t="s">
        <v>1586</v>
      </c>
      <c r="F6" s="10" t="s">
        <v>46</v>
      </c>
      <c r="G6" s="10" t="s">
        <v>35</v>
      </c>
      <c r="H6" s="10" t="s">
        <v>99</v>
      </c>
      <c r="I6" s="19" t="s">
        <v>1587</v>
      </c>
      <c r="J6" s="17">
        <v>46257</v>
      </c>
    </row>
    <row r="7" spans="1:10" ht="68.400000000000006" hidden="1">
      <c r="A7" s="11" t="s">
        <v>1588</v>
      </c>
      <c r="B7" s="11" t="s">
        <v>1589</v>
      </c>
      <c r="C7" s="20" t="s">
        <v>1590</v>
      </c>
      <c r="D7" s="11" t="s">
        <v>56</v>
      </c>
      <c r="E7" s="11" t="s">
        <v>1586</v>
      </c>
      <c r="F7" s="11" t="s">
        <v>46</v>
      </c>
      <c r="G7" s="11" t="s">
        <v>35</v>
      </c>
      <c r="H7" s="11" t="s">
        <v>99</v>
      </c>
      <c r="I7" s="20" t="s">
        <v>1591</v>
      </c>
      <c r="J7" s="18">
        <v>46252</v>
      </c>
    </row>
    <row r="8" spans="1:10" hidden="1">
      <c r="A8" s="11" t="s">
        <v>1592</v>
      </c>
      <c r="B8" s="11" t="s">
        <v>106</v>
      </c>
      <c r="C8" s="20" t="s">
        <v>1593</v>
      </c>
      <c r="D8" s="11" t="s">
        <v>37</v>
      </c>
      <c r="E8" s="11" t="s">
        <v>1586</v>
      </c>
      <c r="F8" s="11" t="s">
        <v>46</v>
      </c>
      <c r="G8" s="11" t="s">
        <v>93</v>
      </c>
      <c r="H8" s="11" t="s">
        <v>1594</v>
      </c>
      <c r="I8" s="20"/>
      <c r="J8" s="18"/>
    </row>
    <row r="9" spans="1:10">
      <c r="A9" s="11" t="s">
        <v>322</v>
      </c>
      <c r="B9" s="11" t="s">
        <v>319</v>
      </c>
      <c r="C9" s="20" t="s">
        <v>1595</v>
      </c>
      <c r="D9" s="11" t="s">
        <v>37</v>
      </c>
      <c r="E9" s="11" t="s">
        <v>1586</v>
      </c>
      <c r="F9" s="11" t="s">
        <v>46</v>
      </c>
      <c r="G9" s="11" t="s">
        <v>93</v>
      </c>
      <c r="H9" s="11" t="s">
        <v>1596</v>
      </c>
      <c r="I9" s="20"/>
      <c r="J9" s="18"/>
    </row>
    <row r="10" spans="1:10" hidden="1">
      <c r="A10" s="11" t="s">
        <v>469</v>
      </c>
      <c r="B10" s="11" t="s">
        <v>1354</v>
      </c>
      <c r="C10" s="20" t="s">
        <v>1597</v>
      </c>
      <c r="D10" s="11" t="s">
        <v>57</v>
      </c>
      <c r="E10" s="11" t="s">
        <v>1586</v>
      </c>
      <c r="F10" s="11" t="s">
        <v>303</v>
      </c>
      <c r="G10" s="11" t="s">
        <v>93</v>
      </c>
      <c r="H10" s="11" t="s">
        <v>1598</v>
      </c>
      <c r="I10" s="20"/>
      <c r="J10" s="18"/>
    </row>
    <row r="11" spans="1:10" hidden="1">
      <c r="A11" s="11" t="s">
        <v>1599</v>
      </c>
      <c r="B11" s="11" t="s">
        <v>1600</v>
      </c>
      <c r="C11" s="20" t="s">
        <v>1601</v>
      </c>
      <c r="D11" s="11" t="s">
        <v>59</v>
      </c>
      <c r="E11" s="11" t="s">
        <v>1586</v>
      </c>
      <c r="F11" s="11" t="s">
        <v>303</v>
      </c>
      <c r="G11" s="11" t="s">
        <v>93</v>
      </c>
      <c r="H11" s="11" t="s">
        <v>1602</v>
      </c>
      <c r="I11" s="20"/>
      <c r="J11" s="18"/>
    </row>
    <row r="12" spans="1:10" ht="68.400000000000006" hidden="1">
      <c r="A12" s="11" t="s">
        <v>1603</v>
      </c>
      <c r="B12" s="11" t="s">
        <v>1600</v>
      </c>
      <c r="C12" s="20" t="s">
        <v>1604</v>
      </c>
      <c r="D12" s="11" t="s">
        <v>56</v>
      </c>
      <c r="E12" s="11" t="s">
        <v>1586</v>
      </c>
      <c r="F12" s="11" t="s">
        <v>46</v>
      </c>
      <c r="G12" s="11" t="s">
        <v>35</v>
      </c>
      <c r="H12" s="11" t="s">
        <v>1605</v>
      </c>
      <c r="I12" s="20" t="s">
        <v>1606</v>
      </c>
      <c r="J12" s="18">
        <v>46252</v>
      </c>
    </row>
    <row r="13" spans="1:10" ht="22.8" hidden="1">
      <c r="A13" s="11" t="s">
        <v>1607</v>
      </c>
      <c r="B13" s="11" t="s">
        <v>1608</v>
      </c>
      <c r="C13" s="20" t="s">
        <v>1609</v>
      </c>
      <c r="D13" s="11" t="s">
        <v>59</v>
      </c>
      <c r="E13" s="11" t="s">
        <v>1586</v>
      </c>
      <c r="F13" s="11" t="s">
        <v>303</v>
      </c>
      <c r="G13" s="11" t="s">
        <v>93</v>
      </c>
      <c r="H13" s="11" t="s">
        <v>1610</v>
      </c>
      <c r="I13" s="20"/>
      <c r="J13" s="18"/>
    </row>
    <row r="14" spans="1:10" ht="91.2">
      <c r="A14" s="11" t="s">
        <v>125</v>
      </c>
      <c r="B14" s="11" t="s">
        <v>106</v>
      </c>
      <c r="C14" s="20" t="s">
        <v>1611</v>
      </c>
      <c r="D14" s="11" t="s">
        <v>56</v>
      </c>
      <c r="E14" s="11" t="s">
        <v>1586</v>
      </c>
      <c r="F14" s="11" t="s">
        <v>46</v>
      </c>
      <c r="G14" s="11" t="s">
        <v>35</v>
      </c>
      <c r="H14" s="11" t="s">
        <v>1612</v>
      </c>
      <c r="I14" s="20" t="s">
        <v>1613</v>
      </c>
      <c r="J14" s="18">
        <v>46252</v>
      </c>
    </row>
    <row r="15" spans="1:10" hidden="1">
      <c r="A15" s="11" t="s">
        <v>1614</v>
      </c>
      <c r="B15" s="11" t="s">
        <v>1305</v>
      </c>
      <c r="C15" s="20" t="s">
        <v>1615</v>
      </c>
      <c r="D15" s="11" t="s">
        <v>59</v>
      </c>
      <c r="E15" s="11" t="s">
        <v>1586</v>
      </c>
      <c r="F15" s="11" t="s">
        <v>303</v>
      </c>
      <c r="G15" s="11" t="s">
        <v>93</v>
      </c>
      <c r="H15" s="11" t="s">
        <v>1610</v>
      </c>
      <c r="I15" s="20"/>
      <c r="J15" s="18"/>
    </row>
    <row r="16" spans="1:10" hidden="1">
      <c r="A16" s="11" t="s">
        <v>756</v>
      </c>
      <c r="B16" s="11" t="s">
        <v>752</v>
      </c>
      <c r="C16" s="20" t="s">
        <v>1616</v>
      </c>
      <c r="D16" s="11" t="s">
        <v>59</v>
      </c>
      <c r="E16" s="11" t="s">
        <v>1586</v>
      </c>
      <c r="F16" s="11" t="s">
        <v>303</v>
      </c>
      <c r="G16" s="11" t="s">
        <v>93</v>
      </c>
      <c r="H16" s="11" t="s">
        <v>1617</v>
      </c>
      <c r="I16" s="20"/>
      <c r="J16" s="18"/>
    </row>
    <row r="17" spans="1:10" hidden="1">
      <c r="A17" s="11" t="s">
        <v>398</v>
      </c>
      <c r="B17" s="11" t="s">
        <v>1618</v>
      </c>
      <c r="C17" s="20" t="s">
        <v>1619</v>
      </c>
      <c r="D17" s="11" t="s">
        <v>57</v>
      </c>
      <c r="E17" s="11" t="s">
        <v>1586</v>
      </c>
      <c r="F17" s="11" t="s">
        <v>303</v>
      </c>
      <c r="G17" s="11" t="s">
        <v>93</v>
      </c>
      <c r="H17" s="11" t="s">
        <v>1620</v>
      </c>
      <c r="I17" s="20"/>
      <c r="J17" s="18"/>
    </row>
    <row r="18" spans="1:10" hidden="1">
      <c r="A18" s="11" t="s">
        <v>297</v>
      </c>
      <c r="B18" s="11" t="s">
        <v>1618</v>
      </c>
      <c r="C18" s="20" t="s">
        <v>1621</v>
      </c>
      <c r="D18" s="11" t="s">
        <v>37</v>
      </c>
      <c r="E18" s="11" t="s">
        <v>1586</v>
      </c>
      <c r="F18" s="11" t="s">
        <v>46</v>
      </c>
      <c r="G18" s="11" t="s">
        <v>93</v>
      </c>
      <c r="H18" s="11" t="s">
        <v>1052</v>
      </c>
      <c r="I18" s="20"/>
      <c r="J18" s="18"/>
    </row>
    <row r="19" spans="1:10" hidden="1">
      <c r="A19" s="11" t="s">
        <v>334</v>
      </c>
      <c r="B19" s="11" t="s">
        <v>1400</v>
      </c>
      <c r="C19" s="20" t="s">
        <v>1622</v>
      </c>
      <c r="D19" s="11" t="s">
        <v>37</v>
      </c>
      <c r="E19" s="11" t="s">
        <v>1586</v>
      </c>
      <c r="F19" s="11" t="s">
        <v>46</v>
      </c>
      <c r="G19" s="11" t="s">
        <v>93</v>
      </c>
      <c r="H19" s="11" t="s">
        <v>1623</v>
      </c>
      <c r="I19" s="20"/>
      <c r="J19" s="18"/>
    </row>
    <row r="20" spans="1:10" ht="79.8">
      <c r="A20" s="11" t="s">
        <v>182</v>
      </c>
      <c r="B20" s="11" t="s">
        <v>179</v>
      </c>
      <c r="C20" s="20" t="s">
        <v>1624</v>
      </c>
      <c r="D20" s="11" t="s">
        <v>56</v>
      </c>
      <c r="E20" s="11" t="s">
        <v>1625</v>
      </c>
      <c r="F20" s="11" t="s">
        <v>46</v>
      </c>
      <c r="G20" s="11" t="s">
        <v>35</v>
      </c>
      <c r="H20" s="11" t="s">
        <v>1626</v>
      </c>
      <c r="I20" s="20" t="s">
        <v>1627</v>
      </c>
      <c r="J20" s="18">
        <v>46252</v>
      </c>
    </row>
    <row r="21" spans="1:10" ht="22.8" hidden="1">
      <c r="A21" s="11" t="s">
        <v>524</v>
      </c>
      <c r="B21" s="11" t="s">
        <v>1628</v>
      </c>
      <c r="C21" s="20" t="s">
        <v>1629</v>
      </c>
      <c r="D21" s="11" t="s">
        <v>58</v>
      </c>
      <c r="E21" s="11" t="s">
        <v>1586</v>
      </c>
      <c r="F21" s="11" t="s">
        <v>303</v>
      </c>
      <c r="G21" s="11" t="s">
        <v>93</v>
      </c>
      <c r="H21" s="11" t="s">
        <v>1630</v>
      </c>
      <c r="I21" s="20"/>
      <c r="J21" s="18"/>
    </row>
    <row r="22" spans="1:10" hidden="1">
      <c r="A22" s="11" t="s">
        <v>491</v>
      </c>
      <c r="B22" s="11" t="s">
        <v>1631</v>
      </c>
      <c r="C22" s="20" t="s">
        <v>1632</v>
      </c>
      <c r="D22" s="11" t="s">
        <v>60</v>
      </c>
      <c r="E22" s="11" t="s">
        <v>1586</v>
      </c>
      <c r="F22" s="11" t="s">
        <v>303</v>
      </c>
      <c r="G22" s="11" t="s">
        <v>93</v>
      </c>
      <c r="H22" s="11" t="s">
        <v>1633</v>
      </c>
      <c r="I22" s="20"/>
      <c r="J22" s="18"/>
    </row>
    <row r="23" spans="1:10" hidden="1">
      <c r="A23" s="11" t="s">
        <v>503</v>
      </c>
      <c r="B23" s="11" t="s">
        <v>1418</v>
      </c>
      <c r="C23" s="20" t="s">
        <v>1634</v>
      </c>
      <c r="D23" s="11" t="s">
        <v>60</v>
      </c>
      <c r="E23" s="11" t="s">
        <v>1586</v>
      </c>
      <c r="F23" s="11" t="s">
        <v>303</v>
      </c>
      <c r="G23" s="11" t="s">
        <v>93</v>
      </c>
      <c r="H23" s="11" t="s">
        <v>910</v>
      </c>
      <c r="I23" s="20"/>
      <c r="J23" s="18"/>
    </row>
    <row r="24" spans="1:10" ht="22.8" hidden="1">
      <c r="A24" s="11" t="s">
        <v>598</v>
      </c>
      <c r="B24" s="11" t="s">
        <v>1635</v>
      </c>
      <c r="C24" s="20" t="s">
        <v>1636</v>
      </c>
      <c r="D24" s="11" t="s">
        <v>58</v>
      </c>
      <c r="E24" s="11" t="s">
        <v>1586</v>
      </c>
      <c r="F24" s="11" t="s">
        <v>303</v>
      </c>
      <c r="G24" s="11" t="s">
        <v>93</v>
      </c>
      <c r="H24" s="11" t="s">
        <v>1637</v>
      </c>
      <c r="I24" s="20"/>
      <c r="J24" s="18"/>
    </row>
    <row r="25" spans="1:10" ht="22.8" hidden="1">
      <c r="A25" s="11" t="s">
        <v>838</v>
      </c>
      <c r="B25" s="11" t="s">
        <v>847</v>
      </c>
      <c r="C25" s="20" t="s">
        <v>1638</v>
      </c>
      <c r="D25" s="11" t="s">
        <v>60</v>
      </c>
      <c r="E25" s="11" t="s">
        <v>1586</v>
      </c>
      <c r="F25" s="11" t="s">
        <v>303</v>
      </c>
      <c r="G25" s="11" t="s">
        <v>93</v>
      </c>
      <c r="H25" s="11" t="s">
        <v>1639</v>
      </c>
      <c r="I25" s="20"/>
      <c r="J25" s="18"/>
    </row>
    <row r="26" spans="1:10" hidden="1">
      <c r="A26" s="11" t="s">
        <v>609</v>
      </c>
      <c r="B26" s="11" t="s">
        <v>106</v>
      </c>
      <c r="C26" s="20" t="s">
        <v>1640</v>
      </c>
      <c r="D26" s="11" t="s">
        <v>58</v>
      </c>
      <c r="E26" s="11" t="s">
        <v>1625</v>
      </c>
      <c r="F26" s="11" t="s">
        <v>303</v>
      </c>
      <c r="G26" s="11" t="s">
        <v>93</v>
      </c>
      <c r="H26" s="11" t="s">
        <v>1641</v>
      </c>
      <c r="I26" s="20"/>
      <c r="J26" s="18"/>
    </row>
    <row r="27" spans="1:10" ht="22.8" hidden="1">
      <c r="A27" s="11" t="s">
        <v>930</v>
      </c>
      <c r="B27" s="11" t="s">
        <v>1423</v>
      </c>
      <c r="C27" s="20" t="s">
        <v>1642</v>
      </c>
      <c r="D27" s="11" t="s">
        <v>60</v>
      </c>
      <c r="E27" s="11" t="s">
        <v>1625</v>
      </c>
      <c r="F27" s="11" t="s">
        <v>303</v>
      </c>
      <c r="G27" s="11" t="s">
        <v>93</v>
      </c>
      <c r="H27" s="11" t="s">
        <v>1643</v>
      </c>
      <c r="I27" s="20"/>
      <c r="J27" s="18"/>
    </row>
    <row r="28" spans="1:10" ht="68.400000000000006" hidden="1">
      <c r="A28" s="11" t="s">
        <v>357</v>
      </c>
      <c r="B28" s="11" t="s">
        <v>1644</v>
      </c>
      <c r="C28" s="20" t="s">
        <v>1645</v>
      </c>
      <c r="D28" s="11" t="s">
        <v>56</v>
      </c>
      <c r="E28" s="11" t="s">
        <v>1586</v>
      </c>
      <c r="F28" s="11" t="s">
        <v>46</v>
      </c>
      <c r="G28" s="11" t="s">
        <v>35</v>
      </c>
      <c r="H28" s="11" t="s">
        <v>1646</v>
      </c>
      <c r="I28" s="20" t="s">
        <v>1647</v>
      </c>
      <c r="J28" s="18">
        <v>46252</v>
      </c>
    </row>
    <row r="29" spans="1:10" ht="22.8" hidden="1">
      <c r="A29" s="11" t="s">
        <v>1648</v>
      </c>
      <c r="B29" s="11" t="s">
        <v>319</v>
      </c>
      <c r="C29" s="20" t="s">
        <v>1649</v>
      </c>
      <c r="D29" s="11" t="s">
        <v>59</v>
      </c>
      <c r="E29" s="11" t="s">
        <v>1586</v>
      </c>
      <c r="F29" s="11" t="s">
        <v>303</v>
      </c>
      <c r="G29" s="11" t="s">
        <v>93</v>
      </c>
      <c r="H29" s="11" t="s">
        <v>1650</v>
      </c>
      <c r="I29" s="20"/>
      <c r="J29" s="18"/>
    </row>
    <row r="30" spans="1:10" ht="22.8" hidden="1">
      <c r="A30" s="11" t="s">
        <v>433</v>
      </c>
      <c r="B30" s="11" t="s">
        <v>1651</v>
      </c>
      <c r="C30" s="20" t="s">
        <v>1652</v>
      </c>
      <c r="D30" s="11" t="s">
        <v>57</v>
      </c>
      <c r="E30" s="11" t="s">
        <v>1625</v>
      </c>
      <c r="F30" s="11" t="s">
        <v>303</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8" t="s">
        <v>1654</v>
      </c>
      <c r="B1" s="58"/>
      <c r="C1" s="58"/>
      <c r="D1" s="58"/>
      <c r="E1" s="58"/>
      <c r="F1" s="58"/>
      <c r="G1" s="58"/>
      <c r="H1" s="58"/>
      <c r="I1" s="58"/>
    </row>
    <row r="2" spans="1:9">
      <c r="A2" s="59" t="s">
        <v>1655</v>
      </c>
      <c r="B2" s="59"/>
      <c r="C2" s="59"/>
      <c r="D2" s="59"/>
      <c r="E2" s="59"/>
      <c r="F2" s="59"/>
      <c r="G2" s="59"/>
      <c r="H2" s="59"/>
      <c r="I2" s="59"/>
    </row>
    <row r="4" spans="1:9">
      <c r="A4" s="60" t="s">
        <v>1656</v>
      </c>
      <c r="B4" s="61"/>
      <c r="C4" s="61"/>
      <c r="D4" s="61"/>
      <c r="E4" s="61"/>
      <c r="F4" s="61"/>
      <c r="G4" s="61"/>
      <c r="H4" s="61"/>
      <c r="I4" s="62"/>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6" t="s">
        <v>1740</v>
      </c>
      <c r="B29" s="117"/>
      <c r="C29" s="117"/>
      <c r="D29" s="117"/>
      <c r="E29" s="117"/>
      <c r="F29" s="117"/>
      <c r="G29" s="117"/>
      <c r="H29" s="117"/>
      <c r="I29" s="118"/>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8" t="s">
        <v>1741</v>
      </c>
      <c r="B1" s="58"/>
      <c r="C1" s="58"/>
      <c r="D1" s="58"/>
      <c r="E1" s="58"/>
      <c r="F1" s="58"/>
      <c r="G1" s="58"/>
    </row>
    <row r="2" spans="1:7" ht="31.95" customHeight="1">
      <c r="A2" s="59" t="s">
        <v>1742</v>
      </c>
      <c r="B2" s="59"/>
      <c r="C2" s="59"/>
      <c r="D2" s="59"/>
      <c r="E2" s="59"/>
      <c r="F2" s="59"/>
      <c r="G2" s="59"/>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8" t="s">
        <v>2049</v>
      </c>
      <c r="B1" s="58"/>
      <c r="C1" s="58"/>
      <c r="D1" s="58"/>
      <c r="E1" s="58"/>
      <c r="F1" s="58"/>
      <c r="G1" s="58"/>
      <c r="H1" s="58"/>
    </row>
    <row r="2" spans="1:8" ht="31.95" customHeight="1">
      <c r="A2" s="59" t="s">
        <v>2050</v>
      </c>
      <c r="B2" s="59"/>
      <c r="C2" s="59"/>
      <c r="D2" s="59"/>
      <c r="E2" s="59"/>
      <c r="F2" s="59"/>
      <c r="G2" s="59"/>
      <c r="H2" s="59"/>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8" t="s">
        <v>2174</v>
      </c>
      <c r="B1" s="58"/>
      <c r="C1" s="58"/>
      <c r="D1" s="58"/>
      <c r="E1" s="58"/>
      <c r="F1" s="58"/>
    </row>
    <row r="2" spans="1:6" ht="31.95" customHeight="1">
      <c r="A2" s="59" t="s">
        <v>2175</v>
      </c>
      <c r="B2" s="59"/>
      <c r="C2" s="59"/>
      <c r="D2" s="59"/>
      <c r="E2" s="59"/>
      <c r="F2" s="59"/>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6" t="s">
        <v>2199</v>
      </c>
      <c r="B11" s="117"/>
      <c r="C11" s="117"/>
      <c r="D11" s="117"/>
      <c r="E11" s="117"/>
      <c r="F11" s="118"/>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19" t="s">
        <v>2200</v>
      </c>
      <c r="B1" s="119"/>
      <c r="C1" s="119"/>
      <c r="D1" s="119"/>
      <c r="E1" s="119"/>
      <c r="F1" s="119"/>
      <c r="G1" s="119"/>
      <c r="H1" s="119"/>
    </row>
    <row r="2" spans="1:8" ht="36" customHeight="1">
      <c r="A2" s="120" t="s">
        <v>2201</v>
      </c>
      <c r="B2" s="120"/>
      <c r="C2" s="120"/>
      <c r="D2" s="120"/>
      <c r="E2" s="120"/>
      <c r="F2" s="120"/>
      <c r="G2" s="120"/>
      <c r="H2" s="120"/>
    </row>
    <row r="3" spans="1:8" ht="15" customHeight="1">
      <c r="A3" s="29"/>
      <c r="B3" s="29"/>
      <c r="C3" s="29"/>
      <c r="D3" s="29"/>
      <c r="E3" s="29"/>
      <c r="F3" s="29"/>
      <c r="G3" s="29"/>
      <c r="H3" s="29"/>
    </row>
    <row r="4" spans="1:8" ht="15" customHeight="1">
      <c r="A4" s="121" t="s">
        <v>2</v>
      </c>
      <c r="B4" s="121"/>
      <c r="C4" s="121"/>
      <c r="D4" s="121"/>
      <c r="E4" s="121"/>
      <c r="F4" s="121"/>
      <c r="G4" s="121"/>
      <c r="H4" s="121"/>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In progress</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1" t="s">
        <v>2282</v>
      </c>
      <c r="B20" s="121"/>
      <c r="C20" s="121"/>
      <c r="D20" s="121"/>
      <c r="E20" s="121"/>
      <c r="F20" s="121"/>
      <c r="G20" s="121"/>
      <c r="H20" s="121"/>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modified xsi:type="dcterms:W3CDTF">2026-08-25T06:56:40Z</dcterms:modified>
</cp:coreProperties>
</file>