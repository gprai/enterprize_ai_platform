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6165659A-FE48-4919-809E-266AD87AC293}" xr6:coauthVersionLast="47" xr6:coauthVersionMax="47" xr10:uidLastSave="{00000000-0000-0000-0000-000000000000}"/>
  <bookViews>
    <workbookView xWindow="-108" yWindow="-108" windowWidth="23256" windowHeight="13896" tabRatio="788" firstSheet="4" activeTab="4"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 i="11" l="1" a="1"/>
  <c r="L32" i="11" s="1"/>
  <c r="L33" i="11" a="1"/>
  <c r="L33" i="11" s="1"/>
  <c r="L34" i="11" a="1"/>
  <c r="L34" i="11" s="1"/>
  <c r="L45" i="11" a="1"/>
  <c r="L45" i="11" s="1"/>
  <c r="L46" i="11" a="1"/>
  <c r="L46" i="11" s="1"/>
  <c r="L47" i="11" a="1"/>
  <c r="L47" i="11" s="1"/>
  <c r="L48" i="11" a="1"/>
  <c r="L48" i="11" s="1"/>
  <c r="L49" i="11" a="1"/>
  <c r="L49" i="11" s="1"/>
  <c r="L50" i="11" a="1"/>
  <c r="L50" i="11" s="1"/>
  <c r="L51" i="11" a="1"/>
  <c r="L51" i="11" s="1"/>
  <c r="L52" i="11" a="1"/>
  <c r="L52" i="11" s="1"/>
  <c r="L53" i="11" a="1"/>
  <c r="L53" i="11" s="1"/>
  <c r="L54" i="11" a="1"/>
  <c r="L54" i="11" s="1"/>
  <c r="L55" i="11" a="1"/>
  <c r="L55" i="11" s="1"/>
  <c r="L56" i="11" a="1"/>
  <c r="L56" i="11" s="1"/>
  <c r="L60" i="11" a="1"/>
  <c r="L60" i="11" s="1"/>
  <c r="L61" i="11" a="1"/>
  <c r="L61" i="11" s="1"/>
  <c r="L62" i="11" a="1"/>
  <c r="L62" i="11" s="1"/>
  <c r="L63" i="11" a="1"/>
  <c r="L63" i="11" s="1"/>
  <c r="L64" i="11" a="1"/>
  <c r="L64" i="11" s="1"/>
  <c r="L65" i="11" a="1"/>
  <c r="L65" i="11" s="1"/>
  <c r="L66" i="11" a="1"/>
  <c r="L66" i="11" s="1"/>
  <c r="L77" i="11" a="1"/>
  <c r="L77" i="11" s="1"/>
  <c r="L78" i="11" a="1"/>
  <c r="L78" i="11" s="1"/>
  <c r="L80" i="11" a="1"/>
  <c r="L80" i="11" s="1"/>
  <c r="L82" i="11" a="1"/>
  <c r="L82" i="11" s="1"/>
  <c r="L83" i="11" a="1"/>
  <c r="L83" i="11" s="1"/>
  <c r="L87" i="11" a="1"/>
  <c r="L87" i="11" s="1"/>
  <c r="L88" i="11" a="1"/>
  <c r="L88" i="11" s="1"/>
  <c r="L92" i="11" a="1"/>
  <c r="L92" i="11" s="1"/>
  <c r="L93" i="11" a="1"/>
  <c r="L93" i="11" s="1"/>
  <c r="L94" i="11" a="1"/>
  <c r="L94" i="11" s="1"/>
  <c r="L95" i="11" a="1"/>
  <c r="L95" i="11" s="1"/>
  <c r="L97" i="11" a="1"/>
  <c r="L97" i="11" s="1"/>
  <c r="L111" i="11" a="1"/>
  <c r="L111" i="11" s="1"/>
  <c r="L112" i="11" a="1"/>
  <c r="L112" i="11" s="1"/>
  <c r="L113" i="11" a="1"/>
  <c r="L113" i="11" s="1"/>
  <c r="L114" i="11" a="1"/>
  <c r="L114" i="11" s="1"/>
  <c r="L115" i="11" a="1"/>
  <c r="L115" i="11" s="1"/>
  <c r="L116" i="11" a="1"/>
  <c r="L116" i="11" s="1"/>
  <c r="L180" i="11" a="1"/>
  <c r="L180" i="11" s="1"/>
  <c r="L181" i="11" a="1"/>
  <c r="L181" i="11" s="1"/>
  <c r="L182" i="11" a="1"/>
  <c r="L182" i="11" s="1"/>
  <c r="L183" i="11" a="1"/>
  <c r="L183" i="11" s="1"/>
  <c r="L184" i="11" a="1"/>
  <c r="L184" i="11" s="1"/>
  <c r="L185" i="11" a="1"/>
  <c r="L185" i="11" s="1"/>
  <c r="L186" i="11" a="1"/>
  <c r="L186" i="11" s="1"/>
  <c r="L187" i="11" a="1"/>
  <c r="L187" i="11" s="1"/>
  <c r="L188" i="11" a="1"/>
  <c r="L188" i="11" s="1"/>
  <c r="L189" i="11" a="1"/>
  <c r="L189" i="11" s="1"/>
  <c r="L214" i="11" a="1"/>
  <c r="L214" i="11" s="1"/>
  <c r="L215" i="11" a="1"/>
  <c r="L215" i="11" s="1"/>
  <c r="L216" i="11" a="1"/>
  <c r="L216" i="11" s="1"/>
  <c r="L217" i="11" a="1"/>
  <c r="L217" i="11" s="1"/>
  <c r="L218" i="11" a="1"/>
  <c r="L218" i="11" s="1"/>
  <c r="L219" i="11" a="1"/>
  <c r="L219" i="11" s="1"/>
  <c r="L221" i="11" a="1"/>
  <c r="L221" i="11" s="1"/>
  <c r="L222" i="11" a="1"/>
  <c r="L222" i="11" s="1"/>
  <c r="L223" i="11" a="1"/>
  <c r="L223" i="11" s="1"/>
  <c r="L224" i="11" a="1"/>
  <c r="L224" i="11" s="1"/>
  <c r="L225" i="11" a="1"/>
  <c r="L225" i="11" s="1"/>
  <c r="L226" i="11" a="1"/>
  <c r="L226" i="11" s="1"/>
  <c r="L228" i="11" a="1"/>
  <c r="L228" i="11" s="1"/>
  <c r="L270" i="11" a="1"/>
  <c r="L270" i="11" s="1"/>
  <c r="L271" i="11" a="1"/>
  <c r="L271" i="11" s="1"/>
  <c r="L278" i="11" a="1"/>
  <c r="L278" i="11" s="1"/>
  <c r="L283" i="11" a="1"/>
  <c r="L283" i="11" s="1"/>
  <c r="L302" i="11" a="1"/>
  <c r="L302" i="11" s="1"/>
  <c r="L303" i="11" a="1"/>
  <c r="L303" i="11" s="1"/>
  <c r="L304" i="11" a="1"/>
  <c r="L304" i="11" s="1"/>
  <c r="L305" i="11" a="1"/>
  <c r="L305" i="11" s="1"/>
  <c r="L306" i="11" a="1"/>
  <c r="L306" i="11" s="1"/>
  <c r="L307" i="11" a="1"/>
  <c r="L307" i="11" s="1"/>
  <c r="L308" i="11" a="1"/>
  <c r="L308" i="11" s="1"/>
  <c r="L309" i="11" a="1"/>
  <c r="L309" i="11" s="1"/>
  <c r="L310" i="11" a="1"/>
  <c r="L310" i="11" s="1"/>
  <c r="L311" i="11" a="1"/>
  <c r="L311" i="11" s="1"/>
  <c r="L312" i="11" a="1"/>
  <c r="L312" i="11" s="1"/>
  <c r="L313" i="11" a="1"/>
  <c r="L313" i="11" s="1"/>
  <c r="L327" i="11" a="1"/>
  <c r="L327" i="11" s="1"/>
  <c r="L332" i="11" a="1"/>
  <c r="L332" i="11" s="1"/>
  <c r="L333" i="11" a="1"/>
  <c r="L333" i="11" s="1"/>
  <c r="L340" i="11" a="1"/>
  <c r="L340" i="11" s="1"/>
  <c r="L356" i="11"/>
  <c r="L357" i="11"/>
  <c r="L397" i="11" a="1"/>
  <c r="L397" i="11" s="1"/>
  <c r="L398" i="11" a="1"/>
  <c r="L398" i="11" s="1"/>
  <c r="L403" i="11" a="1"/>
  <c r="L403" i="11" s="1"/>
  <c r="L408" i="11" a="1"/>
  <c r="L408" i="11" s="1"/>
  <c r="L409" i="11" a="1"/>
  <c r="L409" i="11" s="1"/>
  <c r="L410" i="11" a="1"/>
  <c r="L410" i="11" s="1"/>
  <c r="L412" i="11" a="1"/>
  <c r="L412" i="11" s="1"/>
  <c r="L414" i="11" a="1"/>
  <c r="L414" i="11"/>
  <c r="L415" i="11" a="1"/>
  <c r="L415" i="11" s="1"/>
  <c r="L416" i="11" a="1"/>
  <c r="L416" i="11" s="1"/>
  <c r="L418" i="11" a="1"/>
  <c r="L418" i="11" s="1"/>
  <c r="L452" i="11" a="1"/>
  <c r="L452" i="11" s="1"/>
  <c r="L456" i="11" a="1"/>
  <c r="L456" i="11" s="1"/>
  <c r="L457" i="11" a="1"/>
  <c r="L457" i="11" s="1"/>
  <c r="L458" i="11" a="1"/>
  <c r="L458" i="11" s="1"/>
  <c r="L459" i="11" a="1"/>
  <c r="L459" i="11" s="1"/>
  <c r="L460" i="11" a="1"/>
  <c r="L460" i="11" s="1"/>
  <c r="H18" i="19"/>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<sst xmlns="http://schemas.openxmlformats.org/spreadsheetml/2006/main" count="5453" uniqueCount="2874">
  <si>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</si>
  <si>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</si>
  <si>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</si>
  <si>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</si>
  <si>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</si>
  <si>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</si>
  <si>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</si>
  <si>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</si>
  <si>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</si>
  <si>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</si>
  <si>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</si>
  <si>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</si>
  <si>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</si>
  <si>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</si>
  <si>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</si>
  <si>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</si>
  <si>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</si>
  <si>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</si>
  <si>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</si>
  <si>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</si>
  <si>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</si>
  <si>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</si>
  <si>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</si>
  <si>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</si>
  <si>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</si>
  <si>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</si>
  <si>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</si>
  <si>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</si>
  <si>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</si>
  <si>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</si>
  <si>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</si>
  <si>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</si>
  <si>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</si>
  <si>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</si>
  <si>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</si>
  <si>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</si>
  <si>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</si>
  <si>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</si>
  <si>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</si>
  <si>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</si>
  <si>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</si>
  <si>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</si>
  <si>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</si>
  <si>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</si>
  <si>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</si>
  <si>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</si>
  <si>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</si>
  <si>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</si>
  <si>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</si>
  <si>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</si>
  <si>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</si>
  <si>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</si>
  <si>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</si>
  <si>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</si>
  <si>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</si>
  <si>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</si>
  <si>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</si>
  <si>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</si>
  <si>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</si>
  <si>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</si>
  <si>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</si>
  <si>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</si>
  <si>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</si>
  <si>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</si>
  <si>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</si>
  <si>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</si>
  <si>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</si>
  <si>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</si>
  <si>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</si>
  <si>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</si>
  <si>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</si>
  <si>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</si>
  <si>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</si>
  <si>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</si>
  <si>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</si>
  <si>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</si>
  <si>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</si>
  <si>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</si>
  <si>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</si>
  <si>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</si>
  <si>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</si>
  <si>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</si>
  <si>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</si>
  <si>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</si>
  <si>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</si>
  <si>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</si>
  <si>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</si>
  <si>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</si>
  <si>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</si>
  <si>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</si>
  <si>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</si>
  <si>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</si>
  <si>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</si>
  <si>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</si>
  <si>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</si>
  <si>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</si>
  <si>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</si>
  <si>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</si>
  <si>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</si>
  <si>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</si>
  <si>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</si>
  <si>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</si>
  <si>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</si>
  <si>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</si>
  <si>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</si>
  <si>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</si>
  <si>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</si>
  <si>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</si>
  <si>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</si>
  <si>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</si>
  <si>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</si>
  <si>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</si>
  <si>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</si>
  <si>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</si>
  <si>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</si>
  <si>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</si>
  <si>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</si>
  <si>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</si>
  <si>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</si>
  <si>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</si>
  <si>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</si>
  <si>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</si>
  <si>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</si>
  <si>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</si>
  <si>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</si>
  <si>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</si>
  <si>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</si>
  <si>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</si>
  <si>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</si>
  <si>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</si>
  <si>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</si>
  <si>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</si>
  <si>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</si>
  <si>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</si>
  <si>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</si>
  <si>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</si>
  <si>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</si>
  <si>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</si>
  <si>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</si>
  <si>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</si>
  <si>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</si>
  <si>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</si>
  <si>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</si>
  <si>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</si>
  <si>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</si>
  <si>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</si>
  <si>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</si>
  <si>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</si>
  <si>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</si>
  <si>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</si>
  <si>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</si>
  <si>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</si>
  <si>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</si>
  <si>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</si>
  <si>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</si>
  <si>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</si>
  <si>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</si>
  <si>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</si>
  <si>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</si>
  <si>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</si>
  <si>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</si>
  <si>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</si>
  <si>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</si>
  <si>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</si>
  <si>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</si>
  <si>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</si>
  <si>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</si>
  <si>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</si>
  <si>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</si>
  <si>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</si>
  <si>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</si>
  <si>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</si>
  <si>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</si>
  <si>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</si>
  <si>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</si>
  <si>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</si>
  <si>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</si>
  <si>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</si>
  <si>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</si>
  <si>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</si>
  <si>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</si>
  <si>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</si>
  <si>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</si>
  <si>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</si>
  <si>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</si>
  <si>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</si>
  <si>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</si>
  <si>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</si>
  <si>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</si>
  <si>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</si>
  <si>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</si>
  <si>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</si>
  <si>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</si>
  <si>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</si>
  <si>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</si>
  <si>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</si>
  <si>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</si>
  <si>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</si>
  <si>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</si>
  <si>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</si>
  <si>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</si>
  <si>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</si>
  <si>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</si>
  <si>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</si>
  <si>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</si>
  <si>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</si>
  <si>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</si>
  <si>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</si>
  <si>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</si>
  <si>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</si>
  <si>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</si>
  <si>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</si>
  <si>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</si>
  <si>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</si>
  <si>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</si>
  <si>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</si>
  <si>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</si>
  <si>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</si>
  <si>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</si>
  <si>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</si>
  <si>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</si>
  <si>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</si>
  <si>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</si>
  <si>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</si>
  <si>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</si>
  <si>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</si>
  <si>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</si>
  <si>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</si>
  <si>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</si>
  <si>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</si>
  <si>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</si>
  <si>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</si>
  <si>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</si>
  <si>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</si>
  <si>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</si>
  <si>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</si>
  <si>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</si>
  <si>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</si>
  <si>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</si>
  <si>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</si>
  <si>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</si>
  <si>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</si>
  <si>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</si>
  <si>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</si>
  <si>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</si>
  <si>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</si>
  <si>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</si>
  <si>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</si>
  <si>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</si>
  <si>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</si>
  <si>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</si>
  <si>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</si>
  <si>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</si>
  <si>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</si>
  <si>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</si>
  <si>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</si>
  <si>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</si>
  <si>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</si>
  <si>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</si>
  <si>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</si>
  <si>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</si>
  <si>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</si>
  <si>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</si>
  <si>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</si>
  <si>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</si>
  <si>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</si>
  <si>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</si>
  <si>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</si>
  <si>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</si>
  <si>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</si>
  <si>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</si>
  <si>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</si>
  <si>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</si>
  <si>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</si>
  <si>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</si>
  <si>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</si>
  <si>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</si>
  <si>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</si>
  <si>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</si>
  <si>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</si>
  <si>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</si>
  <si>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</si>
  <si>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</si>
  <si>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</si>
  <si>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</si>
  <si>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</si>
  <si>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</si>
  <si>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</si>
  <si>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</si>
  <si>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</si>
  <si>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</si>
  <si>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</si>
  <si>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</si>
  <si>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</si>
  <si>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</si>
  <si>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</si>
  <si>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</si>
  <si>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</si>
  <si>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</si>
  <si>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</si>
  <si>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</si>
  <si>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</si>
  <si>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</si>
  <si>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</si>
  <si>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</si>
  <si>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</si>
  <si>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</si>
  <si>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</si>
  <si>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</si>
  <si>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</si>
  <si>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</si>
  <si>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</si>
  <si>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</si>
  <si>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</si>
  <si>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</si>
  <si>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</si>
  <si>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</si>
  <si>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</si>
  <si>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</si>
  <si>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</si>
  <si>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</si>
  <si>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</si>
  <si>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</si>
  <si>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</si>
  <si>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</si>
  <si>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</si>
  <si>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</si>
  <si>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</si>
  <si>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</si>
  <si>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</si>
  <si>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</si>
  <si>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</si>
  <si>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</si>
  <si>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</si>
  <si>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</si>
  <si>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</si>
  <si>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</si>
  <si>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</si>
  <si>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</si>
  <si>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</si>
  <si>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</si>
  <si>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</si>
  <si>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</si>
  <si>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</si>
  <si>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</si>
  <si>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</si>
  <si>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</si>
  <si>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</si>
  <si>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</si>
  <si>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</si>
  <si>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</si>
  <si>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</si>
  <si>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</si>
  <si>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</si>
  <si>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</si>
  <si>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</si>
  <si>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</si>
  <si>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</si>
  <si>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</si>
  <si>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</si>
  <si>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</si>
  <si>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</si>
  <si>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</si>
  <si>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</si>
  <si>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</si>
  <si>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</si>
  <si>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</si>
  <si>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</si>
  <si>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</si>
  <si>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</si>
  <si>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</si>
  <si>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</si>
  <si>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</si>
  <si>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</si>
  <si>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</si>
  <si>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</si>
  <si>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</si>
  <si>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</si>
  <si>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</si>
  <si>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</si>
  <si>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</si>
  <si>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</si>
  <si>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</si>
  <si>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</si>
  <si>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</si>
  <si>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</si>
  <si>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</si>
  <si>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</si>
  <si>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</si>
  <si>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</si>
  <si>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</si>
  <si>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</si>
  <si>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</si>
  <si>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</si>
  <si>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</si>
  <si>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</si>
  <si>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</si>
  <si>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</si>
  <si>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</si>
  <si>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</si>
  <si>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</si>
  <si>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</si>
  <si>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</si>
  <si>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</si>
  <si>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</si>
  <si>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</si>
  <si>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</si>
  <si>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</si>
  <si>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</si>
  <si>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</si>
  <si>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</si>
  <si>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</si>
  <si>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</si>
  <si>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</si>
  <si>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</si>
  <si>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</si>
  <si>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</si>
  <si>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</si>
  <si>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</si>
  <si>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</si>
  <si>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</si>
  <si>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</si>
  <si>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</si>
  <si>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</si>
  <si>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</si>
  <si>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</si>
  <si>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</si>
  <si>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</si>
  <si>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</si>
  <si>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</si>
  <si>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</si>
  <si>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</si>
  <si>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</si>
  <si>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</si>
  <si>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</si>
  <si>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</si>
  <si>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</si>
  <si>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</si>
  <si>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</si>
  <si>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</si>
  <si>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</si>
  <si>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</si>
  <si>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</si>
  <si>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</si>
  <si>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</si>
  <si>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</si>
  <si>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</si>
  <si>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</si>
  <si>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</si>
  <si>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</si>
  <si>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</si>
  <si>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</si>
  <si>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</si>
  <si>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</si>
  <si>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</si>
  <si>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</si>
  <si>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</si>
  <si>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</si>
  <si>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</si>
  <si>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</si>
  <si>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</si>
  <si>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</si>
  <si>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</si>
  <si>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</si>
  <si>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</si>
  <si>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</si>
  <si>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</si>
  <si>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</si>
  <si>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</si>
  <si>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</si>
  <si>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</si>
  <si>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</si>
  <si>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</si>
  <si>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</si>
  <si>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</si>
  <si>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</si>
  <si>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</si>
  <si>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</si>
  <si>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</si>
  <si>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</si>
  <si>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</si>
  <si>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</si>
  <si>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</si>
  <si>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</si>
  <si>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</si>
  <si>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</si>
  <si>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</si>
  <si>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</si>
  <si>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</si>
  <si>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</si>
  <si>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</si>
  <si>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</si>
  <si>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</si>
  <si>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</si>
  <si>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</si>
  <si>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</si>
  <si>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</si>
  <si>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</si>
  <si>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</si>
  <si>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</si>
  <si>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</si>
  <si>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</si>
  <si>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</si>
  <si>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</si>
  <si>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</si>
  <si>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</si>
  <si>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</si>
  <si>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</si>
  <si>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</si>
  <si>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</si>
  <si>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</si>
  <si>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</si>
  <si>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</si>
  <si>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</si>
  <si>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</si>
  <si>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</si>
  <si>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</si>
  <si>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</si>
  <si>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</si>
  <si>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</si>
  <si>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</si>
  <si>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</si>
  <si>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</si>
  <si>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</si>
  <si>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</si>
  <si>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</si>
  <si>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</si>
  <si>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</si>
  <si>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</si>
  <si>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</si>
  <si>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</si>
  <si>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</si>
  <si>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</si>
  <si>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</si>
  <si>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</si>
  <si>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</si>
  <si>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</si>
  <si>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</si>
  <si>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</si>
  <si>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</si>
  <si>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</si>
  <si>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</si>
  <si>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</si>
  <si>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</si>
  <si>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</si>
  <si>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</si>
  <si>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</si>
  <si>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</si>
  <si>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</si>
  <si>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</si>
  <si>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</si>
  <si>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</si>
  <si>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</si>
  <si>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</si>
  <si>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</si>
  <si>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</si>
  <si>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</si>
  <si>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</si>
  <si>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</si>
  <si>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</si>
  <si>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</si>
  <si>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</si>
  <si>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</si>
  <si>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</si>
  <si>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</si>
  <si>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</si>
  <si>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</si>
  <si>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</si>
  <si>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</si>
  <si>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</si>
  <si>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</si>
  <si>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</si>
  <si>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</si>
  <si>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</si>
  <si>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</si>
  <si>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</si>
  <si>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</si>
  <si>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</si>
  <si>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</si>
  <si>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</si>
  <si>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</si>
  <si>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</si>
  <si>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</si>
  <si>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</si>
  <si>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</si>
  <si>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</si>
  <si>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</si>
  <si>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</si>
  <si>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</si>
  <si>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</si>
  <si>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</si>
  <si>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</si>
  <si>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</si>
  <si>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</si>
  <si>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</si>
  <si>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</si>
  <si>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</si>
  <si>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</si>
  <si>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</si>
  <si>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</si>
  <si>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</si>
  <si>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</si>
  <si>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</si>
  <si>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</si>
  <si>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</si>
  <si>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</si>
  <si>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</si>
  <si>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</si>
  <si>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</si>
  <si>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</si>
  <si>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</si>
  <si>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</si>
  <si>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</si>
  <si>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</si>
  <si>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</si>
  <si>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</si>
  <si>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</si>
  <si>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</si>
  <si>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</si>
  <si>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</si>
  <si>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</si>
  <si>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</si>
  <si>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</si>
  <si>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</si>
  <si>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</si>
  <si>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</si>
  <si>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</si>
  <si>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</si>
  <si>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</si>
  <si>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</si>
  <si>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</si>
  <si>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</si>
  <si>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</si>
  <si>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</si>
  <si>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</si>
  <si>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</si>
  <si>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</si>
  <si>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</si>
  <si>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</si>
  <si>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</si>
  <si>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</si>
  <si>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</si>
  <si>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</si>
  <si>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</si>
  <si>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</si>
  <si>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</si>
  <si>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</si>
  <si>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</si>
  <si>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</si>
  <si>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</si>
  <si>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</si>
  <si>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</si>
  <si>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</si>
  <si>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</si>
  <si>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</si>
  <si>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</si>
  <si>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</si>
  <si>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</si>
  <si>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</si>
  <si>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</si>
  <si>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</si>
  <si>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</si>
  <si>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</si>
  <si>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</si>
  <si>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</si>
  <si>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</si>
  <si>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</si>
  <si>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</si>
  <si>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</si>
  <si>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</si>
  <si>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</si>
  <si>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</si>
  <si>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</si>
  <si>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</si>
  <si>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</si>
  <si>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</si>
  <si>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</si>
  <si>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</si>
  <si>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</si>
  <si>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</si>
  <si>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</si>
  <si>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</si>
  <si>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</si>
  <si>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</si>
  <si>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</si>
  <si>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</si>
  <si>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</si>
  <si>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</si>
  <si>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</si>
  <si>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</si>
  <si>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</si>
  <si>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</si>
  <si>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</si>
  <si>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</si>
  <si>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</si>
  <si>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</si>
  <si>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</si>
  <si>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</si>
  <si>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</si>
  <si>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</si>
  <si>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</si>
  <si>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</si>
  <si>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</si>
  <si>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</si>
  <si>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</si>
  <si>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</si>
  <si>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</si>
  <si>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</si>
  <si>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</si>
  <si>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</si>
  <si>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</si>
  <si>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</si>
  <si>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</si>
  <si>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</si>
  <si>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</si>
  <si>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</si>
  <si>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</si>
  <si>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</si>
  <si>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</si>
  <si>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</si>
  <si>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</si>
  <si>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</si>
  <si>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</si>
  <si>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</si>
  <si>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</si>
  <si>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</si>
  <si>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</si>
  <si>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</si>
  <si>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</si>
  <si>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</si>
  <si>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</si>
  <si>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</si>
  <si>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</si>
  <si>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</si>
  <si>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</si>
  <si>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</si>
  <si>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</si>
  <si>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</si>
  <si>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</si>
  <si>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</si>
  <si>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</si>
  <si>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</si>
  <si>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</si>
  <si>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</si>
  <si>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</si>
  <si>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</si>
  <si>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</si>
  <si>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</si>
  <si>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</si>
  <si>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</si>
  <si>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</si>
  <si>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</si>
  <si>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</si>
  <si>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</si>
  <si>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</si>
  <si>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</si>
  <si>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</si>
  <si>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</si>
  <si>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</si>
  <si>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</si>
  <si>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</si>
  <si>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</si>
  <si>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</si>
  <si>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</si>
  <si>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</si>
  <si>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</si>
  <si>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</si>
  <si>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</si>
  <si>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</si>
  <si>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</si>
  <si>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</si>
  <si>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</si>
  <si>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</si>
  <si>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</si>
  <si>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</si>
  <si>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</si>
  <si>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</si>
  <si>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</si>
  <si>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</si>
  <si>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</si>
  <si>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</si>
  <si>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</si>
  <si>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</si>
  <si>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</si>
  <si>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</si>
  <si>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</si>
  <si>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</si>
  <si>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</si>
  <si>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</si>
  <si>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</si>
  <si>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</si>
  <si>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</si>
  <si>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</si>
  <si>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</si>
  <si>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</si>
  <si>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</si>
  <si>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</si>
  <si>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</si>
  <si>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</si>
  <si>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</si>
  <si>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</si>
  <si>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</si>
  <si>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</si>
  <si>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</si>
  <si>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</si>
  <si>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</si>
  <si>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</si>
  <si>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</si>
  <si>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</si>
  <si>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</si>
  <si>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</si>
  <si>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</si>
  <si>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</si>
  <si>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</si>
  <si>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</si>
  <si>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</si>
  <si>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</si>
  <si>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</si>
  <si>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</si>
  <si>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</si>
  <si>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</si>
  <si>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</si>
  <si>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</si>
  <si>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</si>
  <si>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</si>
  <si>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</si>
  <si>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</si>
  <si>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</si>
  <si>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</si>
  <si>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</si>
  <si>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</si>
  <si>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</si>
  <si>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</si>
  <si>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</si>
  <si>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</si>
  <si>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</si>
  <si>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</si>
  <si>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</si>
  <si>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</si>
  <si>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</si>
  <si>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</si>
  <si>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</si>
  <si>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</si>
  <si>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</si>
  <si>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</si>
  <si>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</si>
  <si>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</si>
  <si>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</si>
  <si>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</si>
  <si>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</si>
  <si>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</si>
  <si>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</si>
  <si>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</si>
  <si>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</si>
  <si>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</si>
  <si>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</si>
  <si>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</si>
  <si>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</si>
  <si>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</si>
  <si>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</si>
  <si>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</si>
  <si>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</si>
  <si>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</si>
  <si>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</si>
  <si>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</si>
  <si>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</si>
  <si>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</si>
  <si>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</si>
  <si>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</si>
  <si>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</si>
  <si>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</si>
  <si>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</si>
  <si>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</si>
  <si>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</si>
  <si>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</si>
  <si>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</si>
  <si>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</si>
  <si>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</si>
  <si>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</si>
  <si>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</si>
  <si>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</si>
  <si>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</si>
  <si>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</si>
  <si>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</si>
  <si>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</si>
  <si>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</si>
  <si>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</si>
  <si>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</si>
  <si>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</si>
  <si>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</si>
  <si>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</si>
  <si>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</si>
  <si>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</si>
  <si>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</si>
  <si>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</si>
  <si>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</si>
  <si>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</si>
  <si>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</si>
  <si>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</si>
  <si>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</si>
  <si>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</si>
  <si>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</si>
  <si>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</si>
  <si>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</si>
  <si>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</si>
  <si>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</si>
  <si>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</si>
  <si>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</si>
  <si>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</si>
  <si>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</si>
  <si>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</si>
  <si>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</si>
  <si>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</si>
  <si>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</si>
  <si>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</si>
  <si>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</si>
  <si>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</si>
  <si>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</si>
  <si>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</si>
  <si>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</si>
  <si>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</si>
  <si>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</si>
  <si>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</si>
  <si>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</si>
  <si>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</si>
  <si>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</si>
  <si>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</si>
  <si>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</si>
  <si>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</si>
  <si>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</si>
  <si>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</si>
  <si>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</si>
  <si>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</si>
  <si>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</si>
  <si>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</si>
  <si>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</si>
  <si>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</si>
  <si>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</si>
  <si>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</si>
  <si>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</si>
  <si>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</si>
  <si>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</si>
  <si>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</si>
  <si>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</si>
  <si>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</si>
  <si>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</si>
  <si>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</si>
  <si>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</si>
  <si>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</si>
  <si>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</si>
  <si>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</si>
  <si>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</si>
  <si>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</si>
  <si>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</si>
  <si>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</si>
  <si>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</si>
  <si>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</si>
  <si>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</si>
  <si>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</si>
  <si>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</si>
  <si>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</si>
  <si>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</si>
  <si>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</si>
  <si>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</si>
  <si>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</si>
  <si>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</si>
  <si>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</si>
  <si>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</si>
  <si>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</si>
  <si>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</si>
  <si>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</si>
  <si>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</si>
  <si>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</si>
  <si>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</si>
  <si>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</si>
  <si>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</si>
  <si>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</si>
  <si>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</si>
  <si>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</si>
  <si>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</si>
  <si>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</si>
  <si>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</si>
  <si>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</si>
  <si>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</si>
  <si>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</si>
  <si>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</si>
  <si>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</si>
  <si>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</si>
  <si>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</si>
  <si>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</si>
  <si>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</si>
  <si>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</si>
  <si>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</si>
  <si>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</si>
  <si>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</si>
  <si>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</si>
  <si>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</si>
  <si>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</si>
  <si>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</si>
  <si>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</si>
  <si>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</si>
  <si>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</si>
  <si>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</si>
  <si>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</si>
  <si>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</si>
  <si>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</si>
  <si>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</si>
  <si>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</si>
  <si>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</si>
  <si>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</si>
  <si>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</si>
  <si>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</si>
  <si>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</si>
  <si>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</si>
  <si>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</si>
  <si>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</si>
  <si>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</si>
  <si>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</si>
  <si>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</si>
  <si>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</si>
  <si>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</si>
  <si>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</si>
  <si>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</si>
  <si>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</si>
  <si>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</si>
  <si>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</si>
  <si>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</si>
  <si>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</si>
  <si>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</si>
  <si>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</si>
  <si>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</si>
  <si>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</si>
  <si>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</si>
  <si>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</si>
  <si>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</si>
  <si>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</si>
  <si>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</si>
  <si>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</si>
  <si>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</si>
  <si>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</si>
  <si>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</si>
  <si>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</si>
  <si>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</si>
  <si>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</si>
  <si>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</si>
  <si>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</si>
  <si>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</si>
  <si>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</si>
  <si>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</si>
  <si>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</si>
  <si>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</si>
  <si>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</si>
  <si>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</si>
  <si>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</si>
  <si>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</si>
  <si>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</si>
  <si>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</si>
  <si>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</si>
  <si>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</si>
  <si>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</si>
  <si>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</si>
  <si>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</si>
  <si>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</si>
  <si>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</si>
  <si>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</si>
  <si>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</si>
  <si>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</si>
  <si>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</si>
  <si>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</si>
  <si>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</si>
  <si>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</si>
  <si>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</si>
  <si>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</si>
  <si>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</si>
  <si>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</si>
  <si>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</si>
  <si>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</si>
  <si>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</si>
  <si>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</si>
  <si>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</si>
  <si>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</si>
  <si>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</si>
  <si>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</si>
  <si>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</si>
  <si>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</si>
  <si>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</si>
  <si>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</si>
  <si>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</si>
  <si>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</si>
  <si>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</si>
  <si>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</si>
  <si>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</si>
  <si>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</si>
  <si>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</si>
  <si>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</si>
  <si>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</si>
  <si>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</si>
  <si>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</si>
  <si>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</si>
  <si>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</si>
  <si>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</si>
  <si>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</si>
  <si>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</si>
  <si>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</si>
  <si>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</si>
  <si>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</si>
  <si>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</si>
  <si>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</si>
  <si>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</si>
  <si>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</si>
  <si>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</si>
  <si>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</si>
  <si>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</si>
  <si>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</si>
  <si>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</si>
  <si>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</si>
  <si>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</si>
  <si>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</si>
  <si>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</si>
  <si>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</si>
  <si>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</si>
  <si>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</si>
  <si>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</si>
  <si>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</si>
  <si>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</si>
  <si>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</si>
  <si>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</si>
  <si>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</si>
  <si>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</si>
  <si>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</si>
  <si>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</si>
  <si>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</si>
  <si>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</si>
  <si>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</si>
  <si>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</si>
  <si>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</si>
  <si>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</si>
  <si>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</si>
  <si>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</si>
  <si>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</si>
  <si>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</si>
  <si>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</si>
  <si>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</si>
  <si>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</si>
  <si>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</si>
  <si>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</si>
  <si>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</si>
  <si>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</si>
  <si>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</si>
  <si>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</si>
  <si>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</si>
  <si>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</si>
  <si>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</si>
  <si>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</si>
  <si>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</si>
  <si>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</si>
  <si>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</si>
  <si>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</si>
  <si>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</si>
  <si>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</si>
  <si>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</si>
  <si>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</si>
  <si>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</si>
  <si>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</si>
  <si>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</si>
  <si>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</si>
  <si>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</si>
  <si>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</si>
  <si>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</si>
  <si>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</si>
  <si>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</si>
  <si>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</si>
  <si>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</si>
  <si>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</si>
  <si>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</si>
  <si>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</si>
  <si>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</si>
  <si>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</si>
  <si>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</si>
  <si>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</si>
  <si>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</si>
  <si>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</si>
  <si>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</si>
  <si>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</si>
  <si>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</si>
  <si>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</si>
  <si>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</si>
  <si>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</si>
  <si>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</si>
  <si>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</si>
  <si>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</si>
  <si>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</si>
  <si>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</si>
  <si>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</si>
  <si>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</si>
  <si>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</si>
  <si>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</si>
  <si>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</si>
  <si>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</si>
  <si>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</si>
  <si>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</si>
  <si>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</si>
  <si>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</si>
  <si>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</si>
  <si>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</si>
  <si>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</si>
  <si>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</si>
  <si>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</si>
  <si>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</si>
  <si>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</si>
  <si>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</si>
  <si>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</si>
  <si>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</si>
  <si>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</si>
  <si>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</si>
  <si>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</si>
  <si>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</si>
  <si>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</si>
  <si>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</si>
  <si>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</si>
  <si>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</si>
  <si>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</si>
  <si>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</si>
  <si>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</si>
  <si>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</si>
  <si>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</si>
  <si>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</si>
  <si>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</si>
  <si>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</si>
  <si>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</si>
  <si>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</si>
  <si>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</si>
  <si>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</si>
  <si>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</si>
  <si>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</si>
  <si>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</si>
  <si>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</si>
  <si>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</si>
  <si>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</si>
  <si>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</si>
  <si>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</si>
  <si>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</si>
  <si>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</si>
  <si>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</si>
  <si>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</si>
  <si>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</si>
  <si>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</si>
  <si>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</si>
  <si>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</si>
  <si>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</si>
  <si>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</si>
  <si>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</si>
  <si>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</si>
  <si>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</si>
  <si>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</si>
  <si>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</si>
  <si>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</si>
  <si>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</si>
  <si>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</si>
  <si>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</si>
  <si>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</si>
  <si>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</si>
  <si>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</si>
  <si>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</si>
  <si>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</si>
  <si>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</si>
  <si>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</si>
  <si>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</si>
  <si>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</si>
  <si>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</si>
  <si>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</si>
  <si>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</si>
  <si>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</si>
  <si>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</si>
  <si>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</si>
  <si>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</si>
  <si>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</si>
  <si>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</si>
  <si>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</si>
  <si>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</si>
  <si>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</si>
  <si>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</si>
  <si>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</si>
  <si>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</si>
  <si>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</si>
  <si>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</si>
  <si>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</si>
  <si>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</si>
  <si>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</si>
  <si>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</si>
  <si>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</si>
  <si>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</si>
  <si>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</si>
  <si>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</si>
  <si>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</si>
  <si>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</si>
  <si>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</si>
  <si>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</si>
  <si>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</si>
  <si>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</si>
  <si>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</si>
  <si>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</si>
  <si>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</si>
  <si>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</si>
  <si>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</si>
  <si>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</si>
  <si>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</si>
  <si>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</si>
  <si>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</si>
  <si>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</si>
  <si>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</si>
  <si>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</si>
  <si>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</si>
  <si>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</si>
  <si>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</si>
  <si>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</si>
  <si>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</si>
  <si>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</si>
  <si>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</si>
  <si>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</si>
  <si>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</si>
  <si>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</si>
  <si>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</si>
  <si>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</si>
  <si>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</si>
  <si>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</si>
  <si>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</si>
  <si>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</si>
  <si>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</si>
  <si>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</si>
  <si>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</si>
  <si>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</si>
  <si>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</si>
  <si>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</si>
  <si>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</si>
  <si>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</si>
  <si>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</si>
  <si>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</si>
  <si>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</si>
  <si>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</si>
  <si>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</si>
  <si>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</si>
  <si>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</si>
  <si>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</si>
  <si>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</si>
  <si>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</si>
  <si>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</si>
  <si>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</si>
  <si>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</si>
  <si>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</si>
  <si>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</si>
  <si>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</si>
  <si>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</si>
  <si>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</si>
  <si>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</si>
  <si>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</si>
  <si>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</si>
  <si>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</si>
  <si>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</si>
  <si>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</si>
  <si>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</si>
  <si>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</si>
  <si>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</si>
  <si>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</si>
  <si>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</si>
  <si>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</si>
  <si>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</si>
  <si>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</si>
  <si>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</si>
  <si>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</si>
  <si>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</si>
  <si>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</si>
  <si>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</si>
  <si>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</si>
  <si>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</si>
  <si>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</si>
  <si>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</si>
  <si>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</si>
  <si>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</si>
  <si>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</si>
  <si>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</si>
  <si>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</si>
  <si>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</si>
  <si>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</si>
  <si>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</si>
  <si>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</si>
  <si>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</si>
  <si>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</si>
  <si>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</si>
  <si>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</si>
  <si>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</si>
  <si>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</si>
  <si>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</si>
  <si>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</si>
  <si>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</si>
  <si>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</si>
  <si>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</si>
  <si>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</si>
  <si>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</si>
  <si>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</si>
  <si>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</si>
  <si>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</si>
  <si>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</si>
  <si>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</si>
  <si>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</si>
  <si>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</si>
  <si>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</si>
  <si>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</si>
  <si>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</si>
  <si>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</si>
  <si>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</si>
  <si>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</si>
  <si>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</si>
  <si>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</si>
  <si>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</si>
  <si>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</si>
  <si>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</si>
  <si>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</si>
  <si>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</si>
  <si>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</si>
  <si>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</si>
  <si>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</si>
  <si>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</si>
  <si>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</si>
  <si>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</si>
  <si>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</si>
  <si>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</si>
  <si>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</si>
  <si>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</si>
  <si>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</si>
  <si>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</si>
  <si>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</si>
  <si>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</si>
  <si>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</si>
  <si>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</si>
  <si>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</si>
  <si>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</si>
  <si>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</si>
  <si>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</si>
  <si>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</si>
  <si>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</si>
  <si>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</si>
  <si>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</si>
  <si>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</si>
  <si>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</si>
  <si>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</si>
  <si>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</si>
  <si>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</si>
  <si>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</si>
  <si>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</si>
  <si>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</si>
  <si>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</si>
  <si>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</si>
  <si>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</si>
  <si>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</si>
  <si>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</si>
  <si>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</si>
  <si>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</si>
  <si>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</si>
  <si>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</si>
  <si>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</si>
  <si>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</si>
  <si>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</si>
  <si>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</si>
  <si>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</si>
  <si>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</si>
  <si>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</si>
  <si>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</si>
  <si>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</si>
  <si>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</si>
  <si>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</si>
  <si>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</si>
  <si>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</si>
  <si>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</si>
  <si>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</si>
  <si>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</si>
  <si>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</si>
  <si>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</si>
  <si>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</si>
  <si>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</si>
  <si>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</si>
  <si>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</si>
  <si>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</si>
  <si>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</si>
  <si>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</si>
  <si>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</si>
  <si>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</si>
  <si>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</si>
  <si>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</si>
  <si>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</si>
  <si>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</si>
  <si>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</si>
  <si>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</si>
  <si>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</si>
  <si>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</si>
  <si>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</si>
  <si>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</si>
  <si>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</si>
  <si>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</si>
  <si>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</si>
  <si>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</si>
  <si>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</si>
  <si>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</si>
  <si>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</si>
  <si>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</si>
  <si>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</si>
  <si>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</si>
  <si>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</si>
  <si>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</si>
  <si>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</si>
  <si>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</si>
  <si>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</si>
  <si>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</si>
  <si>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</si>
  <si>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</si>
  <si>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</si>
  <si>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</si>
  <si>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</si>
  <si>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</si>
  <si>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</si>
  <si>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</si>
  <si>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</si>
  <si>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</si>
  <si>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</si>
  <si>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</si>
  <si>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</si>
  <si>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</si>
  <si>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</si>
  <si>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</si>
  <si>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</si>
  <si>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</si>
  <si>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</si>
  <si>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</si>
  <si>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</si>
  <si>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</si>
  <si>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</si>
  <si>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</si>
  <si>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</si>
  <si>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</si>
  <si>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</si>
  <si>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</si>
  <si>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</si>
  <si>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</si>
  <si>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</si>
  <si>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</si>
  <si>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</si>
  <si>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</si>
  <si>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</si>
  <si>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</si>
  <si>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</si>
  <si>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</si>
  <si>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</si>
  <si>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</si>
  <si>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</si>
  <si>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</si>
  <si>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</si>
  <si>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</si>
  <si>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</si>
  <si>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</si>
  <si>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</si>
  <si>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</si>
  <si>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</si>
  <si>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</si>
  <si>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</si>
  <si>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</si>
  <si>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</si>
  <si>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</si>
  <si>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</si>
  <si>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</si>
  <si>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</si>
  <si>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</si>
  <si>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</si>
  <si>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</si>
  <si>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</si>
  <si>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</si>
  <si>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</si>
  <si>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</si>
  <si>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</si>
  <si>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</si>
  <si>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</si>
  <si>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</si>
  <si>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</si>
  <si>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</si>
  <si>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</si>
  <si>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</si>
  <si>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</si>
  <si>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</si>
  <si>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</si>
  <si>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</si>
  <si>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</si>
  <si>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</si>
  <si>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</si>
  <si>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</si>
  <si>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</si>
  <si>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</si>
  <si>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</si>
  <si>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</si>
  <si>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</si>
  <si>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</si>
  <si>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</si>
  <si>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</si>
  <si>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</si>
  <si>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</si>
  <si>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</si>
  <si>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</si>
  <si>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</si>
  <si>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</si>
  <si>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</si>
  <si>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</si>
  <si>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</si>
  <si>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</si>
  <si>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</si>
  <si>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</si>
  <si>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</si>
  <si>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</si>
  <si>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</si>
  <si>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</si>
  <si>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</si>
  <si>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</si>
  <si>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</si>
  <si>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</si>
  <si>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</si>
  <si>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</si>
  <si>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</si>
  <si>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</si>
  <si>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</si>
  <si>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</si>
  <si>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</si>
  <si>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</si>
  <si>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</si>
  <si>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</si>
  <si>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</si>
  <si>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</si>
  <si>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</si>
  <si>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</si>
  <si>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</si>
  <si>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</si>
  <si>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</si>
  <si>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</si>
  <si>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</si>
  <si>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</si>
  <si>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</si>
  <si>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</si>
  <si>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</si>
  <si>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</si>
  <si>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</si>
  <si>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</si>
  <si>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</si>
  <si>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</si>
  <si>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</si>
  <si>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</si>
  <si>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</si>
  <si>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</si>
  <si>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</si>
  <si>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</si>
  <si>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</si>
  <si>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</si>
  <si>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</si>
  <si>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</si>
  <si>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</si>
  <si>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</si>
  <si>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</si>
  <si>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</si>
  <si>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</si>
  <si>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</si>
  <si>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</si>
  <si>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</si>
  <si>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</si>
  <si>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</si>
  <si>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</si>
  <si>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</si>
  <si>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</si>
  <si>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</si>
  <si>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</si>
  <si>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</si>
  <si>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</si>
  <si>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</si>
  <si>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</si>
  <si>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</si>
  <si>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</si>
  <si>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</si>
  <si>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</si>
  <si>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</si>
  <si>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</si>
  <si>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</si>
  <si>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</si>
  <si>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</si>
  <si>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</si>
  <si>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</si>
  <si>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</si>
  <si>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</si>
  <si>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</si>
  <si>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</si>
  <si>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</si>
  <si>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</si>
  <si>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</si>
  <si>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</si>
  <si>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</si>
  <si>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</si>
  <si>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</si>
  <si>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</si>
  <si>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</si>
  <si>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</si>
  <si>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</si>
  <si>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</si>
  <si>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</si>
  <si>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</si>
  <si>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</si>
  <si>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</si>
  <si>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</si>
  <si>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</si>
  <si>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</si>
  <si>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</si>
  <si>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</si>
  <si>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</si>
  <si>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</si>
  <si>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</si>
  <si>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</si>
  <si>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</si>
  <si>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</si>
  <si>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</si>
  <si>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</si>
  <si>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</si>
  <si>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</si>
  <si>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</si>
  <si>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</si>
  <si>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</si>
  <si>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</si>
  <si>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</si>
  <si>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</si>
  <si>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</si>
  <si>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</si>
  <si>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</si>
  <si>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</si>
  <si>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</si>
  <si>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</si>
  <si>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</si>
  <si>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</si>
  <si>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</si>
  <si>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</si>
  <si>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</si>
  <si>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</si>
  <si>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</si>
  <si>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</si>
  <si>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</si>
  <si>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</si>
  <si>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</si>
  <si>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</si>
  <si>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</si>
  <si>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</si>
  <si>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</si>
  <si>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</si>
  <si>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</si>
  <si>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</si>
  <si>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</si>
  <si>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</si>
  <si>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</si>
  <si>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</si>
  <si>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</si>
  <si>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</si>
  <si>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</si>
  <si>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</si>
  <si>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</si>
  <si>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</si>
  <si>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</si>
  <si>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</si>
  <si>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</si>
  <si>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</si>
  <si>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</si>
  <si>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</si>
  <si>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</si>
  <si>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</si>
  <si>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</si>
  <si>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</si>
  <si>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</si>
  <si>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</si>
  <si>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</si>
  <si>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</si>
  <si>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</si>
  <si>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</si>
  <si>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</si>
  <si>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</si>
  <si>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</si>
  <si>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</si>
  <si>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</si>
  <si>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</si>
  <si>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</si>
  <si>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</si>
  <si>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</si>
  <si>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</si>
  <si>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</si>
  <si>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</si>
  <si>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</si>
  <si>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</si>
  <si>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</si>
  <si>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</si>
  <si>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</si>
  <si>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</si>
  <si>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</si>
  <si>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</si>
  <si>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</si>
  <si>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</si>
  <si>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</si>
  <si>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</si>
  <si>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</si>
  <si>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</si>
  <si>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</si>
  <si>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</si>
  <si>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</si>
  <si>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</si>
  <si>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</si>
  <si>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</si>
  <si>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</si>
  <si>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</si>
  <si>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</si>
  <si>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</si>
  <si>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</si>
  <si>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</si>
  <si>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</si>
  <si>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</si>
  <si>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</si>
  <si>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</si>
  <si>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</si>
  <si>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</si>
  <si>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</si>
  <si>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</si>
  <si>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</si>
  <si>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</si>
  <si>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</si>
  <si>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</si>
  <si>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</si>
  <si>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</si>
  <si>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</si>
  <si>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</si>
  <si>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</si>
  <si>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</si>
  <si>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</si>
  <si>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</si>
  <si>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</si>
  <si>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</si>
  <si>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</si>
  <si>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</si>
  <si>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</si>
  <si>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</si>
  <si>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</si>
  <si>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</si>
  <si>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</si>
  <si>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</si>
  <si>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</si>
  <si>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</si>
  <si>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</si>
  <si>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</si>
  <si>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</si>
  <si>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</si>
  <si>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</si>
  <si>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</si>
  <si>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</si>
  <si>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</si>
  <si>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</si>
  <si>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</si>
  <si>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</si>
  <si>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</si>
  <si>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</si>
  <si>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</si>
  <si>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</si>
  <si>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</si>
  <si>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</si>
  <si>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</si>
  <si>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</si>
  <si>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</si>
  <si>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</si>
  <si>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</si>
  <si>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</si>
  <si>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</si>
  <si>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</si>
  <si>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</si>
  <si>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</si>
  <si>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</si>
  <si>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</si>
  <si>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</si>
  <si>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</si>
  <si>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</si>
  <si>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</si>
  <si>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</si>
  <si>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</si>
  <si>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</si>
  <si>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</si>
  <si>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</si>
  <si>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</si>
  <si>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</si>
  <si>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</si>
  <si>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</si>
  <si>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</si>
  <si>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</si>
  <si>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</si>
  <si>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</si>
  <si>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</si>
  <si>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</si>
  <si>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</si>
  <si>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</si>
  <si>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</si>
  <si>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</si>
  <si>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</si>
  <si>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</si>
  <si>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</si>
  <si>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</si>
  <si>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</si>
  <si>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</si>
  <si>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</si>
  <si>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</si>
  <si>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</si>
  <si>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</si>
  <si>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</si>
  <si>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</si>
  <si>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</si>
  <si>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</si>
  <si>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</si>
  <si>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</si>
  <si>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</si>
  <si>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</si>
  <si>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</si>
  <si>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</si>
  <si>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</si>
  <si>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</si>
  <si>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</si>
  <si>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</si>
  <si>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</si>
  <si>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</si>
  <si>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</si>
  <si>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</si>
  <si>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</si>
  <si>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</si>
  <si>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</si>
  <si>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</si>
  <si>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</si>
  <si>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</si>
  <si>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</si>
  <si>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</si>
  <si>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</si>
  <si>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</si>
  <si>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</si>
  <si>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</si>
  <si>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</si>
  <si>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</si>
  <si>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</si>
  <si>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</si>
  <si>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</si>
  <si>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</si>
  <si>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</si>
  <si>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</si>
  <si>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</si>
  <si>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</si>
  <si>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</si>
  <si>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</si>
  <si>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</si>
  <si>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</si>
  <si>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</si>
  <si>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</si>
  <si>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</si>
  <si>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</si>
  <si>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</si>
  <si>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</si>
  <si>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</si>
  <si>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</si>
  <si>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</si>
  <si>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</si>
  <si>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</si>
  <si>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</si>
  <si>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</si>
  <si>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</si>
  <si>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</si>
  <si>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</si>
  <si>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</si>
  <si>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</si>
  <si>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</si>
  <si>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</si>
  <si>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</si>
  <si>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</si>
  <si>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</si>
  <si>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</si>
  <si>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</si>
  <si>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</si>
  <si>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</si>
  <si>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</si>
  <si>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</si>
  <si>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</si>
  <si>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</si>
  <si>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</si>
  <si>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</si>
  <si>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</si>
  <si>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</si>
  <si>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</si>
  <si>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</si>
  <si>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</si>
  <si>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</si>
  <si>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</si>
  <si>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</si>
  <si>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</si>
  <si>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</si>
  <si>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</si>
  <si>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</si>
  <si>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</si>
  <si>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</si>
  <si>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</si>
  <si>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</si>
  <si>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</si>
  <si>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</si>
  <si>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</si>
  <si>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</si>
  <si>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</si>
  <si>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</si>
  <si>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</si>
  <si>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</si>
  <si>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</si>
  <si>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</si>
  <si>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</si>
  <si>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</si>
  <si>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</si>
  <si>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</si>
  <si>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</si>
  <si>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</si>
  <si>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</si>
  <si>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</si>
  <si>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</si>
  <si>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</si>
  <si>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</si>
  <si>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</si>
  <si>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</si>
  <si>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</si>
  <si>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</si>
  <si>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</si>
  <si>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</si>
  <si>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</si>
  <si>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</si>
  <si>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</si>
  <si>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</si>
  <si>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</si>
  <si>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</si>
  <si>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</si>
  <si>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</si>
  <si>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</si>
  <si>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</si>
  <si>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</si>
  <si>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</si>
  <si>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</si>
  <si>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</si>
  <si>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</si>
  <si>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</si>
  <si>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</si>
  <si>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</si>
  <si>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</si>
  <si>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</si>
  <si>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</si>
  <si>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</si>
  <si>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</si>
  <si>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</si>
  <si>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</si>
  <si>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</si>
  <si>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</si>
  <si>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</si>
  <si>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</si>
  <si>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</si>
  <si>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</si>
  <si>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</si>
  <si>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</si>
  <si>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</si>
  <si>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</si>
  <si>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</si>
  <si>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</si>
  <si>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</si>
  <si>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</si>
  <si>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</si>
  <si>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</si>
  <si>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</si>
  <si>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</si>
  <si>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</si>
  <si>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</si>
  <si>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</si>
  <si>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</si>
  <si>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</si>
  <si>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</si>
  <si>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</si>
  <si>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</si>
  <si>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</si>
  <si>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</si>
  <si>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</si>
  <si>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</si>
  <si>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</si>
  <si>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</si>
  <si>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</si>
  <si>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</si>
  <si>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</si>
  <si>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</si>
  <si>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</si>
  <si>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</si>
  <si>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</si>
  <si>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</si>
  <si>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</si>
  <si>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</si>
  <si>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</si>
  <si>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</si>
  <si>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</si>
  <si>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</si>
  <si>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</si>
  <si>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</si>
  <si>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</si>
  <si>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</si>
  <si>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</si>
  <si>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</si>
  <si>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</si>
  <si>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</si>
  <si>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</si>
  <si>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</si>
  <si>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</si>
  <si>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</si>
  <si>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</si>
  <si>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</si>
  <si>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</si>
  <si>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</si>
  <si>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</si>
  <si>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</si>
  <si>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</si>
  <si>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</si>
  <si>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</si>
  <si>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</si>
  <si>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</si>
  <si>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</si>
  <si>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</si>
  <si>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</si>
  <si>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</si>
  <si>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</si>
  <si>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</si>
  <si>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</si>
  <si>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</si>
  <si>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</si>
  <si>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</si>
  <si>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</si>
  <si>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</si>
  <si>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</si>
  <si>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</si>
  <si>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</si>
  <si>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</si>
  <si>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</si>
  <si>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</si>
  <si>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</si>
  <si>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</si>
  <si>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</si>
  <si>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</si>
  <si>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</si>
  <si>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</si>
  <si>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</si>
  <si>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</si>
  <si>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</si>
  <si>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</si>
  <si>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</si>
  <si>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</si>
  <si>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</si>
  <si>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</si>
  <si>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</si>
  <si>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</si>
  <si>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</si>
  <si>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</si>
  <si>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</si>
  <si>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</si>
  <si>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</si>
  <si>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</si>
  <si>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</si>
  <si>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</si>
  <si>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</si>
  <si>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</si>
  <si>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</si>
  <si>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</si>
  <si>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</si>
  <si>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</si>
  <si>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</si>
  <si>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</si>
  <si>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</si>
  <si>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</si>
  <si>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</si>
  <si>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</si>
  <si>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</si>
  <si>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</si>
  <si>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</si>
  <si>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</si>
  <si>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</si>
  <si>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</si>
  <si>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</si>
  <si>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</si>
  <si>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</si>
  <si>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</si>
  <si>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</si>
  <si>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</si>
  <si>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</si>
  <si>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</si>
  <si>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</si>
  <si>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</si>
  <si>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</si>
  <si>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</si>
  <si>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</si>
  <si>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</si>
  <si>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</si>
  <si>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</si>
  <si>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</si>
  <si>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</si>
  <si>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</si>
  <si>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</si>
  <si>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</si>
  <si>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</si>
  <si>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</si>
  <si>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</si>
  <si>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</si>
  <si>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</si>
  <si>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</si>
  <si>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</si>
  <si>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</si>
  <si>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</si>
  <si>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</si>
  <si>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</si>
  <si>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</si>
  <si>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</si>
  <si>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</si>
  <si>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</si>
  <si>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</si>
  <si>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</si>
  <si>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</si>
  <si>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</si>
  <si>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</si>
  <si>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</si>
  <si>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</si>
  <si>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</si>
  <si>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</si>
  <si>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</si>
  <si>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</si>
  <si>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</si>
  <si>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</si>
  <si>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</si>
  <si>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</si>
  <si>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</si>
  <si>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</si>
  <si>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</si>
  <si>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</si>
  <si>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</si>
  <si>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</si>
  <si>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</si>
  <si>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</si>
  <si>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</si>
  <si>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</si>
  <si>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</si>
  <si>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</si>
  <si>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</si>
  <si>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</si>
  <si>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</si>
  <si>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</si>
  <si>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</si>
  <si>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</si>
  <si>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</si>
  <si>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</si>
  <si>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</si>
  <si>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</si>
  <si>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</si>
  <si>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</si>
  <si>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</si>
  <si>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</si>
  <si>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</si>
  <si>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</si>
  <si>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</si>
  <si>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</si>
  <si>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</si>
  <si>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</si>
  <si>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</si>
  <si>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</si>
  <si>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</si>
  <si>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</si>
  <si>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</si>
  <si>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</si>
  <si>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</si>
  <si>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</si>
  <si>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</si>
  <si>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</si>
  <si>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</si>
  <si>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</si>
  <si>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</si>
  <si>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</si>
  <si>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</si>
  <si>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</si>
  <si>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</si>
  <si>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</si>
  <si>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</si>
  <si>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</si>
  <si>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</si>
  <si>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</si>
  <si>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</si>
  <si>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</si>
  <si>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</si>
  <si>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</si>
  <si>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</si>
  <si>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</si>
  <si>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</si>
  <si>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</si>
  <si>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</si>
  <si>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</si>
  <si>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</si>
  <si>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</si>
  <si>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</si>
  <si>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</si>
  <si>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</si>
  <si>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</si>
  <si>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</si>
  <si>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</si>
  <si>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</si>
  <si>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</si>
  <si>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</si>
  <si>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</si>
  <si>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</si>
  <si>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</si>
  <si>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</si>
  <si>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</si>
  <si>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</si>
  <si>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</si>
  <si>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</si>
  <si>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</si>
  <si>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</si>
  <si>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</si>
  <si>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</si>
  <si>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</si>
  <si>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</si>
  <si>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</si>
  <si>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</si>
  <si>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</si>
  <si>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</si>
  <si>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</si>
  <si>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</si>
  <si>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</si>
  <si>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</si>
  <si>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</si>
  <si>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</si>
  <si>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</si>
  <si>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</si>
  <si>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</si>
  <si>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</si>
  <si>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</si>
  <si>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</si>
  <si>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</si>
  <si>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</si>
  <si>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</si>
  <si>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</si>
  <si>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</si>
  <si>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</si>
  <si>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</si>
  <si>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</si>
  <si>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</si>
  <si>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</si>
  <si>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</si>
  <si>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</si>
  <si>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</si>
  <si>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</si>
  <si>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</si>
  <si>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</si>
  <si>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</si>
  <si>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</si>
  <si>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</si>
  <si>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</si>
  <si>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</si>
  <si>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</si>
  <si>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</si>
  <si>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</si>
  <si>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</si>
  <si>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</si>
  <si>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</si>
  <si>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</si>
  <si>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</si>
  <si>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</si>
  <si>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</si>
  <si>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</si>
  <si>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</si>
  <si>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</si>
  <si>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</si>
  <si>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</si>
  <si>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</si>
  <si>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</si>
  <si>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</si>
  <si>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</si>
  <si>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</si>
  <si>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</si>
  <si>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</si>
  <si>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</si>
  <si>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</si>
  <si>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</si>
  <si>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</si>
  <si>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</si>
  <si>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</si>
  <si>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</si>
  <si>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</si>
  <si>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</si>
  <si>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</si>
  <si>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</si>
  <si>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</si>
  <si>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</si>
  <si>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</si>
  <si>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</si>
  <si>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</si>
  <si>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</si>
  <si>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</si>
  <si>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</si>
  <si>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</si>
  <si>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</si>
  <si>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</si>
  <si>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</si>
  <si>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</si>
  <si>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</si>
  <si>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</si>
  <si>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</si>
  <si>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</si>
  <si>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</si>
  <si>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</si>
  <si>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</si>
  <si>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</si>
  <si>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</si>
  <si>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</si>
  <si>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</si>
  <si>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</si>
  <si>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</si>
  <si>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</si>
  <si>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</si>
  <si>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</si>
  <si>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</si>
  <si>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</si>
  <si>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</si>
  <si>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</si>
  <si>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</si>
  <si>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</si>
  <si>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</si>
  <si>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</si>
  <si>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</si>
  <si>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</si>
  <si>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</si>
  <si>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</si>
  <si>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</si>
  <si>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</si>
  <si>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</si>
  <si>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</si>
  <si>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</si>
  <si>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</si>
  <si>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FOUR APPROVAL GATES PLUS OWNER TESTING AND WEEKLY LEARNING — TRACKER v1.3.4
MAIN PROMPT — W3-001
TASK IDENTITY
- Week: Week 3
- Feature/outcome: LLM adapters and cited RAG pipeline
- Business purpose: Generate evidence-bound answers while retaining provider portability.
- Covered tracker steps: W3-01, W3-02, W3-03, W3-04
- Required inputs: LLM_PROVIDER, LLM_MODEL_ID, AWS_REGION; Bedrock test is marked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W3-01 — Create provider-neutral chat/tool/usage types and fake provider.
  Business reason: RAG logic should not depend on Bedrock response formats.
  Acceptance: Fake tests cover success, timeout and malformed response.
  Dependency: W2-13
  Owner verification reference: pytest tests/unit/test_llm_provider.py -q
  Expected result: Normalized errors and usage fields are stable.
  Canonical evidence: docs/test-evidence/W3-01-llm-contract.txt
  Rollback/teardown: Switch configuration back to fake provider.
  Current tracker status (read-only historical/current fact): Not Started
  Separate Task Context: 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
- W3-02 — Implement Bedrock adapter behind marked integration tests.
  Business reason: Bedrock is the primary AWS model boundary without GPU operations.
  Acceptance: Adapter has deadlines/retry caps and no hard-coded model ID.
  Dependency: W3-01
  Owner verification reference: pytest tests/unit/test_bedrock_adapter.py -q
  Expected result: Offline tests pass; live test is skipped unless explicitly enabled.
  Canonical evidence: docs/test-evidence/W3-02-bedrock.txt
  Rollback/teardown: Set LLM_PROVIDER=fake; revoke test session if created.
  Current tracker status (read-only historical/current fact): Not Started
  Separate Task Context: 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
- W3-03 — Create versioned evidence-bound prompt template.
  Business reason: Retrieved documents are data, never instructions.
  Acceptance: Prompt clearly delimits evidence and demands citations/abstention.
  Dependency: W3-01
  Owner verification reference: pytest tests/unit/test_prompt_template.py -q
  Expected result: Injection fixture cannot override system policy.
  Canonical evidence: docs/test-evidence/W3-03-prompt.txt
  Rollback/teardown: Restore previous approved prompt version.
  Current tracker status (read-only historical/current fact): Not Started
  Separate Task Context: 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
- W3-04 — Authorize, retrieve, grade, generate and validate citations.
  Business reason: This is the core safe-answer path.
  Acceptance: Structured Answer contains only supplied source IDs.
  Dependency: W3-01:W3-03,W2-09
  Owner verification reference: pytest tests/unit/test_rag_pipeline.py -q
  Expected result: Good evidence answers; low evidence abstains.
  Canonical evidence: docs/test-evidence/W3-04-rag.txt
  Rollback/teardown: Switch to last-known-good prompt/model/retriever configuration.
  Current tracker status (read-only historical/current fact): Not Started
  Separate Task Context: 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
Downstream tracker steps identified from recorded dependencies: W3-02, W3-03, W3-04, W3-05, W3-07, W3-09,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Define an async LLMProvider Protocol with normalized ChatRequest, ToolSpec, Usage and ChatResponse. Implement FakeLLMProvider and BedrockLLMProvider using boto3, configured model ID, explicit connect/read timeouts, retry caps, usage capture and normalized throttle/timeout errors. Implement cited RAG: authorize metadata before retrieval, retrieve top-k, reject weak evidence, delimit context as untrusted data, generate a structured Answer, validate every citation against supplied context and abstain when evidence is insufficient. Do not log prompts or document text.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CITED RAG AND OWNER-GATED BEDROCK
1. Require W2-12 owner sign-off, independently approved W2 implementation hashes, BED-001, SEC-001/DATA-002 and an explicit RAG-001 proposal for top_k, minimum score and context/token budget. Verify ADR-004 and step dependencies W3-01 → W3-02/W3-03 → W3-04.
2. FakeLLMProvider is the default for unit/feature tests. Bedrock unit tests use an injected/stubbed client; no AWS call. Live Bedrock model discovery/inference is networked, paid and owner-gated and requires exact account/region/model ID, quota, fallback, timeout/retry, expected maximum spend and privacy/residency approval. Never hard-code a model ID or silently substitute a region/model.
3. Treat identity and Query separately. Authorize before retrieval, retrieve only filtered evidence, delimit retrieved text as untrusted, grade evidence with deterministic rules, generate a typed Answer, validate every citation against supplied authorized source/chunk IDs and abstain on weak, conflicting, unauthorized or malformed evidence. Do not expose chain-of-thought.
4. Bound connect/read deadlines, retry only classified transient/throttle errors with caps/jitter, capture safe usage/cost fields and normalize timeout/throttle/malformed errors without endpoints, content or SDK exceptions. Never log prompt/context/document/PII/secrets.
5. Test LLM contract success/timeout/throttle/malformed/usage, prompt delimiter/injection, authorization short-circuit, weak/conflicting evidence, citation fabrication, abstention, deadlines/retry exhaustion and provider-object isolation.
6. Canonical evidence: W3-01-llm-contract.txt, W3-02-bedrock.txt, W3-03-prompt.txt and W3-04-rag.txt. Aggregate W3-rag.txt may summarize but must not conflict. Run normal developer commands and cleanliness. No unapproved AWS/paid call, Qdrant lifecycle change, tracker edit, stage, commit or push.
7. After W3-001 passes, run W4-003 Phase A for W3-09 telemetry before the Week 3 checkpoint; do not wait until Week 4.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Dependency/runtime API: Verify declared dependency bounds and exact runtime API names against the approved environment; do not install, upgrade or contact a package service.
- AWS/cloud: Use explicit account, region, role and service boundaries, short-lived identity, least privilege, cost limits and owner-only API execution.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Generate evidence-bound answers while retaining provider portability. The primary beneficiaries are knowledge users, compliance, application teams and model governance.
- Process and risk: This task supports authorized question -&gt; retrieval -&gt; evidence pack -&gt; provider-neutral LLM -&gt; citation validation -&gt; grounded answer. Without it, the platform can produce an unauditable, insecure or non-reproducible result at this exact layer.
- Measurable outcome: grounded answers with valid source IDs and no unauthorized provider call. It contributes to the MVP by making LLM adapters and cited RAG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END-TO-END ARCHITECTURE LEARNING
- Position and flow: authorized question -&gt; retrieval -&gt; evidence pack -&gt; provider-neutral LLM -&gt; citation validation -&gt; grounded answer.
- Upstream/dependency boundary: W2-13, W3-01, W3-01, W3-01:W3-03,W2-09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LLM protocol, fake and Bedrock adapters, prompt builder, RAG orchestrator, answer/citation schemas.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LLM protocol, fake and Bedrock adapters, prompt builder, RAG orchestrator, answer/citation schemas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research assistant allowed to answer only from numbered source cards.
- What goes in / happens / comes out: approved LLM_PROVIDER, LLM_MODEL_ID, AWS_REGION; Bedrock test is marked goes through LLM adapters and cited RAG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retrieval selects evidence; generation composes an answer; citation validation proves support.
ARCHITECTURE DECISIONS AND TRADE-OFFS
- Selected recorded direction: provider portability and evidence-bound generation are selected over model-specific orchestration.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precedes retrieval/LLM calls; retrieved text is untrusted and outputs expose approved citations only. Apply classification, PII handling, tenant isolation, authorization before provider/storage calls, secret exclusion, redacted evidence, residency, retention, provenance and least privilege where applicable.
- Failure/operations: timeouts, invalid citations or provider errors fail without fabricated answer; rollback restores prompt/model/retriever/index baseline.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LLM adapters and cited RAG pipeline addresses generate evidence-bound answers while retaining provider portability. It makes the result governed, testable and reversible, measured by grounded answers with valid source IDs and no unauthorized provider call.
- Two-minute technical explanation: describe LLM protocol, fake and Bedrock adapters, prompt builder, RAG orchestrator, answer/citation schemas; trace authorized question -&gt; retrieval -&gt; evidence pack -&gt; provider-neutral LLM -&gt; citation validation -&gt; grounded answer;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LLM adapters and cited RAG pipeline solve?
   Answer points: Connect Generate evidence-bound answers while retaining provider portability. to grounded answers with valid source IDs and no unauthorized provider call and identify knowledge users, compliance, application teams and model governance.
2. Q: Trace the end-to-end flow for W3-001.
   Answer points: Explain authorized question -&gt; retrieval -&gt; evidence pack -&gt; provider-neutral LLM -&gt; citation validation -&gt; grounded answer; name upstream dependencies, downstream consumers, trust and state boundaries.
3. Q: Which design decision matters most and what alternative was rejected?
   Answer points: Discuss provider portability and evidence-bound generation are selected over model-specific orchestration; compare the adjacent alternative and when it could be preferable.
4. Q: How does this task fail safely and how is it recovered?
   Answer points: Use this scenario: timeouts, invalid citations or provider errors fail without fabricated answer; rollback restores prompt/model/retriever/index baseline; distinguish retry, remediation, rollback, teardown and evidence.
5. Q: How are security, privacy and cost controlled?
   Answer points: Explain authorization precedes retrieval/LLM calls; retrieved text is untrusted and outputs expose approved citations only; include least privilege, redaction/residency, bounded resources and owner-only access.
- Design trade-off: volume/latency increases tenfold; explain whether provider portability and evidence-bound generation are selected over model-specific orchestration still holds and what evidence/ADR/approval must change.
- Failure/remediation: timeouts, invalid citations or provider errors fail without fabricated answer; rollback restores prompt/model/retriever/index baseline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LLM adapters and cited RAG pipeline. Task — establish the governed contract. Action — map consumers, work within gates, owner-test, diagnose completely and prove lifecycle. Result — report only accepted evidence and grounded answers with valid source IDs and no unauthorized provider call.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LLM_PROVIDER, LLM_MODEL_ID, AWS_REGION; Bedrock test is marked.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W3-001.
</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</si>
  <si>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</si>
  <si>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</si>
  <si>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</si>
  <si>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 xml:space="preserve">FOUR APPROVAL GATES PLUS OWNER TESTING AND WEEKLY LEARNING — TRACKER v1.3.4
MAIN PROMPT — W3-002
TASK IDENTITY
- Week: Week 3
- Feature/outcome: Evaluation harness and release gate
- Business purpose: Replace subjective demonstrations with repeatable evidence.
- Covered tracker steps: W3-06, W3-07, W3-10
- Required inputs: configs/eval/golden.jsonl with 25+ approved cases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W3-06 — Create 25+ golden cases with sources, facts, tenant and safety tags.
  Business reason: Quality thresholds require versioned, representative truth data.
  Acceptance: Dataset passes schema and privacy review.
  Dependency: W2-09
  Owner verification reference: python tools/validate_eval_dataset.py configs/eval/golden.jsonl
  Expected result: 25+ valid cases; no prohibited data.
  Canonical evidence: docs/test-evidence/W3-06-golden.txt
  Rollback/teardown: Revert dataset version; never silently edit expected answers.
  Current tracker status (read-only historical/current fact): Not Started
  Separate Task Context: 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
- W3-07 — Measure retrieval, citations, abstention, latency and cost.
  Business reason: Promotion must rely on repeatable evidence, not a demo.
  Acceptance: Baseline report and nonzero regression exit behavior exist.
  Dependency: W3-04,W3-06
  Owner verification reference: python -m enterprise_ai_platform.evaluation.runner --dataset configs/eval/golden.jsonl --out reports/eval.json
  Expected result: Recall@5, citation precision, groundedness, latency and estimated cost recorded.
  Canonical evidence: reports/eval.json
  Rollback/teardown: Restore last approved baseline; block release on unresolved regression.
  Current tracker status (read-only historical/current fact): Not Started
  Separate Task Context: 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
- W3-10 — Set initial thresholds: Recall@5 &gt;=0.85 and citation-valid/safe-abstain &gt;=95%.
  Business reason: Thresholds convert evaluation into a release decision.
  Acceptance: CI-style command fails on a material regression.
  Dependency: W3-07
  Owner verification reference: make evaluate
  Expected result: Baseline passes; synthetic regression fails.
  Canonical evidence: docs/test-evidence/W3-10-gate.txt
  Rollback/teardown: Revert candidate prompt/model/index and preserve failing evidence.
  Current tracker status (read-only historical/current fact): Not Started
  Separate Task Context: 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
Downstream tracker steps identified from recorded dependencies: W3-07, W3-10, W3-11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a versioned JSONL evaluation harness with question, expected facts, expected source IDs, tenant and safety tags. Compute retrieval recall@k/MRR, citation precision, abstention correctness, latency and token/cost fields. Integrate Ragas behind an Evaluator Protocol; label LLM-judge metrics non-deterministic. Compare with a checked-in baseline and fail only on configured material regression. Redact case content in logs and output machine-readable JSON plus concise Markdown.
TASK-SPECIFIC CLARIFICATION
Include at least 25 versioned golden JSONL cases with question, expected facts, expected source IDs, tenant and safety tags. Validate schema and privacy; never silently alter approved expected facts.
TASK-SPECIFIC AMENDMENT — VERSIONED GOLDEN TRUTH AND DETERMINISTIC RELEASE GATE
1. Require W3-001, W3-003 and W4-003 Phase A to have independent PASS/final owner approval; EVAL-001 and DATA-001 owner approval; a valid corpus manifest; stable source IDs; and approved metric definitions/thresholds. Never generate expected facts from the candidate model.
2. Include at least 25 versioned cases with case ID, question, expected facts, expected source IDs, tenant, authorization context and safety tags. Validate every source ID, tenant/classification rule, schema, duplicate and privacy boundary. Owner-approved expected facts may change only through a separately reviewed dataset version.
3. Deterministic offline metrics and failure propagation are the release authority. Compute Recall@5/MRR, citation precision/validity, abstention correctness, latency and token/cost fields. Initial gates: Recall@5 &gt;= 0.85 and citation-valid grounded answer or correct safe abstention &gt;= 95%; unresolved security/isolation failure always blocks.
4. Ragas/LLM-judge metrics remain behind Evaluator and are non-deterministic supplemental results. Any judge call requires exact model/provider, case limit, maximum spend, residency/privacy and network approval. Paid/judge-disabled is NOT RUN, not PASS.
5. Compare to a versioned checked-in baseline with explicit tolerance and nonzero material-regression exit. Preserve candidate and failure evidence; never overwrite the last approved baseline on failure or tune thresholds to make a candidate pass.
6. Test schema/privacy/source validation, metric edge cases, deterministic repeatability, partial/failed provider behavior, nonzero regression, redacted reports and baseline immutability. Canonical evidence: W3-06-golden.txt, reports/eval.json and W3-10-gate.txt; reconcile aggregate evidence. No hidden model/Qdrant/AWS/paid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Replace subjective demonstrations with repeatable evidence. The primary beneficiaries are product owner, model risk, QA and release managers.
- Process and risk: This task supports versioned golden cases -&gt; RAG execution -&gt; deterministic metrics -&gt; thresholds -&gt; release gate and evidence. Without it, the platform can produce an unauditable, insecure or non-reproducible result at this exact layer.
- Measurable outcome: 25+ valid cases and repeatable threshold decisions. It contributes to the MVP by making Evaluation harness and release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END-TO-END ARCHITECTURE LEARNING
- Position and flow: versioned golden cases -&gt; RAG execution -&gt; deterministic metrics -&gt; thresholds -&gt; release gate and evidence.
- Upstream/dependency boundary: W2-09, W3-04,W3-06, W3-07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JSONL evaluation schema, dataset validator, metrics, report, threshold configuration and CI/release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JSONL evaluation schema, dataset validator, metrics, report, threshold configuration and CI/release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exam with fixed questions, marking rules and a pass score.
- What goes in / happens / comes out: approved configs/eval/golden.jsonl with 25+ approved cases goes through Evaluation harness and release gate;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verify code contracts; evaluation measures answer/retrieval quality.
ARCHITECTURE DECISIONS AND TRADE-OFFS
- Selected recorded direction: repeatable versioned evaluation and explicit thresholds replace subjective demonstration.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golden data is sanitized and tenant/classification context is enforced. Apply classification, PII handling, tenant isolation, authorization before provider/storage calls, secret exclusion, redacted evidence, residency, retention, provenance and least privilege where applicable.
- Failure/operations: malformed cases or threshold regression fail the release; rollback returns to last passing artifacts.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Evaluation harness and release gate addresses replace subjective demonstrations with repeatable evidence. It makes the result governed, testable and reversible, measured by 25+ valid cases and repeatable threshold decisions.
- Two-minute technical explanation: describe JSONL evaluation schema, dataset validator, metrics, report, threshold configuration and CI/release consumer; trace versioned golden cases -&gt; RAG execution -&gt; deterministic metrics -&gt; thresholds -&gt; release gate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Evaluation harness and release gate solve?
   Answer points: Connect Replace subjective demonstrations with repeatable evidence. to 25+ valid cases and repeatable threshold decisions and identify product owner, model risk, QA and release managers.
2. Q: Trace the end-to-end flow for W3-002.
   Answer points: Explain versioned golden cases -&gt; RAG execution -&gt; deterministic metrics -&gt; thresholds -&gt; release gate and evidence; name upstream dependencies, downstream consumers, trust and state boundaries.
3. Q: Which design decision matters most and what alternative was rejected?
   Answer points: Discuss repeatable versioned evaluation and explicit thresholds replace subjective demonstration; compare the adjacent alternative and when it could be preferable.
4. Q: How does this task fail safely and how is it recovered?
   Answer points: Use this scenario: malformed cases or threshold regression fail the release; rollback returns to last passing artifacts; distinguish retry, remediation, rollback, teardown and evidence.
5. Q: How are security, privacy and cost controlled?
   Answer points: Explain golden data is sanitized and tenant/classification context is enforced; include least privilege, redaction/residency, bounded resources and owner-only access.
- Design trade-off: volume/latency increases tenfold; explain whether repeatable versioned evaluation and explicit thresholds replace subjective demonstration still holds and what evidence/ADR/approval must change.
- Failure/remediation: malformed cases or threshold regression fail the release; rollback returns to last passing artifacts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Evaluation harness and release gate. Task — establish the governed contract. Action — map consumers, work within gates, owner-test, diagnose completely and prove lifecycle. Result — report only accepted evidence and 25+ valid cases and repeatable threshold decisions.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configs/eval/golden.jsonl with 25+ approved cases.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W3-002.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</si>
  <si>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</si>
  <si>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</si>
  <si>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</si>
  <si>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</si>
  <si>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</si>
  <si>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</si>
  <si>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</si>
  <si>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</si>
  <si>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</si>
  <si>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</si>
  <si>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</si>
  <si>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</si>
  <si>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</si>
  <si>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</si>
  <si>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</si>
  <si>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</si>
  <si>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</si>
  <si>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</si>
  <si>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</si>
  <si>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</si>
  <si>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</si>
  <si>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</si>
  <si>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</si>
  <si>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</si>
  <si>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</si>
  <si>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</si>
  <si>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</si>
  <si>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</si>
  <si>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</si>
  <si>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</si>
  <si>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</si>
  <si>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</si>
  <si>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</si>
  <si>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</si>
  <si>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</si>
  <si>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</si>
  <si>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</si>
  <si>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</si>
  <si>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</si>
  <si>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</si>
  <si>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</si>
  <si>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</si>
  <si>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</si>
  <si>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</si>
  <si>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</si>
  <si>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</si>
  <si>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</si>
  <si>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</si>
  <si>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</si>
  <si>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</si>
  <si>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</si>
  <si>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</si>
  <si>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</si>
  <si>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</si>
  <si>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</si>
  <si>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</si>
  <si>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</si>
  <si>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</si>
  <si>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</si>
  <si>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</si>
  <si>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</si>
  <si>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</si>
  <si>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</si>
  <si>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</si>
  <si>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</si>
  <si>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</si>
  <si>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</si>
  <si>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</si>
  <si>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</si>
  <si>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</si>
  <si>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</si>
  <si>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</si>
  <si>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</si>
  <si>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</si>
  <si>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</si>
  <si>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</si>
  <si>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</si>
  <si>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</si>
  <si>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</si>
  <si>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</si>
  <si>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</si>
  <si>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</si>
  <si>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</si>
  <si>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</si>
  <si>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</si>
  <si>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</si>
  <si>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</si>
  <si>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</si>
  <si>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</si>
  <si>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</si>
  <si>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</si>
  <si>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</si>
  <si>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</si>
  <si>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</si>
  <si>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</si>
  <si>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</si>
  <si>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</si>
  <si>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</si>
  <si>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</si>
  <si>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</si>
  <si>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</si>
  <si>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</si>
  <si>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</si>
  <si>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</si>
  <si>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</si>
  <si>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</si>
  <si>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</si>
  <si>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</si>
  <si>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</si>
  <si>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</si>
  <si>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</si>
  <si>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</si>
  <si>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</si>
  <si>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</si>
  <si>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</si>
  <si>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</si>
  <si>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</si>
  <si>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</si>
  <si>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</si>
  <si>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</si>
  <si>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</si>
  <si>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</si>
  <si>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</si>
  <si>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</si>
  <si>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</si>
  <si>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</si>
  <si>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</si>
  <si>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</si>
  <si>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</si>
  <si>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</si>
  <si>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</si>
  <si>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</si>
  <si>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</si>
  <si>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</si>
  <si>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</si>
  <si>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The complete W2-004 repository-backed pre-edit plan, consolidated owner</t>
  </si>
  <si>
    <t>decisions, producer-consumer analysis and final path manifest are approved.</t>
  </si>
  <si>
    <t>APPROVED BASELINE</t>
  </si>
  <si>
    <t>- Authoritative tracker:</t>
  </si>
  <si>
    <t xml:space="preserve">  docs/governance/Enterprise_AI_Architecture_6_Week_Execution_Tracker_v1.3.4_repaired.xlsx</t>
  </si>
  <si>
    <t>- Tracker SHA-256:</t>
  </si>
  <si>
    <t xml:space="preserve">  9b14c04248da9801ca85a03a402a4440b6af259026a43961512fd21d3d0ce850</t>
  </si>
  <si>
    <t>- Repository HEAD:</t>
  </si>
  <si>
    <t xml:space="preserve">  827dbf0360f8f3dd6ef396f513d1201926810e94</t>
  </si>
  <si>
    <t>- W2-01 through W2-08 are recorded as Done.</t>
  </si>
  <si>
    <t>- Final W2-001, W2-002 and W2-003 evidence is authoritative for W2-004.</t>
  </si>
  <si>
    <t>- Stale approval wording in ADR-003 and ADR-006 is accepted as a deferred</t>
  </si>
  <si>
    <t xml:space="preserve">  documentation inconsistency and must not be edited under this approval.</t>
  </si>
  <si>
    <t>EXACT APPROVED WRITE BOUNDARY</t>
  </si>
  <si>
    <t>CREATE ONLY:</t>
  </si>
  <si>
    <t>- docker-compose.w2-004.yml</t>
  </si>
  <si>
    <t>UPDATE ONLY:</t>
  </si>
  <si>
    <t>No other path may be created, modified, renamed, moved or deleted.</t>
  </si>
  <si>
    <t>APPROVED INTERNAL-ONLY ARCHITECTURE</t>
  </si>
  <si>
    <t>Preserve the existing base docker-compose.yml and existing W2-001 Qdrant</t>
  </si>
  <si>
    <t>runner unchanged.</t>
  </si>
  <si>
    <t>Create a bounded W2-004 Compose override with:</t>
  </si>
  <si>
    <t>- Compose project: enterprise-ai-w2-004a</t>
  </si>
  <si>
    <t>- Qdrant endpoint: http://qdrant:6333</t>
  </si>
  <si>
    <t>- CPU limit: 2</t>
  </si>
  <si>
    <t>- Memory limit: 2 GiB</t>
  </si>
  <si>
    <t>- PID limit: 256</t>
  </si>
  <si>
    <t>- Capabilities: drop ALL</t>
  </si>
  <si>
    <t>- Security option: no-new-privileges:true</t>
  </si>
  <si>
    <t>- Temporary storage: /tmp tmpfs limited to 64 MiB with mode 1777</t>
  </si>
  <si>
    <t>- Credentials and secrets: prohibited</t>
  </si>
  <si>
    <t>Both Qdrant and the runner must reference only the portable Compose logical</t>
  </si>
  <si>
    <t>network qdrant_internal. Do not specify a global network name. Preserve</t>
  </si>
  <si>
    <t>internal: true.</t>
  </si>
  <si>
    <t>The runner must use depends_on with Qdrant’s healthy-service condition.</t>
  </si>
  <si>
    <t>Do not add or restore 127.0.0.1:6333 publication.</t>
  </si>
  <si>
    <t>APPROVED READ-ONLY RUNTIME INPUTS</t>
  </si>
  <si>
    <t>Mount only these repository inputs read-only:</t>
  </si>
  <si>
    <t>Mount the owner-supplied W2_002_MODEL_SNAPSHOT_HOST read-only into the exact</t>
  </si>
  <si>
    <t>container hierarchy:</t>
  </si>
  <si>
    <t>/opt/model-cache/models--sentence-transformers--all-MiniLM-L6-v2/snapshots/1110a243fdf4706b3f48f1d95db1a4f5529b4d41</t>
  </si>
  <si>
    <t>Do not mount a repository directory, virtual environment, Docker socket,</t>
  </si>
  <si>
    <t>credential directory or writable host path.</t>
  </si>
  <si>
    <t>APPROVED IMMUTABLE IMAGE CONTRACT</t>
  </si>
  <si>
    <t>Python base image:</t>
  </si>
  <si>
    <t>docker.io/library/python:3.13.7-slim-bookworm</t>
  </si>
  <si>
    <t>Approved immutable multi-platform index:</t>
  </si>
  <si>
    <t>sha256:adafcc17694d715c905b4c7bebd96907a1fd5cf183395f0ebc4d3428bd22d92d</t>
  </si>
  <si>
    <t>Approved Linux/AMD64 runtime manifest to preserve in a provenance label and</t>
  </si>
  <si>
    <t>automated contract test:</t>
  </si>
  <si>
    <t>sha256:781449467ffb6f04218f09b1ecdcdc7d22b289ee5da9ec498b024e24ad7a6db7</t>
  </si>
  <si>
    <t>Use the approved index digest as the Dockerfile image reference with an</t>
  </si>
  <si>
    <t>explicit linux/amd64 platform constraint. Do not use an attestation manifest</t>
  </si>
  <si>
    <t>as a runtime image.</t>
  </si>
  <si>
    <t>Preserve the existing Qdrant image reference and approved digests unchanged:</t>
  </si>
  <si>
    <t>- Index:</t>
  </si>
  <si>
    <t xml:space="preserve">  sha256:a0e04fe623cb064502cd869cefc1dc7ce359d8edd481063b5bd351c0a0a2c91e</t>
  </si>
  <si>
    <t>- Linux/AMD64 runtime manifest:</t>
  </si>
  <si>
    <t xml:space="preserve">  sha256:80fb7b20ee4b49d57443b51aabdfb8514b910f333d3c4862e106fd02d1d66fa7</t>
  </si>
  <si>
    <t>APPROVED RUNNER DEPENDENCIES</t>
  </si>
  <si>
    <t>Use exact direct dependency pins:</t>
  </si>
  <si>
    <t>- pytest==9.1.1</t>
  </si>
  <si>
    <t>- pydantic==2.13.4</t>
  </si>
  <si>
    <t>- PyYAML==6.0.3</t>
  </si>
  <si>
    <t>- pypdf==6.16.2</t>
  </si>
  <si>
    <t>- qdrant-client==1.19.0</t>
  </si>
  <si>
    <t>- sentence-transformers==5.7.0</t>
  </si>
  <si>
    <t>- transformers==5.15.1</t>
  </si>
  <si>
    <t>- torch==2.13.0</t>
  </si>
  <si>
    <t>- huggingface-hub==1.16.1</t>
  </si>
  <si>
    <t>- safetensors==0.8.0</t>
  </si>
  <si>
    <t>- tokenizers==0.22.2</t>
  </si>
  <si>
    <t>Configure installation to use only the approved CPU-compatible PyTorch</t>
  </si>
  <si>
    <t>source. Do not add a CUDA, GPU, ONNX, OpenVINO, TensorFlow, Rust, Presidio,</t>
  </si>
  <si>
    <t>AWS, OpenSearch or unrelated dependency.</t>
  </si>
  <si>
    <t>This is exact direct-dependency pinning, not a fully hashed transitive lock.</t>
  </si>
  <si>
    <t>Do not represent it as complete supply-chain locking.</t>
  </si>
  <si>
    <t>APPROVED RETRIEVAL SERVICE</t>
  </si>
  <si>
    <t>Create a provider-neutral RetrievalService using only existing approved</t>
  </si>
  <si>
    <t>contracts:</t>
  </si>
  <si>
    <t>The service must:</t>
  </si>
  <si>
    <t>1. Validate the embedder and collection contract during construction.</t>
  </si>
  <si>
    <t>2. Validate the approved collection specification before provider access.</t>
  </si>
  <si>
    <t>3. Require an active authorization context before query embedding.</t>
  </si>
  <si>
    <t>4. Build the existing retrieval policy before vector search.</t>
  </si>
  <si>
    <t>5. Embed the query through Embedder.embed_query.</t>
  </si>
  <si>
    <t>6. Search through VectorStore.search.</t>
  </si>
  <si>
    <t>7. Return tuple[RetrievedChunk, ...].</t>
  </si>
  <si>
    <t>8. Preserve the requested top_k and existing result ordering.</t>
  </si>
  <si>
    <t>9. Use the existing bounded vector timeout contract.</t>
  </si>
  <si>
    <t>10. Translate failures through existing normalized exception boundaries.</t>
  </si>
  <si>
    <t>11. Perform no collection creation, upsert, deletion or other mutation.</t>
  </si>
  <si>
    <t>12. Expose no Qdrant or OpenSearch SDK type.</t>
  </si>
  <si>
    <t>13. Log no query text, corpus text, embedding vector, credential or PII.</t>
  </si>
  <si>
    <t>Export only the new approved public retrieval-service symbol from</t>
  </si>
  <si>
    <t>src/enterprise_ai_platform/retrieval/__init__.py.</t>
  </si>
  <si>
    <t>APPROVED REAL LOCAL FEATURE PROOF</t>
  </si>
  <si>
    <t>The one-shot runner must use:</t>
  </si>
  <si>
    <t>- The approved corpus manifest, PII policy and Q1–Q5 fixture</t>
  </si>
  <si>
    <t>- No remote code</t>
  </si>
  <si>
    <t>Initial ingestion must fail closed if w2_004_local_retrieval already exists.</t>
  </si>
  <si>
    <t>It must not reuse, overwrite or delete an unexpected pre-existing</t>
  </si>
  <si>
    <t>collection.</t>
  </si>
  <si>
    <t>The approved initial feature sequence must:</t>
  </si>
  <si>
    <t>1. Prove the collection is absent.</t>
  </si>
  <si>
    <t>2. Create or validate only the approved collection contract.</t>
  </si>
  <si>
    <t>3. Ingest the three approved manifest sources.</t>
  </si>
  <si>
    <t>4. Run ingestion a second time in the same approved feature flow.</t>
  </si>
  <si>
    <t>5. Prove stable document, version, chunk and vector identities.</t>
  </si>
  <si>
    <t>6. Prove the second ingestion creates no duplicate vectors.</t>
  </si>
  <si>
    <t>7. Record exact point count without recording source text.</t>
  </si>
  <si>
    <t>8. Verify the approved model, revision, dimension, normalization and cosine</t>
  </si>
  <si>
    <t xml:space="preserve">   metric.</t>
  </si>
  <si>
    <t>9. Run Q1 through Q5 in their approved order.</t>
  </si>
  <si>
    <t>10. For Q1 through Q4, require the exact expected source within the top five</t>
  </si>
  <si>
    <t xml:space="preserve">    authorized results.</t>
  </si>
  <si>
    <t>11. Record only question ID, expected source ID, returned source ID, rank and</t>
  </si>
  <si>
    <t xml:space="preserve">    score.</t>
  </si>
  <si>
    <t>12. For Q5, record retrieval-only results and make no safe-abstention claim.</t>
  </si>
  <si>
    <t>13. Prove unauthorized tenant, role, group and clearance combinations return</t>
  </si>
  <si>
    <t xml:space="preserve">    zero chunks.</t>
  </si>
  <si>
    <t>14. Inspect stored payload metadata and source identities to prove no</t>
  </si>
  <si>
    <t xml:space="preserve">    quarantined document or chunk exists.</t>
  </si>
  <si>
    <t>15. Record no raw corpus text, question text, PII or embedding vector.</t>
  </si>
  <si>
    <t>Real Presidio remains NOT RUN. Do not modify the corpus or claim production</t>
  </si>
  <si>
    <t>PII-detection quality.</t>
  </si>
  <si>
    <t>APPROVED REGRESSION AND ROLLBACK</t>
  </si>
  <si>
    <t>Implement a test-scoped environment or in-memory expected-source override.</t>
  </si>
  <si>
    <t>The regression must:</t>
  </si>
  <si>
    <t>- Apply only inside the W2-004 runner.</t>
  </si>
  <si>
    <t>- Modify no tracked file, fixture, corpus, collection schema or production</t>
  </si>
  <si>
    <t xml:space="preserve">  configuration.</t>
  </si>
  <si>
    <t>- Deliberately make one Q1–Q4 expected-source assertion fail.</t>
  </si>
  <si>
    <t>- Perform no vector or collection mutation.</t>
  </si>
  <si>
    <t>Rollback means removing the override and rerunning the known-good state.</t>
  </si>
  <si>
    <t>After rollback, revalidate:</t>
  </si>
  <si>
    <t>- Exact collection contract.</t>
  </si>
  <si>
    <t>- Stable and idempotent ingestion state.</t>
  </si>
  <si>
    <t>- Q1–Q4 expected-source top-five retrieval.</t>
  </si>
  <si>
    <t>- Tenant, role, group and clearance isolation.</t>
  </si>
  <si>
    <t>Do not describe environment destruction as rollback.</t>
  </si>
  <si>
    <t>APPROVED COLLECTION REMOVAL</t>
  </si>
  <si>
    <t>After successful rollback verification, remove only:</t>
  </si>
  <si>
    <t>w2_004_local_retrieval</t>
  </si>
  <si>
    <t>Use the Qdrant client collection lifecycle API only in the approved removal</t>
  </si>
  <si>
    <t>phase. Verify the collection is absent after deletion.</t>
  </si>
  <si>
    <t>Do not delete, overwrite or recreate an unexpected collection.</t>
  </si>
  <si>
    <t>APPROVED MAKEFILE TARGETS</t>
  </si>
  <si>
    <t>Add one bounded owner action per target:</t>
  </si>
  <si>
    <t>Each target must perform one visible owner operation. It must not silently</t>
  </si>
  <si>
    <t>combine build, start, test, rollback, removal or teardown.</t>
  </si>
  <si>
    <t>The only approved exception is verify-clean-local, which may invoke the fixed</t>
  </si>
  <si>
    <t>read-only cleanliness verifier and its multiple internal inventory reads.</t>
  </si>
  <si>
    <t>Do not perform broad Docker cleanup or Docker system prune.</t>
  </si>
  <si>
    <t>APPROVED READ-ONLY CLEANLINESS VERIFIER</t>
  </si>
  <si>
    <t>tools/verify_w2_004_local.py must:</t>
  </si>
  <si>
    <t>- Use fixed, non-shell-expanded command arguments.</t>
  </si>
  <si>
    <t>- Perform no deletion, stop, removal, pruning or mutation.</t>
  </si>
  <si>
    <t>- Inspect W2-004 project-labelled containers, networks and volumes.</t>
  </si>
  <si>
    <t>- Inspect the exact task collection state where directly reachable.</t>
  </si>
  <si>
    <t>- Inspect repository caches, bytecode and task-owned temporary paths.</t>
  </si>
  <si>
    <t>- Inspect unexpected ignored files and empty task directories.</t>
  </si>
  <si>
    <t>- Inspect the exact external W2-002 cache path.</t>
  </si>
  <si>
    <t>- Record intentionally retained shared base images and BuildKit cache.</t>
  </si>
  <si>
    <t>- Return nonzero for prohibited or indeterminate residue.</t>
  </si>
  <si>
    <t>- Distinguish REMOVED, RETAINED, NOT RUN and INDETERMINATE.</t>
  </si>
  <si>
    <t>- Never print environment secrets, document text, query text or embeddings.</t>
  </si>
  <si>
    <t>The external Python virtual environment is an approved retained resource.</t>
  </si>
  <si>
    <t>APPROVED FEATURE-MATRIX SYNCHRONIZATION</t>
  </si>
  <si>
    <t>Preserve feature-matrix.yaml as one valid JSON object.</t>
  </si>
  <si>
    <t>Preserve exact feature order:</t>
  </si>
  <si>
    <t>1. MVP-001</t>
  </si>
  <si>
    <t>2. RAG-001</t>
  </si>
  <si>
    <t>Append only these tracker steps to RAG-001:</t>
  </si>
  <si>
    <t>Do not add them to MVP-001 and do not create a new feature ID.</t>
  </si>
  <si>
    <t>Append these new W2-004 implementation paths in this exact order:</t>
  </si>
  <si>
    <t>1. docker-compose.w2-004.yml</t>
  </si>
  <si>
    <t>2. docker/local-retrieval-runner.Dockerfile</t>
  </si>
  <si>
    <t>3. docker/local-retrieval-runner.Dockerfile.dockerignore</t>
  </si>
  <si>
    <t>4. docker/local-retrieval-runner.requirements.txt</t>
  </si>
  <si>
    <t>5. Makefile</t>
  </si>
  <si>
    <t>6. src/enterprise_ai_platform/retrieval/service.py</t>
  </si>
  <si>
    <t>7. tools/verify_w2_004_local.py</t>
  </si>
  <si>
    <t>8. tests/unit/test_retrieval_service.py</t>
  </si>
  <si>
    <t>9. tests/unit/test_verify_w2_004_local.py</t>
  </si>
  <si>
    <t>10. tests/contract/test_retrieval_service.py</t>
  </si>
  <si>
    <t>11. tests/feature/test_local_retrieval.py</t>
  </si>
  <si>
    <t>12. tests/security/test_w2_004_retrieval_security.py</t>
  </si>
  <si>
    <t>13. tests/rollback/test_w2_004_local_rollback.py</t>
  </si>
  <si>
    <t>14. tests/teardown/test_w2_004_retrieval_cleanliness.py</t>
  </si>
  <si>
    <t>Do not duplicate src/enterprise_ai_platform/retrieval/__init__.py because it</t>
  </si>
  <si>
    <t>already exists in the authoritative RAG-001 implementation-path list.</t>
  </si>
  <si>
    <t>Synchronize the validator and automated fixtures with the same exact ordered</t>
  </si>
  <si>
    <t>contract.</t>
  </si>
  <si>
    <t>In tests/feature/test_w2_003_ingestion_contract.py, replace only the stale</t>
  </si>
  <si>
    <t>assumption that W2-003 paths and steps are the final suffix. Continue proving</t>
  </si>
  <si>
    <t>that the complete W2-003 path and tracker-step contracts remain present as</t>
  </si>
  <si>
    <t>an exact ordered contiguous segment before the appended W2-004 contract.</t>
  </si>
  <si>
    <t>Do not weaken rejection of malformed JSON, extra data, reordered, missing,</t>
  </si>
  <si>
    <t>duplicate or unexpected paths, tracker steps or feature IDs.</t>
  </si>
  <si>
    <t>APPROVED AUTOMATED TEST COVERAGE</t>
  </si>
  <si>
    <t>Add or update automated tests for:</t>
  </si>
  <si>
    <t>- RetrievalService construction and contract mismatch.</t>
  </si>
  <si>
    <t>- Query embedding and VectorStore.search connection.</t>
  </si>
  <si>
    <t>- Timeout, cancellation and normalized failure behavior.</t>
  </si>
  <si>
    <t>- No vendor-type leakage.</t>
  </si>
  <si>
    <t>- No query text, document text, vector or PII in errors or reports.</t>
  </si>
  <si>
    <t>- No host ports, host networking, Docker socket or credentials.</t>
  </si>
  <si>
    <t>- Exact image index and Linux/AMD64 provenance.</t>
  </si>
  <si>
    <t>- Exact direct dependency pins.</t>
  </si>
  <si>
    <t>- Read-only mounts and least privilege.</t>
  </si>
  <si>
    <t>- Tenant, classification, role and group isolation.</t>
  </si>
  <si>
    <t>- Exact collection deletion and absence.</t>
  </si>
  <si>
    <t>- Task-specific Docker and repository residue checks.</t>
  </si>
  <si>
    <t>- Feature-matrix and validator synchronization.</t>
  </si>
  <si>
    <t>Normal unit, contract, feature, security and repository regression tests must</t>
  </si>
  <si>
    <t>use fakes and must not load or download the real model.</t>
  </si>
  <si>
    <t>Real W2-004 execution must remain explicit, owner-controlled and opt-in.</t>
  </si>
  <si>
    <t>STRICT COLUMN L BOUNDARY</t>
  </si>
  <si>
    <t>Codex may write only the exact CREATE and UPDATE paths listed above.</t>
  </si>
  <si>
    <t>Codex must not:</t>
  </si>
  <si>
    <t>- run tests, Ruff, MyPy or repository validation;</t>
  </si>
  <si>
    <t>- install or update dependencies;</t>
  </si>
  <si>
    <t>- build, inspect, start or remove an image or container;</t>
  </si>
  <si>
    <t>- access Docker Hub, PyPI, Python-hosted files or PyTorch endpoints;</t>
  </si>
  <si>
    <t>- load or download the model;</t>
  </si>
  <si>
    <t>- start Qdrant or the runner;</t>
  </si>
  <si>
    <t>- create, query, mutate or delete a collection;</t>
  </si>
  <si>
    <t>- perform regression, rollback, teardown or cleanup;</t>
  </si>
  <si>
    <t>- inspect or delete the external model cache;</t>
  </si>
  <si>
    <t>- modify docker-compose.yml;</t>
  </si>
  <si>
    <t>- modify requirements.txt, requirements-dev.txt or pyproject.toml;</t>
  </si>
  <si>
    <t>- modify existing embedding, ingestion, authorization or adapter behavior;</t>
  </si>
  <si>
    <t>- modify the approved corpus, PII policy or evaluation fixture;</t>
  </si>
  <si>
    <t>- execute real Presidio;</t>
  </si>
  <si>
    <t>- access AWS, OpenSearch, cloud or paid services;</t>
  </si>
  <si>
    <t>- write documentation, evidence, ADRs or architecture records;</t>
  </si>
  <si>
    <t>- edit any Excel workbook or tracker field;</t>
  </si>
  <si>
    <t>- stage, commit or push;</t>
  </si>
  <si>
    <t>- perform bulk formatting or automatic fixes;</t>
  </si>
  <si>
    <t>DEFERRED DOCUMENTATION — NOT AUTHORIZED BY COLUMN L</t>
  </si>
  <si>
    <t>These paths require separate approved documentation gates.</t>
  </si>
  <si>
    <t>AFTER EDITING</t>
  </si>
  <si>
    <t>Return:</t>
  </si>
  <si>
    <t>1. The exact changed-path list classified CREATE or UPDATE.</t>
  </si>
  <si>
    <t>2. A concise per-path diff summary.</t>
  </si>
  <si>
    <t>3. Confirmation that no unlisted path changed.</t>
  </si>
  <si>
    <t>4. Confirmation that Qdrant and the runner use only qdrant_internal.</t>
  </si>
  <si>
    <t>5. Confirmation that neither service publishes a host port.</t>
  </si>
  <si>
    <t>6. Confirmation of the Python index and Linux/AMD64 manifest usage.</t>
  </si>
  <si>
    <t>7. Confirmation of all exact direct dependency pins.</t>
  </si>
  <si>
    <t>8. Confirmation that runtime model access is offline and read-only.</t>
  </si>
  <si>
    <t>9. Confirmation that the collection fails closed when unexpectedly present.</t>
  </si>
  <si>
    <t>10. Confirmation that the feature matrix and all consumers use one identical</t>
  </si>
  <si>
    <t xml:space="preserve">    ordered contract.</t>
  </si>
  <si>
    <t>11. The complete owner testing, regression, rollback, removal and teardown</t>
  </si>
  <si>
    <t xml:space="preserve">    guide without executing it.</t>
  </si>
  <si>
    <t>12. The estimated build disk impact before the owner build command.</t>
  </si>
  <si>
    <t>13. Business use case, architecture position, technical importance, layman</t>
  </si>
  <si>
    <t xml:space="preserve">    explanation, decisions/trade-offs, failure/rollback story and interview</t>
  </si>
  <si>
    <t xml:space="preserve">    talking points.</t>
  </si>
  <si>
    <t>Do not show full code unless the owner asks SHOW FULL CODE.</t>
  </si>
  <si>
    <t>End exactly:</t>
  </si>
  <si>
    <t>CODE READY FOR OWNER TESTING — W2-004.</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</si>
  <si>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</si>
  <si>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</si>
  <si>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COLUMN L — COMPLETE BOUNDED CODE EDIT APPROVAL — W3-001
APPROVED TASK CONTRACT
- Prompt and tracker steps: W3-001 / W3-01, W3-02, W3-03, W3-04
- Business purpose: Generate evidence-bound answers while retaining provider portability.
- Architecture and design: LLMProvider separates FakeLLMProvider and Bedrock from a cited RAG pipeline that assembles only authorized retrieved evidence into the prompt.
- Exact interfaces, functions and connections: generate accepts LLMRequest and returns LLMResponse; answer_query retrieves authorized chunks, builds a bounded prompt and returns Answer with citations or an abstention reason.
- Exact inputs, outputs, errors and invariants: Inputs are limited to LLM_PROVIDER, LLM_MODEL_ID, AWS_REGION; Bedrock test is marked.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LLMRequest, LLMResponse, ToolSpec and usage records are vendor neutral; every answer citation carries source ID, chunk ID and version; missing support yields abstention.
- Exact dependency and runtime API rules: Fake provider is default; Bedrock client is injected, region and model ID are explicit, retries and timeouts are bounded, and live AWS tests remain marked opt-in.
- Exact security, privacy, concurrency and operational controls: No credentials or content in logs; tenant filters remain outside the model; cancellation prevents further provider calls; token and context budgets reject overflow.
- Exact automated-test behavior: Provider contract covers fake and injected Bedrock clients; pipeline unit tests cover prompt assembly and abstention; cited-RAG feature tests prove evidence mapping; security tests reject fabricated or unauthorized citations.
- Accepted baseline: The inspected repository contains every UPDATE path and does not contain every CREATE path. Historical results remain unchanged; future execution must revalidate content and patch anchors.
EXACT APPROVED PATH MANIFEST
CREATE:
- src/enterprise_ai_platform/llm/__init__.py
- src/enterprise_ai_platform/llm/base.py
- src/enterprise_ai_platform/llm/errors.py
- src/enterprise_ai_platform/llm/fake.py
- src/enterprise_ai_platform/llm/bedrock.py
- src/enterprise_ai_platform/rag/__init__.py
- src/enterprise_ai_platform/rag/models.py
- src/enterprise_ai_platform/rag/prompts.py
- src/enterprise_ai_platform/rag/pipeline.py
- tests/unit/test_rag_pipeline.py
- tests/unit/test_prompt_template.py
- tests/unit/test_llm_provider.py
- tests/unit/test_bedrock_adapter.py
- tests/feature/test_cited_rag.py
- tests/security/test_citation_contract.py
UPDATE:
- src/enterprise_ai_platform/config.py
- requirements.txt
- feature-matrix.yaml
- tools/platformctl/validate.py
- tests/feature/test_feature_matrix.py
- tests/unit/test_platformctl.py
DELETE:
- None
VERIFIED IMPLEMENTED PRODUCERS / UNCHANGED CONSUMERS:
- src/enterprise_ai_platform/retrieval/models.py
- src/enterprise_ai_platform/embeddings/base.py
REQUIRED UPSTREAM PRODUCERS: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Generate evidence-bound answers while retaining provider portability. and measurable acceptance.
2. Architecture position: authorized question -&gt; retrieval -&gt; evidence pack -&gt; provider-neutral LLM -&gt; citation validation -&gt; grounded answer,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research assistant allowed to answer only from numbered source cards; what goes in, happens and comes out.
7. Decisions/trade-offs: provider portability and evidence-bound generation are selected over model-specific orchestration, alternatives, pros/cons, conditions to differ and consequences.
8. Security/privacy/reliability/cost: authorization precedes retrieval/LLM calls; retrieved text is untrusted and outputs expose approved citations only, failure isolation, retained resources and accepted access/cost.
9. Failure/remediation/rollback/teardown: timeouts, invalid citations or provider errors fail without fabricated answer; rollback restores prompt/model/retriever/index baseline;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W3-001.</t>
  </si>
  <si>
    <t>COLUMN L — COMPLETE BOUNDED CODE EDIT APPROVAL — W3-002
APPROVED TASK CONTRACT
- Prompt and tracker steps: W3-002 / W3-06, W3-07, W3-10
- Business purpose: Replace subjective demonstrations with repeatable evidence.
- Architecture and design: A versioned JSON Lines golden set feeds deterministic evaluation metrics and a release gate without calling paid providers by default.
- Exact interfaces, functions and connections: load_cases, evaluate_case, aggregate_metrics and evaluate_release accept typed cases and return per-case plus aggregate gate results.
- Exact inputs, outputs, errors and invariants: Inputs are limited to configs/eval/golden.jsonl with 25+ approved cases.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Each golden case has case ID, tenant, query, expected sources, expected answer facts, abstention expectation and safety labels; duplicate or incomplete cases are rejected.
- Exact dependency and runtime API rules: Fake retrieval and LLM providers are default; case order and random seed are fixed; no network, model download or paid service is used in ordinary evaluation.
- Exact security, privacy, concurrency and operational controls: Evaluation artifacts exclude enterprise content and credentials; failures identify case IDs, not raw protected text; gate thresholds are explicit owner decisions.
- Exact automated-test behavior: Metric unit tests cover exact denominators; dataset contract tests require at least 25 unique cases; feature tests cover pass and regression gates; security tests prove redacted output.
- Accepted baseline: The inspected repository contains every UPDATE path and does not contain every CREATE path. Historical results remain unchanged; future execution must revalidate content and patch anchors.
EXACT APPROVED PATH MANIFEST
CREATE:
- configs/eval/golden.jsonl
- src/enterprise_ai_platform/evaluation/__init__.py
- src/enterprise_ai_platform/evaluation/models.py
- src/enterprise_ai_platform/evaluation/metrics.py
- src/enterprise_ai_platform/evaluation/runner.py
- tools/validate_eval_dataset.py
- tests/unit/test_evaluation_metrics.py
- tests/contract/test_golden_dataset.py
- tests/feature/test_evaluation_gate.py
- tests/security/test_evaluation_redaction.py
UPDATE:
- Makefile
- feature-matrix.yaml
- tools/platformctl/validate.py
- tests/feature/test_feature_matrix.py
- tests/unit/test_platformctl.py
DELETE:
- None
VERIFIED IMPLEMENTED PRODUCERS / UNCHANGED CONSUMERS:
- docs/features/MVP-001.md
REQUIRED UPSTREAM PRODUCERS:
- src/enterprise_ai_platform/rag/pipeline.py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Replace subjective demonstrations with repeatable evidence. and measurable acceptance.
2. Architecture position: versioned golden cases -&gt; RAG execution -&gt; deterministic metrics -&gt; thresholds -&gt; release gate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exam with fixed questions, marking rules and a pass score; what goes in, happens and comes out.
7. Decisions/trade-offs: repeatable versioned evaluation and explicit thresholds replace subjective demonstration, alternatives, pros/cons, conditions to differ and consequences.
8. Security/privacy/reliability/cost: golden data is sanitized and tenant/classification context is enforced, failure isolation, retained resources and accepted access/cost.
9. Failure/remediation/rollback/teardown: malformed cases or threshold regression fail the release; rollback returns to last passing artifacts;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W3-002.</t>
  </si>
  <si>
    <t>COLUMN L — COMPLETE BOUNDED CODE EDIT APPROVAL — W3-003
APPROVED TASK CONTRACT
- Prompt and tracker steps: W3-003 / W3-05, W3-08
- Business purpose: Treat retrieved content as untrusted and enforce authorization outside the model.
- Architecture and design: Deterministic input, retrieved-content and output guardrails surround the RAG pipeline while authorization remains enforced by retrieval code.
- Exact interfaces, functions and connections: inspect_query, inspect_context and inspect_answer return allow, refuse or quarantine decisions with safe reason codes; the pipeline stops on any deny decision.
- Exact inputs, outputs, errors and invariants: Inputs are limited to Classification/tenant rules; injection fixtures.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GuardrailDecision contains decision, reason code, stage and policy version only; injection fixtures are synthetic and classified by expected action.
- Exact dependency and runtime API rules: Rules are local and deterministic; no remote moderation service or model download is introduced; timeouts and cancellation propagate through the pipeline.
- Exact security, privacy, concurrency and operational controls: Retrieved text is untrusted, tool-like instructions are not executed, tenant authorization cannot be overridden, and sensitive input is excluded from errors and telemetry.
- Exact automated-test behavior: Security suites cover direct and indirect injection, cross-tenant context, unsafe output and false-positive controls; feature test proves guardrail ordering and fail-closed behavior.
- Accepted baseline: The inspected repository contains every UPDATE path and does not contain every CREATE path. Historical results remain unchanged; future execution must revalidate content and patch anchors.
EXACT APPROVED PATH MANIFEST
CREATE:
- src/enterprise_ai_platform/guardrails/__init__.py
- src/enterprise_ai_platform/guardrails/errors.py
- src/enterprise_ai_platform/guardrails/prompt_injection.py
- src/enterprise_ai_platform/guardrails/output_policy.py
- tests/unit/test_guardrails.py
- tests/security/test_prompt_injection.py
- tests/security/test_rag_authorization.py
- tests/security/test_output_guardrails.py
- tests/feature/test_rag_guardrail_contract.py
UPDATE:
- src/enterprise_ai_platform/rag/pipeline.py
- src/enterprise_ai_platform/config.py
- feature-matrix.yaml
- tools/platformctl/validate.py
- tests/feature/test_feature_matrix.py
- tests/unit/test_platformctl.py
DELETE:
- None
VERIFIED IMPLEMENTED PRODUCERS / UNCHANGED CONSUMERS:
- src/enterprise_ai_platform/retrieval/authorization.py
REQUIRED UPSTREAM PRODUCERS:
- src/enterprise_ai_platform/llm/base.py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retrieved content as untrusted and enforce authorization outside the model. and measurable acceptance.
2. Architecture position: untrusted user/retrieved content -&gt; deterministic policy checks -&gt; authorized RAG -&gt; safe response or refusal,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airport security that screens every bag even if the passenger says it is safe; what goes in, happens and comes out.
7. Decisions/trade-offs: deterministic external controls are selected over asking the model to police itself, alternatives, pros/cons, conditions to differ and consequences.
8. Security/privacy/reliability/cost: tenant and ACL enforcement stay outside the LLM; sensitive instructions/content are not logged, failure isolation, retained resources and accepted access/cost.
9. Failure/remediation/rollback/teardown: injection or authorization ambiguity fails closed and creates redacted evidence;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W3-003.</t>
  </si>
  <si>
    <t>COLUMN L — COMPLETE BOUNDED CODE EDIT APPROVAL — W3-ROLLBACK-001
APPROVED TASK CONTRACT
- Prompt and tracker steps: W3-ROLLBACK-001 / W3-11
- Business purpose: Prove prompt/model/retriever/index configuration can return to a known-good baseline.
- Architecture and design: Versioned JSON RAG configurations and platformctl rollback select a known-good prompt, model, retriever and index contract without changing stored evidence silently.
- Exact interfaces, functions and connections: validate_rag_config, compare_rag_config and rollback_rag_config accept exact configuration paths and return validation, diff and selected-baseline results.
- Exact inputs, outputs, errors and invariants: Inputs are limited to Approved baseline and exact local configuration paths from the pre-edit plan.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Configuration fixes schema version, prompt version, provider/model ID, retrieval parameters, index version and evaluation gate; unknown or missing fields are rejected.
- Exact dependency and runtime API rules: Rollback is local and dry-run by default; owner execution performs any service restart or data mutation; no cloud or model download is part of the code edit.
- Exact security, privacy, concurrency and operational controls: Candidate and baseline hashes are verified; rollback stops if the baseline is missing or incompatible; cleanup removes only drill artifacts.
- Exact automated-test behavior: Contract tests reject invalid configuration; feature tests force a safe regression and select baseline; teardown tests prove no temporary rollback state remains.
- Accepted baseline: The inspected repository contains every UPDATE path and does not contain every CREATE path. Historical results remain unchanged; future execution must revalidate content and patch anchors.
EXACT APPROVED PATH MANIFEST
CREATE:
- configs/rag/baseline.json
- configs/rag/candidate.json
- tools/platformctl/rag_rollback.py
- tests/contract/test_rag_config.py
- tests/feature/test_rag_configuration_rollback.py
- tests/teardown/test_w3_rag_rollback_cleanliness.py
UPDATE:
- tools/platformctl/cli.py
- tools/platformctl/contracts.py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configs/eval/golden.jsonl — produced by W3-002;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prompt/model/retriever/index configuration can return to a known-good baseline.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W3-ROLLBACK-001.</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</si>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</sst>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490"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6" t="s">
        <v>0</v>
      </c>
      <c r="B1" s="56"/>
      <c r="C1" s="56"/>
      <c r="D1" s="56"/>
      <c r="E1" s="56"/>
      <c r="F1" s="56"/>
      <c r="G1" s="56"/>
      <c r="H1" s="56"/>
      <c r="I1" s="56"/>
      <c r="J1" s="56"/>
    </row>
    <row r="2" spans="1:10">
      <c r="A2" s="57" t="s">
        <v>1</v>
      </c>
      <c r="B2" s="57"/>
      <c r="C2" s="57"/>
      <c r="D2" s="57"/>
      <c r="E2" s="57"/>
      <c r="F2" s="57"/>
      <c r="G2" s="57"/>
      <c r="H2" s="57"/>
      <c r="I2" s="57"/>
      <c r="J2" s="57"/>
    </row>
    <row r="4" spans="1:10">
      <c r="A4" s="58" t="s">
        <v>2</v>
      </c>
      <c r="B4" s="59"/>
      <c r="C4" s="59"/>
      <c r="D4" s="59"/>
      <c r="E4" s="58" t="s">
        <v>3</v>
      </c>
      <c r="F4" s="59"/>
      <c r="G4" s="59"/>
      <c r="H4" s="59"/>
      <c r="I4" s="59"/>
      <c r="J4" s="60"/>
    </row>
    <row r="5" spans="1:10" ht="39.6">
      <c r="A5" s="21">
        <v>1</v>
      </c>
      <c r="B5" s="4" t="s">
        <v>4</v>
      </c>
      <c r="C5" s="4" t="s">
        <v>5</v>
      </c>
      <c r="E5" s="61" t="s">
        <v>6</v>
      </c>
      <c r="F5" s="62"/>
      <c r="G5" s="62"/>
      <c r="H5" s="62"/>
      <c r="I5" s="62"/>
      <c r="J5" s="63"/>
    </row>
    <row r="6" spans="1:10" ht="39.6">
      <c r="A6" s="21">
        <v>2</v>
      </c>
      <c r="B6" s="5" t="s">
        <v>7</v>
      </c>
      <c r="C6" s="5" t="s">
        <v>8</v>
      </c>
      <c r="E6" s="64" t="s">
        <v>9</v>
      </c>
      <c r="F6" s="65"/>
      <c r="G6" s="65"/>
      <c r="H6" s="65"/>
      <c r="I6" s="65"/>
      <c r="J6" s="66"/>
    </row>
    <row r="7" spans="1:10" ht="66">
      <c r="A7" s="21">
        <v>3</v>
      </c>
      <c r="B7" s="5" t="s">
        <v>10</v>
      </c>
      <c r="C7" s="5" t="s">
        <v>11</v>
      </c>
      <c r="E7" s="64" t="s">
        <v>12</v>
      </c>
      <c r="F7" s="65"/>
      <c r="G7" s="65"/>
      <c r="H7" s="65"/>
      <c r="I7" s="65"/>
      <c r="J7" s="66"/>
    </row>
    <row r="8" spans="1:10" ht="79.2">
      <c r="A8" s="21">
        <v>4</v>
      </c>
      <c r="B8" s="5" t="s">
        <v>13</v>
      </c>
      <c r="C8" s="5" t="s">
        <v>14</v>
      </c>
      <c r="E8" s="64" t="s">
        <v>15</v>
      </c>
      <c r="F8" s="65"/>
      <c r="G8" s="65"/>
      <c r="H8" s="65"/>
      <c r="I8" s="65"/>
      <c r="J8" s="66"/>
    </row>
    <row r="9" spans="1:10" ht="66">
      <c r="A9" s="21">
        <v>5</v>
      </c>
      <c r="B9" s="5" t="s">
        <v>16</v>
      </c>
      <c r="C9" s="5" t="s">
        <v>17</v>
      </c>
      <c r="E9" s="64" t="s">
        <v>18</v>
      </c>
      <c r="F9" s="65"/>
      <c r="G9" s="65"/>
      <c r="H9" s="65"/>
      <c r="I9" s="65"/>
      <c r="J9" s="66"/>
    </row>
    <row r="10" spans="1:10" ht="79.2">
      <c r="A10" s="21">
        <v>6</v>
      </c>
      <c r="B10" s="5" t="s">
        <v>19</v>
      </c>
      <c r="C10" s="5" t="s">
        <v>20</v>
      </c>
      <c r="E10" s="64" t="s">
        <v>21</v>
      </c>
      <c r="F10" s="65"/>
      <c r="G10" s="65"/>
      <c r="H10" s="65"/>
      <c r="I10" s="65"/>
      <c r="J10" s="66"/>
    </row>
    <row r="11" spans="1:10" ht="92.4">
      <c r="A11" s="21">
        <v>7</v>
      </c>
      <c r="B11" s="5" t="s">
        <v>22</v>
      </c>
      <c r="C11" s="5" t="s">
        <v>23</v>
      </c>
      <c r="E11" s="73" t="s">
        <v>24</v>
      </c>
      <c r="F11" s="74"/>
      <c r="G11" s="74"/>
      <c r="H11" s="74"/>
      <c r="I11" s="74"/>
      <c r="J11" s="75"/>
    </row>
    <row r="12" spans="1:10" ht="66">
      <c r="A12" s="21">
        <v>8</v>
      </c>
      <c r="B12" s="5" t="s">
        <v>25</v>
      </c>
      <c r="C12" s="5" t="s">
        <v>26</v>
      </c>
      <c r="E12" t="s">
        <v>27</v>
      </c>
    </row>
    <row r="13" spans="1:10" ht="66">
      <c r="A13" s="21">
        <v>9</v>
      </c>
      <c r="B13" s="5" t="s">
        <v>28</v>
      </c>
      <c r="C13" s="5" t="s">
        <v>29</v>
      </c>
      <c r="E13" s="58" t="s">
        <v>30</v>
      </c>
      <c r="F13" s="59"/>
      <c r="G13" s="59"/>
      <c r="H13" s="59"/>
      <c r="I13" s="59"/>
      <c r="J13" s="60"/>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7" t="s">
        <v>42</v>
      </c>
      <c r="B19" s="68"/>
      <c r="C19" s="68"/>
      <c r="D19" s="68"/>
      <c r="E19" s="68"/>
      <c r="F19" s="68"/>
      <c r="G19" s="68"/>
      <c r="H19" s="68"/>
      <c r="I19" s="68"/>
      <c r="J19" s="69"/>
    </row>
    <row r="20" spans="1:10">
      <c r="A20" s="70"/>
      <c r="B20" s="71"/>
      <c r="C20" s="71"/>
      <c r="D20" s="71"/>
      <c r="E20" s="71"/>
      <c r="F20" s="71"/>
      <c r="G20" s="71"/>
      <c r="H20" s="71"/>
      <c r="I20" s="71"/>
      <c r="J20" s="72"/>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6" t="s">
        <v>43</v>
      </c>
      <c r="B1" s="56"/>
      <c r="C1" s="56"/>
      <c r="D1" s="56"/>
      <c r="E1" s="56"/>
      <c r="F1" s="56"/>
      <c r="G1" s="56"/>
      <c r="H1" s="56"/>
      <c r="I1" s="56"/>
      <c r="J1" s="56"/>
      <c r="K1" s="56"/>
      <c r="L1" s="56"/>
      <c r="M1" s="56"/>
      <c r="N1" s="56"/>
      <c r="O1" s="56"/>
      <c r="P1" s="56"/>
    </row>
    <row r="2" spans="1:16" ht="31.95" customHeight="1">
      <c r="A2" s="57" t="s">
        <v>44</v>
      </c>
      <c r="B2" s="57"/>
      <c r="C2" s="57"/>
      <c r="D2" s="57"/>
      <c r="E2" s="57"/>
      <c r="F2" s="57"/>
      <c r="G2" s="57"/>
      <c r="H2" s="57"/>
      <c r="I2" s="57"/>
      <c r="J2" s="57"/>
      <c r="K2" s="57"/>
      <c r="L2" s="57"/>
      <c r="M2" s="57"/>
      <c r="N2" s="57"/>
      <c r="O2" s="57"/>
      <c r="P2" s="57"/>
    </row>
    <row r="4" spans="1:16">
      <c r="A4" s="76" t="s">
        <v>45</v>
      </c>
      <c r="B4" s="76"/>
      <c r="D4" s="76" t="s">
        <v>46</v>
      </c>
      <c r="E4" s="76"/>
      <c r="G4" s="76" t="s">
        <v>47</v>
      </c>
      <c r="H4" s="76"/>
      <c r="J4" s="76" t="s">
        <v>48</v>
      </c>
      <c r="K4" s="76"/>
    </row>
    <row r="5" spans="1:16">
      <c r="A5" s="77">
        <f>COUNTA('02 Master Plan'!$A$6:$A$120)</f>
        <v>80</v>
      </c>
      <c r="B5" s="78"/>
      <c r="D5" s="77">
        <f>COUNTIF('02 Master Plan'!$S$6:$S$120,"Done")</f>
        <v>26</v>
      </c>
      <c r="E5" s="78"/>
      <c r="G5" s="81">
        <f>IF(A5=0,0,D5/A5)</f>
        <v>0.32500000000000001</v>
      </c>
      <c r="H5" s="82"/>
      <c r="J5" s="77">
        <f>COUNTIF('02 Master Plan'!$S$6:$S$120,"Blocked")</f>
        <v>0</v>
      </c>
      <c r="K5" s="78"/>
    </row>
    <row r="6" spans="1:16">
      <c r="A6" s="79"/>
      <c r="B6" s="80"/>
      <c r="D6" s="79"/>
      <c r="E6" s="80"/>
      <c r="G6" s="83"/>
      <c r="H6" s="84"/>
      <c r="J6" s="79"/>
      <c r="K6" s="80"/>
    </row>
    <row r="7" spans="1:16">
      <c r="A7" s="76" t="s">
        <v>49</v>
      </c>
      <c r="B7" s="76"/>
      <c r="D7" s="76" t="s">
        <v>50</v>
      </c>
      <c r="E7" s="76"/>
      <c r="G7" s="76" t="s">
        <v>51</v>
      </c>
      <c r="H7" s="76"/>
      <c r="J7" s="76" t="s">
        <v>52</v>
      </c>
      <c r="K7" s="76"/>
    </row>
    <row r="8" spans="1:16">
      <c r="A8" s="77">
        <f>COUNTIFS('13 Owner TODOs'!$F$6:$F$80,"&lt;&gt;Done",'13 Owner TODOs'!$A$6:$A$80,"&lt;&gt;")</f>
        <v>15</v>
      </c>
      <c r="B8" s="78"/>
      <c r="D8" s="77">
        <f>COUNTIF('11 Test Evidence'!$H$6:$H$80,"Pass")</f>
        <v>6</v>
      </c>
      <c r="E8" s="78"/>
      <c r="G8" s="77">
        <f>COUNTIF('12 Decision Log'!$C$6:$C$60,"Baseline Approved")+COUNTIF('12 Decision Log'!$C$6:$C$60,"Approved")</f>
        <v>18</v>
      </c>
      <c r="H8" s="78"/>
      <c r="J8" s="77">
        <f>COUNTIFS('11 Test Evidence'!$C$6:$C$80,"Teardown",'11 Test Evidence'!$H$6:$H$80,"Pass")</f>
        <v>1</v>
      </c>
      <c r="K8" s="78"/>
    </row>
    <row r="9" spans="1:16">
      <c r="A9" s="79"/>
      <c r="B9" s="80"/>
      <c r="D9" s="79"/>
      <c r="E9" s="80"/>
      <c r="G9" s="79"/>
      <c r="H9" s="80"/>
      <c r="J9" s="79"/>
      <c r="K9" s="80"/>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8" t="s">
        <v>61</v>
      </c>
      <c r="B21" s="59"/>
      <c r="C21" s="59"/>
      <c r="D21" s="59"/>
      <c r="E21" s="59"/>
      <c r="F21" s="59"/>
      <c r="G21" s="59"/>
      <c r="H21" s="60"/>
    </row>
    <row r="22" spans="1:8" ht="30" customHeight="1">
      <c r="A22" s="91" t="s">
        <v>62</v>
      </c>
      <c r="B22" s="92"/>
      <c r="C22" s="92"/>
      <c r="D22" s="92"/>
      <c r="E22" s="92"/>
      <c r="F22" s="92"/>
      <c r="G22" s="92"/>
      <c r="H22" s="93"/>
    </row>
    <row r="23" spans="1:8" ht="30" customHeight="1">
      <c r="A23" s="85" t="s">
        <v>63</v>
      </c>
      <c r="B23" s="86"/>
      <c r="C23" s="86"/>
      <c r="D23" s="86"/>
      <c r="E23" s="86"/>
      <c r="F23" s="86"/>
      <c r="G23" s="86"/>
      <c r="H23" s="87"/>
    </row>
    <row r="24" spans="1:8" ht="30" customHeight="1">
      <c r="A24" s="85" t="s">
        <v>64</v>
      </c>
      <c r="B24" s="86"/>
      <c r="C24" s="86"/>
      <c r="D24" s="86"/>
      <c r="E24" s="86"/>
      <c r="F24" s="86"/>
      <c r="G24" s="86"/>
      <c r="H24" s="87"/>
    </row>
    <row r="25" spans="1:8" ht="30" customHeight="1">
      <c r="A25" s="85" t="s">
        <v>65</v>
      </c>
      <c r="B25" s="86"/>
      <c r="C25" s="86"/>
      <c r="D25" s="86"/>
      <c r="E25" s="86"/>
      <c r="F25" s="86"/>
      <c r="G25" s="86"/>
      <c r="H25" s="87"/>
    </row>
    <row r="26" spans="1:8" ht="30" customHeight="1">
      <c r="A26" s="88" t="s">
        <v>66</v>
      </c>
      <c r="B26" s="89"/>
      <c r="C26" s="89"/>
      <c r="D26" s="89"/>
      <c r="E26" s="89"/>
      <c r="F26" s="89"/>
      <c r="G26" s="89"/>
      <c r="H26" s="90"/>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1" workbookViewId="0">
      <selection activeCell="S31" sqref="S3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6" t="s">
        <v>67</v>
      </c>
      <c r="B1" s="56"/>
      <c r="C1" s="56"/>
      <c r="D1" s="56"/>
      <c r="E1" s="56"/>
      <c r="F1" s="56"/>
      <c r="G1" s="56"/>
      <c r="H1" s="56"/>
      <c r="I1" s="56"/>
      <c r="J1" s="56"/>
      <c r="K1" s="56"/>
      <c r="L1" s="56"/>
      <c r="M1" s="56"/>
      <c r="N1" s="56"/>
      <c r="O1" s="56"/>
      <c r="P1" s="56"/>
      <c r="Q1" s="56"/>
      <c r="R1" s="56"/>
      <c r="S1" s="56"/>
      <c r="T1" s="56"/>
    </row>
    <row r="2" spans="1:21" ht="31.95" customHeight="1">
      <c r="A2" s="57" t="s">
        <v>68</v>
      </c>
      <c r="B2" s="57"/>
      <c r="C2" s="57"/>
      <c r="D2" s="57"/>
      <c r="E2" s="57"/>
      <c r="F2" s="57"/>
      <c r="G2" s="57"/>
      <c r="H2" s="57"/>
      <c r="I2" s="57"/>
      <c r="J2" s="57"/>
      <c r="K2" s="57"/>
      <c r="L2" s="57"/>
      <c r="M2" s="57"/>
      <c r="N2" s="57"/>
      <c r="O2" s="57"/>
      <c r="P2" s="57"/>
      <c r="Q2" s="57"/>
      <c r="R2" s="57"/>
      <c r="S2" s="57"/>
      <c r="T2" s="57"/>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303</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303</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303</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303</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990</v>
      </c>
      <c r="B1" s="56"/>
      <c r="C1" s="56"/>
      <c r="D1" s="56"/>
      <c r="E1" s="56"/>
      <c r="F1" s="56"/>
      <c r="G1" s="56"/>
      <c r="H1" s="56"/>
      <c r="I1" s="56"/>
      <c r="J1" s="56"/>
      <c r="K1" s="56"/>
      <c r="L1" s="56"/>
      <c r="M1" s="56"/>
      <c r="N1" s="56"/>
      <c r="O1" s="56"/>
    </row>
    <row r="2" spans="1:16" ht="31.95" customHeight="1">
      <c r="A2" s="57" t="s">
        <v>991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0.56521739130434778</v>
      </c>
      <c r="B5" s="97"/>
      <c r="D5" s="100">
        <f>COUNTIF(O10:O40,"Blocked")</f>
        <v>0</v>
      </c>
      <c r="E5" s="101"/>
      <c r="G5" s="104" t="s">
        <v>993</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abSelected="1"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1043</v>
      </c>
      <c r="B1" s="56"/>
      <c r="C1" s="56"/>
      <c r="D1" s="56"/>
      <c r="E1" s="56"/>
      <c r="F1" s="56"/>
      <c r="G1" s="56"/>
      <c r="H1" s="56"/>
      <c r="I1" s="56"/>
      <c r="J1" s="56"/>
      <c r="K1" s="56"/>
      <c r="L1" s="56"/>
      <c r="M1" s="56"/>
      <c r="N1" s="56"/>
      <c r="O1" s="56"/>
    </row>
    <row r="2" spans="1:16" ht="31.95" customHeight="1">
      <c r="A2" s="57" t="s">
        <v>1044</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0.59090909090909094</v>
      </c>
      <c r="B5" s="97"/>
      <c r="D5" s="100">
        <f>COUNTIF(O10:O40,"Blocked")</f>
        <v>0</v>
      </c>
      <c r="E5" s="101"/>
      <c r="G5" s="104" t="s">
        <v>1045</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1068</v>
      </c>
      <c r="B1" s="56"/>
      <c r="C1" s="56"/>
      <c r="D1" s="56"/>
      <c r="E1" s="56"/>
      <c r="F1" s="56"/>
      <c r="G1" s="56"/>
      <c r="H1" s="56"/>
      <c r="I1" s="56"/>
      <c r="J1" s="56"/>
      <c r="K1" s="56"/>
      <c r="L1" s="56"/>
      <c r="M1" s="56"/>
      <c r="N1" s="56"/>
      <c r="O1" s="56"/>
    </row>
    <row r="2" spans="1:16" ht="31.95" customHeight="1">
      <c r="A2" s="57" t="s">
        <v>1069</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1070</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303</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303</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303</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303</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1089</v>
      </c>
      <c r="B1" s="56"/>
      <c r="C1" s="56"/>
      <c r="D1" s="56"/>
      <c r="E1" s="56"/>
      <c r="F1" s="56"/>
      <c r="G1" s="56"/>
      <c r="H1" s="56"/>
      <c r="I1" s="56"/>
      <c r="J1" s="56"/>
      <c r="K1" s="56"/>
      <c r="L1" s="56"/>
      <c r="M1" s="56"/>
      <c r="N1" s="56"/>
      <c r="O1" s="56"/>
    </row>
    <row r="2" spans="1:16" ht="31.95" customHeight="1">
      <c r="A2" s="57" t="s">
        <v>1090</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1091</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1110</v>
      </c>
      <c r="B1" s="56"/>
      <c r="C1" s="56"/>
      <c r="D1" s="56"/>
      <c r="E1" s="56"/>
      <c r="F1" s="56"/>
      <c r="G1" s="56"/>
      <c r="H1" s="56"/>
      <c r="I1" s="56"/>
      <c r="J1" s="56"/>
      <c r="K1" s="56"/>
      <c r="L1" s="56"/>
      <c r="M1" s="56"/>
      <c r="N1" s="56"/>
      <c r="O1" s="56"/>
    </row>
    <row r="2" spans="1:16" ht="31.95" customHeight="1">
      <c r="A2" s="57" t="s">
        <v>1111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1112</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1135</v>
      </c>
      <c r="B1" s="56"/>
      <c r="C1" s="56"/>
      <c r="D1" s="56"/>
      <c r="E1" s="56"/>
      <c r="F1" s="56"/>
      <c r="G1" s="56"/>
      <c r="H1" s="56"/>
      <c r="I1" s="56"/>
      <c r="J1" s="56"/>
      <c r="K1" s="56"/>
      <c r="L1" s="56"/>
      <c r="M1" s="56"/>
      <c r="N1" s="56"/>
      <c r="O1" s="56"/>
    </row>
    <row r="2" spans="1:16" ht="31.95" customHeight="1">
      <c r="A2" s="57" t="s">
        <v>1136</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1137</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6" t="s">
        <v>1152</v>
      </c>
      <c r="B1" s="56"/>
      <c r="C1" s="56"/>
      <c r="D1" s="56"/>
      <c r="E1" s="56"/>
      <c r="F1" s="56"/>
      <c r="G1" s="56"/>
      <c r="H1" s="56"/>
    </row>
    <row r="2" spans="1:8" ht="31.95" customHeight="1">
      <c r="A2" s="57" t="s">
        <v>1153</v>
      </c>
      <c r="B2" s="57"/>
      <c r="C2" s="57"/>
      <c r="D2" s="57"/>
      <c r="E2" s="57"/>
      <c r="F2" s="57"/>
      <c r="G2" s="57"/>
      <c r="H2" s="57"/>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A18" workbookViewId="0">
      <selection activeCell="N19" sqref="N19"/>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2847</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2582</v>
      </c>
      <c r="M19" s="22" t="s">
        <v>2442</v>
      </c>
      <c r="N19" s="55" t="s">
        <v>2312</v>
      </c>
    </row>
    <row r="20" spans="1:14" ht="409.6">
      <c r="A20" s="23" t="s">
        <v>397</v>
      </c>
      <c r="B20" s="23" t="s">
        <v>57</v>
      </c>
      <c r="C20" s="23" t="s">
        <v>1071</v>
      </c>
      <c r="D20" s="23" t="s">
        <v>1072</v>
      </c>
      <c r="E20" s="23" t="s">
        <v>1073</v>
      </c>
      <c r="F20" s="23" t="s">
        <v>2388</v>
      </c>
      <c r="G20" s="23" t="s">
        <v>2443</v>
      </c>
      <c r="H20" s="23" t="s">
        <v>2390</v>
      </c>
      <c r="I20" s="23" t="s">
        <v>2444</v>
      </c>
      <c r="J20" s="23" t="s">
        <v>2379</v>
      </c>
      <c r="K20" s="23" t="s">
        <v>2445</v>
      </c>
      <c r="L20" s="23" t="s">
        <v>2849</v>
      </c>
      <c r="M20" s="23" t="s">
        <v>2300</v>
      </c>
      <c r="N20" s="22" t="s">
        <v>2446</v>
      </c>
    </row>
    <row r="21" spans="1:14" ht="409.6">
      <c r="A21" s="22" t="s">
        <v>457</v>
      </c>
      <c r="B21" s="22" t="s">
        <v>57</v>
      </c>
      <c r="C21" s="22" t="s">
        <v>1075</v>
      </c>
      <c r="D21" s="22" t="s">
        <v>1076</v>
      </c>
      <c r="E21" s="22" t="s">
        <v>1077</v>
      </c>
      <c r="F21" s="22" t="s">
        <v>2388</v>
      </c>
      <c r="G21" s="22" t="s">
        <v>2447</v>
      </c>
      <c r="H21" s="22" t="s">
        <v>2390</v>
      </c>
      <c r="I21" s="22" t="s">
        <v>2448</v>
      </c>
      <c r="J21" s="22" t="s">
        <v>2379</v>
      </c>
      <c r="K21" s="22" t="s">
        <v>2449</v>
      </c>
      <c r="L21" s="22" t="s">
        <v>2850</v>
      </c>
      <c r="M21" s="22" t="s">
        <v>2301</v>
      </c>
      <c r="N21" s="55" t="s">
        <v>2450</v>
      </c>
    </row>
    <row r="22" spans="1:14" ht="409.6">
      <c r="A22" s="23" t="s">
        <v>445</v>
      </c>
      <c r="B22" s="23" t="s">
        <v>57</v>
      </c>
      <c r="C22" s="23" t="s">
        <v>1079</v>
      </c>
      <c r="D22" s="23" t="s">
        <v>1080</v>
      </c>
      <c r="E22" s="23" t="s">
        <v>1081</v>
      </c>
      <c r="F22" s="23" t="s">
        <v>2388</v>
      </c>
      <c r="G22" s="23" t="s">
        <v>2451</v>
      </c>
      <c r="H22" s="23" t="s">
        <v>2390</v>
      </c>
      <c r="I22" s="23" t="s">
        <v>2452</v>
      </c>
      <c r="J22" s="23" t="s">
        <v>2379</v>
      </c>
      <c r="K22" s="23" t="s">
        <v>2453</v>
      </c>
      <c r="L22" s="23" t="s">
        <v>2851</v>
      </c>
      <c r="M22" s="23" t="s">
        <v>2454</v>
      </c>
      <c r="N22" s="22" t="s">
        <v>2455</v>
      </c>
    </row>
    <row r="23" spans="1:14" ht="409.6">
      <c r="A23" s="22" t="s">
        <v>514</v>
      </c>
      <c r="B23" s="22" t="s">
        <v>57</v>
      </c>
      <c r="C23" s="22" t="s">
        <v>1083</v>
      </c>
      <c r="D23" s="22" t="s">
        <v>1084</v>
      </c>
      <c r="E23" s="22" t="s">
        <v>1085</v>
      </c>
      <c r="F23" s="22" t="s">
        <v>2388</v>
      </c>
      <c r="G23" s="22" t="s">
        <v>2456</v>
      </c>
      <c r="H23" s="22" t="s">
        <v>2390</v>
      </c>
      <c r="I23" s="22" t="s">
        <v>2457</v>
      </c>
      <c r="J23" s="22" t="s">
        <v>2379</v>
      </c>
      <c r="K23" s="22" t="s">
        <v>510</v>
      </c>
      <c r="L23" s="22" t="s">
        <v>2852</v>
      </c>
      <c r="M23" s="22" t="s">
        <v>2458</v>
      </c>
      <c r="N23" s="55" t="s">
        <v>2459</v>
      </c>
    </row>
    <row r="24" spans="1:14" ht="409.6">
      <c r="A24" s="23" t="s">
        <v>543</v>
      </c>
      <c r="B24" s="23" t="s">
        <v>58</v>
      </c>
      <c r="C24" s="23" t="s">
        <v>1092</v>
      </c>
      <c r="D24" s="23" t="s">
        <v>1093</v>
      </c>
      <c r="E24" s="23" t="s">
        <v>1094</v>
      </c>
      <c r="F24" s="23" t="s">
        <v>2388</v>
      </c>
      <c r="G24" s="23" t="s">
        <v>2460</v>
      </c>
      <c r="H24" s="23" t="s">
        <v>2390</v>
      </c>
      <c r="I24" s="23" t="s">
        <v>2461</v>
      </c>
      <c r="J24" s="23" t="s">
        <v>2379</v>
      </c>
      <c r="K24" s="23" t="s">
        <v>2462</v>
      </c>
      <c r="L24" s="23" t="s">
        <v>2853</v>
      </c>
      <c r="M24" s="23" t="s">
        <v>2302</v>
      </c>
      <c r="N24" s="22" t="s">
        <v>2463</v>
      </c>
    </row>
    <row r="25" spans="1:14" ht="409.6">
      <c r="A25" s="22" t="s">
        <v>564</v>
      </c>
      <c r="B25" s="22" t="s">
        <v>58</v>
      </c>
      <c r="C25" s="22" t="s">
        <v>1096</v>
      </c>
      <c r="D25" s="22" t="s">
        <v>1097</v>
      </c>
      <c r="E25" s="22" t="s">
        <v>1098</v>
      </c>
      <c r="F25" s="22" t="s">
        <v>2388</v>
      </c>
      <c r="G25" s="22" t="s">
        <v>2464</v>
      </c>
      <c r="H25" s="22" t="s">
        <v>2390</v>
      </c>
      <c r="I25" s="22" t="s">
        <v>2465</v>
      </c>
      <c r="J25" s="22" t="s">
        <v>2379</v>
      </c>
      <c r="K25" s="22" t="s">
        <v>2466</v>
      </c>
      <c r="L25" s="22" t="s">
        <v>2854</v>
      </c>
      <c r="M25" s="22" t="s">
        <v>2303</v>
      </c>
      <c r="N25" s="55" t="s">
        <v>2467</v>
      </c>
    </row>
    <row r="26" spans="1:14" ht="409.6">
      <c r="A26" s="23" t="s">
        <v>490</v>
      </c>
      <c r="B26" s="23" t="s">
        <v>58</v>
      </c>
      <c r="C26" s="23" t="s">
        <v>1100</v>
      </c>
      <c r="D26" s="23" t="s">
        <v>1101</v>
      </c>
      <c r="E26" s="23" t="s">
        <v>1102</v>
      </c>
      <c r="F26" s="23" t="s">
        <v>2388</v>
      </c>
      <c r="G26" s="23" t="s">
        <v>2468</v>
      </c>
      <c r="H26" s="23" t="s">
        <v>2390</v>
      </c>
      <c r="I26" s="23" t="s">
        <v>2469</v>
      </c>
      <c r="J26" s="23" t="s">
        <v>2379</v>
      </c>
      <c r="K26" s="23" t="s">
        <v>2470</v>
      </c>
      <c r="L26" s="23" t="s">
        <v>2855</v>
      </c>
      <c r="M26" s="23" t="s">
        <v>2304</v>
      </c>
      <c r="N26" s="22" t="s">
        <v>2471</v>
      </c>
    </row>
    <row r="27" spans="1:14" ht="409.6">
      <c r="A27" s="22" t="s">
        <v>655</v>
      </c>
      <c r="B27" s="22" t="s">
        <v>58</v>
      </c>
      <c r="C27" s="22" t="s">
        <v>1104</v>
      </c>
      <c r="D27" s="22" t="s">
        <v>1105</v>
      </c>
      <c r="E27" s="22" t="s">
        <v>1106</v>
      </c>
      <c r="F27" s="22" t="s">
        <v>2388</v>
      </c>
      <c r="G27" s="22" t="s">
        <v>2472</v>
      </c>
      <c r="H27" s="22" t="s">
        <v>2390</v>
      </c>
      <c r="I27" s="22" t="s">
        <v>2473</v>
      </c>
      <c r="J27" s="22" t="s">
        <v>2379</v>
      </c>
      <c r="K27" s="22" t="s">
        <v>651</v>
      </c>
      <c r="L27" s="22" t="s">
        <v>2856</v>
      </c>
      <c r="M27" s="22" t="s">
        <v>2474</v>
      </c>
      <c r="N27" s="55" t="s">
        <v>2475</v>
      </c>
    </row>
    <row r="28" spans="1:14" ht="409.6">
      <c r="A28" s="23" t="s">
        <v>684</v>
      </c>
      <c r="B28" s="23" t="s">
        <v>59</v>
      </c>
      <c r="C28" s="23" t="s">
        <v>1113</v>
      </c>
      <c r="D28" s="23" t="s">
        <v>1114</v>
      </c>
      <c r="E28" s="23" t="s">
        <v>1115</v>
      </c>
      <c r="F28" s="23" t="s">
        <v>2375</v>
      </c>
      <c r="G28" s="23" t="s">
        <v>2476</v>
      </c>
      <c r="H28" s="23" t="s">
        <v>2377</v>
      </c>
      <c r="I28" s="23" t="s">
        <v>2477</v>
      </c>
      <c r="J28" s="23" t="s">
        <v>2379</v>
      </c>
      <c r="K28" s="23" t="s">
        <v>680</v>
      </c>
      <c r="L28" s="23" t="s">
        <v>2857</v>
      </c>
      <c r="M28" s="23" t="s">
        <v>2478</v>
      </c>
      <c r="N28" s="22" t="s">
        <v>2479</v>
      </c>
    </row>
    <row r="29" spans="1:14" ht="409.6">
      <c r="A29" s="22" t="s">
        <v>696</v>
      </c>
      <c r="B29" s="22" t="s">
        <v>59</v>
      </c>
      <c r="C29" s="22" t="s">
        <v>1117</v>
      </c>
      <c r="D29" s="22" t="s">
        <v>1118</v>
      </c>
      <c r="E29" s="22" t="s">
        <v>1119</v>
      </c>
      <c r="F29" s="22" t="s">
        <v>2388</v>
      </c>
      <c r="G29" s="22" t="s">
        <v>2480</v>
      </c>
      <c r="H29" s="22" t="s">
        <v>2390</v>
      </c>
      <c r="I29" s="22" t="s">
        <v>2481</v>
      </c>
      <c r="J29" s="22" t="s">
        <v>2379</v>
      </c>
      <c r="K29" s="22" t="s">
        <v>2482</v>
      </c>
      <c r="L29" s="22" t="s">
        <v>2858</v>
      </c>
      <c r="M29" s="22" t="s">
        <v>2305</v>
      </c>
      <c r="N29" s="55" t="s">
        <v>2483</v>
      </c>
    </row>
    <row r="30" spans="1:14" ht="409.6">
      <c r="A30" s="23" t="s">
        <v>755</v>
      </c>
      <c r="B30" s="23" t="s">
        <v>59</v>
      </c>
      <c r="C30" s="23" t="s">
        <v>1121</v>
      </c>
      <c r="D30" s="23" t="s">
        <v>1122</v>
      </c>
      <c r="E30" s="23" t="s">
        <v>1123</v>
      </c>
      <c r="F30" s="23" t="s">
        <v>2388</v>
      </c>
      <c r="G30" s="23" t="s">
        <v>2484</v>
      </c>
      <c r="H30" s="23" t="s">
        <v>2390</v>
      </c>
      <c r="I30" s="23" t="s">
        <v>2485</v>
      </c>
      <c r="J30" s="23" t="s">
        <v>2379</v>
      </c>
      <c r="K30" s="23" t="s">
        <v>2486</v>
      </c>
      <c r="L30" s="23" t="s">
        <v>2859</v>
      </c>
      <c r="M30" s="23" t="s">
        <v>2306</v>
      </c>
      <c r="N30" s="22" t="s">
        <v>2487</v>
      </c>
    </row>
    <row r="31" spans="1:14" ht="409.6">
      <c r="A31" s="22" t="s">
        <v>742</v>
      </c>
      <c r="B31" s="22" t="s">
        <v>59</v>
      </c>
      <c r="C31" s="22" t="s">
        <v>1125</v>
      </c>
      <c r="D31" s="22" t="s">
        <v>1126</v>
      </c>
      <c r="E31" s="22" t="s">
        <v>1127</v>
      </c>
      <c r="F31" s="22" t="s">
        <v>2388</v>
      </c>
      <c r="G31" s="22" t="s">
        <v>2488</v>
      </c>
      <c r="H31" s="22" t="s">
        <v>2390</v>
      </c>
      <c r="I31" s="22" t="s">
        <v>2489</v>
      </c>
      <c r="J31" s="22" t="s">
        <v>2379</v>
      </c>
      <c r="K31" s="22" t="s">
        <v>738</v>
      </c>
      <c r="L31" s="22" t="s">
        <v>2860</v>
      </c>
      <c r="M31" s="22" t="s">
        <v>2490</v>
      </c>
      <c r="N31" s="55" t="s">
        <v>2491</v>
      </c>
    </row>
    <row r="32" spans="1:14" ht="409.6">
      <c r="A32" s="23" t="s">
        <v>777</v>
      </c>
      <c r="B32" s="23" t="s">
        <v>59</v>
      </c>
      <c r="C32" s="23" t="s">
        <v>1129</v>
      </c>
      <c r="D32" s="23" t="s">
        <v>1130</v>
      </c>
      <c r="E32" s="23" t="s">
        <v>1131</v>
      </c>
      <c r="F32" s="23" t="s">
        <v>2388</v>
      </c>
      <c r="G32" s="23" t="s">
        <v>2492</v>
      </c>
      <c r="H32" s="23" t="s">
        <v>2390</v>
      </c>
      <c r="I32" s="23" t="s">
        <v>2493</v>
      </c>
      <c r="J32" s="23" t="s">
        <v>2379</v>
      </c>
      <c r="K32" s="23" t="s">
        <v>2494</v>
      </c>
      <c r="L32" s="23" t="s">
        <v>2861</v>
      </c>
      <c r="M32" s="23" t="s">
        <v>2307</v>
      </c>
      <c r="N32" s="22" t="s">
        <v>2495</v>
      </c>
    </row>
    <row r="33" spans="1:14" ht="409.6">
      <c r="A33" s="22" t="s">
        <v>850</v>
      </c>
      <c r="B33" s="22" t="s">
        <v>60</v>
      </c>
      <c r="C33" s="22" t="s">
        <v>1138</v>
      </c>
      <c r="D33" s="22" t="s">
        <v>1139</v>
      </c>
      <c r="E33" s="22" t="s">
        <v>1140</v>
      </c>
      <c r="F33" s="22" t="s">
        <v>2388</v>
      </c>
      <c r="G33" s="22" t="s">
        <v>2496</v>
      </c>
      <c r="H33" s="22" t="s">
        <v>2390</v>
      </c>
      <c r="I33" s="22" t="s">
        <v>2497</v>
      </c>
      <c r="J33" s="22" t="s">
        <v>2379</v>
      </c>
      <c r="K33" s="22" t="s">
        <v>2498</v>
      </c>
      <c r="L33" s="22" t="s">
        <v>2862</v>
      </c>
      <c r="M33" s="22" t="s">
        <v>2308</v>
      </c>
      <c r="N33" s="55" t="s">
        <v>2499</v>
      </c>
    </row>
    <row r="34" spans="1:14" ht="409.6">
      <c r="A34" s="23" t="s">
        <v>895</v>
      </c>
      <c r="B34" s="23" t="s">
        <v>60</v>
      </c>
      <c r="C34" s="23" t="s">
        <v>1142</v>
      </c>
      <c r="D34" s="23" t="s">
        <v>1143</v>
      </c>
      <c r="E34" s="23" t="s">
        <v>1144</v>
      </c>
      <c r="F34" s="23" t="s">
        <v>2388</v>
      </c>
      <c r="G34" s="23" t="s">
        <v>2500</v>
      </c>
      <c r="H34" s="23" t="s">
        <v>2390</v>
      </c>
      <c r="I34" s="23" t="s">
        <v>2501</v>
      </c>
      <c r="J34" s="23" t="s">
        <v>2379</v>
      </c>
      <c r="K34" s="23" t="s">
        <v>2502</v>
      </c>
      <c r="L34" s="23" t="s">
        <v>2863</v>
      </c>
      <c r="M34" s="23" t="s">
        <v>2503</v>
      </c>
      <c r="N34" s="22" t="s">
        <v>2504</v>
      </c>
    </row>
    <row r="35" spans="1:14" ht="409.6">
      <c r="A35" s="22" t="s">
        <v>942</v>
      </c>
      <c r="B35" s="22" t="s">
        <v>60</v>
      </c>
      <c r="C35" s="22" t="s">
        <v>1146</v>
      </c>
      <c r="D35" s="22" t="s">
        <v>1147</v>
      </c>
      <c r="E35" s="22" t="s">
        <v>1148</v>
      </c>
      <c r="F35" s="22" t="s">
        <v>2388</v>
      </c>
      <c r="G35" s="22" t="s">
        <v>2505</v>
      </c>
      <c r="H35" s="22" t="s">
        <v>2390</v>
      </c>
      <c r="I35" s="22" t="s">
        <v>2506</v>
      </c>
      <c r="J35" s="22" t="s">
        <v>2379</v>
      </c>
      <c r="K35" s="22" t="s">
        <v>2507</v>
      </c>
      <c r="L35" s="22" t="s">
        <v>2864</v>
      </c>
      <c r="M35" s="22" t="s">
        <v>2309</v>
      </c>
      <c r="N35" s="55" t="s">
        <v>2508</v>
      </c>
    </row>
    <row r="36" spans="1:14" ht="409.6">
      <c r="A36" s="23" t="s">
        <v>2324</v>
      </c>
      <c r="B36" s="23" t="s">
        <v>56</v>
      </c>
      <c r="C36" s="23" t="s">
        <v>2509</v>
      </c>
      <c r="D36" s="23" t="s">
        <v>2510</v>
      </c>
      <c r="E36" s="23" t="s">
        <v>2511</v>
      </c>
      <c r="F36" s="23" t="s">
        <v>2512</v>
      </c>
      <c r="G36" s="23" t="s">
        <v>2513</v>
      </c>
      <c r="H36" s="23" t="s">
        <v>2377</v>
      </c>
      <c r="I36" s="23" t="s">
        <v>2514</v>
      </c>
      <c r="J36" s="23" t="s">
        <v>2379</v>
      </c>
      <c r="K36" s="23" t="s">
        <v>225</v>
      </c>
      <c r="L36" s="23" t="s">
        <v>2865</v>
      </c>
      <c r="M36" s="23" t="s">
        <v>2515</v>
      </c>
      <c r="N36" s="22" t="s">
        <v>2516</v>
      </c>
    </row>
    <row r="37" spans="1:14" ht="409.6">
      <c r="A37" s="23" t="s">
        <v>2331</v>
      </c>
      <c r="B37" s="23" t="s">
        <v>37</v>
      </c>
      <c r="C37" s="23" t="s">
        <v>2517</v>
      </c>
      <c r="D37" s="23" t="s">
        <v>2518</v>
      </c>
      <c r="E37" s="23" t="s">
        <v>2519</v>
      </c>
      <c r="F37" s="23" t="s">
        <v>2512</v>
      </c>
      <c r="G37" s="23" t="s">
        <v>2520</v>
      </c>
      <c r="H37" s="23" t="s">
        <v>2377</v>
      </c>
      <c r="I37" s="23" t="s">
        <v>2521</v>
      </c>
      <c r="J37" s="23" t="s">
        <v>2379</v>
      </c>
      <c r="K37" s="23" t="s">
        <v>376</v>
      </c>
      <c r="L37" s="23" t="s">
        <v>2866</v>
      </c>
      <c r="M37" s="23" t="s">
        <v>2522</v>
      </c>
      <c r="N37" s="22" t="s">
        <v>2523</v>
      </c>
    </row>
    <row r="38" spans="1:14" ht="409.6">
      <c r="A38" s="23" t="s">
        <v>2334</v>
      </c>
      <c r="B38" s="23" t="s">
        <v>57</v>
      </c>
      <c r="C38" s="23" t="s">
        <v>2524</v>
      </c>
      <c r="D38" s="23" t="s">
        <v>2525</v>
      </c>
      <c r="E38" s="23" t="s">
        <v>2526</v>
      </c>
      <c r="F38" s="23" t="s">
        <v>2512</v>
      </c>
      <c r="G38" s="23" t="s">
        <v>2527</v>
      </c>
      <c r="H38" s="23" t="s">
        <v>2377</v>
      </c>
      <c r="I38" s="23" t="s">
        <v>2528</v>
      </c>
      <c r="J38" s="23" t="s">
        <v>2379</v>
      </c>
      <c r="K38" s="23" t="s">
        <v>521</v>
      </c>
      <c r="L38" s="23" t="s">
        <v>2867</v>
      </c>
      <c r="M38" s="23" t="s">
        <v>2529</v>
      </c>
      <c r="N38" s="22" t="s">
        <v>2530</v>
      </c>
    </row>
    <row r="39" spans="1:14" ht="409.6">
      <c r="A39" s="23" t="s">
        <v>2337</v>
      </c>
      <c r="B39" s="23" t="s">
        <v>58</v>
      </c>
      <c r="C39" s="23" t="s">
        <v>2531</v>
      </c>
      <c r="D39" s="23" t="s">
        <v>2532</v>
      </c>
      <c r="E39" s="23" t="s">
        <v>2533</v>
      </c>
      <c r="F39" s="23" t="s">
        <v>2512</v>
      </c>
      <c r="G39" s="23" t="s">
        <v>2534</v>
      </c>
      <c r="H39" s="23" t="s">
        <v>2377</v>
      </c>
      <c r="I39" s="23" t="s">
        <v>2535</v>
      </c>
      <c r="J39" s="23" t="s">
        <v>2379</v>
      </c>
      <c r="K39" s="23" t="s">
        <v>662</v>
      </c>
      <c r="L39" s="23" t="s">
        <v>2868</v>
      </c>
      <c r="M39" s="23" t="s">
        <v>2536</v>
      </c>
      <c r="N39" s="22" t="s">
        <v>2537</v>
      </c>
    </row>
    <row r="40" spans="1:14" ht="409.6">
      <c r="A40" s="23" t="s">
        <v>2345</v>
      </c>
      <c r="B40" s="23" t="s">
        <v>59</v>
      </c>
      <c r="C40" s="23" t="s">
        <v>2538</v>
      </c>
      <c r="D40" s="23" t="s">
        <v>2539</v>
      </c>
      <c r="E40" s="23" t="s">
        <v>2540</v>
      </c>
      <c r="F40" s="23" t="s">
        <v>2512</v>
      </c>
      <c r="G40" s="23" t="s">
        <v>2541</v>
      </c>
      <c r="H40" s="23" t="s">
        <v>2377</v>
      </c>
      <c r="I40" s="23" t="s">
        <v>2542</v>
      </c>
      <c r="J40" s="23" t="s">
        <v>2379</v>
      </c>
      <c r="K40" s="23" t="s">
        <v>815</v>
      </c>
      <c r="L40" s="23" t="s">
        <v>2869</v>
      </c>
      <c r="M40" s="23" t="s">
        <v>2543</v>
      </c>
      <c r="N40" s="22" t="s">
        <v>2544</v>
      </c>
    </row>
    <row r="41" spans="1:14" ht="409.6">
      <c r="A41" s="22" t="s">
        <v>2545</v>
      </c>
      <c r="B41" s="22" t="s">
        <v>1567</v>
      </c>
      <c r="C41" s="22" t="s">
        <v>2546</v>
      </c>
      <c r="D41" s="22" t="s">
        <v>2547</v>
      </c>
      <c r="E41" s="22" t="s">
        <v>2548</v>
      </c>
      <c r="F41" s="22" t="s">
        <v>2388</v>
      </c>
      <c r="G41" s="22" t="s">
        <v>2549</v>
      </c>
      <c r="H41" s="22" t="s">
        <v>2390</v>
      </c>
      <c r="I41" s="22" t="s">
        <v>2550</v>
      </c>
      <c r="J41" s="22" t="s">
        <v>2379</v>
      </c>
      <c r="K41" s="22" t="s">
        <v>1567</v>
      </c>
      <c r="L41" s="22" t="s">
        <v>2870</v>
      </c>
      <c r="M41" s="22" t="s">
        <v>2551</v>
      </c>
      <c r="N41" s="55" t="s">
        <v>2552</v>
      </c>
    </row>
    <row r="42" spans="1:14" ht="409.6">
      <c r="A42" s="23" t="s">
        <v>2553</v>
      </c>
      <c r="B42" s="23" t="s">
        <v>1567</v>
      </c>
      <c r="C42" s="23" t="s">
        <v>2554</v>
      </c>
      <c r="D42" s="23" t="s">
        <v>2555</v>
      </c>
      <c r="E42" s="23" t="s">
        <v>2556</v>
      </c>
      <c r="F42" s="23" t="s">
        <v>2388</v>
      </c>
      <c r="G42" s="23" t="s">
        <v>2557</v>
      </c>
      <c r="H42" s="23" t="s">
        <v>2390</v>
      </c>
      <c r="I42" s="23" t="s">
        <v>2558</v>
      </c>
      <c r="J42" s="23" t="s">
        <v>2379</v>
      </c>
      <c r="K42" s="23" t="s">
        <v>1567</v>
      </c>
      <c r="L42" s="23" t="s">
        <v>2871</v>
      </c>
      <c r="M42" s="23" t="s">
        <v>2559</v>
      </c>
      <c r="N42" s="22" t="s">
        <v>2560</v>
      </c>
    </row>
    <row r="43" spans="1:14" ht="409.6" customHeight="1">
      <c r="A43" s="27" t="s">
        <v>2561</v>
      </c>
      <c r="B43" s="27" t="s">
        <v>56</v>
      </c>
      <c r="C43" s="27" t="s">
        <v>2562</v>
      </c>
      <c r="D43" s="27" t="s">
        <v>2563</v>
      </c>
      <c r="E43" s="27" t="s">
        <v>2564</v>
      </c>
      <c r="F43" s="27" t="s">
        <v>2437</v>
      </c>
      <c r="G43" s="28" t="s">
        <v>2565</v>
      </c>
      <c r="H43" s="27" t="s">
        <v>2377</v>
      </c>
      <c r="I43" s="27" t="s">
        <v>2566</v>
      </c>
      <c r="J43" s="27" t="s">
        <v>2379</v>
      </c>
      <c r="K43" s="27" t="s">
        <v>2567</v>
      </c>
      <c r="L43" s="27" t="s">
        <v>2872</v>
      </c>
      <c r="M43" s="27" t="s">
        <v>2568</v>
      </c>
      <c r="N43" s="55" t="s">
        <v>2569</v>
      </c>
    </row>
    <row r="44" spans="1:14" ht="319.95" customHeight="1">
      <c r="A44" s="27" t="s">
        <v>241</v>
      </c>
      <c r="B44" s="27" t="s">
        <v>2570</v>
      </c>
      <c r="C44" s="27" t="s">
        <v>2571</v>
      </c>
      <c r="D44" s="27" t="s">
        <v>2572</v>
      </c>
      <c r="E44" s="27" t="s">
        <v>2573</v>
      </c>
      <c r="F44" s="27" t="s">
        <v>2574</v>
      </c>
      <c r="G44" s="27" t="s">
        <v>2575</v>
      </c>
      <c r="H44" s="27" t="s">
        <v>2310</v>
      </c>
      <c r="I44" s="27" t="s">
        <v>2576</v>
      </c>
      <c r="J44" s="27" t="s">
        <v>2441</v>
      </c>
      <c r="K44" s="27" t="s">
        <v>2577</v>
      </c>
      <c r="L44" s="27" t="s">
        <v>2873</v>
      </c>
      <c r="M44" s="27" t="s">
        <v>2311</v>
      </c>
      <c r="N44" s="22" t="s">
        <v>2313</v>
      </c>
    </row>
  </sheetData>
  <mergeCells count="2">
    <mergeCell ref="A1:J1"/>
    <mergeCell ref="A2:J2"/>
  </mergeCells>
  <conditionalFormatting sqref="J6:J490">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490"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6" t="s">
        <v>1282</v>
      </c>
      <c r="B1" s="56"/>
      <c r="C1" s="56"/>
      <c r="D1" s="56"/>
      <c r="E1" s="56"/>
      <c r="F1" s="56"/>
      <c r="G1" s="56"/>
      <c r="H1" s="56"/>
      <c r="I1" s="56"/>
      <c r="J1" s="56"/>
      <c r="K1" s="56"/>
      <c r="L1" s="56"/>
    </row>
    <row r="2" spans="1:12" ht="31.95" customHeight="1">
      <c r="A2" s="57" t="s">
        <v>1283</v>
      </c>
      <c r="B2" s="57"/>
      <c r="C2" s="57"/>
      <c r="D2" s="57"/>
      <c r="E2" s="57"/>
      <c r="F2" s="57"/>
      <c r="G2" s="57"/>
      <c r="H2" s="57"/>
      <c r="I2" s="57"/>
      <c r="J2" s="57"/>
      <c r="K2" s="57"/>
      <c r="L2" s="57"/>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2578</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2579</v>
      </c>
      <c r="F25" s="11" t="s">
        <v>1385</v>
      </c>
      <c r="G25" s="11" t="s">
        <v>1386</v>
      </c>
      <c r="H25" s="11" t="s">
        <v>1320</v>
      </c>
      <c r="I25" s="18"/>
      <c r="J25" s="11"/>
      <c r="K25" s="11"/>
      <c r="L25" s="11"/>
    </row>
    <row r="26" spans="1:12" ht="182.4">
      <c r="A26" s="11" t="s">
        <v>1387</v>
      </c>
      <c r="B26" s="11" t="s">
        <v>59</v>
      </c>
      <c r="C26" s="11" t="s">
        <v>1388</v>
      </c>
      <c r="D26" s="11" t="s">
        <v>1389</v>
      </c>
      <c r="E26" s="11" t="s">
        <v>2580</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2581</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6" t="s">
        <v>1448</v>
      </c>
      <c r="B1" s="56"/>
      <c r="C1" s="56"/>
      <c r="D1" s="56"/>
      <c r="E1" s="56"/>
      <c r="F1" s="56"/>
      <c r="G1" s="56"/>
      <c r="H1" s="56"/>
      <c r="I1" s="56"/>
      <c r="J1" s="56"/>
      <c r="K1" s="56"/>
    </row>
    <row r="2" spans="1:11" ht="31.95" customHeight="1">
      <c r="A2" s="57" t="s">
        <v>1449</v>
      </c>
      <c r="B2" s="57"/>
      <c r="C2" s="57"/>
      <c r="D2" s="57"/>
      <c r="E2" s="57"/>
      <c r="F2" s="57"/>
      <c r="G2" s="57"/>
      <c r="H2" s="57"/>
      <c r="I2" s="57"/>
      <c r="J2" s="57"/>
      <c r="K2" s="57"/>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15" workbookViewId="0">
      <selection activeCell="F30" sqref="F3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6" t="s">
        <v>1573</v>
      </c>
      <c r="B1" s="56"/>
      <c r="C1" s="56"/>
      <c r="D1" s="56"/>
      <c r="E1" s="56"/>
      <c r="F1" s="56"/>
      <c r="G1" s="56"/>
      <c r="H1" s="56"/>
      <c r="I1" s="56"/>
      <c r="J1" s="56"/>
    </row>
    <row r="2" spans="1:10" ht="31.95" customHeight="1">
      <c r="A2" s="57" t="s">
        <v>1574</v>
      </c>
      <c r="B2" s="57"/>
      <c r="C2" s="57"/>
      <c r="D2" s="57"/>
      <c r="E2" s="57"/>
      <c r="F2" s="57"/>
      <c r="G2" s="57"/>
      <c r="H2" s="57"/>
      <c r="I2" s="57"/>
      <c r="J2" s="57"/>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c r="A6" s="10" t="s">
        <v>1583</v>
      </c>
      <c r="B6" s="10" t="s">
        <v>1584</v>
      </c>
      <c r="C6" s="19" t="s">
        <v>1585</v>
      </c>
      <c r="D6" s="10" t="s">
        <v>56</v>
      </c>
      <c r="E6" s="10" t="s">
        <v>1586</v>
      </c>
      <c r="F6" s="10" t="s">
        <v>46</v>
      </c>
      <c r="G6" s="10" t="s">
        <v>35</v>
      </c>
      <c r="H6" s="10" t="s">
        <v>99</v>
      </c>
      <c r="I6" s="19" t="s">
        <v>1587</v>
      </c>
      <c r="J6" s="17">
        <v>46257</v>
      </c>
    </row>
    <row r="7" spans="1:10" ht="68.400000000000006">
      <c r="A7" s="11" t="s">
        <v>1588</v>
      </c>
      <c r="B7" s="11" t="s">
        <v>1589</v>
      </c>
      <c r="C7" s="20" t="s">
        <v>1590</v>
      </c>
      <c r="D7" s="11" t="s">
        <v>56</v>
      </c>
      <c r="E7" s="11" t="s">
        <v>1586</v>
      </c>
      <c r="F7" s="11" t="s">
        <v>46</v>
      </c>
      <c r="G7" s="11" t="s">
        <v>35</v>
      </c>
      <c r="H7" s="11" t="s">
        <v>99</v>
      </c>
      <c r="I7" s="20" t="s">
        <v>1591</v>
      </c>
      <c r="J7" s="18">
        <v>46252</v>
      </c>
    </row>
    <row r="8" spans="1:10">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2848</v>
      </c>
      <c r="G10" s="11" t="s">
        <v>93</v>
      </c>
      <c r="H10" s="11" t="s">
        <v>1598</v>
      </c>
      <c r="I10" s="20"/>
      <c r="J10" s="18"/>
    </row>
    <row r="11" spans="1:10">
      <c r="A11" s="11" t="s">
        <v>1599</v>
      </c>
      <c r="B11" s="11" t="s">
        <v>1600</v>
      </c>
      <c r="C11" s="20" t="s">
        <v>1601</v>
      </c>
      <c r="D11" s="11" t="s">
        <v>59</v>
      </c>
      <c r="E11" s="11" t="s">
        <v>1586</v>
      </c>
      <c r="F11" s="11" t="s">
        <v>303</v>
      </c>
      <c r="G11" s="11" t="s">
        <v>93</v>
      </c>
      <c r="H11" s="11" t="s">
        <v>1602</v>
      </c>
      <c r="I11" s="20"/>
      <c r="J11" s="18"/>
    </row>
    <row r="12" spans="1:10" ht="68.400000000000006">
      <c r="A12" s="11" t="s">
        <v>1603</v>
      </c>
      <c r="B12" s="11" t="s">
        <v>1600</v>
      </c>
      <c r="C12" s="20" t="s">
        <v>1604</v>
      </c>
      <c r="D12" s="11" t="s">
        <v>56</v>
      </c>
      <c r="E12" s="11" t="s">
        <v>1586</v>
      </c>
      <c r="F12" s="11" t="s">
        <v>46</v>
      </c>
      <c r="G12" s="11" t="s">
        <v>35</v>
      </c>
      <c r="H12" s="11" t="s">
        <v>1605</v>
      </c>
      <c r="I12" s="20" t="s">
        <v>1606</v>
      </c>
      <c r="J12" s="18">
        <v>46252</v>
      </c>
    </row>
    <row r="13" spans="1:10" ht="22.8">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c r="A15" s="11" t="s">
        <v>1614</v>
      </c>
      <c r="B15" s="11" t="s">
        <v>1305</v>
      </c>
      <c r="C15" s="20" t="s">
        <v>1615</v>
      </c>
      <c r="D15" s="11" t="s">
        <v>59</v>
      </c>
      <c r="E15" s="11" t="s">
        <v>1586</v>
      </c>
      <c r="F15" s="11" t="s">
        <v>303</v>
      </c>
      <c r="G15" s="11" t="s">
        <v>93</v>
      </c>
      <c r="H15" s="11" t="s">
        <v>1610</v>
      </c>
      <c r="I15" s="20"/>
      <c r="J15" s="18"/>
    </row>
    <row r="16" spans="1:10">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2848</v>
      </c>
      <c r="G17" s="11" t="s">
        <v>93</v>
      </c>
      <c r="H17" s="11" t="s">
        <v>1620</v>
      </c>
      <c r="I17" s="20"/>
      <c r="J17" s="18"/>
    </row>
    <row r="18" spans="1:10">
      <c r="A18" s="11" t="s">
        <v>297</v>
      </c>
      <c r="B18" s="11" t="s">
        <v>1618</v>
      </c>
      <c r="C18" s="20" t="s">
        <v>1621</v>
      </c>
      <c r="D18" s="11" t="s">
        <v>37</v>
      </c>
      <c r="E18" s="11" t="s">
        <v>1586</v>
      </c>
      <c r="F18" s="11" t="s">
        <v>46</v>
      </c>
      <c r="G18" s="11" t="s">
        <v>93</v>
      </c>
      <c r="H18" s="11" t="s">
        <v>1052</v>
      </c>
      <c r="I18" s="20"/>
      <c r="J18" s="18"/>
    </row>
    <row r="19" spans="1:10">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303</v>
      </c>
      <c r="G21" s="11" t="s">
        <v>93</v>
      </c>
      <c r="H21" s="11" t="s">
        <v>1630</v>
      </c>
      <c r="I21" s="20"/>
      <c r="J21" s="18"/>
    </row>
    <row r="22" spans="1:10">
      <c r="A22" s="11" t="s">
        <v>491</v>
      </c>
      <c r="B22" s="11" t="s">
        <v>1631</v>
      </c>
      <c r="C22" s="20" t="s">
        <v>1632</v>
      </c>
      <c r="D22" s="11" t="s">
        <v>60</v>
      </c>
      <c r="E22" s="11" t="s">
        <v>1586</v>
      </c>
      <c r="F22" s="11" t="s">
        <v>303</v>
      </c>
      <c r="G22" s="11" t="s">
        <v>93</v>
      </c>
      <c r="H22" s="11" t="s">
        <v>1633</v>
      </c>
      <c r="I22" s="20"/>
      <c r="J22" s="18"/>
    </row>
    <row r="23" spans="1:10">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303</v>
      </c>
      <c r="G24" s="11" t="s">
        <v>93</v>
      </c>
      <c r="H24" s="11" t="s">
        <v>1637</v>
      </c>
      <c r="I24" s="20"/>
      <c r="J24" s="18"/>
    </row>
    <row r="25" spans="1:10" ht="22.8">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303</v>
      </c>
      <c r="G26" s="11" t="s">
        <v>93</v>
      </c>
      <c r="H26" s="11" t="s">
        <v>1641</v>
      </c>
      <c r="I26" s="20"/>
      <c r="J26" s="18"/>
    </row>
    <row r="27" spans="1:10" ht="22.8">
      <c r="A27" s="11" t="s">
        <v>930</v>
      </c>
      <c r="B27" s="11" t="s">
        <v>1423</v>
      </c>
      <c r="C27" s="20" t="s">
        <v>1642</v>
      </c>
      <c r="D27" s="11" t="s">
        <v>60</v>
      </c>
      <c r="E27" s="11" t="s">
        <v>1625</v>
      </c>
      <c r="F27" s="11" t="s">
        <v>303</v>
      </c>
      <c r="G27" s="11" t="s">
        <v>93</v>
      </c>
      <c r="H27" s="11" t="s">
        <v>1643</v>
      </c>
      <c r="I27" s="20"/>
      <c r="J27" s="18"/>
    </row>
    <row r="28" spans="1:10" ht="68.400000000000006">
      <c r="A28" s="11" t="s">
        <v>357</v>
      </c>
      <c r="B28" s="11" t="s">
        <v>1644</v>
      </c>
      <c r="C28" s="20" t="s">
        <v>1645</v>
      </c>
      <c r="D28" s="11" t="s">
        <v>56</v>
      </c>
      <c r="E28" s="11" t="s">
        <v>1586</v>
      </c>
      <c r="F28" s="11" t="s">
        <v>46</v>
      </c>
      <c r="G28" s="11" t="s">
        <v>35</v>
      </c>
      <c r="H28" s="11" t="s">
        <v>1646</v>
      </c>
      <c r="I28" s="20" t="s">
        <v>1647</v>
      </c>
      <c r="J28" s="18">
        <v>46252</v>
      </c>
    </row>
    <row r="29" spans="1:10" ht="22.8">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2848</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6" t="s">
        <v>1654</v>
      </c>
      <c r="B1" s="56"/>
      <c r="C1" s="56"/>
      <c r="D1" s="56"/>
      <c r="E1" s="56"/>
      <c r="F1" s="56"/>
      <c r="G1" s="56"/>
      <c r="H1" s="56"/>
      <c r="I1" s="56"/>
    </row>
    <row r="2" spans="1:9">
      <c r="A2" s="57" t="s">
        <v>1655</v>
      </c>
      <c r="B2" s="57"/>
      <c r="C2" s="57"/>
      <c r="D2" s="57"/>
      <c r="E2" s="57"/>
      <c r="F2" s="57"/>
      <c r="G2" s="57"/>
      <c r="H2" s="57"/>
      <c r="I2" s="57"/>
    </row>
    <row r="4" spans="1:9">
      <c r="A4" s="58" t="s">
        <v>1656</v>
      </c>
      <c r="B4" s="59"/>
      <c r="C4" s="59"/>
      <c r="D4" s="59"/>
      <c r="E4" s="59"/>
      <c r="F4" s="59"/>
      <c r="G4" s="59"/>
      <c r="H4" s="59"/>
      <c r="I4" s="60"/>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6" t="s">
        <v>1741</v>
      </c>
      <c r="B1" s="56"/>
      <c r="C1" s="56"/>
      <c r="D1" s="56"/>
      <c r="E1" s="56"/>
      <c r="F1" s="56"/>
      <c r="G1" s="56"/>
    </row>
    <row r="2" spans="1:7" ht="31.95" customHeight="1">
      <c r="A2" s="57" t="s">
        <v>1742</v>
      </c>
      <c r="B2" s="57"/>
      <c r="C2" s="57"/>
      <c r="D2" s="57"/>
      <c r="E2" s="57"/>
      <c r="F2" s="57"/>
      <c r="G2" s="57"/>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6" t="s">
        <v>2049</v>
      </c>
      <c r="B1" s="56"/>
      <c r="C1" s="56"/>
      <c r="D1" s="56"/>
      <c r="E1" s="56"/>
      <c r="F1" s="56"/>
      <c r="G1" s="56"/>
      <c r="H1" s="56"/>
    </row>
    <row r="2" spans="1:8" ht="31.95" customHeight="1">
      <c r="A2" s="57" t="s">
        <v>2050</v>
      </c>
      <c r="B2" s="57"/>
      <c r="C2" s="57"/>
      <c r="D2" s="57"/>
      <c r="E2" s="57"/>
      <c r="F2" s="57"/>
      <c r="G2" s="57"/>
      <c r="H2" s="57"/>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6" t="s">
        <v>2174</v>
      </c>
      <c r="B1" s="56"/>
      <c r="C1" s="56"/>
      <c r="D1" s="56"/>
      <c r="E1" s="56"/>
      <c r="F1" s="56"/>
    </row>
    <row r="2" spans="1:6" ht="31.95" customHeight="1">
      <c r="A2" s="57" t="s">
        <v>2175</v>
      </c>
      <c r="B2" s="57"/>
      <c r="C2" s="57"/>
      <c r="D2" s="57"/>
      <c r="E2" s="57"/>
      <c r="F2" s="57"/>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2026-08-25T16:01:58Z</dcterms:modified>
</cp:coreProperties>
</file>