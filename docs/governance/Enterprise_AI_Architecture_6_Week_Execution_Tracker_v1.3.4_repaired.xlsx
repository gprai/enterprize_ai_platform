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7D9FA69E-AE29-4F89-A1AD-579C12A3DA4F}" xr6:coauthVersionLast="47" xr6:coauthVersionMax="47" xr10:uidLastSave="{00000000-0000-0000-0000-000000000000}"/>
  <bookViews>
    <workbookView xWindow="-108" yWindow="-108" windowWidth="23256" windowHeight="13896" tabRatio="788" firstSheet="4" activeTab="9"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<sst xmlns="http://schemas.openxmlformats.org/spreadsheetml/2006/main" count="5453" uniqueCount="2610">
  <si>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</si>
  <si>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</si>
  <si>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</si>
  <si>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</si>
  <si>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</si>
  <si>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</si>
  <si>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</si>
  <si>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</si>
  <si>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</si>
  <si>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</si>
  <si>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</si>
  <si>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</si>
  <si>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</si>
  <si>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</si>
  <si>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</si>
  <si>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</si>
  <si>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</si>
  <si>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</si>
  <si>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</si>
  <si>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</si>
  <si>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</si>
  <si>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</si>
  <si>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</si>
  <si>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</si>
  <si>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</si>
  <si>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</si>
  <si>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</si>
  <si>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</si>
  <si>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</si>
  <si>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</si>
  <si>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</si>
  <si>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</si>
  <si>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</si>
  <si>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</si>
  <si>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</si>
  <si>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</si>
  <si>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</si>
  <si>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</si>
  <si>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</si>
  <si>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</si>
  <si>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</si>
  <si>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</si>
  <si>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</si>
  <si>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</si>
  <si>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</si>
  <si>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</si>
  <si>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</si>
  <si>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</si>
  <si>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</si>
  <si>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</si>
  <si>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</si>
  <si>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</si>
  <si>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</si>
  <si>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</si>
  <si>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</si>
  <si>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</si>
  <si>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</si>
  <si>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</si>
  <si>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</si>
  <si>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</si>
  <si>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</si>
  <si>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</si>
  <si>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</si>
  <si>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</si>
  <si>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</si>
  <si>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</si>
  <si>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</si>
  <si>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</si>
  <si>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</si>
  <si>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</si>
  <si>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</si>
  <si>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</si>
  <si>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</si>
  <si>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</si>
  <si>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</si>
  <si>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</si>
  <si>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</si>
  <si>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</si>
  <si>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</si>
  <si>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</si>
  <si>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</si>
  <si>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</si>
  <si>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</si>
  <si>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</si>
  <si>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</si>
  <si>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</si>
  <si>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</si>
  <si>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</si>
  <si>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</si>
  <si>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</si>
  <si>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</si>
  <si>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</si>
  <si>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</si>
  <si>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</si>
  <si>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</si>
  <si>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</si>
  <si>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</si>
  <si>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</si>
  <si>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</si>
  <si>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</si>
  <si>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</si>
  <si>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</si>
  <si>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</si>
  <si>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</si>
  <si>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</si>
  <si>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</si>
  <si>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</si>
  <si>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</si>
  <si>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</si>
  <si>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</si>
  <si>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</si>
  <si>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</si>
  <si>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</si>
  <si>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</si>
  <si>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</si>
  <si>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</si>
  <si>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</si>
  <si>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</si>
  <si>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</si>
  <si>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</si>
  <si>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</si>
  <si>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</si>
  <si>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</si>
  <si>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</si>
  <si>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</si>
  <si>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</si>
  <si>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</si>
  <si>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</si>
  <si>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</si>
  <si>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</si>
  <si>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</si>
  <si>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</si>
  <si>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</si>
  <si>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</si>
  <si>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</si>
  <si>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</si>
  <si>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</si>
  <si>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</si>
  <si>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</si>
  <si>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</si>
  <si>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</si>
  <si>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</si>
  <si>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</si>
  <si>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</si>
  <si>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</si>
  <si>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</si>
  <si>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</si>
  <si>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</si>
  <si>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</si>
  <si>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</si>
  <si>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</si>
  <si>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</si>
  <si>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</si>
  <si>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</si>
  <si>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</si>
  <si>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</si>
  <si>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</si>
  <si>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</si>
  <si>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</si>
  <si>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</si>
  <si>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</si>
  <si>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</si>
  <si>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</si>
  <si>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</si>
  <si>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</si>
  <si>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</si>
  <si>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</si>
  <si>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</si>
  <si>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</si>
  <si>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</si>
  <si>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</si>
  <si>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</si>
  <si>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</si>
  <si>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</si>
  <si>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</si>
  <si>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</si>
  <si>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</si>
  <si>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</si>
  <si>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</si>
  <si>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</si>
  <si>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</si>
  <si>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</si>
  <si>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</si>
  <si>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</si>
  <si>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</si>
  <si>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</si>
  <si>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</si>
  <si>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</si>
  <si>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</si>
  <si>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</si>
  <si>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</si>
  <si>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</si>
  <si>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</si>
  <si>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</si>
  <si>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</si>
  <si>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</si>
  <si>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</si>
  <si>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</si>
  <si>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</si>
  <si>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</si>
  <si>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</si>
  <si>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</si>
  <si>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</si>
  <si>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</si>
  <si>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</si>
  <si>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</si>
  <si>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</si>
  <si>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</si>
  <si>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</si>
  <si>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</si>
  <si>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</si>
  <si>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</si>
  <si>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</si>
  <si>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</si>
  <si>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</si>
  <si>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</si>
  <si>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</si>
  <si>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</si>
  <si>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</si>
  <si>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</si>
  <si>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</si>
  <si>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</si>
  <si>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</si>
  <si>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</si>
  <si>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</si>
  <si>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</si>
  <si>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</si>
  <si>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</si>
  <si>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</si>
  <si>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</si>
  <si>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</si>
  <si>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</si>
  <si>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</si>
  <si>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</si>
  <si>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</si>
  <si>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</si>
  <si>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</si>
  <si>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</si>
  <si>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</si>
  <si>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</si>
  <si>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</si>
  <si>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</si>
  <si>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</si>
  <si>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</si>
  <si>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</si>
  <si>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</si>
  <si>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</si>
  <si>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</si>
  <si>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</si>
  <si>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</si>
  <si>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</si>
  <si>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</si>
  <si>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</si>
  <si>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</si>
  <si>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</si>
  <si>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</si>
  <si>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</si>
  <si>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</si>
  <si>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</si>
  <si>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</si>
  <si>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</si>
  <si>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</si>
  <si>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</si>
  <si>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</si>
  <si>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</si>
  <si>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</si>
  <si>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</si>
  <si>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</si>
  <si>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</si>
  <si>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</si>
  <si>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</si>
  <si>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</si>
  <si>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</si>
  <si>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</si>
  <si>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</si>
  <si>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</si>
  <si>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</si>
  <si>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</si>
  <si>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</si>
  <si>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</si>
  <si>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</si>
  <si>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</si>
  <si>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</si>
  <si>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</si>
  <si>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</si>
  <si>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</si>
  <si>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</si>
  <si>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</si>
  <si>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</si>
  <si>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</si>
  <si>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</si>
  <si>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</si>
  <si>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</si>
  <si>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</si>
  <si>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</si>
  <si>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</si>
  <si>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</si>
  <si>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</si>
  <si>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</si>
  <si>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</si>
  <si>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</si>
  <si>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</si>
  <si>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</si>
  <si>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</si>
  <si>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</si>
  <si>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</si>
  <si>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</si>
  <si>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</si>
  <si>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</si>
  <si>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</si>
  <si>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</si>
  <si>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</si>
  <si>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</si>
  <si>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</si>
  <si>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</si>
  <si>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</si>
  <si>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</si>
  <si>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</si>
  <si>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</si>
  <si>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</si>
  <si>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</si>
  <si>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</si>
  <si>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</si>
  <si>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</si>
  <si>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</si>
  <si>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</si>
  <si>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</si>
  <si>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</si>
  <si>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</si>
  <si>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</si>
  <si>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</si>
  <si>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</si>
  <si>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</si>
  <si>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</si>
  <si>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</si>
  <si>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</si>
  <si>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</si>
  <si>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</si>
  <si>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</si>
  <si>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</si>
  <si>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</si>
  <si>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</si>
  <si>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</si>
  <si>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</si>
  <si>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</si>
  <si>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</si>
  <si>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</si>
  <si>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</si>
  <si>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</si>
  <si>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</si>
  <si>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</si>
  <si>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</si>
  <si>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</si>
  <si>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</si>
  <si>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</si>
  <si>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</si>
  <si>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</si>
  <si>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</si>
  <si>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</si>
  <si>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</si>
  <si>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</si>
  <si>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</si>
  <si>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</si>
  <si>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</si>
  <si>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</si>
  <si>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</si>
  <si>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</si>
  <si>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</si>
  <si>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</si>
  <si>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</si>
  <si>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</si>
  <si>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</si>
  <si>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</si>
  <si>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</si>
  <si>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</si>
  <si>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</si>
  <si>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</si>
  <si>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</si>
  <si>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</si>
  <si>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</si>
  <si>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</si>
  <si>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</si>
  <si>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</si>
  <si>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</si>
  <si>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</si>
  <si>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</si>
  <si>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</si>
  <si>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</si>
  <si>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</si>
  <si>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</si>
  <si>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</si>
  <si>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</si>
  <si>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</si>
  <si>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</si>
  <si>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</si>
  <si>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</si>
  <si>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</si>
  <si>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</si>
  <si>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</si>
  <si>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</si>
  <si>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</si>
  <si>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</si>
  <si>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</si>
  <si>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</si>
  <si>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</si>
  <si>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</si>
  <si>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</si>
  <si>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</si>
  <si>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</si>
  <si>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</si>
  <si>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</si>
  <si>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</si>
  <si>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</si>
  <si>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</si>
  <si>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</si>
  <si>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</si>
  <si>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</si>
  <si>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</si>
  <si>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</si>
  <si>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</si>
  <si>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</si>
  <si>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</si>
  <si>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</si>
  <si>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</si>
  <si>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</si>
  <si>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</si>
  <si>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</si>
  <si>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</si>
  <si>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</si>
  <si>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</si>
  <si>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</si>
  <si>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</si>
  <si>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</si>
  <si>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</si>
  <si>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</si>
  <si>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</si>
  <si>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</si>
  <si>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</si>
  <si>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</si>
  <si>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</si>
  <si>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</si>
  <si>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</si>
  <si>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</si>
  <si>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</si>
  <si>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</si>
  <si>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</si>
  <si>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</si>
  <si>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</si>
  <si>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</si>
  <si>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</si>
  <si>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</si>
  <si>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</si>
  <si>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</si>
  <si>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</si>
  <si>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</si>
  <si>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</si>
  <si>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</si>
  <si>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</si>
  <si>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</si>
  <si>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</si>
  <si>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</si>
  <si>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</si>
  <si>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</si>
  <si>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</si>
  <si>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</si>
  <si>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</si>
  <si>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</si>
  <si>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</si>
  <si>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</si>
  <si>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</si>
  <si>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</si>
  <si>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</si>
  <si>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</si>
  <si>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</si>
  <si>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</si>
  <si>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</si>
  <si>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</si>
  <si>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</si>
  <si>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</si>
  <si>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</si>
  <si>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</si>
  <si>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</si>
  <si>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</si>
  <si>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</si>
  <si>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</si>
  <si>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</si>
  <si>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</si>
  <si>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</si>
  <si>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</si>
  <si>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</si>
  <si>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</si>
  <si>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</si>
  <si>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</si>
  <si>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</si>
  <si>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</si>
  <si>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</si>
  <si>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</si>
  <si>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</si>
  <si>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</si>
  <si>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</si>
  <si>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</si>
  <si>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</si>
  <si>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</si>
  <si>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</si>
  <si>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</si>
  <si>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</si>
  <si>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</si>
  <si>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</si>
  <si>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</si>
  <si>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</si>
  <si>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</si>
  <si>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</si>
  <si>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</si>
  <si>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</si>
  <si>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</si>
  <si>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</si>
  <si>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</si>
  <si>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</si>
  <si>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</si>
  <si>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</si>
  <si>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</si>
  <si>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</si>
  <si>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</si>
  <si>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</si>
  <si>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</si>
  <si>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</si>
  <si>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</si>
  <si>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</si>
  <si>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</si>
  <si>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</si>
  <si>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</si>
  <si>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</si>
  <si>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</si>
  <si>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</si>
  <si>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</si>
  <si>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</si>
  <si>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</si>
  <si>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</si>
  <si>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</si>
  <si>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</si>
  <si>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</si>
  <si>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</si>
  <si>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</si>
  <si>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</si>
  <si>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</si>
  <si>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</si>
  <si>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</si>
  <si>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</si>
  <si>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</si>
  <si>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</si>
  <si>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</si>
  <si>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</si>
  <si>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</si>
  <si>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</si>
  <si>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</si>
  <si>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</si>
  <si>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</si>
  <si>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</si>
  <si>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</si>
  <si>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</si>
  <si>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</si>
  <si>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</si>
  <si>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</si>
  <si>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</si>
  <si>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</si>
  <si>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</si>
  <si>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</si>
  <si>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</si>
  <si>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</si>
  <si>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</si>
  <si>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</si>
  <si>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</si>
  <si>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</si>
  <si>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</si>
  <si>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</si>
  <si>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</si>
  <si>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</si>
  <si>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</si>
  <si>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</si>
  <si>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</si>
  <si>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</si>
  <si>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</si>
  <si>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</si>
  <si>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</si>
  <si>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</si>
  <si>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</si>
  <si>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</si>
  <si>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</si>
  <si>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</si>
  <si>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</si>
  <si>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</si>
  <si>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</si>
  <si>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</si>
  <si>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</si>
  <si>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</si>
  <si>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</si>
  <si>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</si>
  <si>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</si>
  <si>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</si>
  <si>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</si>
  <si>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</si>
  <si>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</si>
  <si>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</si>
  <si>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</si>
  <si>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</si>
  <si>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</si>
  <si>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</si>
  <si>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</si>
  <si>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</si>
  <si>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</si>
  <si>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</si>
  <si>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</si>
  <si>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</si>
  <si>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</si>
  <si>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</si>
  <si>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</si>
  <si>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</si>
  <si>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</si>
  <si>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</si>
  <si>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</si>
  <si>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</si>
  <si>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</si>
  <si>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</si>
  <si>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</si>
  <si>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</si>
  <si>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</si>
  <si>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</si>
  <si>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</si>
  <si>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</si>
  <si>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</si>
  <si>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</si>
  <si>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</si>
  <si>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</si>
  <si>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</si>
  <si>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</si>
  <si>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</si>
  <si>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</si>
  <si>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</si>
  <si>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</si>
  <si>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</si>
  <si>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</si>
  <si>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</si>
  <si>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</si>
  <si>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</si>
  <si>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</si>
  <si>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</si>
  <si>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</si>
  <si>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</si>
  <si>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</si>
  <si>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</si>
  <si>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</si>
  <si>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</si>
  <si>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</si>
  <si>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</si>
  <si>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</si>
  <si>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</si>
  <si>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</si>
  <si>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</si>
  <si>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</si>
  <si>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</si>
  <si>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</si>
  <si>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</si>
  <si>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</si>
  <si>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</si>
  <si>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</si>
  <si>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</si>
  <si>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</si>
  <si>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</si>
  <si>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</si>
  <si>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</si>
  <si>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</si>
  <si>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</si>
  <si>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</si>
  <si>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</si>
  <si>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</si>
  <si>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</si>
  <si>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</si>
  <si>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</si>
  <si>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</si>
  <si>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</si>
  <si>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</si>
  <si>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</si>
  <si>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</si>
  <si>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</si>
  <si>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</si>
  <si>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</si>
  <si>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</si>
  <si>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</si>
  <si>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</si>
  <si>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</si>
  <si>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</si>
  <si>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</si>
  <si>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</si>
  <si>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</si>
  <si>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</si>
  <si>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</si>
  <si>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</si>
  <si>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</si>
  <si>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</si>
  <si>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</si>
  <si>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</si>
  <si>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</si>
  <si>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</si>
  <si>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</si>
  <si>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</si>
  <si>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</si>
  <si>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</si>
  <si>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</si>
  <si>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</si>
  <si>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</si>
  <si>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</si>
  <si>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</si>
  <si>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</si>
  <si>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</si>
  <si>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</si>
  <si>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</si>
  <si>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</si>
  <si>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</si>
  <si>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</si>
  <si>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</si>
  <si>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</si>
  <si>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</si>
  <si>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</si>
  <si>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</si>
  <si>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</si>
  <si>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</si>
  <si>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</si>
  <si>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</si>
  <si>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</si>
  <si>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</si>
  <si>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</si>
  <si>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</si>
  <si>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</si>
  <si>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</si>
  <si>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</si>
  <si>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</si>
  <si>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</si>
  <si>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</si>
  <si>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</si>
  <si>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</si>
  <si>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</si>
  <si>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</si>
  <si>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</si>
  <si>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</si>
  <si>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</si>
  <si>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</si>
  <si>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</si>
  <si>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</si>
  <si>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</si>
  <si>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</si>
  <si>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</si>
  <si>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</si>
  <si>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</si>
  <si>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</si>
  <si>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</si>
  <si>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</si>
  <si>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</si>
  <si>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</si>
  <si>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</si>
  <si>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</si>
  <si>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</si>
  <si>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</si>
  <si>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</si>
  <si>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</si>
  <si>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</si>
  <si>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</si>
  <si>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</si>
  <si>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</si>
  <si>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</si>
  <si>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</si>
  <si>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</si>
  <si>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</si>
  <si>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</si>
  <si>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</si>
  <si>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</si>
  <si>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</si>
  <si>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</si>
  <si>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</si>
  <si>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</si>
  <si>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</si>
  <si>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</si>
  <si>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</si>
  <si>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</si>
  <si>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</si>
  <si>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</si>
  <si>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</si>
  <si>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</si>
  <si>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</si>
  <si>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</si>
  <si>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</si>
  <si>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</si>
  <si>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</si>
  <si>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</si>
  <si>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</si>
  <si>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</si>
  <si>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</si>
  <si>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</si>
  <si>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</si>
  <si>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</si>
  <si>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</si>
  <si>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</si>
  <si>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</si>
  <si>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</si>
  <si>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</si>
  <si>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</si>
  <si>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</si>
  <si>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</si>
  <si>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</si>
  <si>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</si>
  <si>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</si>
  <si>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</si>
  <si>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</si>
  <si>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</si>
  <si>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</si>
  <si>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</si>
  <si>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</si>
  <si>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</si>
  <si>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</si>
  <si>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</si>
  <si>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</si>
  <si>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</si>
  <si>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</si>
  <si>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</si>
  <si>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</si>
  <si>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</si>
  <si>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</si>
  <si>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</si>
  <si>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</si>
  <si>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</si>
  <si>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</si>
  <si>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</si>
  <si>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</si>
  <si>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</si>
  <si>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</si>
  <si>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</si>
  <si>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</si>
  <si>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</si>
  <si>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</si>
  <si>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</si>
  <si>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</si>
  <si>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</si>
  <si>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</si>
  <si>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</si>
  <si>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</si>
  <si>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</si>
  <si>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</si>
  <si>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</si>
  <si>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</si>
  <si>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</si>
  <si>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</si>
  <si>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</si>
  <si>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</si>
  <si>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</si>
  <si>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</si>
  <si>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</si>
  <si>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</si>
  <si>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</si>
  <si>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</si>
  <si>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</si>
  <si>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</si>
  <si>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</si>
  <si>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</si>
  <si>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</si>
  <si>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</si>
  <si>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</si>
  <si>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</si>
  <si>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</si>
  <si>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</si>
  <si>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</si>
  <si>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</si>
  <si>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</si>
  <si>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</si>
  <si>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</si>
  <si>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</si>
  <si>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</si>
  <si>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</si>
  <si>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</si>
  <si>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</si>
  <si>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</si>
  <si>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</si>
  <si>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</si>
  <si>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</si>
  <si>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</si>
  <si>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</si>
  <si>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</si>
  <si>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</si>
  <si>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</si>
  <si>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</si>
  <si>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</si>
  <si>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</si>
  <si>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</si>
  <si>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</si>
  <si>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</si>
  <si>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</si>
  <si>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</si>
  <si>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</si>
  <si>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</si>
  <si>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</si>
  <si>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</si>
  <si>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</si>
  <si>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</si>
  <si>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</si>
  <si>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</si>
  <si>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</si>
  <si>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</si>
  <si>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</si>
  <si>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</si>
  <si>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</si>
  <si>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</si>
  <si>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</si>
  <si>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</si>
  <si>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</si>
  <si>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</si>
  <si>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</si>
  <si>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</si>
  <si>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</si>
  <si>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</si>
  <si>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</si>
  <si>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</si>
  <si>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</si>
  <si>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</si>
  <si>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</si>
  <si>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</si>
  <si>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</si>
  <si>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</si>
  <si>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</si>
  <si>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</si>
  <si>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</si>
  <si>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</si>
  <si>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</si>
  <si>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</si>
  <si>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</si>
  <si>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</si>
  <si>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</si>
  <si>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</si>
  <si>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</si>
  <si>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</si>
  <si>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</si>
  <si>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</si>
  <si>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</si>
  <si>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</si>
  <si>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</si>
  <si>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</si>
  <si>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</si>
  <si>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</si>
  <si>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</si>
  <si>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</si>
  <si>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</si>
  <si>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</si>
  <si>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</si>
  <si>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</si>
  <si>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</si>
  <si>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</si>
  <si>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</si>
  <si>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</si>
  <si>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</si>
  <si>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</si>
  <si>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</si>
  <si>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</si>
  <si>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</si>
  <si>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</si>
  <si>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</si>
  <si>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</si>
  <si>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</si>
  <si>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</si>
  <si>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</si>
  <si>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</si>
  <si>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</si>
  <si>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</si>
  <si>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</si>
  <si>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</si>
  <si>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</si>
  <si>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</si>
  <si>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</si>
  <si>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</si>
  <si>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</si>
  <si>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</si>
  <si>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</si>
  <si>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</si>
  <si>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</si>
  <si>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</si>
  <si>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</si>
  <si>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</si>
  <si>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</si>
  <si>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</si>
  <si>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</si>
  <si>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</si>
  <si>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</si>
  <si>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</si>
  <si>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</si>
  <si>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</si>
  <si>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</si>
  <si>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</si>
  <si>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</si>
  <si>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</si>
  <si>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</si>
  <si>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</si>
  <si>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</si>
  <si>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</si>
  <si>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</si>
  <si>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</si>
  <si>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</si>
  <si>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</si>
  <si>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</si>
  <si>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</si>
  <si>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</si>
  <si>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</si>
  <si>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</si>
  <si>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</si>
  <si>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</si>
  <si>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</si>
  <si>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</si>
  <si>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</si>
  <si>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</si>
  <si>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</si>
  <si>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</si>
  <si>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</si>
  <si>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</si>
  <si>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</si>
  <si>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</si>
  <si>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</si>
  <si>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</si>
  <si>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</si>
  <si>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</si>
  <si>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</si>
  <si>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</si>
  <si>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</si>
  <si>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</si>
  <si>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</si>
  <si>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</si>
  <si>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</si>
  <si>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</si>
  <si>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</si>
  <si>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</si>
  <si>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</si>
  <si>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</si>
  <si>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</si>
  <si>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</si>
  <si>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</si>
  <si>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</si>
  <si>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</si>
  <si>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</si>
  <si>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</si>
  <si>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</si>
  <si>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</si>
  <si>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</si>
  <si>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</si>
  <si>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</si>
  <si>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</si>
  <si>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</si>
  <si>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</si>
  <si>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</si>
  <si>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</si>
  <si>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</si>
  <si>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</si>
  <si>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</si>
  <si>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</si>
  <si>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</si>
  <si>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</si>
  <si>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</si>
  <si>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</si>
  <si>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</si>
  <si>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</si>
  <si>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</si>
  <si>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</si>
  <si>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</si>
  <si>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</si>
  <si>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</si>
  <si>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</si>
  <si>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</si>
  <si>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</si>
  <si>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</si>
  <si>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</si>
  <si>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</si>
  <si>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</si>
  <si>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</si>
  <si>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</si>
  <si>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</si>
  <si>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</si>
  <si>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</si>
  <si>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</si>
  <si>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</si>
  <si>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</si>
  <si>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</si>
  <si>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</si>
  <si>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</si>
  <si>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</si>
  <si>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</si>
  <si>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</si>
  <si>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</si>
  <si>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</si>
  <si>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</si>
  <si>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</si>
  <si>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</si>
  <si>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</si>
  <si>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</si>
  <si>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</si>
  <si>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</si>
  <si>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</si>
  <si>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</si>
  <si>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</si>
  <si>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</si>
  <si>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</si>
  <si>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</si>
  <si>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</si>
  <si>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</si>
  <si>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</si>
  <si>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</si>
  <si>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</si>
  <si>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</si>
  <si>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</si>
  <si>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</si>
  <si>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</si>
  <si>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</si>
  <si>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</si>
  <si>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</si>
  <si>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</si>
  <si>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</si>
  <si>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</si>
  <si>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</si>
  <si>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</si>
  <si>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</si>
  <si>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</si>
  <si>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</si>
  <si>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</si>
  <si>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</si>
  <si>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</si>
  <si>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</si>
  <si>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</si>
  <si>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</si>
  <si>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</si>
  <si>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</si>
  <si>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</si>
  <si>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</si>
  <si>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</si>
  <si>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</si>
  <si>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</si>
  <si>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</si>
  <si>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</si>
  <si>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</si>
  <si>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</si>
  <si>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</si>
  <si>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</si>
  <si>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</si>
  <si>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</si>
  <si>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</si>
  <si>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</si>
  <si>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</si>
  <si>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</si>
  <si>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</si>
  <si>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</si>
  <si>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</si>
  <si>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</si>
  <si>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</si>
  <si>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</si>
  <si>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</si>
  <si>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</si>
  <si>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</si>
  <si>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</si>
  <si>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</si>
  <si>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</si>
  <si>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</si>
  <si>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</si>
  <si>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</si>
  <si>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</si>
  <si>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</si>
  <si>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</si>
  <si>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</si>
  <si>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</si>
  <si>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</si>
  <si>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</si>
  <si>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</si>
  <si>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</si>
  <si>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</si>
  <si>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</si>
  <si>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</si>
  <si>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</si>
  <si>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</si>
  <si>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</si>
  <si>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</si>
  <si>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</si>
  <si>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</si>
  <si>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</si>
  <si>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</si>
  <si>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</si>
  <si>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</si>
  <si>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</si>
  <si>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</si>
  <si>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</si>
  <si>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</si>
  <si>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</si>
  <si>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</si>
  <si>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</si>
  <si>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</si>
  <si>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</si>
  <si>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</si>
  <si>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</si>
  <si>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</si>
  <si>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</si>
  <si>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</si>
  <si>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</si>
  <si>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</si>
  <si>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</si>
  <si>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</si>
  <si>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</si>
  <si>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</si>
  <si>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</si>
  <si>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</si>
  <si>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</si>
  <si>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</si>
  <si>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</si>
  <si>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</si>
  <si>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</si>
  <si>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</si>
  <si>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</si>
  <si>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</si>
  <si>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</si>
  <si>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</si>
  <si>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</si>
  <si>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</si>
  <si>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</si>
  <si>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</si>
  <si>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</si>
  <si>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</si>
  <si>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</si>
  <si>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</si>
  <si>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</si>
  <si>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</si>
  <si>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</si>
  <si>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</si>
  <si>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</si>
  <si>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</si>
  <si>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</si>
  <si>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</si>
  <si>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</si>
  <si>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</si>
  <si>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</si>
  <si>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</si>
  <si>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</si>
  <si>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</si>
  <si>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</si>
  <si>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</si>
  <si>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</si>
  <si>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</si>
  <si>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</si>
  <si>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</si>
  <si>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</si>
  <si>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</si>
  <si>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</si>
  <si>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</si>
  <si>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</si>
  <si>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</si>
  <si>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</si>
  <si>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</si>
  <si>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</si>
  <si>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</si>
  <si>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</si>
  <si>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</si>
  <si>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</si>
  <si>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</si>
  <si>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</si>
  <si>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</si>
  <si>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</si>
  <si>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</si>
  <si>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</si>
  <si>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</si>
  <si>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</si>
  <si>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</si>
  <si>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</si>
  <si>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</si>
  <si>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</si>
  <si>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</si>
  <si>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</si>
  <si>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</si>
  <si>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</si>
  <si>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</si>
  <si>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</si>
  <si>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</si>
  <si>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</si>
  <si>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</si>
  <si>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</si>
  <si>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</si>
  <si>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</si>
  <si>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</si>
  <si>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</si>
  <si>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</si>
  <si>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</si>
  <si>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</si>
  <si>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</si>
  <si>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</si>
  <si>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</si>
  <si>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</si>
  <si>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</si>
  <si>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</si>
  <si>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</si>
  <si>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</si>
  <si>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</si>
  <si>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</si>
  <si>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</si>
  <si>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</si>
  <si>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</si>
  <si>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</si>
  <si>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</si>
  <si>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</si>
  <si>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</si>
  <si>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</si>
  <si>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</si>
  <si>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</si>
  <si>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</si>
  <si>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</si>
  <si>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</si>
  <si>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</si>
  <si>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</si>
  <si>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</si>
  <si>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</si>
  <si>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</si>
  <si>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</si>
  <si>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</si>
  <si>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</si>
  <si>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</si>
  <si>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</si>
  <si>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</si>
  <si>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</si>
  <si>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</si>
  <si>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</si>
  <si>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</si>
  <si>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</si>
  <si>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</si>
  <si>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</si>
  <si>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</si>
  <si>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</si>
  <si>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</si>
  <si>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</si>
  <si>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</si>
  <si>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</si>
  <si>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</si>
  <si>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</si>
  <si>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</si>
  <si>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</si>
  <si>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</si>
  <si>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</si>
  <si>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</si>
  <si>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</si>
  <si>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</si>
  <si>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</si>
  <si>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</si>
  <si>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</si>
  <si>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</si>
  <si>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</si>
  <si>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</si>
  <si>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</si>
  <si>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</si>
  <si>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</si>
  <si>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</si>
  <si>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</si>
  <si>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</si>
  <si>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</si>
  <si>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</si>
  <si>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</si>
  <si>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</si>
  <si>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</si>
  <si>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</si>
  <si>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</si>
  <si>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</si>
  <si>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</si>
  <si>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</si>
  <si>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</si>
  <si>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</si>
  <si>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</si>
  <si>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</si>
  <si>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</si>
  <si>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</si>
  <si>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</si>
  <si>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</si>
  <si>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</si>
  <si>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</si>
  <si>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</si>
  <si>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</si>
  <si>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</si>
  <si>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</si>
  <si>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</si>
  <si>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</si>
  <si>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</si>
  <si>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</si>
  <si>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</si>
  <si>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</si>
  <si>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</si>
  <si>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</si>
  <si>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</si>
  <si>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</si>
  <si>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</si>
  <si>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</si>
  <si>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</si>
  <si>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</si>
  <si>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</si>
  <si>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</si>
  <si>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</si>
  <si>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</si>
  <si>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</si>
  <si>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</si>
  <si>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</si>
  <si>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</si>
  <si>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</si>
  <si>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</si>
  <si>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</si>
  <si>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</si>
  <si>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</si>
  <si>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</si>
  <si>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</si>
  <si>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</si>
  <si>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</si>
  <si>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</si>
  <si>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</si>
  <si>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</si>
  <si>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</si>
  <si>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</si>
  <si>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</si>
  <si>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</si>
  <si>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</si>
  <si>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</si>
  <si>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</si>
  <si>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</si>
  <si>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</si>
  <si>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</si>
  <si>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</si>
  <si>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</si>
  <si>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</si>
  <si>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</si>
  <si>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</si>
  <si>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</si>
  <si>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</si>
  <si>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</si>
  <si>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</si>
  <si>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</si>
  <si>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</si>
  <si>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</si>
  <si>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</si>
  <si>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</si>
  <si>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</si>
  <si>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</si>
  <si>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</si>
  <si>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</si>
  <si>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</si>
  <si>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</si>
  <si>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</si>
  <si>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</si>
  <si>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</si>
  <si>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</si>
  <si>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</si>
  <si>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</si>
  <si>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</si>
  <si>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</si>
  <si>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</si>
  <si>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</si>
  <si>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</si>
  <si>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</si>
  <si>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</si>
  <si>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</si>
  <si>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</si>
  <si>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</si>
  <si>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</si>
  <si>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</si>
  <si>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</si>
  <si>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</si>
  <si>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</si>
  <si>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</si>
  <si>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</si>
  <si>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</si>
  <si>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</si>
  <si>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</si>
  <si>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</si>
  <si>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</si>
  <si>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</si>
  <si>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</si>
  <si>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</si>
  <si>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</si>
  <si>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</si>
  <si>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</si>
  <si>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</si>
  <si>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</si>
  <si>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</si>
  <si>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</si>
  <si>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</si>
  <si>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</si>
  <si>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</si>
  <si>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</si>
  <si>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</si>
  <si>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</si>
  <si>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</si>
  <si>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</si>
  <si>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</si>
  <si>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</si>
  <si>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</si>
  <si>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</si>
  <si>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</si>
  <si>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</si>
  <si>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</si>
  <si>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</si>
  <si>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</si>
  <si>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</si>
  <si>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</si>
  <si>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</si>
  <si>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</si>
  <si>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</si>
  <si>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</si>
  <si>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</si>
  <si>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</si>
  <si>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</si>
  <si>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</si>
  <si>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</si>
  <si>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</si>
  <si>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</si>
  <si>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</si>
  <si>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</si>
  <si>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</si>
  <si>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</si>
  <si>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</si>
  <si>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</si>
  <si>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</si>
  <si>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</si>
  <si>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</si>
  <si>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</si>
  <si>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</si>
  <si>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</si>
  <si>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</si>
  <si>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</si>
  <si>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</si>
  <si>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</si>
  <si>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</si>
  <si>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</si>
  <si>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</si>
  <si>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</si>
  <si>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</si>
  <si>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</si>
  <si>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</si>
  <si>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</si>
  <si>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</si>
  <si>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</si>
  <si>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</si>
  <si>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</si>
  <si>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</si>
  <si>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</si>
  <si>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</si>
  <si>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</si>
  <si>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</si>
  <si>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</si>
  <si>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</si>
  <si>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</si>
  <si>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</si>
  <si>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</si>
  <si>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</si>
  <si>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</si>
  <si>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</si>
  <si>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</si>
  <si>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</si>
  <si>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</si>
  <si>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</si>
  <si>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</si>
  <si>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</si>
  <si>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</si>
  <si>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</si>
  <si>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</si>
  <si>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</si>
  <si>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</si>
  <si>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</si>
  <si>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</si>
  <si>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</si>
  <si>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</si>
  <si>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</si>
  <si>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</si>
  <si>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</si>
  <si>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</si>
  <si>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</si>
  <si>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</si>
  <si>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</si>
  <si>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</si>
  <si>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</si>
  <si>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</si>
  <si>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</si>
  <si>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</si>
  <si>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</si>
  <si>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</si>
  <si>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</si>
  <si>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</si>
  <si>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</si>
  <si>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</si>
  <si>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</si>
  <si>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</si>
  <si>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</si>
  <si>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</si>
  <si>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</si>
  <si>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</si>
  <si>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</si>
  <si>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</si>
  <si>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</si>
  <si>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</si>
  <si>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</si>
  <si>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</si>
  <si>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</si>
  <si>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</si>
  <si>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</si>
  <si>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</si>
  <si>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</si>
  <si>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</si>
  <si>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</si>
  <si>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</si>
  <si>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</si>
  <si>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</si>
  <si>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</si>
  <si>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</si>
  <si>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</si>
  <si>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</si>
  <si>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</si>
  <si>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</si>
  <si>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</si>
  <si>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</si>
  <si>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</si>
  <si>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</si>
  <si>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</si>
  <si>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</si>
  <si>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</si>
  <si>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</si>
  <si>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</si>
  <si>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</si>
  <si>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</si>
  <si>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</si>
  <si>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</si>
  <si>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</si>
  <si>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</si>
  <si>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</si>
  <si>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</si>
  <si>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</si>
  <si>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</si>
  <si>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</si>
  <si>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</si>
  <si>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</si>
  <si>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</si>
  <si>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</si>
  <si>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</si>
  <si>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</si>
  <si>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</si>
  <si>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</si>
  <si>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</si>
  <si>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</si>
  <si>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</si>
  <si>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</si>
  <si>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</si>
  <si>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</si>
  <si>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</si>
  <si>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</si>
  <si>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</si>
  <si>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</si>
  <si>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</si>
  <si>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</si>
  <si>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</si>
  <si>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</si>
  <si>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</si>
  <si>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</si>
  <si>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</si>
  <si>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</si>
  <si>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</si>
  <si>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</si>
  <si>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</si>
  <si>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</si>
  <si>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</si>
  <si>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</si>
  <si>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</si>
  <si>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</si>
  <si>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</si>
  <si>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</si>
  <si>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</si>
  <si>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</si>
  <si>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</si>
  <si>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</si>
  <si>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</si>
  <si>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</si>
  <si>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</si>
  <si>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</si>
  <si>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</si>
  <si>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</si>
  <si>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</si>
  <si>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</si>
  <si>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</si>
  <si>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</si>
  <si>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</si>
  <si>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</si>
  <si>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</si>
  <si>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</si>
  <si>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</si>
  <si>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</si>
  <si>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</si>
  <si>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</si>
  <si>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</si>
  <si>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</si>
  <si>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</si>
  <si>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</si>
  <si>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</si>
  <si>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</si>
  <si>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</si>
  <si>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</si>
  <si>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</si>
  <si>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</si>
  <si>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</si>
  <si>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</si>
  <si>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</si>
  <si>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</si>
  <si>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</si>
  <si>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</si>
  <si>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</si>
  <si>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</si>
  <si>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</si>
  <si>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</si>
  <si>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</si>
  <si>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</si>
  <si>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</si>
  <si>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</si>
  <si>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</si>
  <si>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</si>
  <si>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</si>
  <si>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</si>
  <si>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</si>
  <si>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</si>
  <si>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</si>
  <si>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</si>
  <si>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</si>
  <si>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</si>
  <si>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</si>
  <si>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</si>
  <si>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</si>
  <si>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</si>
  <si>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</si>
  <si>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</si>
  <si>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</si>
  <si>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</si>
  <si>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</si>
  <si>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</si>
  <si>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</si>
  <si>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</si>
  <si>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</si>
  <si>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</si>
  <si>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</si>
  <si>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</si>
  <si>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</si>
  <si>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</si>
  <si>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</si>
  <si>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</si>
  <si>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</si>
  <si>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</si>
  <si>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</si>
  <si>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</si>
  <si>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</si>
  <si>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</si>
  <si>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</si>
  <si>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</si>
  <si>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</si>
  <si>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</si>
  <si>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</si>
  <si>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</si>
  <si>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</si>
  <si>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</si>
  <si>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</si>
  <si>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</si>
  <si>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</si>
  <si>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</si>
  <si>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</si>
  <si>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</si>
  <si>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</si>
  <si>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</si>
  <si>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</si>
  <si>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</si>
  <si>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</si>
  <si>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</si>
  <si>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</si>
  <si>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</si>
  <si>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</si>
  <si>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</si>
  <si>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</si>
  <si>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</si>
  <si>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</si>
  <si>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</si>
  <si>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</si>
  <si>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</si>
  <si>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</si>
  <si>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</si>
  <si>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</si>
  <si>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</si>
  <si>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</si>
  <si>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</si>
  <si>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</si>
  <si>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</si>
  <si>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</si>
  <si>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</si>
  <si>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</si>
  <si>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</si>
  <si>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</si>
  <si>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</si>
  <si>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</si>
  <si>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</si>
  <si>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</si>
  <si>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</si>
  <si>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</si>
  <si>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</si>
  <si>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</si>
  <si>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</si>
  <si>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</si>
  <si>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</si>
  <si>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</si>
  <si>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</si>
  <si>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</si>
  <si>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</si>
  <si>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</si>
  <si>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</si>
  <si>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</si>
  <si>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</si>
  <si>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</si>
  <si>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</si>
  <si>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</si>
  <si>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</si>
  <si>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</si>
  <si>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</si>
  <si>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</si>
  <si>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</si>
  <si>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</si>
  <si>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</si>
  <si>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</si>
  <si>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</si>
  <si>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</si>
  <si>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</si>
  <si>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</si>
  <si>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</si>
  <si>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</si>
  <si>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</si>
  <si>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</si>
  <si>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</si>
  <si>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</si>
  <si>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</si>
  <si>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</si>
  <si>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</si>
  <si>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</si>
  <si>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</si>
  <si>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</si>
  <si>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</si>
  <si>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</si>
  <si>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</si>
  <si>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</si>
  <si>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</si>
  <si>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</si>
  <si>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</si>
  <si>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</si>
  <si>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</si>
  <si>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</si>
  <si>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</si>
  <si>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</si>
  <si>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</si>
  <si>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</si>
  <si>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</si>
  <si>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</si>
  <si>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</si>
  <si>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</si>
  <si>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</si>
  <si>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</si>
  <si>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</si>
  <si>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</si>
  <si>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</si>
  <si>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</si>
  <si>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</si>
  <si>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</si>
  <si>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</si>
  <si>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</si>
  <si>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</si>
  <si>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</si>
  <si>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</si>
  <si>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</si>
  <si>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</si>
  <si>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</si>
  <si>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</si>
  <si>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</si>
  <si>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</si>
  <si>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</si>
  <si>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</si>
  <si>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</si>
  <si>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</si>
  <si>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</si>
  <si>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</si>
  <si>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</si>
  <si>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</si>
  <si>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</si>
  <si>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</si>
  <si>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</si>
  <si>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</si>
  <si>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</si>
  <si>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</si>
  <si>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</si>
  <si>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</si>
  <si>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</si>
  <si>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</si>
  <si>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</si>
  <si>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</si>
  <si>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</si>
  <si>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</si>
  <si>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</si>
  <si>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</si>
  <si>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</si>
  <si>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</si>
  <si>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</si>
  <si>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</si>
  <si>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</si>
  <si>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</si>
  <si>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</si>
  <si>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</si>
  <si>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</si>
  <si>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</si>
  <si>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</si>
  <si>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</si>
  <si>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</si>
  <si>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</si>
  <si>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</si>
  <si>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</si>
  <si>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</si>
  <si>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</si>
  <si>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</si>
  <si>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</si>
  <si>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</si>
  <si>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</si>
  <si>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</si>
  <si>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</si>
  <si>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</si>
  <si>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</si>
  <si>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</si>
  <si>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</si>
  <si>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</si>
  <si>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</si>
  <si>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</si>
  <si>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</si>
  <si>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</si>
  <si>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</si>
  <si>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</si>
  <si>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</si>
  <si>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</si>
  <si>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</si>
  <si>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</si>
  <si>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</si>
  <si>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</si>
  <si>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</si>
  <si>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</si>
  <si>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</si>
  <si>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</si>
  <si>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</si>
  <si>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</si>
  <si>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</si>
  <si>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</si>
  <si>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</si>
  <si>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</si>
  <si>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</si>
  <si>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</si>
  <si>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</si>
  <si>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</si>
  <si>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</si>
  <si>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</si>
  <si>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</si>
  <si>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</si>
  <si>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</si>
  <si>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</si>
  <si>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</si>
  <si>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</si>
  <si>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</si>
  <si>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</si>
  <si>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</si>
  <si>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</si>
  <si>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</si>
  <si>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</si>
  <si>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</si>
  <si>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</si>
  <si>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</si>
  <si>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</si>
  <si>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</si>
  <si>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</si>
  <si>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</si>
  <si>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</si>
  <si>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</si>
  <si>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</si>
  <si>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</si>
  <si>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</si>
  <si>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</si>
  <si>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</si>
  <si>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</si>
  <si>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</si>
  <si>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</si>
  <si>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</si>
  <si>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</si>
  <si>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</si>
  <si>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</si>
  <si>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</si>
  <si>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</si>
  <si>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</si>
  <si>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</si>
  <si>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</si>
  <si>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</si>
  <si>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</si>
  <si>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</si>
  <si>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</si>
  <si>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</si>
  <si>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</si>
  <si>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</si>
  <si>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</si>
  <si>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</si>
  <si>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</si>
  <si>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</si>
  <si>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</si>
  <si>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</si>
  <si>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</si>
  <si>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</si>
  <si>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</si>
  <si>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</si>
  <si>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</si>
  <si>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</si>
  <si>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</si>
  <si>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</si>
  <si>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</si>
  <si>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</si>
  <si>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</si>
  <si>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</si>
  <si>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</si>
  <si>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</si>
  <si>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</si>
  <si>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</si>
  <si>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</si>
  <si>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</si>
  <si>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</si>
  <si>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</si>
  <si>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</si>
  <si>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</si>
  <si>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</si>
  <si>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</si>
  <si>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</si>
  <si>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</si>
  <si>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</si>
  <si>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</si>
  <si>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</si>
  <si>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</si>
  <si>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</si>
  <si>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</si>
  <si>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</si>
  <si>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</si>
  <si>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</si>
  <si>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</si>
  <si>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</si>
  <si>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</si>
  <si>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</si>
  <si>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</si>
  <si>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</si>
  <si>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</si>
  <si>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</si>
  <si>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</si>
  <si>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</si>
  <si>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</si>
  <si>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</si>
  <si>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</si>
  <si>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</si>
  <si>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</si>
  <si>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</si>
  <si>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</si>
  <si>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</si>
  <si>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</si>
  <si>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</si>
  <si>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</si>
  <si>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</si>
  <si>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</si>
  <si>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</si>
  <si>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</si>
  <si>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</si>
  <si>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</si>
  <si>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</si>
  <si>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</si>
  <si>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</si>
  <si>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</si>
  <si>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</si>
  <si>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</si>
  <si>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</si>
  <si>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</si>
  <si>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</si>
  <si>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</si>
  <si>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</si>
  <si>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</si>
  <si>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</si>
  <si>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</si>
  <si>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</si>
  <si>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</si>
  <si>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</si>
  <si>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</si>
  <si>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</si>
  <si>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</si>
  <si>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</si>
  <si>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</si>
  <si>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</si>
  <si>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</si>
  <si>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</si>
  <si>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</si>
  <si>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</si>
  <si>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</si>
  <si>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</si>
  <si>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</si>
  <si>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</si>
  <si>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</si>
  <si>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</si>
  <si>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</si>
  <si>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</si>
  <si>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</si>
  <si>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</si>
  <si>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</si>
  <si>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</si>
  <si>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</si>
  <si>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</si>
  <si>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</si>
  <si>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</si>
  <si>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</si>
  <si>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</si>
  <si>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</si>
  <si>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</si>
  <si>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</si>
  <si>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</si>
  <si>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</si>
  <si>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</si>
  <si>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</si>
  <si>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</si>
  <si>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</si>
  <si>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</si>
  <si>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</si>
  <si>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</si>
  <si>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</si>
  <si>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</si>
  <si>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</si>
  <si>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</si>
  <si>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</si>
  <si>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</si>
  <si>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</si>
  <si>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</si>
  <si>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</si>
  <si>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</si>
  <si>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</si>
  <si>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</si>
  <si>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</si>
  <si>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</si>
  <si>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</si>
  <si>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</si>
  <si>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</si>
  <si>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</si>
  <si>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</si>
  <si>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</si>
  <si>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</si>
  <si>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</si>
  <si>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</si>
  <si>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</si>
  <si>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</si>
  <si>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</si>
  <si>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</si>
  <si>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</si>
  <si>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</si>
  <si>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</si>
  <si>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</si>
  <si>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</si>
  <si>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</si>
  <si>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</si>
  <si>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</si>
  <si>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</si>
  <si>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</si>
  <si>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</si>
  <si>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</si>
  <si>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</si>
  <si>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</si>
  <si>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</si>
  <si>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</si>
  <si>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</si>
  <si>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</si>
  <si>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</si>
  <si>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</si>
  <si>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</si>
  <si>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</si>
  <si>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</si>
  <si>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</si>
  <si>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</si>
  <si>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</si>
  <si>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</si>
  <si>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</si>
  <si>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</si>
  <si>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</si>
  <si>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</si>
  <si>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</si>
  <si>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</si>
  <si>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</si>
  <si>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</si>
  <si>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</si>
  <si>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</si>
  <si>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</si>
  <si>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</si>
  <si>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</si>
  <si>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</si>
  <si>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</si>
  <si>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</si>
  <si>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</si>
  <si>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</si>
  <si>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</si>
  <si>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</si>
  <si>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</si>
  <si>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</si>
  <si>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</si>
  <si>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</si>
  <si>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</si>
  <si>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</si>
  <si>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</si>
  <si>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</si>
  <si>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</si>
  <si>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</si>
  <si>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</si>
  <si>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</si>
  <si>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</si>
  <si>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</si>
  <si>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</si>
  <si>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</si>
  <si>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</si>
  <si>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</si>
  <si>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</si>
  <si>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</si>
  <si>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</si>
  <si>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</si>
  <si>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</si>
  <si>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</si>
  <si>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</si>
  <si>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</si>
  <si>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</si>
  <si>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</si>
  <si>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</si>
  <si>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</si>
  <si>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</si>
  <si>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</si>
  <si>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</si>
  <si>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</si>
  <si>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</si>
  <si>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</si>
  <si>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</si>
  <si>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</si>
  <si>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</si>
  <si>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</si>
  <si>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</si>
  <si>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</si>
  <si>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</si>
  <si>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</si>
  <si>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</si>
  <si>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</si>
  <si>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</si>
  <si>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</si>
  <si>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</si>
  <si>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</si>
  <si>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</si>
  <si>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</si>
  <si>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</si>
  <si>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</si>
  <si>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</si>
  <si>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</si>
  <si>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</si>
  <si>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</si>
  <si>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</si>
  <si>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</si>
  <si>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</si>
  <si>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</si>
  <si>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</si>
  <si>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</si>
  <si>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</si>
  <si>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</si>
  <si>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</si>
  <si>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</si>
  <si>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</si>
  <si>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</si>
  <si>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</si>
  <si>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</si>
  <si>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</si>
  <si>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</si>
  <si>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</si>
  <si>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</si>
  <si>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</si>
  <si>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</si>
  <si>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</si>
  <si>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</si>
  <si>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</si>
  <si>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</si>
  <si>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</si>
  <si>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</si>
  <si>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</si>
  <si>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</si>
  <si>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</si>
  <si>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</si>
  <si>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</si>
  <si>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</si>
  <si>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</si>
  <si>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</si>
  <si>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</si>
  <si>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</si>
  <si>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</si>
  <si>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</si>
  <si>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</si>
  <si>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</si>
  <si>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</si>
  <si>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</si>
  <si>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</si>
  <si>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</si>
  <si>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</si>
  <si>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</si>
  <si>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</si>
  <si>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</si>
  <si>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</si>
  <si>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</si>
  <si>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</si>
  <si>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</si>
  <si>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</si>
  <si>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</si>
  <si>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</si>
  <si>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</si>
  <si>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</si>
  <si>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</si>
  <si>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</si>
  <si>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</si>
  <si>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</si>
  <si>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</si>
  <si>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</si>
  <si>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</si>
  <si>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</si>
  <si>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</si>
  <si>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</si>
  <si>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</si>
  <si>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</si>
  <si>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</si>
  <si>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</si>
  <si>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</si>
  <si>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</si>
  <si>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</si>
  <si>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</si>
  <si>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</si>
  <si>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</si>
  <si>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</si>
  <si>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</si>
  <si>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</si>
  <si>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</si>
  <si>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</si>
  <si>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</si>
  <si>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</si>
  <si>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</si>
  <si>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</si>
  <si>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</si>
  <si>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</si>
  <si>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</si>
  <si>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</si>
  <si>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</si>
  <si>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</si>
  <si>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</si>
  <si>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</si>
  <si>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</si>
  <si>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</si>
  <si>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</si>
  <si>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</si>
  <si>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</si>
  <si>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</si>
  <si>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</si>
  <si>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</si>
  <si>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</si>
  <si>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</si>
  <si>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</si>
  <si>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</si>
  <si>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</si>
  <si>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</si>
  <si>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</si>
  <si>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</si>
  <si>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</si>
  <si>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</si>
  <si>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</si>
  <si>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</si>
  <si>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</si>
  <si>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</si>
  <si>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</si>
  <si>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</si>
  <si>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</si>
  <si>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</si>
  <si>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</si>
  <si>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</si>
  <si>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</si>
  <si>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</si>
  <si>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</si>
  <si>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</si>
  <si>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</si>
  <si>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</si>
  <si>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</si>
  <si>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</si>
  <si>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</si>
  <si>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</si>
  <si>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</si>
  <si>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</si>
  <si>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</si>
  <si>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</si>
  <si>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</si>
  <si>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</si>
  <si>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</si>
  <si>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</si>
  <si>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</si>
  <si>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</si>
  <si>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</si>
  <si>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</si>
  <si>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</si>
  <si>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</si>
  <si>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</si>
  <si>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</si>
  <si>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</si>
  <si>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</si>
  <si>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</si>
  <si>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</si>
  <si>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</si>
  <si>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</si>
  <si>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</si>
  <si>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</si>
  <si>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</si>
  <si>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</si>
  <si>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</si>
  <si>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</si>
  <si>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</si>
  <si>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</si>
  <si>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</si>
  <si>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</si>
  <si>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</si>
  <si>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</si>
  <si>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</si>
  <si>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</si>
  <si>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</si>
  <si>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</si>
  <si>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</si>
  <si>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</si>
  <si>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</si>
  <si>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</si>
  <si>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</si>
  <si>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</si>
  <si>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</si>
  <si>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</si>
  <si>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</si>
  <si>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</si>
  <si>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</si>
  <si>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</si>
  <si>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</si>
  <si>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</si>
  <si>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</si>
  <si>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</si>
  <si>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</si>
  <si>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</si>
  <si>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</si>
  <si>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</si>
  <si>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</si>
  <si>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</si>
  <si>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 xml:space="preserve">FOUR APPROVAL GATES PLUS OWNER TESTING AND WEEKLY LEARNING — TRACKER v1.3.4
MAIN PROMPT — W3-ROLLBACK-001
TASK IDENTITY
- Week: Week 3
- Feature/outcome: Cited-RAG configuration rollback drill
- Business purpose: Prove prompt/model/retriever/index configuration can return to a known-good baseline.
- Covered tracker steps: W3-11
- Required inputs: Approved baseline and exact local configuration paths from the pre-edit plan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W3-11 — Restore prior prompt/model/retriever/index configuration and re-evaluate.
  Business reason: RAG changes can regress without application code changes.
  Acceptance: Last-known-good configuration returns baseline results.
  Dependency: W3-10
  Owner verification reference: make rollback-rag &amp;&amp; make evaluate
  Expected result: Rollback record identifies versions and post-rollback metrics.
  Canonical evidence: docs/rollback-records/W3-rag.md
  Rollback/teardown: Forward-fix only after a new feature cycle.
  Current tracker status (read-only historical/current fact): Not Started
  Separate Task Context: 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
Downstream tracker steps identified from recorded dependencies: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W3-ROLLBACK-001
Use only the exact existing local prompt/model/retriever/index configuration files listed and approved in the pre-edit plan, plus docs/rollback-records/W3-rag.md. Plan owner-run TEST-001 to restore the prior known-good configuration, execute the exact rollback and evaluation commands, compare the checked-in baseline, and supply exact versions, results, elapsed time and residual risks for later Column M documentation. Do not hide regression, edit the golden truth set, mutate cloud resources or edit this tracker.
TASK-SPECIFIC AMENDMENT — SAFE CONFIGURATION ROLLBACK
Run only after W3-10 has a passing approved baseline and before W3-12. Freeze exact configuration N hashes and passing evidence; introduce only an owner-approved local test regression N+1; prove the gate detects it; restore N; rerun evaluation, citation/abstention, security/isolation and telemetry checks. Do not edit the golden truth set, lower thresholds, destroy shared data or use teardown as rollback. If Qdrant/model resources are needed, list their exact local lifecycle/cache boundary and clean or preserve them per approval. The rollback record must contain hashes, elapsed time, failure signal and restored results. Any mismatch or residual is FAIL.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prompt/model/retriever/index configuration can return to a known-good baseline.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Cited-RAG configuration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END-TO-END ARCHITECTURE LEARNING
- Position and flow: known-good baseline -&gt; bounded change -&gt; regression detection -&gt; owner rollback -&gt; verification and evidence.
- Upstream/dependency boundary: W3-10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baseline and exact local configuration paths from the pre-edit plan goes through Cited-RAG configuration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Cited-RAG configuration rollback drill addresses prove prompt/model/retriever/index configuration can return to a known-good baseline.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Cited-RAG configuration rollback drill solve?
   Answer points: Connect Prove prompt/model/retriever/index configuration can return to a known-good baseline. to restored baseline passes exact regression and leaves no ambiguous active version and identify release owner, SRE, support and risk managers.
2. Q: Trace the end-to-end flow for W3-ROLLBACK-001.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Cited-RAG configuration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baseline and exact local configuration paths from the pre-edit plan.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W3-ROLLBACK-001.
</t>
  </si>
  <si>
    <t>READY FOR PRE-EDIT REVIEW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</si>
  <si>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docs/test-evidence/W3-ROLLBACK-001.md
- docs/rollback-records/W3-rag.md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</si>
  <si>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</si>
  <si>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 xml:space="preserve">FOUR APPROVAL GATES PLUS OWNER TESTING AND WEEKLY LEARNING — TRACKER v1.3.4
MAIN PROMPT — W4-001
TASK IDENTITY
- Week: Week 4
- Feature/outcome: FastAPI service boundary
- Business purpose: Expose production-shaped, testable endpoints.
- Covered tracker steps: W4-01, W4-02, W4-10
- Required inputs: Fake providers by default; auth interface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W4-01 — Implement health, query and agent endpoints using dependency interfaces.
  Business reason: A thin typed boundary isolates clients from implementation details.
  Acceptance: Endpoints return normalized schemas and request IDs.
  Dependency: W3-13
  Owner verification reference: pytest tests/unit/test_api.py -q
  Expected result: Health and fake query tests pass; no internal prompt/error leak.
  Canonical evidence: docs/test-evidence/W4-01-api.txt
  Rollback/teardown: Roll back image/config and disable new route.
  Current tracker status (read-only historical/current fact): Not Started
  Separate Task Context: 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
- W4-02 — Implement auth context interface and deny before retrieval/action.
  Business reason: Identity and authorization are deterministic platform controls.
  Acceptance: Unauthorized query never invokes retriever or tool.
  Dependency: W4-01
  Owner verification reference: pytest tests/security/test_api_authorization.py -q
  Expected result: Mock call assertions prove deny-before-retrieve.
  Canonical evidence: docs/test-evidence/W4-02-auth.txt
  Rollback/teardown: Disable endpoint or restore previous auth dependency.
  Current tracker status (read-only historical/current fact): Not Started
  Separate Task Context: 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
- W4-10 — Run bounded local smoke/load test with fake/approved model.
  Business reason: Concurrency and timeouts must fail predictably before EKS.
  Acceptance: No unbounded queue; p95/p99 baseline is recorded.
  Dependency: W4-01,W4-06
  Owner verification reference: pytest tests/feature/test_api_load_smoke.py -q
  Expected result: Latency/error/concurrency report is redacted.
  Canonical evidence: docs/test-evidence/W4-10-load.json
  Rollback/teardown: Reduce traffic; revert concurrency settings.
  Current tracker status (read-only historical/current fact): Not Started
  Separate Task Context: 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
Downstream tracker steps identified from recorded dependencies: W4-02, W4-03, W4-08, W4-10, W4-11,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Expose production-shaped, testable endpoints. The primary beneficiaries are client teams, knowledge users, operations and security.
- Process and risk: This task supports authenticated HTTP request -&gt; FastAPI validation/auth -&gt; application service -&gt; fake or approved providers -&gt; typed response/error. Without it, the platform can produce an unauditable, insecure or non-reproducible result at this exact layer.
- Measurable outcome: stable contract, correct status codes and bounded latency under approved tests. It contributes to the MVP by making FastAPI service boundary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END-TO-END ARCHITECTURE LEARNING
- Position and flow: authenticated HTTP request -&gt; FastAPI validation/auth -&gt; application service -&gt; fake or approved providers -&gt; typed response/error.
- Upstream/dependency boundary: W3-13, W4-01, W4-01,W4-06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FastAPI routes, request/response schemas, dependency injection, auth interface, health/readiness and API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FastAPI routes, request/response schemas, dependency injection, auth interface, health/readiness and API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guarded reception desk that checks forms and identity before sending work inside.
- What goes in / happens / comes out: approved Fake providers by default; auth interface choice goes through FastAPI service boundary;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API exposes the capability; the service layer owns business rules.
ARCHITECTURE DECISIONS AND TRADE-OFFS
- Selected recorded direction: a thin transport boundary with injected providers and typed errors is selected over business logic in routes.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authentication, tenant context, limits and redaction happen before provider access. Apply classification, PII handling, tenant isolation, authorization before provider/storage calls, secret exclusion, redacted evidence, residency, retention, provenance and least privilege where applicable.
- Failure/operations: bad input/auth/provider timeout maps to stable status without content leakage; rollback restores the last API release.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FastAPI service boundary addresses expose production-shaped, testable endpoints. It makes the result governed, testable and reversible, measured by stable contract, correct status codes and bounded latency under approved tests.
- Two-minute technical explanation: describe FastAPI routes, request/response schemas, dependency injection, auth interface, health/readiness and API tests; trace authenticated HTTP request -&gt; FastAPI validation/auth -&gt; application service -&gt; fake or approved providers -&gt; typed response/error;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FastAPI service boundary solve?
   Answer points: Connect Expose production-shaped, testable endpoints. to stable contract, correct status codes and bounded latency under approved tests and identify client teams, knowledge users, operations and security.
2. Q: Trace the end-to-end flow for W4-001.
   Answer points: Explain authenticated HTTP request -&gt; FastAPI validation/auth -&gt; application service -&gt; fake or approved providers -&gt; typed response/error; name upstream dependencies, downstream consumers, trust and state boundaries.
3. Q: Which design decision matters most and what alternative was rejected?
   Answer points: Discuss a thin transport boundary with injected providers and typed errors is selected over business logic in routes; compare the adjacent alternative and when it could be preferable.
4. Q: How does this task fail safely and how is it recovered?
   Answer points: Use this scenario: bad input/auth/provider timeout maps to stable status without content leakage; rollback restores the last API release; distinguish retry, remediation, rollback, teardown and evidence.
5. Q: How are security, privacy and cost controlled?
   Answer points: Explain authentication, tenant context, limits and redaction happen before provider access; include least privilege, redaction/residency, bounded resources and owner-only access.
- Design trade-off: volume/latency increases tenfold; explain whether a thin transport boundary with injected providers and typed errors is selected over business logic in routes still holds and what evidence/ADR/approval must change.
- Failure/remediation: bad input/auth/provider timeout maps to stable status without content leakage; rollback restores the last API release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FastAPI service boundary. Task — establish the governed contract. Action — map consumers, work within gates, owner-test, diagnose completely and prove lifecycle. Result — report only accepted evidence and stable contract, correct status codes and bounded latency under approved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Fake providers by default; auth interface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</si>
  <si>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</si>
  <si>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</si>
  <si>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</si>
  <si>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</si>
  <si>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</si>
  <si>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</si>
  <si>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</si>
  <si>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</si>
  <si>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</si>
  <si>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</si>
  <si>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</si>
  <si>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</si>
  <si>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</si>
  <si>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</si>
  <si>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</si>
  <si>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</si>
  <si>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</si>
  <si>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</si>
  <si>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</si>
  <si>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</si>
  <si>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</si>
  <si>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</si>
  <si>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</si>
  <si>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</si>
  <si>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</si>
  <si>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</si>
  <si>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</si>
  <si>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</si>
  <si>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</si>
  <si>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</si>
  <si>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</si>
  <si>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</si>
  <si>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</si>
  <si>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</si>
  <si>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</si>
  <si>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</si>
  <si>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</si>
  <si>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</si>
  <si>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</si>
  <si>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</si>
  <si>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</si>
  <si>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</si>
  <si>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</si>
  <si>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</si>
  <si>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</si>
  <si>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</si>
  <si>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</si>
  <si>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</si>
  <si>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</si>
  <si>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</si>
  <si>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</si>
  <si>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</si>
  <si>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</si>
  <si>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</si>
  <si>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</si>
  <si>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</si>
  <si>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</si>
  <si>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</si>
  <si>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</si>
  <si>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</si>
  <si>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</si>
  <si>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</si>
  <si>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</si>
  <si>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</si>
  <si>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</si>
  <si>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</si>
  <si>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</si>
  <si>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</si>
  <si>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</si>
  <si>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</si>
  <si>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</si>
  <si>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</si>
  <si>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</si>
  <si>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</si>
  <si>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</si>
  <si>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</si>
  <si>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</si>
  <si>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</si>
  <si>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</si>
  <si>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</si>
  <si>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</si>
  <si>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</si>
  <si>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</si>
  <si>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</si>
  <si>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</si>
  <si>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</si>
  <si>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</si>
  <si>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</si>
  <si>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</si>
  <si>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</si>
  <si>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</si>
  <si>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</si>
  <si>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</si>
  <si>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</si>
  <si>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</si>
  <si>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</si>
  <si>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</si>
  <si>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</si>
  <si>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</si>
  <si>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</si>
  <si>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</si>
  <si>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</si>
  <si>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</si>
  <si>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</si>
  <si>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</si>
  <si>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</si>
  <si>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</si>
  <si>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</si>
  <si>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</si>
  <si>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</si>
  <si>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</si>
  <si>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</si>
  <si>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</si>
  <si>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</si>
  <si>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</si>
  <si>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</si>
  <si>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</si>
  <si>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</si>
  <si>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</si>
  <si>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</si>
  <si>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</si>
  <si>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</si>
  <si>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</si>
  <si>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</si>
  <si>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</si>
  <si>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OWNER-CONTROLLED WORKFLOW — FOUR APPROVAL GATES PLUS OWNER TESTING AND WEEKLY LEARNING — TRACKER v1.3.4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docs/governance/Enterprise_AI_Architecture_6_Week_Execution_Tracker_v1.3.4_repaired.xlsx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</si>
  <si>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v1.3.4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docs/governance/Enterprise_AI_Architecture_6_Week_Execution_Tracker_v1.3.4_repaired.xlsx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</si>
  <si>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CODE EDIT APPROVAL — W3-003
APPROVED TASK CONTRACT
- Prompt and tracker steps: W3-003 / W3-05, W3-08
- Business purpose: Treat retrieved content as untrusted and enforce authorization outside the model.
- Architecture and design: Deterministic input, retrieved-content and output guardrails surround the RAG pipeline while authorization remains enforced by retrieval code.
- Exact interfaces, functions and connections: inspect_query, inspect_context and inspect_answer return allow, refuse or quarantine decisions with safe reason codes; the pipeline stops on any deny decision.
- Exact inputs, outputs, errors and invariants: Inputs are limited to Classification/tenant rules; injection fixtures.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GuardrailDecision contains decision, reason code, stage and policy version only; injection fixtures are synthetic and classified by expected action.
- Exact dependency and runtime API rules: Rules are local and deterministic; no remote moderation service or model download is introduced; timeouts and cancellation propagate through the pipeline.
- Exact security, privacy, concurrency and operational controls: Retrieved text is untrusted, tool-like instructions are not executed, tenant authorization cannot be overridden, and sensitive input is excluded from errors and telemetry.
- Exact automated-test behavior: Security suites cover direct and indirect injection, cross-tenant context, unsafe output and false-positive controls; feature test proves guardrail ordering and fail-closed behavior.
- Accepted baseline: The inspected repository contains every UPDATE path and does not contain every CREATE path. Historical results remain unchanged; future execution must revalidate content and patch anchors.
EXACT APPROVED PATH MANIFEST
CREATE:
- src/enterprise_ai_platform/guardrails/__init__.py
- src/enterprise_ai_platform/guardrails/errors.py
- src/enterprise_ai_platform/guardrails/prompt_injection.py
- src/enterprise_ai_platform/guardrails/output_policy.py
- tests/unit/test_guardrails.py
- tests/security/test_prompt_injection.py
- tests/security/test_rag_authorization.py
- tests/security/test_output_guardrails.py
- tests/feature/test_rag_guardrail_contract.py
UPDATE:
- src/enterprise_ai_platform/rag/pipeline.py
- src/enterprise_ai_platform/config.py
- feature-matrix.yaml
- tools/platformctl/validate.py
- tests/feature/test_feature_matrix.py
- tests/unit/test_platformctl.py
DELETE:
- None
VERIFIED IMPLEMENTED PRODUCERS / UNCHANGED CONSUMERS:
- src/enterprise_ai_platform/retrieval/authorization.py
REQUIRED UPSTREAM PRODUCERS:
- src/enterprise_ai_platform/llm/base.py — produced by W3-001;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retrieved content as untrusted and enforce authorization outside the model. and measurable acceptance.
2. Architecture position: untrusted user/retrieved content -&gt; deterministic policy checks -&gt; authorized RAG -&gt; safe response or refusal,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airport security that screens every bag even if the passenger says it is safe; what goes in, happens and comes out.
7. Decisions/trade-offs: deterministic external controls are selected over asking the model to police itself, alternatives, pros/cons, conditions to differ and consequences.
8. Security/privacy/reliability/cost: tenant and ACL enforcement stay outside the LLM; sensitive instructions/content are not logged, failure isolation, retained resources and accepted access/cost.
9. Failure/remediation/rollback/teardown: injection or authorization ambiguity fails closed and creates redacted evidence;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W3-003.</t>
  </si>
  <si>
    <t>COLUMN L — COMPLETE BOUNDED CODE EDIT APPROVAL — W3-ROLLBACK-001
APPROVED TASK CONTRACT
- Prompt and tracker steps: W3-ROLLBACK-001 / W3-11
- Business purpose: Prove prompt/model/retriever/index configuration can return to a known-good baseline.
- Architecture and design: Versioned JSON RAG configurations and platformctl rollback select a known-good prompt, model, retriever and index contract without changing stored evidence silently.
- Exact interfaces, functions and connections: validate_rag_config, compare_rag_config and rollback_rag_config accept exact configuration paths and return validation, diff and selected-baseline results.
- Exact inputs, outputs, errors and invariants: Inputs are limited to Approved baseline and exact local configuration paths from the pre-edit plan.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Configuration fixes schema version, prompt version, provider/model ID, retrieval parameters, index version and evaluation gate; unknown or missing fields are rejected.
- Exact dependency and runtime API rules: Rollback is local and dry-run by default; owner execution performs any service restart or data mutation; no cloud or model download is part of the code edit.
- Exact security, privacy, concurrency and operational controls: Candidate and baseline hashes are verified; rollback stops if the baseline is missing or incompatible; cleanup removes only drill artifacts.
- Exact automated-test behavior: Contract tests reject invalid configuration; feature tests force a safe regression and select baseline; teardown tests prove no temporary rollback state remains.
- Accepted baseline: The inspected repository contains every UPDATE path and does not contain every CREATE path. Historical results remain unchanged; future execution must revalidate content and patch anchors.
EXACT APPROVED PATH MANIFEST
CREATE:
- configs/rag/baseline.json
- configs/rag/candidate.json
- tools/platformctl/rag_rollback.py
- tests/contract/test_rag_config.py
- tests/feature/test_rag_configuration_rollback.py
- tests/teardown/test_w3_rag_rollback_cleanliness.py
UPDATE:
- tools/platformctl/cli.py
- tools/platformctl/contracts.py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configs/eval/golden.jsonl — produced by W3-002;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prompt/model/retriever/index configuration can return to a known-good baseline.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W3-ROLLBACK-001.</t>
  </si>
  <si>
    <t>COLUMN L — COMPLETE BOUNDED CODE EDIT APPROVAL — W4-001
APPROVED TASK CONTRACT
- Prompt and tracker steps: W4-001 / W4-01, W4-02, W4-10
- Business purpose: Expose production-shaped, testable endpoints.
- Architecture and design: FastAPI routes expose health and query boundaries, inject fake providers by default and delegate business logic to the RAG service.
- Exact interfaces, functions and connections: GET health endpoints return readiness state; POST query accepts QueryRequest and returns QueryResponse with answer, citations, trace ID or typed error.
- Exact inputs, outputs, errors and invariants: Inputs are limited to Fake providers by default; auth interface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API models enforce tenant identity, classification, bounded query length and stable error codes; unknown fields and malformed authorization fail validation.
- Exact dependency and runtime API rules: FastAPI dependencies are injected; synchronous work stays outside the event loop; timeouts and cancellation propagate to retrieval and LLM providers.
- Exact security, privacy, concurrency and operational controls: Authentication and authorization precede retrieval; responses and logs exclude secrets and raw protected context; readiness fails when required dependencies are unavailable.
- Exact automated-test behavior: Model and contract tests prove status/schema stability; integration tests use fake providers; authorization tests cover missing and cross-tenant identity; feature and smoke tests cover query and health paths.
- Accepted baseline: The inspected repository contains every UPDATE path and does not contain every CREATE path. Historical results remain unchanged; future execution must revalidate content and patch anchors.
EXACT APPROVED PATH MANIFEST
CREATE:
- src/enterprise_ai_platform/api/__init__.py
- src/enterprise_ai_platform/api/dependencies.py
- src/enterprise_ai_platform/api/models.py
- src/enterprise_ai_platform/api/auth.py
- src/enterprise_ai_platform/api/routes_health.py
- src/enterprise_ai_platform/api/routes_query.py
- tests/contract/test_api_contract.py
- tests/unit/test_api.py
- tests/security/test_api_authorization.py
- tests/feature/test_api_query.py
- tests/feature/test_api_load_smoke.py
- tests/smoke/test_api_health.py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src/enterprise_ai_platform/retrieval/service.py — produced by W2-004;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Expose production-shaped, testable endpoints. and measurable acceptance.
2. Architecture position: authenticated HTTP request -&gt; FastAPI validation/auth -&gt; application service -&gt; fake or approved providers -&gt; typed response/error,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guarded reception desk that checks forms and identity before sending work inside; what goes in, happens and comes out.
7. Decisions/trade-offs: a thin transport boundary with injected providers and typed errors is selected over business logic in routes, alternatives, pros/cons, conditions to differ and consequences.
8. Security/privacy/reliability/cost: authentication, tenant context, limits and redaction happen before provider access, failure isolation, retained resources and accepted access/cost.
9. Failure/remediation/rollback/teardown: bad input/auth/provider timeout maps to stable status without content leakage; rollback restores the last API release;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W4-001.</t>
  </si>
  <si>
    <t>COLUMN L — COMPLETE BOUNDED CODE EDIT APPROVAL — W4-002
APPROVED TASK CONTRACT
- Prompt and tracker steps: W4-002 / W4-03, W4-04, W4-05, W4-06, W4-07, W4-09
- Business purpose: Add controlled agent behavior without uncontrolled autonomy.
- Architecture and design: A bounded LangGraph controller uses typed state, allowlisted tools, explicit approval checkpoints and resumable checkpoint records.
- Exact interfaces, functions and connections: build_graph, run_agent, request_approval and resume_agent accept AgentState and return terminal response, approval-needed or typed budget/error outcomes.
- Exact inputs, outputs, errors and invariants: Inputs are limited to Step/tool/time budgets; approval-store decision.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AgentState fixes request ID, tenant, step count, tool count, deadline, approval state and redacted messages; checkpoint serialization is versioned and rejects incompatible state.
- Exact dependency and runtime API rules: Step, tool and wall-clock budgets are explicit; provider calls and tools are injected; cancellation halts scheduling and checkpoint writes remain bounded.
- Exact security, privacy, concurrency and operational controls: Tools are allowlisted and tenant-scoped; side-effecting tools require owner approval; no arbitrary code, shell or network tool is exposed.
- Exact automated-test behavior: Unit and contract tests cover state and tools; feature tests cover budgets, pause and resume; security tests cover unauthorized tools and approval bypass; teardown test removes temporary checkpoints.
- Accepted baseline: The inspected repository contains every UPDATE path and does not contain every CREATE path. Historical results remain unchanged; future execution must revalidate content and patch anchors.
EXACT APPROVED PATH MANIFEST
CREATE:
- src/enterprise_ai_platform/agents/__init__.py
- src/enterprise_ai_platform/agents/errors.py
- src/enterprise_ai_platform/agents/state.py
- src/enterprise_ai_platform/agents/tools.py
- src/enterprise_ai_platform/agents/approval.py
- src/enterprise_ai_platform/agents/checkpoint.py
- src/enterprise_ai_platform/agents/graph.py
- tests/unit/test_agent_state.py
- tests/unit/test_agent_graph.py
- tests/unit/test_agent_tools.py
- tests/unit/test_agent_budgets.py
- tests/feature/test_agent_resume.py
- tests/feature/test_agent_failures.py
- tests/security/test_agent_authorization.py
- tests/security/test_agent_approval.py
- tests/security/test_agent_state_redaction.py
- tests/teardown/test_agent_checkpoint_cleanliness.py
UPDATE: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src/enterprise_ai_platform/api/auth.py — produced by W4-001;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Add controlled agent behavior without uncontrolled autonomy. and measurable acceptance.
2. Architecture position: authorized request -&gt; bounded state graph -&gt; permitted tool node -&gt; human approval when required -&gt; final response/audit,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supervised checklist where each step and tool needs the right stamp; what goes in, happens and comes out.
7. Decisions/trade-offs: explicit graph, step/tool/time budgets and human gates are selected over open-ended autonomy, alternatives, pros/cons, conditions to differ and consequences.
8. Security/privacy/reliability/cost: tool authorization and approval happen before side effects; state/logs redact content and credentials, failure isolation, retained resources and accepted access/cost.
9. Failure/remediation/rollback/teardown: budget exhaustion, denial, timeout or cancellation stops the graph without a later tool call;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W4-002.</t>
  </si>
  <si>
    <t>COLUMN L — COMPLETE BOUNDED CODE EDIT APPROVAL — W4-003
APPROVED TASK CONTRACT
- Prompt and tracker steps: W4-003 / W3-09, W4-08
- Business purpose: Make each RAG and agent stage explainable operationally.
- Architecture and design: OpenTelemetry-compatible tracing, metrics, structured logging and a redacted audit record instrument API, retrieval, RAG and agent stages.
- Exact interfaces, functions and connections: start_span, record_metric, log_event and write_audit_event accept identifiers and bounded attributes; exporters are configured through Settings.
- Exact inputs, outputs, errors and invariants: Inputs are limited to OTEL exporter endpoint; no content export.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carries trace ID, request ID, tenant hash, stage, duration, status and reason code; query text, retrieved content, credentials and tokens are prohibited.
- Exact dependency and runtime API rules: No-content export is the default; exporter timeouts are bounded and telemetry failure cannot expose data or block the business response indefinitely.
- Exact security, privacy, concurrency and operational controls: Redaction occurs before emission; tenant identifiers are pseudonymized; audit events are append-only logical records without secrets.
- Exact automated-test behavior: Unit tests cover attributes; integration proves trace correlation; feature tests cover stage metrics; security tests reject sensitive fields and exporter payload content.
- Accepted baseline: The inspected repository contains every UPDATE path and does not contain every CREATE path. Historical results remain unchanged; future execution must revalidate content and patch anchors.
EXACT APPROVED PATH MANIFEST
CREATE:
- src/enterprise_ai_platform/observability/__init__.py
- src/enterprise_ai_platform/observability/logging.py
- src/enterprise_ai_platform/observability/tracing.py
- src/enterprise_ai_platform/observability/metrics.py
- src/enterprise_ai_platform/observability/audit.py
- tests/unit/test_telemetry.py
- tests/feature/test_trace_correlation.py
- tests/feature/test_rag_stage_metrics.py
- tests/security/test_telemetry_redaction.py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src/enterprise_ai_platform/agents/graph.py — produced by W4-002;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each RAG and agent stage explainable operationally. and measurable acceptance.
2. Architecture position: RAG/agent/API events -&gt; redaction and correlation -&gt; OpenTelemetry -&gt; approved local/export destination -&gt; alerts/evidence,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flight recorder that stores instrument readings, not passengers' conversations; what goes in, happens and comes out.
7. Decisions/trade-offs: stage-level observability without prompt/document export balances diagnosis and privacy, alternatives, pros/cons, conditions to differ and consequences.
8. Security/privacy/reliability/cost: no raw content, PII, secrets or credentials leave process; exporter is explicit, failure isolation, retained resources and accepted access/cost.
9. Failure/remediation/rollback/teardown: export failure must not expose data or corrupt user flow; buffering/retry is bounded;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W4-003.</t>
  </si>
  <si>
    <t>COLUMN L — COMPLETE BOUNDED CODE EDIT APPROVAL — W4-ROLLBACK-001
APPROVED TASK CONTRACT
- Prompt and tracker steps: W4-ROLLBACK-001 / W4-11
- Business purpose: Prove release rollback separately from infrastructure rollback.
- Architecture and design: Signed local release manifests identify immutable releases N and N+1; platformctl validates and selects the previous release without conflating infrastructure rollback.
- Exact interfaces, functions and connections: validate_release_manifest, compare_releases and rollback_release return digest, configuration and health-verification plans; mutation remains owner executed.
- Exact inputs, outputs, errors and invariants: Inputs are limited to Approved local immutable releases N and N+1 and safe regression method.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Release manifest contains schema version, image digest, configuration hash, feature versions and creation evidence; mutable tags and missing hashes are rejected.
- Exact dependency and runtime API rules: Rollback planning is local and dry-run; Docker or service commands appear only in the Owner Execution Guide.
- Exact security, privacy, concurrency and operational controls: Only the verified prior digest may be selected; failed release remains blocked; cleanup removes drill-only state.
- Exact automated-test behavior: Contract tests reject mutable or mismatched manifests; feature test forces a safe regression and restores N; teardown test verifies no drill container, network, volume or state remains.
- Accepted baseline: The inspected repository contains every UPDATE path and does not contain every CREATE path. Historical results remain unchanged; future execution must revalidate content and patch anchors.
EXACT APPROVED PATH MANIFEST
CREATE:
- tests/fixtures/releases/release-n.json
- tests/fixtures/releases/release-n-plus-one.json
- tools/platformctl/release.py
- tests/contract/test_release_manifest.py
- tests/feature/test_release_rollback.py
- tests/teardown/test_w4_release_cleanliness.py
UPDATE:
- tools/platformctl/cli.py
- tools/platformctl/contracts.py
- feature-matrix.yaml
- tools/platformctl/validate.py
- tests/feature/test_feature_matrix.py
- tests/unit/test_platformctl.py
DELETE:
- None
VERIFIED IMPLEMENTED PRODUCERS / UNCHANGED CONSUMERS:
- src/enterprise_ai_platform/app.py
- docker-compose.yml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release rollback separately from infrastructure rollback.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W4-ROLLBACK-001.</t>
  </si>
  <si>
    <t>COLUMN L — COMPLETE BOUNDED CONTENT EDIT APPROVAL — W5-INPUTS-001
APPROVED TASK CONTRACT
- Prompt and tracker steps: W5-INPUTS-001 / W5-01
- Business purpose: Capture all non-secret AWS, network, tagging, residency and budget choices before Terraform work.
- Architecture position and content design: Capture non-secret AWS sandbox choices in a human-readable decision record and a Terraform variable example; neither file grants Terraform or AWS execution authority.
- Exact interfaces, functions and connections: No application function, class, API, service or infrastructure connection is changed. The exact document sections are Account and region placeholders, network identifiers, tags, budget, residency, GitHub/OIDC identifiers, Bedrock model IDs, unresolved owner decisions and explicit no-secret warnings.
- Exact inputs, outputs, errors and invariants: Inputs are limited to AWS-001, AWS-002, NET-001, TAG-001, COST-001 and PRIV-001;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or Terraform-example format; the Terraform example contains placeholders only,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infra/environments/sandbox/terraform.tfvars.example
- docs/cost-estimates/W5-inputs.md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and executable infrastructure other than the exact non-secret Terraform variable example.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Capture all non-secret AWS, network, tagging, residency and budget choices before Terraform work. and measurable acceptance.
2. Architecture position: owner-approved non-secret account/network/tag/residency/budget choices -&gt; decision record -&gt; Terraform inputs,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signed travel authorization before booking anything; what goes in, happens and comes out.
7. Decisions/trade-offs: record every cloud boundary before IaC so placeholders cannot become accidental production values, alternatives, pros/cons, conditions to differ and consequences.
8. Security/privacy/reliability/cost: no credentials in workbook/repository; least privilege, residency and budget are explicit, failure isolation, retained resources and accepted access/cost.
9. Failure/remediation/rollback/teardown: missing or conflicting input blocks Terraform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W5-INPUTS-001.</t>
  </si>
  <si>
    <t>COLUMN L — COMPLETE BOUNDED CODE EDIT APPROVAL — W5-001
APPROVED TASK CONTRACT
- Prompt and tracker steps: W5-001 / W5-02, W5-03, W5-04, W5-05
- Business purpose: Produce reviewable infrastructure without secret material.
- Architecture and design: Separate Terraform bootstrap and sandbox roots compose KMS, storage, secret metadata, IAM, OpenSearch and ECR modules; state remains isolated and removed last.
- Exact interfaces, functions and connections: Typed Terraform variables accept owner-approved account, region, network, tags and service identifiers; module outputs expose only non-secret IDs and ARNs.
- Exact inputs, outputs, errors and invariants: Inputs are limited to TODO account, region, VPC/subnets, GitHub repo, tags, Bedrock models.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no model runtime or local inference control applies.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 inspects expected plan shape; teardown test preserves bootstrap-last boundary.
- Accepted baseline: The inspected repository contains every UPDATE path and does not contain every CREATE path. Historical results remain unchanged; future execution must revalidate content and patch anchors.
EXACT APPROVED PATH MANIFEST
CREATE: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src/enterprise_ai_platform/config.py
- src/enterprise_ai_platform/retrieval/adapters/opensearch.py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</si>
  <si>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</si>
  <si>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</si>
  <si>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</si>
  <si>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</si>
  <si>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</si>
  <si>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</si>
  <si>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</si>
  <si>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</si>
  <si>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</si>
  <si>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</si>
  <si>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</si>
  <si>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</si>
  <si>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</si>
  <si>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</si>
  <si>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</si>
  <si>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</si>
  <si>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FOUR APPROVAL GATES PLUS OWNER TESTING AND WEEKLY LEARNING — TRACKER v1.3.4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CURRENT IMPLEMENTATION AND TEST BASELINE — READ-ONLY FACTS TO VERIFY
The following facts come from the latest owner-supplied W3-001 and W3-002 records. They guide Gate 1 but never replace read-only inspection of the current repository, Git state, tracker, approved evidence and owner-supplied transcripts.
W3-001 is recorded as FINAL APPROVAL AFTER OWNER TEST — APPROVED and was committed as Week 3-Cited RAG-W3-001. It implemented the provider-neutral LLM boundary, deterministic fake provider, injected/stubbed Bedrock adapter boundary, evidence-delimited prompt, cited RAG orchestration, authorization before retrieval, evidence grading, structured output validation, exact citation validation and safe abstention. Live Bedrock, paid-provider and production deployment claims remain outside that local/fake approval unless current evidence explicitly proves otherwise.
W3-001 already owns runtime behavior for weak, conflicting, malformed or unauthorized evidence; invalid generated citations; provider timeout/throttle/malformed responses; unexpected tool calls; and prompt/context redaction. W3-003 must inspect those actual producers and consumers and strengthen or compose them only where a demonstrated guardrail gap exists. It must not create a parallel RAG service, duplicate citation model, second authorization policy or inconsistent abstention/error taxonomy.
W3-002 created a deterministic offline evaluation design around 39 approved cases with canonical outcomes ANSWERED, ABSTAINED and ERROR: 24 answered, 12 abstained and 3 expected-error cases. It reuses the W3-001 RAGService, deterministic retrieval fixtures and FakeLLMProvider; it does not prove live-model semantic safety or production performance.
Security-relevant W3-002 cases include Q24–Q26 authorization denial, Q28 conflicting document versions, Q30 controlled retrieved injection with invalid generated citation, Q31 malformed evidence, Q32–Q35 missing/fabricated/version-mismatched/unauthorized generated citations, Q36 unexpected tool call, Q37 invalid generated JSON, Q38 malformed provider envelope and Q39 deterministic equal-score ordering. Gate 1 must map these cases to the actual W3-001 runtime contracts and determine which can be reused unchanged as W3-003 regression fixtures or consumers. Do not copy their logic into a second incompatible fixture system.
The latest supplied W3-002 evidence states that the bounded metric/report remediation tests PASS. Candidate evaluation then failed at command bootstrap because the direct module command could not import the src/-layout package; the runner never started, reports/eval.json was not created, repeat evaluation and baseline comparison were NOT RUN, and no baseline was promoted. The runtime-interface remediation added or proposed the repository launcher tools/evaluationctl.py. Gate 1 must verify the launcher’s actual current implementation and owner-retest status; do not assume a later PASS that has not been supplied.
No network, AWS, Bedrock, external judge/model, Docker, deployment or paid activity was reported for the W3-002 candidate failure. Cost was reported as USD 0 for that bounded attempt. Do not generalize this fact to W3-003 until its access and execution boundary is independently verified.
If current repository evidence contradicts any fact above, report the conflict and stop at Gate 1. Never silently select the tracker, conversation, code or evidence version that is most convenient.
NON-DUPLICATION AND INTEGRATION CONTRACT
Preserve the original W3-003 scope: deterministic request, authorization, prompt-injection, output, citation, refusal, schema and redaction guardrails plus adversarial security regression tests.
Reuse W3-001 domain models, authorization metadata, RAGService, LLM provider contracts, prompt boundary, citation identity and normalized error/abstention contracts. Any proposed change to a shared producer must include all W3-001 and W3-002 consumers in the impact matrix.
Treat W3-002 golden data and evaluator artifacts as downstream regression consumers and approved fixture semantics. Do not modify configs/eval/golden.jsonl, its reconciled owner inputs, evaluation thresholds, metrics, report schema, command launcher or baseline/promotion logic unless Gate 1 proves an unavoidable consumer change and the owner separately approves every exact path and contract.
If an input-size or allowed-content-type guard does not yet have a runtime entry point because W3-001 exposes no API endpoint, implement or propose it only at the existing provider-neutral request/RAG boundary. Do not create the Week 4 API early.
A replaceable Guardrails AI or Bedrock Guardrails adapter remains an interface-only, optional supplement. Its default must be disabled, fake or no-op as justified by the existing configuration contract; it must make no live call and must never replace deterministic authorization, citation, output-schema or redaction gates.
Preserve exact existing normalized reason and error values where current code and approved W3-002 cases already depend on them, including no_authorized_evidence, conflicting_evidence, malformed_evidence, invalid_generated_citation, rag_output_validation_error and llm_malformed_response_error. Do not rename or merge them without explicit producer-consumer approval.
Required negative assertions include: denied or invalid evidence never enters the provider prompt; no provider call occurs where the approved contract requires zero; no unexpected tool is executed; invalid output is not exposed; only approved normalized usage may be retained; and logs/evidence contain no prompt, question, document, retrieved chunk, generated answer, citation payload, hostile instruction, PII, secret, endpoint or raw provider exception.
W3-003 owner testing must first prove its focused deterministic guardrail and security suites, then the complete configured ordinary regression surface. After W3-003 passes, W3-002 candidate/repeat execution and any future baseline promotion remain separate owner-controlled W3-002 actions using its approved launcher and lifecycle. W3-003 must not create those reports or promote the baseline under its own authority.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DECISION REQUIRED BEFORE COLUMN L — resolve together every still-unapproved value in: Classification/tenant rules; injection fixtures. Values explicitly approved in governing records must be embedded and not re-asked.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OWNER DECISION REQUIRED — any conflict, missing owner value,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</si>
</sst>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2">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0.53846153846153844</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3"/>
      </filters>
    </filterColumn>
    <filterColumn colId="9">
      <filters>
        <filter val="W3-003"/>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003"/>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6" t="s">
        <v>0</v>
      </c>
      <c r="B1" s="56"/>
      <c r="C1" s="56"/>
      <c r="D1" s="56"/>
      <c r="E1" s="56"/>
      <c r="F1" s="56"/>
      <c r="G1" s="56"/>
      <c r="H1" s="56"/>
      <c r="I1" s="56"/>
      <c r="J1" s="56"/>
    </row>
    <row r="2" spans="1:10">
      <c r="A2" s="57" t="s">
        <v>1</v>
      </c>
      <c r="B2" s="57"/>
      <c r="C2" s="57"/>
      <c r="D2" s="57"/>
      <c r="E2" s="57"/>
      <c r="F2" s="57"/>
      <c r="G2" s="57"/>
      <c r="H2" s="57"/>
      <c r="I2" s="57"/>
      <c r="J2" s="57"/>
    </row>
    <row r="4" spans="1:10">
      <c r="A4" s="58" t="s">
        <v>2</v>
      </c>
      <c r="B4" s="59"/>
      <c r="C4" s="59"/>
      <c r="D4" s="59"/>
      <c r="E4" s="58" t="s">
        <v>3</v>
      </c>
      <c r="F4" s="59"/>
      <c r="G4" s="59"/>
      <c r="H4" s="59"/>
      <c r="I4" s="59"/>
      <c r="J4" s="60"/>
    </row>
    <row r="5" spans="1:10" ht="39.6">
      <c r="A5" s="21">
        <v>1</v>
      </c>
      <c r="B5" s="4" t="s">
        <v>4</v>
      </c>
      <c r="C5" s="4" t="s">
        <v>5</v>
      </c>
      <c r="E5" s="73" t="s">
        <v>6</v>
      </c>
      <c r="F5" s="74"/>
      <c r="G5" s="74"/>
      <c r="H5" s="74"/>
      <c r="I5" s="74"/>
      <c r="J5" s="75"/>
    </row>
    <row r="6" spans="1:10" ht="39.6">
      <c r="A6" s="21">
        <v>2</v>
      </c>
      <c r="B6" s="5" t="s">
        <v>7</v>
      </c>
      <c r="C6" s="5" t="s">
        <v>8</v>
      </c>
      <c r="E6" s="67" t="s">
        <v>9</v>
      </c>
      <c r="F6" s="68"/>
      <c r="G6" s="68"/>
      <c r="H6" s="68"/>
      <c r="I6" s="68"/>
      <c r="J6" s="69"/>
    </row>
    <row r="7" spans="1:10" ht="66">
      <c r="A7" s="21">
        <v>3</v>
      </c>
      <c r="B7" s="5" t="s">
        <v>10</v>
      </c>
      <c r="C7" s="5" t="s">
        <v>11</v>
      </c>
      <c r="E7" s="67" t="s">
        <v>12</v>
      </c>
      <c r="F7" s="68"/>
      <c r="G7" s="68"/>
      <c r="H7" s="68"/>
      <c r="I7" s="68"/>
      <c r="J7" s="69"/>
    </row>
    <row r="8" spans="1:10" ht="79.2">
      <c r="A8" s="21">
        <v>4</v>
      </c>
      <c r="B8" s="5" t="s">
        <v>13</v>
      </c>
      <c r="C8" s="5" t="s">
        <v>14</v>
      </c>
      <c r="E8" s="67" t="s">
        <v>15</v>
      </c>
      <c r="F8" s="68"/>
      <c r="G8" s="68"/>
      <c r="H8" s="68"/>
      <c r="I8" s="68"/>
      <c r="J8" s="69"/>
    </row>
    <row r="9" spans="1:10" ht="66">
      <c r="A9" s="21">
        <v>5</v>
      </c>
      <c r="B9" s="5" t="s">
        <v>16</v>
      </c>
      <c r="C9" s="5" t="s">
        <v>17</v>
      </c>
      <c r="E9" s="67" t="s">
        <v>18</v>
      </c>
      <c r="F9" s="68"/>
      <c r="G9" s="68"/>
      <c r="H9" s="68"/>
      <c r="I9" s="68"/>
      <c r="J9" s="69"/>
    </row>
    <row r="10" spans="1:10" ht="79.2">
      <c r="A10" s="21">
        <v>6</v>
      </c>
      <c r="B10" s="5" t="s">
        <v>19</v>
      </c>
      <c r="C10" s="5" t="s">
        <v>20</v>
      </c>
      <c r="E10" s="67" t="s">
        <v>21</v>
      </c>
      <c r="F10" s="68"/>
      <c r="G10" s="68"/>
      <c r="H10" s="68"/>
      <c r="I10" s="68"/>
      <c r="J10" s="69"/>
    </row>
    <row r="11" spans="1:10" ht="92.4">
      <c r="A11" s="21">
        <v>7</v>
      </c>
      <c r="B11" s="5" t="s">
        <v>22</v>
      </c>
      <c r="C11" s="5" t="s">
        <v>23</v>
      </c>
      <c r="E11" s="70" t="s">
        <v>24</v>
      </c>
      <c r="F11" s="71"/>
      <c r="G11" s="71"/>
      <c r="H11" s="71"/>
      <c r="I11" s="71"/>
      <c r="J11" s="72"/>
    </row>
    <row r="12" spans="1:10" ht="66">
      <c r="A12" s="21">
        <v>8</v>
      </c>
      <c r="B12" s="5" t="s">
        <v>25</v>
      </c>
      <c r="C12" s="5" t="s">
        <v>26</v>
      </c>
      <c r="E12" t="s">
        <v>27</v>
      </c>
    </row>
    <row r="13" spans="1:10" ht="66">
      <c r="A13" s="21">
        <v>9</v>
      </c>
      <c r="B13" s="5" t="s">
        <v>28</v>
      </c>
      <c r="C13" s="5" t="s">
        <v>29</v>
      </c>
      <c r="E13" s="58" t="s">
        <v>30</v>
      </c>
      <c r="F13" s="59"/>
      <c r="G13" s="59"/>
      <c r="H13" s="59"/>
      <c r="I13" s="59"/>
      <c r="J13" s="60"/>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61" t="s">
        <v>42</v>
      </c>
      <c r="B19" s="62"/>
      <c r="C19" s="62"/>
      <c r="D19" s="62"/>
      <c r="E19" s="62"/>
      <c r="F19" s="62"/>
      <c r="G19" s="62"/>
      <c r="H19" s="62"/>
      <c r="I19" s="62"/>
      <c r="J19" s="63"/>
    </row>
    <row r="20" spans="1:10">
      <c r="A20" s="64"/>
      <c r="B20" s="65"/>
      <c r="C20" s="65"/>
      <c r="D20" s="65"/>
      <c r="E20" s="65"/>
      <c r="F20" s="65"/>
      <c r="G20" s="65"/>
      <c r="H20" s="65"/>
      <c r="I20" s="65"/>
      <c r="J20" s="66"/>
    </row>
  </sheetData>
  <mergeCells count="12">
    <mergeCell ref="A1:J1"/>
    <mergeCell ref="A2:J2"/>
    <mergeCell ref="A4:J4"/>
    <mergeCell ref="E5:J5"/>
    <mergeCell ref="E6:J6"/>
    <mergeCell ref="E13:J13"/>
    <mergeCell ref="A19:J20"/>
    <mergeCell ref="E7:J7"/>
    <mergeCell ref="E8:J8"/>
    <mergeCell ref="E9:J9"/>
    <mergeCell ref="E10:J10"/>
    <mergeCell ref="E11:J11"/>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6" t="s">
        <v>43</v>
      </c>
      <c r="B1" s="56"/>
      <c r="C1" s="56"/>
      <c r="D1" s="56"/>
      <c r="E1" s="56"/>
      <c r="F1" s="56"/>
      <c r="G1" s="56"/>
      <c r="H1" s="56"/>
      <c r="I1" s="56"/>
      <c r="J1" s="56"/>
      <c r="K1" s="56"/>
      <c r="L1" s="56"/>
      <c r="M1" s="56"/>
      <c r="N1" s="56"/>
      <c r="O1" s="56"/>
      <c r="P1" s="56"/>
    </row>
    <row r="2" spans="1:16" ht="31.95" customHeight="1">
      <c r="A2" s="57" t="s">
        <v>44</v>
      </c>
      <c r="B2" s="57"/>
      <c r="C2" s="57"/>
      <c r="D2" s="57"/>
      <c r="E2" s="57"/>
      <c r="F2" s="57"/>
      <c r="G2" s="57"/>
      <c r="H2" s="57"/>
      <c r="I2" s="57"/>
      <c r="J2" s="57"/>
      <c r="K2" s="57"/>
      <c r="L2" s="57"/>
      <c r="M2" s="57"/>
      <c r="N2" s="57"/>
      <c r="O2" s="57"/>
      <c r="P2" s="57"/>
    </row>
    <row r="4" spans="1:16">
      <c r="A4" s="82" t="s">
        <v>45</v>
      </c>
      <c r="B4" s="82"/>
      <c r="D4" s="82" t="s">
        <v>46</v>
      </c>
      <c r="E4" s="82"/>
      <c r="G4" s="82" t="s">
        <v>47</v>
      </c>
      <c r="H4" s="82"/>
      <c r="J4" s="82" t="s">
        <v>48</v>
      </c>
      <c r="K4" s="82"/>
    </row>
    <row r="5" spans="1:16">
      <c r="A5" s="83">
        <f>COUNTA('02 Master Plan'!$A$6:$A$120)</f>
        <v>80</v>
      </c>
      <c r="B5" s="84"/>
      <c r="D5" s="83">
        <f>COUNTIF('02 Master Plan'!$S$6:$S$120,"Done")</f>
        <v>33</v>
      </c>
      <c r="E5" s="84"/>
      <c r="G5" s="90">
        <f>IF(A5=0,0,D5/A5)</f>
        <v>0.41249999999999998</v>
      </c>
      <c r="H5" s="91"/>
      <c r="J5" s="83">
        <f>COUNTIF('02 Master Plan'!$S$6:$S$120,"Blocked")</f>
        <v>0</v>
      </c>
      <c r="K5" s="84"/>
    </row>
    <row r="6" spans="1:16">
      <c r="A6" s="85"/>
      <c r="B6" s="86"/>
      <c r="D6" s="85"/>
      <c r="E6" s="86"/>
      <c r="G6" s="92"/>
      <c r="H6" s="93"/>
      <c r="J6" s="85"/>
      <c r="K6" s="86"/>
    </row>
    <row r="7" spans="1:16">
      <c r="A7" s="82" t="s">
        <v>49</v>
      </c>
      <c r="B7" s="82"/>
      <c r="D7" s="82" t="s">
        <v>50</v>
      </c>
      <c r="E7" s="82"/>
      <c r="G7" s="82" t="s">
        <v>51</v>
      </c>
      <c r="H7" s="82"/>
      <c r="J7" s="82" t="s">
        <v>52</v>
      </c>
      <c r="K7" s="82"/>
    </row>
    <row r="8" spans="1:16">
      <c r="A8" s="83">
        <f>COUNTIFS('13 Owner TODOs'!$F$6:$F$80,"&lt;&gt;Done",'13 Owner TODOs'!$A$6:$A$80,"&lt;&gt;")</f>
        <v>14</v>
      </c>
      <c r="B8" s="84"/>
      <c r="D8" s="83">
        <f>COUNTIF('11 Test Evidence'!$H$6:$H$80,"Pass")</f>
        <v>6</v>
      </c>
      <c r="E8" s="84"/>
      <c r="G8" s="83">
        <f>COUNTIF('12 Decision Log'!$C$6:$C$60,"Baseline Approved")+COUNTIF('12 Decision Log'!$C$6:$C$60,"Approved")</f>
        <v>18</v>
      </c>
      <c r="H8" s="84"/>
      <c r="J8" s="83">
        <f>COUNTIFS('11 Test Evidence'!$C$6:$C$80,"Teardown",'11 Test Evidence'!$H$6:$H$80,"Pass")</f>
        <v>1</v>
      </c>
      <c r="K8" s="84"/>
    </row>
    <row r="9" spans="1:16">
      <c r="A9" s="85"/>
      <c r="B9" s="86"/>
      <c r="D9" s="85"/>
      <c r="E9" s="86"/>
      <c r="G9" s="85"/>
      <c r="H9" s="86"/>
      <c r="J9" s="85"/>
      <c r="K9" s="86"/>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7</v>
      </c>
      <c r="D15" s="13">
        <f t="shared" si="0"/>
        <v>0.53846153846153844</v>
      </c>
      <c r="E15" s="11">
        <f>COUNTIFS('02 Master Plan'!$B$6:$B$120,A15,'02 Master Plan'!$S$6:$S$120,"Blocked")</f>
        <v>0</v>
      </c>
      <c r="G15" t="str">
        <f t="shared" si="1"/>
        <v>Week 3</v>
      </c>
      <c r="H15" s="14">
        <f t="shared" si="2"/>
        <v>0.53846153846153844</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58" t="s">
        <v>61</v>
      </c>
      <c r="B21" s="59"/>
      <c r="C21" s="59"/>
      <c r="D21" s="59"/>
      <c r="E21" s="59"/>
      <c r="F21" s="59"/>
      <c r="G21" s="59"/>
      <c r="H21" s="60"/>
    </row>
    <row r="22" spans="1:8" ht="30" customHeight="1">
      <c r="A22" s="87" t="s">
        <v>62</v>
      </c>
      <c r="B22" s="88"/>
      <c r="C22" s="88"/>
      <c r="D22" s="88"/>
      <c r="E22" s="88"/>
      <c r="F22" s="88"/>
      <c r="G22" s="88"/>
      <c r="H22" s="89"/>
    </row>
    <row r="23" spans="1:8" ht="30" customHeight="1">
      <c r="A23" s="76" t="s">
        <v>63</v>
      </c>
      <c r="B23" s="77"/>
      <c r="C23" s="77"/>
      <c r="D23" s="77"/>
      <c r="E23" s="77"/>
      <c r="F23" s="77"/>
      <c r="G23" s="77"/>
      <c r="H23" s="78"/>
    </row>
    <row r="24" spans="1:8" ht="30" customHeight="1">
      <c r="A24" s="76" t="s">
        <v>64</v>
      </c>
      <c r="B24" s="77"/>
      <c r="C24" s="77"/>
      <c r="D24" s="77"/>
      <c r="E24" s="77"/>
      <c r="F24" s="77"/>
      <c r="G24" s="77"/>
      <c r="H24" s="78"/>
    </row>
    <row r="25" spans="1:8" ht="30" customHeight="1">
      <c r="A25" s="76" t="s">
        <v>65</v>
      </c>
      <c r="B25" s="77"/>
      <c r="C25" s="77"/>
      <c r="D25" s="77"/>
      <c r="E25" s="77"/>
      <c r="F25" s="77"/>
      <c r="G25" s="77"/>
      <c r="H25" s="78"/>
    </row>
    <row r="26" spans="1:8" ht="30" customHeight="1">
      <c r="A26" s="79" t="s">
        <v>66</v>
      </c>
      <c r="B26" s="80"/>
      <c r="C26" s="80"/>
      <c r="D26" s="80"/>
      <c r="E26" s="80"/>
      <c r="F26" s="80"/>
      <c r="G26" s="80"/>
      <c r="H26" s="81"/>
    </row>
  </sheetData>
  <mergeCells count="24">
    <mergeCell ref="A1:P1"/>
    <mergeCell ref="A2:P2"/>
    <mergeCell ref="A4:B4"/>
    <mergeCell ref="A5:B6"/>
    <mergeCell ref="D4:E4"/>
    <mergeCell ref="D5:E6"/>
    <mergeCell ref="G4:H4"/>
    <mergeCell ref="G5:H6"/>
    <mergeCell ref="J4:K4"/>
    <mergeCell ref="J5:K6"/>
    <mergeCell ref="A24:H24"/>
    <mergeCell ref="A25:H25"/>
    <mergeCell ref="A26:H26"/>
    <mergeCell ref="J7:K7"/>
    <mergeCell ref="J8:K9"/>
    <mergeCell ref="A21:H21"/>
    <mergeCell ref="A22:H22"/>
    <mergeCell ref="A23:H23"/>
    <mergeCell ref="A7:B7"/>
    <mergeCell ref="A8:B9"/>
    <mergeCell ref="D7:E7"/>
    <mergeCell ref="D8:E9"/>
    <mergeCell ref="G7:H7"/>
    <mergeCell ref="G8:H9"/>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workbookViewId="0">
      <selection activeCell="S41" sqref="S4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customWidth="1"/>
  </cols>
  <sheetData>
    <row r="1" spans="1:21" ht="31.95" customHeight="1">
      <c r="A1" s="56" t="s">
        <v>67</v>
      </c>
      <c r="B1" s="56"/>
      <c r="C1" s="56"/>
      <c r="D1" s="56"/>
      <c r="E1" s="56"/>
      <c r="F1" s="56"/>
      <c r="G1" s="56"/>
      <c r="H1" s="56"/>
      <c r="I1" s="56"/>
      <c r="J1" s="56"/>
      <c r="K1" s="56"/>
      <c r="L1" s="56"/>
      <c r="M1" s="56"/>
      <c r="N1" s="56"/>
      <c r="O1" s="56"/>
      <c r="P1" s="56"/>
      <c r="Q1" s="56"/>
      <c r="R1" s="56"/>
      <c r="S1" s="56"/>
      <c r="T1" s="56"/>
    </row>
    <row r="2" spans="1:21" ht="31.95" customHeight="1">
      <c r="A2" s="57" t="s">
        <v>68</v>
      </c>
      <c r="B2" s="57"/>
      <c r="C2" s="57"/>
      <c r="D2" s="57"/>
      <c r="E2" s="57"/>
      <c r="F2" s="57"/>
      <c r="G2" s="57"/>
      <c r="H2" s="57"/>
      <c r="I2" s="57"/>
      <c r="J2" s="57"/>
      <c r="K2" s="57"/>
      <c r="L2" s="57"/>
      <c r="M2" s="57"/>
      <c r="N2" s="57"/>
      <c r="O2" s="57"/>
      <c r="P2" s="57"/>
      <c r="Q2" s="57"/>
      <c r="R2" s="57"/>
      <c r="S2" s="57"/>
      <c r="T2" s="57"/>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9"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9"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9"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9"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9"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9"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9"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9"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9"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9"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9"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9"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9"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9" t="s">
        <v>248</v>
      </c>
    </row>
    <row r="19" spans="1:21" ht="110.4" hidden="1">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9" t="s">
        <v>260</v>
      </c>
    </row>
    <row r="20" spans="1:21" ht="110.4" hidden="1">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9" t="s">
        <v>271</v>
      </c>
    </row>
    <row r="21" spans="1:21" ht="330.6" hidden="1">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9" t="s">
        <v>280</v>
      </c>
    </row>
    <row r="22" spans="1:21" ht="330.6" hidden="1">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9" t="s">
        <v>291</v>
      </c>
    </row>
    <row r="23" spans="1:21" ht="110.4" hidden="1">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9" t="s">
        <v>304</v>
      </c>
    </row>
    <row r="24" spans="1:21" ht="110.4" hidden="1">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9" t="s">
        <v>317</v>
      </c>
    </row>
    <row r="25" spans="1:21" ht="96.6" hidden="1">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9" t="s">
        <v>329</v>
      </c>
    </row>
    <row r="26" spans="1:21" ht="110.4" hidden="1">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9" t="s">
        <v>340</v>
      </c>
    </row>
    <row r="27" spans="1:21" ht="205.2" hidden="1">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46</v>
      </c>
      <c r="T27" s="11"/>
      <c r="U27" s="29" t="s">
        <v>353</v>
      </c>
    </row>
    <row r="28" spans="1:21" ht="205.2" hidden="1">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46</v>
      </c>
      <c r="T28" s="11"/>
      <c r="U28" s="29" t="s">
        <v>363</v>
      </c>
    </row>
    <row r="29" spans="1:21" ht="110.4" hidden="1">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46</v>
      </c>
      <c r="T29" s="11"/>
      <c r="U29" s="29" t="s">
        <v>375</v>
      </c>
    </row>
    <row r="30" spans="1:21" ht="193.8" hidden="1">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46</v>
      </c>
      <c r="T30" s="11"/>
      <c r="U30" s="29" t="s">
        <v>385</v>
      </c>
    </row>
    <row r="31" spans="1:21" ht="69" hidden="1">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46</v>
      </c>
      <c r="T31" s="11" t="s">
        <v>391</v>
      </c>
      <c r="U31" s="29" t="s">
        <v>392</v>
      </c>
    </row>
    <row r="32" spans="1:21" ht="110.4" hidden="1">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46</v>
      </c>
      <c r="T32" s="11"/>
      <c r="U32" s="29" t="s">
        <v>405</v>
      </c>
    </row>
    <row r="33" spans="1:21" ht="110.4" hidden="1">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46</v>
      </c>
      <c r="T33" s="11"/>
      <c r="U33" s="29" t="s">
        <v>417</v>
      </c>
    </row>
    <row r="34" spans="1:21" ht="96.6" hidden="1">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46</v>
      </c>
      <c r="T34" s="11"/>
      <c r="U34" s="29" t="s">
        <v>428</v>
      </c>
    </row>
    <row r="35" spans="1:21" ht="110.4" hidden="1">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46</v>
      </c>
      <c r="T35" s="11"/>
      <c r="U35" s="29" t="s">
        <v>440</v>
      </c>
    </row>
    <row r="36" spans="1:21" ht="110.4">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303</v>
      </c>
      <c r="T36" s="11"/>
      <c r="U36" s="29" t="s">
        <v>452</v>
      </c>
    </row>
    <row r="37" spans="1:21" ht="110.4" hidden="1">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46</v>
      </c>
      <c r="T37" s="11"/>
      <c r="U37" s="29" t="s">
        <v>464</v>
      </c>
    </row>
    <row r="38" spans="1:21" ht="110.4" hidden="1">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46</v>
      </c>
      <c r="T38" s="11"/>
      <c r="U38" s="29" t="s">
        <v>475</v>
      </c>
    </row>
    <row r="39" spans="1:21" ht="110.4">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303</v>
      </c>
      <c r="T39" s="11"/>
      <c r="U39" s="29" t="s">
        <v>485</v>
      </c>
    </row>
    <row r="40" spans="1:21" ht="110.4" hidden="1">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303</v>
      </c>
      <c r="T40" s="11"/>
      <c r="U40" s="29" t="s">
        <v>498</v>
      </c>
    </row>
    <row r="41" spans="1:21" ht="110.4" hidden="1">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46</v>
      </c>
      <c r="T41" s="11"/>
      <c r="U41" s="29" t="s">
        <v>509</v>
      </c>
    </row>
    <row r="42" spans="1:21" ht="193.8" hidden="1">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303</v>
      </c>
      <c r="T42" s="11"/>
      <c r="U42" s="29" t="s">
        <v>520</v>
      </c>
    </row>
    <row r="43" spans="1:21" ht="193.8" hidden="1">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303</v>
      </c>
      <c r="T43" s="11"/>
      <c r="U43" s="29" t="s">
        <v>530</v>
      </c>
    </row>
    <row r="44" spans="1:21" ht="69" hidden="1">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303</v>
      </c>
      <c r="T44" s="11" t="s">
        <v>537</v>
      </c>
      <c r="U44" s="29"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9"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9"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9"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9"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9"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9"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9"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9"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9"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9"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9"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9"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9"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9"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9"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9"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9"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9"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9"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9"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9"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9"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9"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9"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9"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9"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9"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9"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9"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9"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9"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9"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9"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9"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9"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9"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9"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9"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9"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9"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9"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A2"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990</v>
      </c>
      <c r="B1" s="56"/>
      <c r="C1" s="56"/>
      <c r="D1" s="56"/>
      <c r="E1" s="56"/>
      <c r="F1" s="56"/>
      <c r="G1" s="56"/>
      <c r="H1" s="56"/>
      <c r="I1" s="56"/>
      <c r="J1" s="56"/>
      <c r="K1" s="56"/>
      <c r="L1" s="56"/>
      <c r="M1" s="56"/>
      <c r="N1" s="56"/>
      <c r="O1" s="56"/>
    </row>
    <row r="2" spans="1:16" ht="31.95" customHeight="1">
      <c r="A2" s="57" t="s">
        <v>991</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0.56521739130434778</v>
      </c>
      <c r="B5" s="97"/>
      <c r="D5" s="100">
        <f>COUNTIF(O10:O40,"Blocked")</f>
        <v>0</v>
      </c>
      <c r="E5" s="101"/>
      <c r="G5" s="104" t="s">
        <v>993</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1043</v>
      </c>
      <c r="B1" s="56"/>
      <c r="C1" s="56"/>
      <c r="D1" s="56"/>
      <c r="E1" s="56"/>
      <c r="F1" s="56"/>
      <c r="G1" s="56"/>
      <c r="H1" s="56"/>
      <c r="I1" s="56"/>
      <c r="J1" s="56"/>
      <c r="K1" s="56"/>
      <c r="L1" s="56"/>
      <c r="M1" s="56"/>
      <c r="N1" s="56"/>
      <c r="O1" s="56"/>
    </row>
    <row r="2" spans="1:16" ht="31.95" customHeight="1">
      <c r="A2" s="57" t="s">
        <v>1044</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0.59090909090909094</v>
      </c>
      <c r="B5" s="97"/>
      <c r="D5" s="100">
        <f>COUNTIF(O10:O40,"Blocked")</f>
        <v>0</v>
      </c>
      <c r="E5" s="101"/>
      <c r="G5" s="104" t="s">
        <v>1045</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s="11" t="s">
        <v>46</v>
      </c>
      <c r="P22" s="29" t="s">
        <v>392</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topLeftCell="K4" workbookViewId="0">
      <selection activeCell="O19" sqref="O19"/>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1068</v>
      </c>
      <c r="B1" s="56"/>
      <c r="C1" s="56"/>
      <c r="D1" s="56"/>
      <c r="E1" s="56"/>
      <c r="F1" s="56"/>
      <c r="G1" s="56"/>
      <c r="H1" s="56"/>
      <c r="I1" s="56"/>
      <c r="J1" s="56"/>
      <c r="K1" s="56"/>
      <c r="L1" s="56"/>
      <c r="M1" s="56"/>
      <c r="N1" s="56"/>
      <c r="O1" s="56"/>
    </row>
    <row r="2" spans="1:16" ht="31.95" customHeight="1">
      <c r="A2" s="57" t="s">
        <v>1069</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0.33333333333333331</v>
      </c>
      <c r="B5" s="97"/>
      <c r="D5" s="100">
        <f>COUNTIF(O10:O40,"Blocked")</f>
        <v>0</v>
      </c>
      <c r="E5" s="101"/>
      <c r="G5" s="104" t="s">
        <v>1070</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hidden="1">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46</v>
      </c>
      <c r="P10" s="29" t="s">
        <v>405</v>
      </c>
    </row>
    <row r="11" spans="1:16" ht="110.4" hidden="1">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46</v>
      </c>
      <c r="P11" s="29" t="s">
        <v>417</v>
      </c>
    </row>
    <row r="12" spans="1:16" ht="110.4" hidden="1">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46</v>
      </c>
      <c r="P12" s="29" t="s">
        <v>428</v>
      </c>
    </row>
    <row r="13" spans="1:16" ht="110.4" hidden="1">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46</v>
      </c>
      <c r="P13" s="29" t="s">
        <v>440</v>
      </c>
    </row>
    <row r="14" spans="1:16" ht="110.4">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303</v>
      </c>
      <c r="P14" s="29" t="s">
        <v>452</v>
      </c>
    </row>
    <row r="15" spans="1:16" ht="110.4" hidden="1">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46</v>
      </c>
      <c r="P15" s="29" t="s">
        <v>464</v>
      </c>
    </row>
    <row r="16" spans="1:16" ht="110.4" hidden="1">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46</v>
      </c>
      <c r="P16" s="29" t="s">
        <v>475</v>
      </c>
    </row>
    <row r="17" spans="1:16" ht="110.4">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303</v>
      </c>
      <c r="P17" s="29" t="s">
        <v>485</v>
      </c>
    </row>
    <row r="18" spans="1:16" ht="110.4" hidden="1">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303</v>
      </c>
      <c r="P18" s="29" t="s">
        <v>498</v>
      </c>
    </row>
    <row r="19" spans="1:16" ht="110.4" hidden="1">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46</v>
      </c>
      <c r="P19" s="29" t="s">
        <v>509</v>
      </c>
    </row>
    <row r="20" spans="1:16" ht="193.8" hidden="1">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303</v>
      </c>
      <c r="P20" s="29" t="s">
        <v>520</v>
      </c>
    </row>
    <row r="21" spans="1:16" ht="193.8" hidden="1">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303</v>
      </c>
      <c r="P21" s="29" t="s">
        <v>530</v>
      </c>
    </row>
    <row r="22" spans="1:16" ht="82.8" hidden="1">
      <c r="A22" t="s">
        <v>531</v>
      </c>
      <c r="B22">
        <v>13</v>
      </c>
      <c r="C22" t="s">
        <v>89</v>
      </c>
      <c r="D22" t="s">
        <v>238</v>
      </c>
      <c r="E22" t="s">
        <v>532</v>
      </c>
      <c r="F22" t="s">
        <v>533</v>
      </c>
      <c r="G22" t="s">
        <v>109</v>
      </c>
      <c r="H22">
        <v>1</v>
      </c>
      <c r="I22" t="s">
        <v>241</v>
      </c>
      <c r="J22" t="s">
        <v>101</v>
      </c>
      <c r="K22" t="s">
        <v>534</v>
      </c>
      <c r="L22" t="s">
        <v>2316</v>
      </c>
      <c r="M22" t="s">
        <v>535</v>
      </c>
      <c r="N22" t="s">
        <v>246</v>
      </c>
      <c r="O22" t="s">
        <v>303</v>
      </c>
      <c r="P22" s="29" t="s">
        <v>538</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1"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1089</v>
      </c>
      <c r="B1" s="56"/>
      <c r="C1" s="56"/>
      <c r="D1" s="56"/>
      <c r="E1" s="56"/>
      <c r="F1" s="56"/>
      <c r="G1" s="56"/>
      <c r="H1" s="56"/>
      <c r="I1" s="56"/>
      <c r="J1" s="56"/>
      <c r="K1" s="56"/>
      <c r="L1" s="56"/>
      <c r="M1" s="56"/>
      <c r="N1" s="56"/>
      <c r="O1" s="56"/>
    </row>
    <row r="2" spans="1:16" ht="31.95" customHeight="1">
      <c r="A2" s="57" t="s">
        <v>1090</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1091</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1110</v>
      </c>
      <c r="B1" s="56"/>
      <c r="C1" s="56"/>
      <c r="D1" s="56"/>
      <c r="E1" s="56"/>
      <c r="F1" s="56"/>
      <c r="G1" s="56"/>
      <c r="H1" s="56"/>
      <c r="I1" s="56"/>
      <c r="J1" s="56"/>
      <c r="K1" s="56"/>
      <c r="L1" s="56"/>
      <c r="M1" s="56"/>
      <c r="N1" s="56"/>
      <c r="O1" s="56"/>
    </row>
    <row r="2" spans="1:16" ht="31.95" customHeight="1">
      <c r="A2" s="57" t="s">
        <v>1111</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1112</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0"/>
      <c r="B24" s="110"/>
      <c r="C24" s="110"/>
      <c r="D24" s="110"/>
      <c r="E24" s="110"/>
      <c r="F24" s="110"/>
      <c r="G24" s="110"/>
      <c r="H24" s="95"/>
      <c r="I24" s="95"/>
      <c r="J24" s="95"/>
      <c r="K24" s="95"/>
      <c r="L24" s="95"/>
      <c r="M24" s="95"/>
      <c r="N24" s="95"/>
      <c r="O24" s="95"/>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1135</v>
      </c>
      <c r="B1" s="56"/>
      <c r="C1" s="56"/>
      <c r="D1" s="56"/>
      <c r="E1" s="56"/>
      <c r="F1" s="56"/>
      <c r="G1" s="56"/>
      <c r="H1" s="56"/>
      <c r="I1" s="56"/>
      <c r="J1" s="56"/>
      <c r="K1" s="56"/>
      <c r="L1" s="56"/>
      <c r="M1" s="56"/>
      <c r="N1" s="56"/>
      <c r="O1" s="56"/>
    </row>
    <row r="2" spans="1:16" ht="31.95" customHeight="1">
      <c r="A2" s="57" t="s">
        <v>1136</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1137</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0"/>
      <c r="B24" s="110"/>
      <c r="C24" s="110"/>
      <c r="D24" s="110"/>
      <c r="E24" s="110"/>
      <c r="F24" s="110"/>
      <c r="G24" s="110"/>
      <c r="H24" s="95"/>
      <c r="I24" s="95"/>
      <c r="J24" s="95"/>
      <c r="K24" s="95"/>
      <c r="L24" s="95"/>
      <c r="M24" s="95"/>
      <c r="N24" s="95"/>
      <c r="O24" s="95"/>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tabSelected="1" topLeftCell="C4" workbookViewId="0">
      <selection sqref="A1:H1"/>
    </sheetView>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6" t="s">
        <v>1152</v>
      </c>
      <c r="B1" s="56"/>
      <c r="C1" s="56"/>
      <c r="D1" s="56"/>
      <c r="E1" s="56"/>
      <c r="F1" s="56"/>
      <c r="G1" s="56"/>
      <c r="H1" s="56"/>
    </row>
    <row r="2" spans="1:8" ht="31.95" customHeight="1">
      <c r="A2" s="57" t="s">
        <v>1153</v>
      </c>
      <c r="B2" s="57"/>
      <c r="C2" s="57"/>
      <c r="D2" s="57"/>
      <c r="E2" s="57"/>
      <c r="F2" s="57"/>
      <c r="G2" s="57"/>
      <c r="H2" s="57"/>
    </row>
    <row r="4" spans="1:8" ht="46.05" customHeight="1">
      <c r="A4" s="111" t="s">
        <v>1154</v>
      </c>
      <c r="B4" s="112"/>
      <c r="C4" s="112"/>
      <c r="D4" s="112"/>
      <c r="E4" s="112"/>
      <c r="F4" s="112"/>
      <c r="G4" s="112"/>
      <c r="H4" s="113"/>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opLeftCell="E22" workbookViewId="0">
      <selection activeCell="G22" sqref="G22"/>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14" t="s">
        <v>1272</v>
      </c>
      <c r="B1" s="114"/>
      <c r="C1" s="114"/>
      <c r="D1" s="114"/>
      <c r="E1" s="114"/>
      <c r="F1" s="114"/>
      <c r="G1" s="114"/>
      <c r="H1" s="114"/>
      <c r="I1" s="114"/>
      <c r="J1" s="114"/>
      <c r="K1" s="51"/>
      <c r="L1" s="51"/>
      <c r="M1" s="54"/>
      <c r="N1" s="54"/>
    </row>
    <row r="2" spans="1:14">
      <c r="A2" s="115" t="s">
        <v>1273</v>
      </c>
      <c r="B2" s="115"/>
      <c r="C2" s="115"/>
      <c r="D2" s="115"/>
      <c r="E2" s="115"/>
      <c r="F2" s="115"/>
      <c r="G2" s="115"/>
      <c r="H2" s="115"/>
      <c r="I2" s="115"/>
      <c r="J2" s="115"/>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2580</v>
      </c>
      <c r="M18" s="23" t="s">
        <v>2435</v>
      </c>
      <c r="N18" s="22" t="s">
        <v>2436</v>
      </c>
    </row>
    <row r="19" spans="1:14" ht="409.6">
      <c r="A19" s="22" t="s">
        <v>369</v>
      </c>
      <c r="B19" s="22" t="s">
        <v>37</v>
      </c>
      <c r="C19" s="22" t="s">
        <v>1062</v>
      </c>
      <c r="D19" s="22" t="s">
        <v>1063</v>
      </c>
      <c r="E19" s="22" t="s">
        <v>1064</v>
      </c>
      <c r="F19" s="22" t="s">
        <v>2437</v>
      </c>
      <c r="G19" s="22" t="s">
        <v>2438</v>
      </c>
      <c r="H19" s="22" t="s">
        <v>2439</v>
      </c>
      <c r="I19" s="22" t="s">
        <v>2440</v>
      </c>
      <c r="J19" s="22" t="s">
        <v>2441</v>
      </c>
      <c r="K19" s="22" t="s">
        <v>364</v>
      </c>
      <c r="L19" s="22" t="s">
        <v>2579</v>
      </c>
      <c r="M19" s="22" t="s">
        <v>2442</v>
      </c>
      <c r="N19" s="55" t="s">
        <v>2312</v>
      </c>
    </row>
    <row r="20" spans="1:14" ht="409.6">
      <c r="A20" s="23" t="s">
        <v>397</v>
      </c>
      <c r="B20" s="23" t="s">
        <v>57</v>
      </c>
      <c r="C20" s="23" t="s">
        <v>1071</v>
      </c>
      <c r="D20" s="23" t="s">
        <v>1072</v>
      </c>
      <c r="E20" s="23" t="s">
        <v>1073</v>
      </c>
      <c r="F20" s="23" t="s">
        <v>2388</v>
      </c>
      <c r="G20" s="23" t="s">
        <v>2583</v>
      </c>
      <c r="H20" s="23" t="s">
        <v>2390</v>
      </c>
      <c r="I20" s="23" t="s">
        <v>2443</v>
      </c>
      <c r="J20" s="23" t="s">
        <v>2379</v>
      </c>
      <c r="K20" s="23" t="s">
        <v>2444</v>
      </c>
      <c r="L20" s="23" t="s">
        <v>2582</v>
      </c>
      <c r="M20" s="23" t="s">
        <v>2300</v>
      </c>
      <c r="N20" s="22" t="s">
        <v>2445</v>
      </c>
    </row>
    <row r="21" spans="1:14" ht="409.6">
      <c r="A21" s="22" t="s">
        <v>457</v>
      </c>
      <c r="B21" s="22" t="s">
        <v>57</v>
      </c>
      <c r="C21" s="22" t="s">
        <v>1075</v>
      </c>
      <c r="D21" s="22" t="s">
        <v>1076</v>
      </c>
      <c r="E21" s="22" t="s">
        <v>1077</v>
      </c>
      <c r="F21" s="22" t="s">
        <v>2388</v>
      </c>
      <c r="G21" s="22" t="s">
        <v>2584</v>
      </c>
      <c r="H21" s="22" t="s">
        <v>2390</v>
      </c>
      <c r="I21" s="22" t="s">
        <v>2446</v>
      </c>
      <c r="J21" s="22" t="s">
        <v>2379</v>
      </c>
      <c r="K21" s="22" t="s">
        <v>2447</v>
      </c>
      <c r="L21" s="22" t="s">
        <v>2608</v>
      </c>
      <c r="M21" s="22" t="s">
        <v>2301</v>
      </c>
      <c r="N21" s="55" t="s">
        <v>2448</v>
      </c>
    </row>
    <row r="22" spans="1:14" ht="409.6">
      <c r="A22" s="23" t="s">
        <v>445</v>
      </c>
      <c r="B22" s="23" t="s">
        <v>57</v>
      </c>
      <c r="C22" s="23" t="s">
        <v>1079</v>
      </c>
      <c r="D22" s="23" t="s">
        <v>1080</v>
      </c>
      <c r="E22" s="23" t="s">
        <v>1081</v>
      </c>
      <c r="F22" s="23" t="s">
        <v>2388</v>
      </c>
      <c r="G22" s="23" t="s">
        <v>2609</v>
      </c>
      <c r="H22" s="23" t="s">
        <v>2390</v>
      </c>
      <c r="I22" s="23" t="s">
        <v>2449</v>
      </c>
      <c r="J22" s="23" t="s">
        <v>2379</v>
      </c>
      <c r="K22" s="23" t="s">
        <v>2450</v>
      </c>
      <c r="L22" s="23" t="s">
        <v>2585</v>
      </c>
      <c r="M22" s="23" t="s">
        <v>2451</v>
      </c>
      <c r="N22" s="22" t="s">
        <v>2452</v>
      </c>
    </row>
    <row r="23" spans="1:14" ht="409.6">
      <c r="A23" s="22" t="s">
        <v>514</v>
      </c>
      <c r="B23" s="22" t="s">
        <v>57</v>
      </c>
      <c r="C23" s="22" t="s">
        <v>1083</v>
      </c>
      <c r="D23" s="22" t="s">
        <v>1084</v>
      </c>
      <c r="E23" s="22" t="s">
        <v>1085</v>
      </c>
      <c r="F23" s="22" t="s">
        <v>2388</v>
      </c>
      <c r="G23" s="22" t="s">
        <v>2453</v>
      </c>
      <c r="H23" s="22" t="s">
        <v>2390</v>
      </c>
      <c r="I23" s="22" t="s">
        <v>2454</v>
      </c>
      <c r="J23" s="22" t="s">
        <v>2379</v>
      </c>
      <c r="K23" s="22" t="s">
        <v>510</v>
      </c>
      <c r="L23" s="22" t="s">
        <v>2586</v>
      </c>
      <c r="M23" s="22" t="s">
        <v>2455</v>
      </c>
      <c r="N23" s="55" t="s">
        <v>2456</v>
      </c>
    </row>
    <row r="24" spans="1:14" ht="409.6">
      <c r="A24" s="23" t="s">
        <v>543</v>
      </c>
      <c r="B24" s="23" t="s">
        <v>58</v>
      </c>
      <c r="C24" s="23" t="s">
        <v>1092</v>
      </c>
      <c r="D24" s="23" t="s">
        <v>1093</v>
      </c>
      <c r="E24" s="23" t="s">
        <v>1094</v>
      </c>
      <c r="F24" s="23" t="s">
        <v>2388</v>
      </c>
      <c r="G24" s="23" t="s">
        <v>2457</v>
      </c>
      <c r="H24" s="23" t="s">
        <v>2390</v>
      </c>
      <c r="I24" s="23" t="s">
        <v>2458</v>
      </c>
      <c r="J24" s="23" t="s">
        <v>2379</v>
      </c>
      <c r="K24" s="23" t="s">
        <v>2459</v>
      </c>
      <c r="L24" s="23" t="s">
        <v>2587</v>
      </c>
      <c r="M24" s="23" t="s">
        <v>2302</v>
      </c>
      <c r="N24" s="22" t="s">
        <v>2460</v>
      </c>
    </row>
    <row r="25" spans="1:14" ht="409.6">
      <c r="A25" s="22" t="s">
        <v>564</v>
      </c>
      <c r="B25" s="22" t="s">
        <v>58</v>
      </c>
      <c r="C25" s="22" t="s">
        <v>1096</v>
      </c>
      <c r="D25" s="22" t="s">
        <v>1097</v>
      </c>
      <c r="E25" s="22" t="s">
        <v>1098</v>
      </c>
      <c r="F25" s="22" t="s">
        <v>2388</v>
      </c>
      <c r="G25" s="22" t="s">
        <v>2461</v>
      </c>
      <c r="H25" s="22" t="s">
        <v>2390</v>
      </c>
      <c r="I25" s="22" t="s">
        <v>2462</v>
      </c>
      <c r="J25" s="22" t="s">
        <v>2379</v>
      </c>
      <c r="K25" s="22" t="s">
        <v>2463</v>
      </c>
      <c r="L25" s="22" t="s">
        <v>2588</v>
      </c>
      <c r="M25" s="22" t="s">
        <v>2303</v>
      </c>
      <c r="N25" s="55" t="s">
        <v>2464</v>
      </c>
    </row>
    <row r="26" spans="1:14" ht="409.6">
      <c r="A26" s="23" t="s">
        <v>490</v>
      </c>
      <c r="B26" s="23" t="s">
        <v>58</v>
      </c>
      <c r="C26" s="23" t="s">
        <v>1100</v>
      </c>
      <c r="D26" s="23" t="s">
        <v>1101</v>
      </c>
      <c r="E26" s="23" t="s">
        <v>1102</v>
      </c>
      <c r="F26" s="23" t="s">
        <v>2388</v>
      </c>
      <c r="G26" s="23" t="s">
        <v>2465</v>
      </c>
      <c r="H26" s="23" t="s">
        <v>2390</v>
      </c>
      <c r="I26" s="23" t="s">
        <v>2466</v>
      </c>
      <c r="J26" s="23" t="s">
        <v>2379</v>
      </c>
      <c r="K26" s="23" t="s">
        <v>2467</v>
      </c>
      <c r="L26" s="23" t="s">
        <v>2589</v>
      </c>
      <c r="M26" s="23" t="s">
        <v>2304</v>
      </c>
      <c r="N26" s="22" t="s">
        <v>2468</v>
      </c>
    </row>
    <row r="27" spans="1:14" ht="409.6">
      <c r="A27" s="22" t="s">
        <v>655</v>
      </c>
      <c r="B27" s="22" t="s">
        <v>58</v>
      </c>
      <c r="C27" s="22" t="s">
        <v>1104</v>
      </c>
      <c r="D27" s="22" t="s">
        <v>1105</v>
      </c>
      <c r="E27" s="22" t="s">
        <v>1106</v>
      </c>
      <c r="F27" s="22" t="s">
        <v>2388</v>
      </c>
      <c r="G27" s="22" t="s">
        <v>2469</v>
      </c>
      <c r="H27" s="22" t="s">
        <v>2390</v>
      </c>
      <c r="I27" s="22" t="s">
        <v>2470</v>
      </c>
      <c r="J27" s="22" t="s">
        <v>2379</v>
      </c>
      <c r="K27" s="22" t="s">
        <v>651</v>
      </c>
      <c r="L27" s="22" t="s">
        <v>2590</v>
      </c>
      <c r="M27" s="22" t="s">
        <v>2471</v>
      </c>
      <c r="N27" s="55" t="s">
        <v>2472</v>
      </c>
    </row>
    <row r="28" spans="1:14" ht="409.6">
      <c r="A28" s="23" t="s">
        <v>684</v>
      </c>
      <c r="B28" s="23" t="s">
        <v>59</v>
      </c>
      <c r="C28" s="23" t="s">
        <v>1113</v>
      </c>
      <c r="D28" s="23" t="s">
        <v>1114</v>
      </c>
      <c r="E28" s="23" t="s">
        <v>1115</v>
      </c>
      <c r="F28" s="23" t="s">
        <v>2375</v>
      </c>
      <c r="G28" s="23" t="s">
        <v>2473</v>
      </c>
      <c r="H28" s="23" t="s">
        <v>2377</v>
      </c>
      <c r="I28" s="23" t="s">
        <v>2474</v>
      </c>
      <c r="J28" s="23" t="s">
        <v>2379</v>
      </c>
      <c r="K28" s="23" t="s">
        <v>680</v>
      </c>
      <c r="L28" s="23" t="s">
        <v>2591</v>
      </c>
      <c r="M28" s="23" t="s">
        <v>2475</v>
      </c>
      <c r="N28" s="22" t="s">
        <v>2476</v>
      </c>
    </row>
    <row r="29" spans="1:14" ht="409.6">
      <c r="A29" s="22" t="s">
        <v>696</v>
      </c>
      <c r="B29" s="22" t="s">
        <v>59</v>
      </c>
      <c r="C29" s="22" t="s">
        <v>1117</v>
      </c>
      <c r="D29" s="22" t="s">
        <v>1118</v>
      </c>
      <c r="E29" s="22" t="s">
        <v>1119</v>
      </c>
      <c r="F29" s="22" t="s">
        <v>2388</v>
      </c>
      <c r="G29" s="22" t="s">
        <v>2477</v>
      </c>
      <c r="H29" s="22" t="s">
        <v>2390</v>
      </c>
      <c r="I29" s="22" t="s">
        <v>2478</v>
      </c>
      <c r="J29" s="22" t="s">
        <v>2379</v>
      </c>
      <c r="K29" s="22" t="s">
        <v>2479</v>
      </c>
      <c r="L29" s="22" t="s">
        <v>2592</v>
      </c>
      <c r="M29" s="22" t="s">
        <v>2305</v>
      </c>
      <c r="N29" s="55" t="s">
        <v>2480</v>
      </c>
    </row>
    <row r="30" spans="1:14" ht="409.6">
      <c r="A30" s="23" t="s">
        <v>755</v>
      </c>
      <c r="B30" s="23" t="s">
        <v>59</v>
      </c>
      <c r="C30" s="23" t="s">
        <v>1121</v>
      </c>
      <c r="D30" s="23" t="s">
        <v>1122</v>
      </c>
      <c r="E30" s="23" t="s">
        <v>1123</v>
      </c>
      <c r="F30" s="23" t="s">
        <v>2388</v>
      </c>
      <c r="G30" s="23" t="s">
        <v>2481</v>
      </c>
      <c r="H30" s="23" t="s">
        <v>2390</v>
      </c>
      <c r="I30" s="23" t="s">
        <v>2482</v>
      </c>
      <c r="J30" s="23" t="s">
        <v>2379</v>
      </c>
      <c r="K30" s="23" t="s">
        <v>2483</v>
      </c>
      <c r="L30" s="23" t="s">
        <v>2593</v>
      </c>
      <c r="M30" s="23" t="s">
        <v>2306</v>
      </c>
      <c r="N30" s="22" t="s">
        <v>2484</v>
      </c>
    </row>
    <row r="31" spans="1:14" ht="409.6">
      <c r="A31" s="22" t="s">
        <v>742</v>
      </c>
      <c r="B31" s="22" t="s">
        <v>59</v>
      </c>
      <c r="C31" s="22" t="s">
        <v>1125</v>
      </c>
      <c r="D31" s="22" t="s">
        <v>1126</v>
      </c>
      <c r="E31" s="22" t="s">
        <v>1127</v>
      </c>
      <c r="F31" s="22" t="s">
        <v>2388</v>
      </c>
      <c r="G31" s="22" t="s">
        <v>2485</v>
      </c>
      <c r="H31" s="22" t="s">
        <v>2390</v>
      </c>
      <c r="I31" s="22" t="s">
        <v>2486</v>
      </c>
      <c r="J31" s="22" t="s">
        <v>2379</v>
      </c>
      <c r="K31" s="22" t="s">
        <v>738</v>
      </c>
      <c r="L31" s="22" t="s">
        <v>2594</v>
      </c>
      <c r="M31" s="22" t="s">
        <v>2487</v>
      </c>
      <c r="N31" s="55" t="s">
        <v>2488</v>
      </c>
    </row>
    <row r="32" spans="1:14" ht="409.6">
      <c r="A32" s="23" t="s">
        <v>777</v>
      </c>
      <c r="B32" s="23" t="s">
        <v>59</v>
      </c>
      <c r="C32" s="23" t="s">
        <v>1129</v>
      </c>
      <c r="D32" s="23" t="s">
        <v>1130</v>
      </c>
      <c r="E32" s="23" t="s">
        <v>1131</v>
      </c>
      <c r="F32" s="23" t="s">
        <v>2388</v>
      </c>
      <c r="G32" s="23" t="s">
        <v>2489</v>
      </c>
      <c r="H32" s="23" t="s">
        <v>2390</v>
      </c>
      <c r="I32" s="23" t="s">
        <v>2490</v>
      </c>
      <c r="J32" s="23" t="s">
        <v>2379</v>
      </c>
      <c r="K32" s="23" t="s">
        <v>2491</v>
      </c>
      <c r="L32" s="23" t="s">
        <v>2595</v>
      </c>
      <c r="M32" s="23" t="s">
        <v>2307</v>
      </c>
      <c r="N32" s="22" t="s">
        <v>2492</v>
      </c>
    </row>
    <row r="33" spans="1:14" ht="409.6">
      <c r="A33" s="22" t="s">
        <v>850</v>
      </c>
      <c r="B33" s="22" t="s">
        <v>60</v>
      </c>
      <c r="C33" s="22" t="s">
        <v>1138</v>
      </c>
      <c r="D33" s="22" t="s">
        <v>1139</v>
      </c>
      <c r="E33" s="22" t="s">
        <v>1140</v>
      </c>
      <c r="F33" s="22" t="s">
        <v>2388</v>
      </c>
      <c r="G33" s="22" t="s">
        <v>2493</v>
      </c>
      <c r="H33" s="22" t="s">
        <v>2390</v>
      </c>
      <c r="I33" s="22" t="s">
        <v>2494</v>
      </c>
      <c r="J33" s="22" t="s">
        <v>2379</v>
      </c>
      <c r="K33" s="22" t="s">
        <v>2495</v>
      </c>
      <c r="L33" s="22" t="s">
        <v>2596</v>
      </c>
      <c r="M33" s="22" t="s">
        <v>2308</v>
      </c>
      <c r="N33" s="55" t="s">
        <v>2496</v>
      </c>
    </row>
    <row r="34" spans="1:14" ht="409.6">
      <c r="A34" s="23" t="s">
        <v>895</v>
      </c>
      <c r="B34" s="23" t="s">
        <v>60</v>
      </c>
      <c r="C34" s="23" t="s">
        <v>1142</v>
      </c>
      <c r="D34" s="23" t="s">
        <v>1143</v>
      </c>
      <c r="E34" s="23" t="s">
        <v>1144</v>
      </c>
      <c r="F34" s="23" t="s">
        <v>2388</v>
      </c>
      <c r="G34" s="23" t="s">
        <v>2497</v>
      </c>
      <c r="H34" s="23" t="s">
        <v>2390</v>
      </c>
      <c r="I34" s="23" t="s">
        <v>2498</v>
      </c>
      <c r="J34" s="23" t="s">
        <v>2379</v>
      </c>
      <c r="K34" s="23" t="s">
        <v>2499</v>
      </c>
      <c r="L34" s="23" t="s">
        <v>2597</v>
      </c>
      <c r="M34" s="23" t="s">
        <v>2500</v>
      </c>
      <c r="N34" s="22" t="s">
        <v>2501</v>
      </c>
    </row>
    <row r="35" spans="1:14" ht="409.6">
      <c r="A35" s="22" t="s">
        <v>942</v>
      </c>
      <c r="B35" s="22" t="s">
        <v>60</v>
      </c>
      <c r="C35" s="22" t="s">
        <v>1146</v>
      </c>
      <c r="D35" s="22" t="s">
        <v>1147</v>
      </c>
      <c r="E35" s="22" t="s">
        <v>1148</v>
      </c>
      <c r="F35" s="22" t="s">
        <v>2388</v>
      </c>
      <c r="G35" s="22" t="s">
        <v>2502</v>
      </c>
      <c r="H35" s="22" t="s">
        <v>2390</v>
      </c>
      <c r="I35" s="22" t="s">
        <v>2503</v>
      </c>
      <c r="J35" s="22" t="s">
        <v>2379</v>
      </c>
      <c r="K35" s="22" t="s">
        <v>2504</v>
      </c>
      <c r="L35" s="22" t="s">
        <v>2598</v>
      </c>
      <c r="M35" s="22" t="s">
        <v>2309</v>
      </c>
      <c r="N35" s="55" t="s">
        <v>2505</v>
      </c>
    </row>
    <row r="36" spans="1:14" ht="409.6">
      <c r="A36" s="23" t="s">
        <v>2324</v>
      </c>
      <c r="B36" s="23" t="s">
        <v>56</v>
      </c>
      <c r="C36" s="23" t="s">
        <v>2506</v>
      </c>
      <c r="D36" s="23" t="s">
        <v>2507</v>
      </c>
      <c r="E36" s="23" t="s">
        <v>2508</v>
      </c>
      <c r="F36" s="23" t="s">
        <v>2509</v>
      </c>
      <c r="G36" s="23" t="s">
        <v>2510</v>
      </c>
      <c r="H36" s="23" t="s">
        <v>2377</v>
      </c>
      <c r="I36" s="23" t="s">
        <v>2511</v>
      </c>
      <c r="J36" s="23" t="s">
        <v>2379</v>
      </c>
      <c r="K36" s="23" t="s">
        <v>225</v>
      </c>
      <c r="L36" s="23" t="s">
        <v>2599</v>
      </c>
      <c r="M36" s="23" t="s">
        <v>2512</v>
      </c>
      <c r="N36" s="22" t="s">
        <v>2513</v>
      </c>
    </row>
    <row r="37" spans="1:14" ht="409.6">
      <c r="A37" s="23" t="s">
        <v>2331</v>
      </c>
      <c r="B37" s="23" t="s">
        <v>37</v>
      </c>
      <c r="C37" s="23" t="s">
        <v>2514</v>
      </c>
      <c r="D37" s="23" t="s">
        <v>2515</v>
      </c>
      <c r="E37" s="23" t="s">
        <v>2516</v>
      </c>
      <c r="F37" s="23" t="s">
        <v>2509</v>
      </c>
      <c r="G37" s="23" t="s">
        <v>2517</v>
      </c>
      <c r="H37" s="23" t="s">
        <v>2377</v>
      </c>
      <c r="I37" s="23" t="s">
        <v>2518</v>
      </c>
      <c r="J37" s="23" t="s">
        <v>2379</v>
      </c>
      <c r="K37" s="23" t="s">
        <v>376</v>
      </c>
      <c r="L37" s="23" t="s">
        <v>2600</v>
      </c>
      <c r="M37" s="23" t="s">
        <v>2519</v>
      </c>
      <c r="N37" s="22" t="s">
        <v>2520</v>
      </c>
    </row>
    <row r="38" spans="1:14" ht="409.6">
      <c r="A38" s="23" t="s">
        <v>2334</v>
      </c>
      <c r="B38" s="23" t="s">
        <v>57</v>
      </c>
      <c r="C38" s="23" t="s">
        <v>2521</v>
      </c>
      <c r="D38" s="23" t="s">
        <v>2522</v>
      </c>
      <c r="E38" s="23" t="s">
        <v>2523</v>
      </c>
      <c r="F38" s="23" t="s">
        <v>2509</v>
      </c>
      <c r="G38" s="23" t="s">
        <v>2524</v>
      </c>
      <c r="H38" s="23" t="s">
        <v>2377</v>
      </c>
      <c r="I38" s="23" t="s">
        <v>2525</v>
      </c>
      <c r="J38" s="23" t="s">
        <v>2379</v>
      </c>
      <c r="K38" s="23" t="s">
        <v>521</v>
      </c>
      <c r="L38" s="23" t="s">
        <v>2601</v>
      </c>
      <c r="M38" s="23" t="s">
        <v>2526</v>
      </c>
      <c r="N38" s="22" t="s">
        <v>2527</v>
      </c>
    </row>
    <row r="39" spans="1:14" ht="409.6">
      <c r="A39" s="23" t="s">
        <v>2337</v>
      </c>
      <c r="B39" s="23" t="s">
        <v>58</v>
      </c>
      <c r="C39" s="23" t="s">
        <v>2528</v>
      </c>
      <c r="D39" s="23" t="s">
        <v>2529</v>
      </c>
      <c r="E39" s="23" t="s">
        <v>2530</v>
      </c>
      <c r="F39" s="23" t="s">
        <v>2509</v>
      </c>
      <c r="G39" s="23" t="s">
        <v>2531</v>
      </c>
      <c r="H39" s="23" t="s">
        <v>2377</v>
      </c>
      <c r="I39" s="23" t="s">
        <v>2532</v>
      </c>
      <c r="J39" s="23" t="s">
        <v>2379</v>
      </c>
      <c r="K39" s="23" t="s">
        <v>662</v>
      </c>
      <c r="L39" s="23" t="s">
        <v>2602</v>
      </c>
      <c r="M39" s="23" t="s">
        <v>2533</v>
      </c>
      <c r="N39" s="22" t="s">
        <v>2534</v>
      </c>
    </row>
    <row r="40" spans="1:14" ht="409.6">
      <c r="A40" s="23" t="s">
        <v>2345</v>
      </c>
      <c r="B40" s="23" t="s">
        <v>59</v>
      </c>
      <c r="C40" s="23" t="s">
        <v>2535</v>
      </c>
      <c r="D40" s="23" t="s">
        <v>2536</v>
      </c>
      <c r="E40" s="23" t="s">
        <v>2537</v>
      </c>
      <c r="F40" s="23" t="s">
        <v>2509</v>
      </c>
      <c r="G40" s="23" t="s">
        <v>2538</v>
      </c>
      <c r="H40" s="23" t="s">
        <v>2377</v>
      </c>
      <c r="I40" s="23" t="s">
        <v>2539</v>
      </c>
      <c r="J40" s="23" t="s">
        <v>2379</v>
      </c>
      <c r="K40" s="23" t="s">
        <v>815</v>
      </c>
      <c r="L40" s="23" t="s">
        <v>2603</v>
      </c>
      <c r="M40" s="23" t="s">
        <v>2540</v>
      </c>
      <c r="N40" s="22" t="s">
        <v>2541</v>
      </c>
    </row>
    <row r="41" spans="1:14" ht="409.6">
      <c r="A41" s="22" t="s">
        <v>2542</v>
      </c>
      <c r="B41" s="22" t="s">
        <v>1567</v>
      </c>
      <c r="C41" s="22" t="s">
        <v>2543</v>
      </c>
      <c r="D41" s="22" t="s">
        <v>2544</v>
      </c>
      <c r="E41" s="22" t="s">
        <v>2545</v>
      </c>
      <c r="F41" s="22" t="s">
        <v>2388</v>
      </c>
      <c r="G41" s="22" t="s">
        <v>2546</v>
      </c>
      <c r="H41" s="22" t="s">
        <v>2390</v>
      </c>
      <c r="I41" s="22" t="s">
        <v>2547</v>
      </c>
      <c r="J41" s="22" t="s">
        <v>2379</v>
      </c>
      <c r="K41" s="22" t="s">
        <v>1567</v>
      </c>
      <c r="L41" s="22" t="s">
        <v>2604</v>
      </c>
      <c r="M41" s="22" t="s">
        <v>2548</v>
      </c>
      <c r="N41" s="55" t="s">
        <v>2549</v>
      </c>
    </row>
    <row r="42" spans="1:14" ht="409.6">
      <c r="A42" s="23" t="s">
        <v>2550</v>
      </c>
      <c r="B42" s="23" t="s">
        <v>1567</v>
      </c>
      <c r="C42" s="23" t="s">
        <v>2551</v>
      </c>
      <c r="D42" s="23" t="s">
        <v>2552</v>
      </c>
      <c r="E42" s="23" t="s">
        <v>2553</v>
      </c>
      <c r="F42" s="23" t="s">
        <v>2388</v>
      </c>
      <c r="G42" s="23" t="s">
        <v>2554</v>
      </c>
      <c r="H42" s="23" t="s">
        <v>2390</v>
      </c>
      <c r="I42" s="23" t="s">
        <v>2555</v>
      </c>
      <c r="J42" s="23" t="s">
        <v>2379</v>
      </c>
      <c r="K42" s="23" t="s">
        <v>1567</v>
      </c>
      <c r="L42" s="23" t="s">
        <v>2605</v>
      </c>
      <c r="M42" s="23" t="s">
        <v>2556</v>
      </c>
      <c r="N42" s="22" t="s">
        <v>2557</v>
      </c>
    </row>
    <row r="43" spans="1:14" ht="409.6" customHeight="1">
      <c r="A43" s="27" t="s">
        <v>2558</v>
      </c>
      <c r="B43" s="27" t="s">
        <v>56</v>
      </c>
      <c r="C43" s="27" t="s">
        <v>2559</v>
      </c>
      <c r="D43" s="27" t="s">
        <v>2560</v>
      </c>
      <c r="E43" s="27" t="s">
        <v>2561</v>
      </c>
      <c r="F43" s="27" t="s">
        <v>2437</v>
      </c>
      <c r="G43" s="28" t="s">
        <v>2562</v>
      </c>
      <c r="H43" s="27" t="s">
        <v>2377</v>
      </c>
      <c r="I43" s="27" t="s">
        <v>2563</v>
      </c>
      <c r="J43" s="27" t="s">
        <v>2379</v>
      </c>
      <c r="K43" s="27" t="s">
        <v>2564</v>
      </c>
      <c r="L43" s="27" t="s">
        <v>2606</v>
      </c>
      <c r="M43" s="27" t="s">
        <v>2565</v>
      </c>
      <c r="N43" s="55" t="s">
        <v>2566</v>
      </c>
    </row>
    <row r="44" spans="1:14" ht="319.95" customHeight="1">
      <c r="A44" s="27" t="s">
        <v>241</v>
      </c>
      <c r="B44" s="27" t="s">
        <v>2567</v>
      </c>
      <c r="C44" s="27" t="s">
        <v>2568</v>
      </c>
      <c r="D44" s="27" t="s">
        <v>2569</v>
      </c>
      <c r="E44" s="27" t="s">
        <v>2570</v>
      </c>
      <c r="F44" s="27" t="s">
        <v>2571</v>
      </c>
      <c r="G44" s="27" t="s">
        <v>2572</v>
      </c>
      <c r="H44" s="27" t="s">
        <v>2310</v>
      </c>
      <c r="I44" s="27" t="s">
        <v>2573</v>
      </c>
      <c r="J44" s="27" t="s">
        <v>2441</v>
      </c>
      <c r="K44" s="27" t="s">
        <v>2574</v>
      </c>
      <c r="L44" s="27" t="s">
        <v>2607</v>
      </c>
      <c r="M44" s="27" t="s">
        <v>2311</v>
      </c>
      <c r="N44" s="22" t="s">
        <v>2313</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6" t="s">
        <v>1282</v>
      </c>
      <c r="B1" s="56"/>
      <c r="C1" s="56"/>
      <c r="D1" s="56"/>
      <c r="E1" s="56"/>
      <c r="F1" s="56"/>
      <c r="G1" s="56"/>
      <c r="H1" s="56"/>
      <c r="I1" s="56"/>
      <c r="J1" s="56"/>
      <c r="K1" s="56"/>
      <c r="L1" s="56"/>
    </row>
    <row r="2" spans="1:12" ht="31.95" customHeight="1">
      <c r="A2" s="57" t="s">
        <v>1283</v>
      </c>
      <c r="B2" s="57"/>
      <c r="C2" s="57"/>
      <c r="D2" s="57"/>
      <c r="E2" s="57"/>
      <c r="F2" s="57"/>
      <c r="G2" s="57"/>
      <c r="H2" s="57"/>
      <c r="I2" s="57"/>
      <c r="J2" s="57"/>
      <c r="K2" s="57"/>
      <c r="L2" s="57"/>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2575</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2576</v>
      </c>
      <c r="F25" s="11" t="s">
        <v>1385</v>
      </c>
      <c r="G25" s="11" t="s">
        <v>1386</v>
      </c>
      <c r="H25" s="11" t="s">
        <v>1320</v>
      </c>
      <c r="I25" s="18"/>
      <c r="J25" s="11"/>
      <c r="K25" s="11"/>
      <c r="L25" s="11"/>
    </row>
    <row r="26" spans="1:12" ht="182.4">
      <c r="A26" s="11" t="s">
        <v>1387</v>
      </c>
      <c r="B26" s="11" t="s">
        <v>59</v>
      </c>
      <c r="C26" s="11" t="s">
        <v>1388</v>
      </c>
      <c r="D26" s="11" t="s">
        <v>1389</v>
      </c>
      <c r="E26" s="11" t="s">
        <v>2577</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2578</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6" t="s">
        <v>1448</v>
      </c>
      <c r="B1" s="56"/>
      <c r="C1" s="56"/>
      <c r="D1" s="56"/>
      <c r="E1" s="56"/>
      <c r="F1" s="56"/>
      <c r="G1" s="56"/>
      <c r="H1" s="56"/>
      <c r="I1" s="56"/>
      <c r="J1" s="56"/>
      <c r="K1" s="56"/>
    </row>
    <row r="2" spans="1:11" ht="31.95" customHeight="1">
      <c r="A2" s="57" t="s">
        <v>1449</v>
      </c>
      <c r="B2" s="57"/>
      <c r="C2" s="57"/>
      <c r="D2" s="57"/>
      <c r="E2" s="57"/>
      <c r="F2" s="57"/>
      <c r="G2" s="57"/>
      <c r="H2" s="57"/>
      <c r="I2" s="57"/>
      <c r="J2" s="57"/>
      <c r="K2" s="57"/>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topLeftCell="A4" workbookViewId="0">
      <selection activeCell="H38" sqref="H38"/>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6" t="s">
        <v>1573</v>
      </c>
      <c r="B1" s="56"/>
      <c r="C1" s="56"/>
      <c r="D1" s="56"/>
      <c r="E1" s="56"/>
      <c r="F1" s="56"/>
      <c r="G1" s="56"/>
      <c r="H1" s="56"/>
      <c r="I1" s="56"/>
      <c r="J1" s="56"/>
    </row>
    <row r="2" spans="1:10" ht="31.95" customHeight="1">
      <c r="A2" s="57" t="s">
        <v>1574</v>
      </c>
      <c r="B2" s="57"/>
      <c r="C2" s="57"/>
      <c r="D2" s="57"/>
      <c r="E2" s="57"/>
      <c r="F2" s="57"/>
      <c r="G2" s="57"/>
      <c r="H2" s="57"/>
      <c r="I2" s="57"/>
      <c r="J2" s="57"/>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hidden="1">
      <c r="A9" s="11" t="s">
        <v>322</v>
      </c>
      <c r="B9" s="11" t="s">
        <v>319</v>
      </c>
      <c r="C9" s="20" t="s">
        <v>1595</v>
      </c>
      <c r="D9" s="11" t="s">
        <v>37</v>
      </c>
      <c r="E9" s="11" t="s">
        <v>1586</v>
      </c>
      <c r="F9" s="11" t="s">
        <v>46</v>
      </c>
      <c r="G9" s="11" t="s">
        <v>93</v>
      </c>
      <c r="H9" s="11" t="s">
        <v>1596</v>
      </c>
      <c r="I9" s="20"/>
      <c r="J9" s="18"/>
    </row>
    <row r="10" spans="1:10">
      <c r="A10" s="11" t="s">
        <v>469</v>
      </c>
      <c r="B10" s="11" t="s">
        <v>1354</v>
      </c>
      <c r="C10" s="20" t="s">
        <v>1597</v>
      </c>
      <c r="D10" s="11" t="s">
        <v>57</v>
      </c>
      <c r="E10" s="11" t="s">
        <v>1586</v>
      </c>
      <c r="F10" s="11" t="s">
        <v>46</v>
      </c>
      <c r="G10" s="11" t="s">
        <v>93</v>
      </c>
      <c r="H10" s="11" t="s">
        <v>1598</v>
      </c>
      <c r="I10" s="20"/>
      <c r="J10" s="18"/>
    </row>
    <row r="11" spans="1:10" hidden="1">
      <c r="A11" s="11" t="s">
        <v>1599</v>
      </c>
      <c r="B11" s="11" t="s">
        <v>1600</v>
      </c>
      <c r="C11" s="20" t="s">
        <v>1601</v>
      </c>
      <c r="D11" s="11" t="s">
        <v>59</v>
      </c>
      <c r="E11" s="11" t="s">
        <v>1586</v>
      </c>
      <c r="F11" s="11" t="s">
        <v>303</v>
      </c>
      <c r="G11" s="11" t="s">
        <v>93</v>
      </c>
      <c r="H11" s="11" t="s">
        <v>1602</v>
      </c>
      <c r="I11" s="20"/>
      <c r="J11" s="18"/>
    </row>
    <row r="12" spans="1:10" ht="68.400000000000006" hidden="1">
      <c r="A12" s="11" t="s">
        <v>1603</v>
      </c>
      <c r="B12" s="11" t="s">
        <v>1600</v>
      </c>
      <c r="C12" s="20" t="s">
        <v>1604</v>
      </c>
      <c r="D12" s="11" t="s">
        <v>56</v>
      </c>
      <c r="E12" s="11" t="s">
        <v>1586</v>
      </c>
      <c r="F12" s="11" t="s">
        <v>46</v>
      </c>
      <c r="G12" s="11" t="s">
        <v>35</v>
      </c>
      <c r="H12" s="11" t="s">
        <v>1605</v>
      </c>
      <c r="I12" s="20" t="s">
        <v>1606</v>
      </c>
      <c r="J12" s="18">
        <v>46252</v>
      </c>
    </row>
    <row r="13" spans="1:10" ht="22.8" hidden="1">
      <c r="A13" s="11" t="s">
        <v>1607</v>
      </c>
      <c r="B13" s="11" t="s">
        <v>1608</v>
      </c>
      <c r="C13" s="20" t="s">
        <v>1609</v>
      </c>
      <c r="D13" s="11" t="s">
        <v>59</v>
      </c>
      <c r="E13" s="11" t="s">
        <v>1586</v>
      </c>
      <c r="F13" s="11" t="s">
        <v>303</v>
      </c>
      <c r="G13" s="11" t="s">
        <v>93</v>
      </c>
      <c r="H13" s="11" t="s">
        <v>1610</v>
      </c>
      <c r="I13" s="20"/>
      <c r="J13" s="18"/>
    </row>
    <row r="14" spans="1:10" ht="91.2" hidden="1">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c r="A17" s="11" t="s">
        <v>398</v>
      </c>
      <c r="B17" s="11" t="s">
        <v>1618</v>
      </c>
      <c r="C17" s="20" t="s">
        <v>1619</v>
      </c>
      <c r="D17" s="11" t="s">
        <v>57</v>
      </c>
      <c r="E17" s="11" t="s">
        <v>1586</v>
      </c>
      <c r="F17" s="11" t="s">
        <v>2581</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hidden="1">
      <c r="A20" s="11" t="s">
        <v>182</v>
      </c>
      <c r="B20" s="11" t="s">
        <v>179</v>
      </c>
      <c r="C20" s="20" t="s">
        <v>1624</v>
      </c>
      <c r="D20" s="11" t="s">
        <v>56</v>
      </c>
      <c r="E20" s="11" t="s">
        <v>1625</v>
      </c>
      <c r="F20" s="11" t="s">
        <v>46</v>
      </c>
      <c r="G20" s="11" t="s">
        <v>35</v>
      </c>
      <c r="H20" s="11" t="s">
        <v>1626</v>
      </c>
      <c r="I20" s="20" t="s">
        <v>1627</v>
      </c>
      <c r="J20" s="18">
        <v>46252</v>
      </c>
    </row>
    <row r="21" spans="1:10" ht="22.8" hidden="1">
      <c r="A21" s="11" t="s">
        <v>524</v>
      </c>
      <c r="B21" s="11" t="s">
        <v>1628</v>
      </c>
      <c r="C21" s="20" t="s">
        <v>1629</v>
      </c>
      <c r="D21" s="11" t="s">
        <v>58</v>
      </c>
      <c r="E21" s="11" t="s">
        <v>1586</v>
      </c>
      <c r="F21" s="11" t="s">
        <v>303</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hidden="1">
      <c r="A24" s="11" t="s">
        <v>598</v>
      </c>
      <c r="B24" s="11" t="s">
        <v>1635</v>
      </c>
      <c r="C24" s="20" t="s">
        <v>1636</v>
      </c>
      <c r="D24" s="11" t="s">
        <v>58</v>
      </c>
      <c r="E24" s="11" t="s">
        <v>1586</v>
      </c>
      <c r="F24" s="11" t="s">
        <v>303</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hidden="1">
      <c r="A26" s="11" t="s">
        <v>609</v>
      </c>
      <c r="B26" s="11" t="s">
        <v>106</v>
      </c>
      <c r="C26" s="20" t="s">
        <v>1640</v>
      </c>
      <c r="D26" s="11" t="s">
        <v>58</v>
      </c>
      <c r="E26" s="11" t="s">
        <v>1625</v>
      </c>
      <c r="F26" s="11" t="s">
        <v>303</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hidden="1">
      <c r="A29" s="11" t="s">
        <v>1648</v>
      </c>
      <c r="B29" s="11" t="s">
        <v>319</v>
      </c>
      <c r="C29" s="20" t="s">
        <v>1649</v>
      </c>
      <c r="D29" s="11" t="s">
        <v>59</v>
      </c>
      <c r="E29" s="11" t="s">
        <v>1586</v>
      </c>
      <c r="F29" s="11" t="s">
        <v>303</v>
      </c>
      <c r="G29" s="11" t="s">
        <v>93</v>
      </c>
      <c r="H29" s="11" t="s">
        <v>1650</v>
      </c>
      <c r="I29" s="20"/>
      <c r="J29" s="18"/>
    </row>
    <row r="30" spans="1:10" ht="22.8">
      <c r="A30" s="11" t="s">
        <v>433</v>
      </c>
      <c r="B30" s="11" t="s">
        <v>1651</v>
      </c>
      <c r="C30" s="20" t="s">
        <v>1652</v>
      </c>
      <c r="D30" s="11" t="s">
        <v>57</v>
      </c>
      <c r="E30" s="11" t="s">
        <v>1625</v>
      </c>
      <c r="F30" s="11" t="s">
        <v>2581</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6" t="s">
        <v>1654</v>
      </c>
      <c r="B1" s="56"/>
      <c r="C1" s="56"/>
      <c r="D1" s="56"/>
      <c r="E1" s="56"/>
      <c r="F1" s="56"/>
      <c r="G1" s="56"/>
      <c r="H1" s="56"/>
      <c r="I1" s="56"/>
    </row>
    <row r="2" spans="1:9">
      <c r="A2" s="57" t="s">
        <v>1655</v>
      </c>
      <c r="B2" s="57"/>
      <c r="C2" s="57"/>
      <c r="D2" s="57"/>
      <c r="E2" s="57"/>
      <c r="F2" s="57"/>
      <c r="G2" s="57"/>
      <c r="H2" s="57"/>
      <c r="I2" s="57"/>
    </row>
    <row r="4" spans="1:9">
      <c r="A4" s="58" t="s">
        <v>1656</v>
      </c>
      <c r="B4" s="59"/>
      <c r="C4" s="59"/>
      <c r="D4" s="59"/>
      <c r="E4" s="59"/>
      <c r="F4" s="59"/>
      <c r="G4" s="59"/>
      <c r="H4" s="59"/>
      <c r="I4" s="60"/>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6" t="s">
        <v>1740</v>
      </c>
      <c r="B29" s="117"/>
      <c r="C29" s="117"/>
      <c r="D29" s="117"/>
      <c r="E29" s="117"/>
      <c r="F29" s="117"/>
      <c r="G29" s="117"/>
      <c r="H29" s="117"/>
      <c r="I29" s="118"/>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6" t="s">
        <v>1741</v>
      </c>
      <c r="B1" s="56"/>
      <c r="C1" s="56"/>
      <c r="D1" s="56"/>
      <c r="E1" s="56"/>
      <c r="F1" s="56"/>
      <c r="G1" s="56"/>
    </row>
    <row r="2" spans="1:7" ht="31.95" customHeight="1">
      <c r="A2" s="57" t="s">
        <v>1742</v>
      </c>
      <c r="B2" s="57"/>
      <c r="C2" s="57"/>
      <c r="D2" s="57"/>
      <c r="E2" s="57"/>
      <c r="F2" s="57"/>
      <c r="G2" s="57"/>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6" t="s">
        <v>2049</v>
      </c>
      <c r="B1" s="56"/>
      <c r="C1" s="56"/>
      <c r="D1" s="56"/>
      <c r="E1" s="56"/>
      <c r="F1" s="56"/>
      <c r="G1" s="56"/>
      <c r="H1" s="56"/>
    </row>
    <row r="2" spans="1:8" ht="31.95" customHeight="1">
      <c r="A2" s="57" t="s">
        <v>2050</v>
      </c>
      <c r="B2" s="57"/>
      <c r="C2" s="57"/>
      <c r="D2" s="57"/>
      <c r="E2" s="57"/>
      <c r="F2" s="57"/>
      <c r="G2" s="57"/>
      <c r="H2" s="57"/>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6" t="s">
        <v>2174</v>
      </c>
      <c r="B1" s="56"/>
      <c r="C1" s="56"/>
      <c r="D1" s="56"/>
      <c r="E1" s="56"/>
      <c r="F1" s="56"/>
    </row>
    <row r="2" spans="1:6" ht="31.95" customHeight="1">
      <c r="A2" s="57" t="s">
        <v>2175</v>
      </c>
      <c r="B2" s="57"/>
      <c r="C2" s="57"/>
      <c r="D2" s="57"/>
      <c r="E2" s="57"/>
      <c r="F2" s="57"/>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6" t="s">
        <v>2199</v>
      </c>
      <c r="B11" s="117"/>
      <c r="C11" s="117"/>
      <c r="D11" s="117"/>
      <c r="E11" s="117"/>
      <c r="F11" s="118"/>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19" t="s">
        <v>2200</v>
      </c>
      <c r="B1" s="119"/>
      <c r="C1" s="119"/>
      <c r="D1" s="119"/>
      <c r="E1" s="119"/>
      <c r="F1" s="119"/>
      <c r="G1" s="119"/>
      <c r="H1" s="119"/>
    </row>
    <row r="2" spans="1:8" ht="36" customHeight="1">
      <c r="A2" s="120" t="s">
        <v>2201</v>
      </c>
      <c r="B2" s="120"/>
      <c r="C2" s="120"/>
      <c r="D2" s="120"/>
      <c r="E2" s="120"/>
      <c r="F2" s="120"/>
      <c r="G2" s="120"/>
      <c r="H2" s="120"/>
    </row>
    <row r="3" spans="1:8" ht="15" customHeight="1">
      <c r="A3" s="29"/>
      <c r="B3" s="29"/>
      <c r="C3" s="29"/>
      <c r="D3" s="29"/>
      <c r="E3" s="29"/>
      <c r="F3" s="29"/>
      <c r="G3" s="29"/>
      <c r="H3" s="29"/>
    </row>
    <row r="4" spans="1:8" ht="15" customHeight="1">
      <c r="A4" s="121" t="s">
        <v>2</v>
      </c>
      <c r="B4" s="121"/>
      <c r="C4" s="121"/>
      <c r="D4" s="121"/>
      <c r="E4" s="121"/>
      <c r="F4" s="121"/>
      <c r="G4" s="121"/>
      <c r="H4" s="121"/>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1" t="s">
        <v>2282</v>
      </c>
      <c r="B20" s="121"/>
      <c r="C20" s="121"/>
      <c r="D20" s="121"/>
      <c r="E20" s="121"/>
      <c r="F20" s="121"/>
      <c r="G20" s="121"/>
      <c r="H20" s="121"/>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2026-08-26T03:28:15Z</dcterms:created>
  <dcterms:modified xsi:type="dcterms:W3CDTF">2026-08-27T03:18:16Z</dcterms:modified>
</cp:coreProperties>
</file>