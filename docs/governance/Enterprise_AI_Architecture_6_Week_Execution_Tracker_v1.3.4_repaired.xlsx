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8C933D6F-3A89-4160-BAA6-75959C505DD7}" xr6:coauthVersionLast="47" xr6:coauthVersionMax="47" xr10:uidLastSave="{00000000-0000-0000-0000-000000000000}"/>
  <bookViews>
    <workbookView xWindow="-108" yWindow="-108" windowWidth="23256" windowHeight="13896" tabRatio="788" firstSheet="1" activeTab="1"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<sst xmlns="http://schemas.openxmlformats.org/spreadsheetml/2006/main" count="5453" uniqueCount="2611">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</sst>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xf numFmtId="0" fontId="4" fillId="13" borderId="0" xfId="0" applyFont="1" applyFill="1" applyAlignment="1">
      <alignment vertical="top" wrapText="1"/>
    </xf>
  </cellXfs>
  <cellStyles count="1">
    <cellStyle name="Normal" xfId="0" builtinId="0"/>
  </cellStyles>
  <dxfs count="49">
    <dxf>
      <alignment horizontal="general" vertical="top" textRotation="0" indent="0" justifyLastLine="0" shrinkToFit="0" readingOrder="0"/>
    </dxf>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73" t="s">
        <v>6</v>
      </c>
      <c r="F5" s="74"/>
      <c r="G5" s="74"/>
      <c r="H5" s="74"/>
      <c r="I5" s="74"/>
      <c r="J5" s="75"/>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0" t="s">
        <v>24</v>
      </c>
      <c r="F11" s="71"/>
      <c r="G11" s="71"/>
      <c r="H11" s="71"/>
      <c r="I11" s="71"/>
      <c r="J11" s="72"/>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1" t="s">
        <v>42</v>
      </c>
      <c r="B19" s="62"/>
      <c r="C19" s="62"/>
      <c r="D19" s="62"/>
      <c r="E19" s="62"/>
      <c r="F19" s="62"/>
      <c r="G19" s="62"/>
      <c r="H19" s="62"/>
      <c r="I19" s="62"/>
      <c r="J19" s="63"/>
    </row>
    <row r="20" spans="1:10">
      <c r="A20" s="64"/>
      <c r="B20" s="65"/>
      <c r="C20" s="65"/>
      <c r="D20" s="65"/>
      <c r="E20" s="65"/>
      <c r="F20" s="65"/>
      <c r="G20" s="65"/>
      <c r="H20" s="65"/>
      <c r="I20" s="65"/>
      <c r="J20" s="66"/>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abSelected="1"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82" t="s">
        <v>45</v>
      </c>
      <c r="B4" s="82"/>
      <c r="D4" s="82" t="s">
        <v>46</v>
      </c>
      <c r="E4" s="82"/>
      <c r="G4" s="82" t="s">
        <v>47</v>
      </c>
      <c r="H4" s="82"/>
      <c r="J4" s="82" t="s">
        <v>48</v>
      </c>
      <c r="K4" s="82"/>
    </row>
    <row r="5" spans="1:16">
      <c r="A5" s="83">
        <f>COUNTA('02 Master Plan'!$A$6:$A$120)</f>
        <v>80</v>
      </c>
      <c r="B5" s="84"/>
      <c r="D5" s="83">
        <f>COUNTIF('02 Master Plan'!$S$6:$S$120,"Done")</f>
        <v>38</v>
      </c>
      <c r="E5" s="84"/>
      <c r="G5" s="90">
        <f>IF(A5=0,0,D5/A5)</f>
        <v>0.47499999999999998</v>
      </c>
      <c r="H5" s="91"/>
      <c r="J5" s="83">
        <f>COUNTIF('02 Master Plan'!$S$6:$S$120,"Blocked")</f>
        <v>0</v>
      </c>
      <c r="K5" s="84"/>
    </row>
    <row r="6" spans="1:16">
      <c r="A6" s="85"/>
      <c r="B6" s="86"/>
      <c r="D6" s="85"/>
      <c r="E6" s="86"/>
      <c r="G6" s="92"/>
      <c r="H6" s="93"/>
      <c r="J6" s="85"/>
      <c r="K6" s="86"/>
    </row>
    <row r="7" spans="1:16">
      <c r="A7" s="82" t="s">
        <v>49</v>
      </c>
      <c r="B7" s="82"/>
      <c r="D7" s="82" t="s">
        <v>50</v>
      </c>
      <c r="E7" s="82"/>
      <c r="G7" s="82" t="s">
        <v>51</v>
      </c>
      <c r="H7" s="82"/>
      <c r="J7" s="82" t="s">
        <v>52</v>
      </c>
      <c r="K7" s="82"/>
    </row>
    <row r="8" spans="1:16">
      <c r="A8" s="83">
        <f>COUNTIFS('13 Owner TODOs'!$F$6:$F$80,"&lt;&gt;Done",'13 Owner TODOs'!$A$6:$A$80,"&lt;&gt;")</f>
        <v>14</v>
      </c>
      <c r="B8" s="84"/>
      <c r="D8" s="83">
        <f>COUNTIF('11 Test Evidence'!$H$6:$H$80,"Pass")</f>
        <v>6</v>
      </c>
      <c r="E8" s="84"/>
      <c r="G8" s="83">
        <f>COUNTIF('12 Decision Log'!$C$6:$C$60,"Baseline Approved")+COUNTIF('12 Decision Log'!$C$6:$C$60,"Approved")</f>
        <v>18</v>
      </c>
      <c r="H8" s="84"/>
      <c r="J8" s="83">
        <f>COUNTIFS('11 Test Evidence'!$C$6:$C$80,"Teardown",'11 Test Evidence'!$H$6:$H$80,"Pass")</f>
        <v>1</v>
      </c>
      <c r="K8" s="84"/>
    </row>
    <row r="9" spans="1:16">
      <c r="A9" s="85"/>
      <c r="B9" s="86"/>
      <c r="D9" s="85"/>
      <c r="E9" s="86"/>
      <c r="G9" s="85"/>
      <c r="H9" s="86"/>
      <c r="J9" s="85"/>
      <c r="K9" s="86"/>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87" t="s">
        <v>62</v>
      </c>
      <c r="B22" s="88"/>
      <c r="C22" s="88"/>
      <c r="D22" s="88"/>
      <c r="E22" s="88"/>
      <c r="F22" s="88"/>
      <c r="G22" s="88"/>
      <c r="H22" s="89"/>
    </row>
    <row r="23" spans="1:8" ht="30" customHeight="1">
      <c r="A23" s="76" t="s">
        <v>63</v>
      </c>
      <c r="B23" s="77"/>
      <c r="C23" s="77"/>
      <c r="D23" s="77"/>
      <c r="E23" s="77"/>
      <c r="F23" s="77"/>
      <c r="G23" s="77"/>
      <c r="H23" s="78"/>
    </row>
    <row r="24" spans="1:8" ht="30" customHeight="1">
      <c r="A24" s="76" t="s">
        <v>64</v>
      </c>
      <c r="B24" s="77"/>
      <c r="C24" s="77"/>
      <c r="D24" s="77"/>
      <c r="E24" s="77"/>
      <c r="F24" s="77"/>
      <c r="G24" s="77"/>
      <c r="H24" s="78"/>
    </row>
    <row r="25" spans="1:8" ht="30" customHeight="1">
      <c r="A25" s="76" t="s">
        <v>65</v>
      </c>
      <c r="B25" s="77"/>
      <c r="C25" s="77"/>
      <c r="D25" s="77"/>
      <c r="E25" s="77"/>
      <c r="F25" s="77"/>
      <c r="G25" s="77"/>
      <c r="H25" s="78"/>
    </row>
    <row r="26" spans="1:8" ht="30" customHeight="1">
      <c r="A26" s="79" t="s">
        <v>66</v>
      </c>
      <c r="B26" s="80"/>
      <c r="C26" s="80"/>
      <c r="D26" s="80"/>
      <c r="E26" s="80"/>
      <c r="F26" s="80"/>
      <c r="G26" s="80"/>
      <c r="H26" s="81"/>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42" workbookViewId="0">
      <selection activeCell="S43" sqref="S43"/>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8"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2610</v>
      </c>
      <c r="T40" s="11"/>
      <c r="U40" s="28"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46</v>
      </c>
      <c r="T42" s="11"/>
      <c r="U42" s="28" t="s">
        <v>520</v>
      </c>
    </row>
    <row r="43" spans="1:21" ht="193.8">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46</v>
      </c>
      <c r="T43" s="11"/>
      <c r="U43" s="28"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8"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8" priority="1" operator="containsText" text="Done"/>
    <cfRule type="containsText" dxfId="47" priority="2" operator="containsText" text="Blocked"/>
    <cfRule type="containsText" dxfId="46" priority="3" operator="containsText" text="In Progress"/>
    <cfRule type="containsText" dxfId="45"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4" priority="1" operator="containsText" text="Done"/>
    <cfRule type="containsText" dxfId="43" priority="2" operator="containsText" text="Blocked"/>
    <cfRule type="containsText" dxfId="42" priority="3" operator="containsText" text="In Progress"/>
    <cfRule type="containsText" dxfId="41"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0" priority="1" operator="containsText" text="Done"/>
    <cfRule type="containsText" dxfId="39" priority="2" operator="containsText" text="Blocked"/>
    <cfRule type="containsText" dxfId="38" priority="3" operator="containsText" text="In Progress"/>
    <cfRule type="containsText" dxfId="37"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0.5714285714285714</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2610</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s="11" t="s">
        <v>46</v>
      </c>
      <c r="P22" s="28"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122"/>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6" priority="1" operator="containsText" text="Done"/>
    <cfRule type="containsText" dxfId="35" priority="2" operator="containsText" text="Blocked"/>
    <cfRule type="containsText" dxfId="34" priority="3" operator="containsText" text="In Progress"/>
    <cfRule type="containsText" dxfId="33"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2" priority="1" operator="containsText" text="Done"/>
    <cfRule type="containsText" dxfId="31" priority="2" operator="containsText" text="Blocked"/>
    <cfRule type="containsText" dxfId="30" priority="3" operator="containsText" text="In Progress"/>
    <cfRule type="containsText" dxfId="29"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8" priority="1" operator="containsText" text="Done"/>
    <cfRule type="containsText" dxfId="27" priority="2" operator="containsText" text="Blocked"/>
    <cfRule type="containsText" dxfId="26" priority="3" operator="containsText" text="In Progress"/>
    <cfRule type="containsText" dxfId="25"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4" priority="1" operator="containsText" text="Done"/>
    <cfRule type="containsText" dxfId="23" priority="2" operator="containsText" text="Blocked"/>
    <cfRule type="containsText" dxfId="22" priority="3" operator="containsText" text="In Progress"/>
    <cfRule type="containsText" dxfId="21"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K22" workbookViewId="0">
      <selection activeCell="M23" sqref="M23"/>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2578</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2577</v>
      </c>
      <c r="M19" s="22" t="s">
        <v>2442</v>
      </c>
      <c r="N19" s="55" t="s">
        <v>2312</v>
      </c>
    </row>
    <row r="20" spans="1:14" ht="409.6">
      <c r="A20" s="23" t="s">
        <v>397</v>
      </c>
      <c r="B20" s="23" t="s">
        <v>57</v>
      </c>
      <c r="C20" s="23" t="s">
        <v>1071</v>
      </c>
      <c r="D20" s="23" t="s">
        <v>1072</v>
      </c>
      <c r="E20" s="23" t="s">
        <v>1073</v>
      </c>
      <c r="F20" s="23" t="s">
        <v>2388</v>
      </c>
      <c r="G20" s="23" t="s">
        <v>2581</v>
      </c>
      <c r="H20" s="23" t="s">
        <v>2390</v>
      </c>
      <c r="I20" s="23" t="s">
        <v>2443</v>
      </c>
      <c r="J20" s="23" t="s">
        <v>2379</v>
      </c>
      <c r="K20" s="23" t="s">
        <v>2444</v>
      </c>
      <c r="L20" s="23" t="s">
        <v>2580</v>
      </c>
      <c r="M20" s="23" t="s">
        <v>2300</v>
      </c>
      <c r="N20" s="22" t="s">
        <v>2445</v>
      </c>
    </row>
    <row r="21" spans="1:14" ht="409.6">
      <c r="A21" s="22" t="s">
        <v>457</v>
      </c>
      <c r="B21" s="22" t="s">
        <v>57</v>
      </c>
      <c r="C21" s="22" t="s">
        <v>1075</v>
      </c>
      <c r="D21" s="22" t="s">
        <v>1076</v>
      </c>
      <c r="E21" s="22" t="s">
        <v>1077</v>
      </c>
      <c r="F21" s="22" t="s">
        <v>2388</v>
      </c>
      <c r="G21" s="22" t="s">
        <v>2582</v>
      </c>
      <c r="H21" s="22" t="s">
        <v>2390</v>
      </c>
      <c r="I21" s="22" t="s">
        <v>2446</v>
      </c>
      <c r="J21" s="22" t="s">
        <v>2379</v>
      </c>
      <c r="K21" s="22" t="s">
        <v>2447</v>
      </c>
      <c r="L21" s="22" t="s">
        <v>2604</v>
      </c>
      <c r="M21" s="22" t="s">
        <v>2301</v>
      </c>
      <c r="N21" s="55" t="s">
        <v>2448</v>
      </c>
    </row>
    <row r="22" spans="1:14" ht="409.6">
      <c r="A22" s="23" t="s">
        <v>445</v>
      </c>
      <c r="B22" s="23" t="s">
        <v>57</v>
      </c>
      <c r="C22" s="23" t="s">
        <v>1079</v>
      </c>
      <c r="D22" s="23" t="s">
        <v>1080</v>
      </c>
      <c r="E22" s="23" t="s">
        <v>1081</v>
      </c>
      <c r="F22" s="23" t="s">
        <v>2388</v>
      </c>
      <c r="G22" s="23" t="s">
        <v>2605</v>
      </c>
      <c r="H22" s="23" t="s">
        <v>2390</v>
      </c>
      <c r="I22" s="23" t="s">
        <v>2449</v>
      </c>
      <c r="J22" s="23" t="s">
        <v>2379</v>
      </c>
      <c r="K22" s="23" t="s">
        <v>2450</v>
      </c>
      <c r="L22" s="23" t="s">
        <v>2606</v>
      </c>
      <c r="M22" s="23" t="s">
        <v>2451</v>
      </c>
      <c r="N22" s="22" t="s">
        <v>2452</v>
      </c>
    </row>
    <row r="23" spans="1:14" ht="409.6">
      <c r="A23" s="22" t="s">
        <v>514</v>
      </c>
      <c r="B23" s="22" t="s">
        <v>57</v>
      </c>
      <c r="C23" s="22" t="s">
        <v>1083</v>
      </c>
      <c r="D23" s="22" t="s">
        <v>1084</v>
      </c>
      <c r="E23" s="22" t="s">
        <v>1085</v>
      </c>
      <c r="F23" s="22" t="s">
        <v>2388</v>
      </c>
      <c r="G23" s="22" t="s">
        <v>2607</v>
      </c>
      <c r="H23" s="22" t="s">
        <v>2390</v>
      </c>
      <c r="I23" s="22" t="s">
        <v>2453</v>
      </c>
      <c r="J23" s="22" t="s">
        <v>2379</v>
      </c>
      <c r="K23" s="22" t="s">
        <v>510</v>
      </c>
      <c r="L23" s="22" t="s">
        <v>2608</v>
      </c>
      <c r="M23" s="22" t="s">
        <v>2609</v>
      </c>
      <c r="N23" s="55" t="s">
        <v>2454</v>
      </c>
    </row>
    <row r="24" spans="1:14" ht="409.6">
      <c r="A24" s="23" t="s">
        <v>543</v>
      </c>
      <c r="B24" s="23" t="s">
        <v>58</v>
      </c>
      <c r="C24" s="23" t="s">
        <v>1092</v>
      </c>
      <c r="D24" s="23" t="s">
        <v>1093</v>
      </c>
      <c r="E24" s="23" t="s">
        <v>1094</v>
      </c>
      <c r="F24" s="23" t="s">
        <v>2388</v>
      </c>
      <c r="G24" s="23" t="s">
        <v>2455</v>
      </c>
      <c r="H24" s="23" t="s">
        <v>2390</v>
      </c>
      <c r="I24" s="23" t="s">
        <v>2456</v>
      </c>
      <c r="J24" s="23" t="s">
        <v>2379</v>
      </c>
      <c r="K24" s="23" t="s">
        <v>2457</v>
      </c>
      <c r="L24" s="23" t="s">
        <v>2583</v>
      </c>
      <c r="M24" s="23" t="s">
        <v>2302</v>
      </c>
      <c r="N24" s="22" t="s">
        <v>2458</v>
      </c>
    </row>
    <row r="25" spans="1:14" ht="409.6">
      <c r="A25" s="22" t="s">
        <v>564</v>
      </c>
      <c r="B25" s="22" t="s">
        <v>58</v>
      </c>
      <c r="C25" s="22" t="s">
        <v>1096</v>
      </c>
      <c r="D25" s="22" t="s">
        <v>1097</v>
      </c>
      <c r="E25" s="22" t="s">
        <v>1098</v>
      </c>
      <c r="F25" s="22" t="s">
        <v>2388</v>
      </c>
      <c r="G25" s="22" t="s">
        <v>2459</v>
      </c>
      <c r="H25" s="22" t="s">
        <v>2390</v>
      </c>
      <c r="I25" s="22" t="s">
        <v>2460</v>
      </c>
      <c r="J25" s="22" t="s">
        <v>2379</v>
      </c>
      <c r="K25" s="22" t="s">
        <v>2461</v>
      </c>
      <c r="L25" s="22" t="s">
        <v>2584</v>
      </c>
      <c r="M25" s="22" t="s">
        <v>2303</v>
      </c>
      <c r="N25" s="55" t="s">
        <v>2462</v>
      </c>
    </row>
    <row r="26" spans="1:14" ht="409.6">
      <c r="A26" s="23" t="s">
        <v>490</v>
      </c>
      <c r="B26" s="23" t="s">
        <v>58</v>
      </c>
      <c r="C26" s="23" t="s">
        <v>1100</v>
      </c>
      <c r="D26" s="23" t="s">
        <v>1101</v>
      </c>
      <c r="E26" s="23" t="s">
        <v>1102</v>
      </c>
      <c r="F26" s="23" t="s">
        <v>2388</v>
      </c>
      <c r="G26" s="23" t="s">
        <v>2463</v>
      </c>
      <c r="H26" s="23" t="s">
        <v>2390</v>
      </c>
      <c r="I26" s="23" t="s">
        <v>2464</v>
      </c>
      <c r="J26" s="23" t="s">
        <v>2379</v>
      </c>
      <c r="K26" s="23" t="s">
        <v>2465</v>
      </c>
      <c r="L26" s="23" t="s">
        <v>2585</v>
      </c>
      <c r="M26" s="23" t="s">
        <v>2304</v>
      </c>
      <c r="N26" s="22" t="s">
        <v>2466</v>
      </c>
    </row>
    <row r="27" spans="1:14" ht="409.6">
      <c r="A27" s="22" t="s">
        <v>655</v>
      </c>
      <c r="B27" s="22" t="s">
        <v>58</v>
      </c>
      <c r="C27" s="22" t="s">
        <v>1104</v>
      </c>
      <c r="D27" s="22" t="s">
        <v>1105</v>
      </c>
      <c r="E27" s="22" t="s">
        <v>1106</v>
      </c>
      <c r="F27" s="22" t="s">
        <v>2388</v>
      </c>
      <c r="G27" s="22" t="s">
        <v>2467</v>
      </c>
      <c r="H27" s="22" t="s">
        <v>2390</v>
      </c>
      <c r="I27" s="22" t="s">
        <v>2468</v>
      </c>
      <c r="J27" s="22" t="s">
        <v>2379</v>
      </c>
      <c r="K27" s="22" t="s">
        <v>651</v>
      </c>
      <c r="L27" s="22" t="s">
        <v>2586</v>
      </c>
      <c r="M27" s="22" t="s">
        <v>2469</v>
      </c>
      <c r="N27" s="55" t="s">
        <v>2470</v>
      </c>
    </row>
    <row r="28" spans="1:14" ht="409.6">
      <c r="A28" s="23" t="s">
        <v>684</v>
      </c>
      <c r="B28" s="23" t="s">
        <v>59</v>
      </c>
      <c r="C28" s="23" t="s">
        <v>1113</v>
      </c>
      <c r="D28" s="23" t="s">
        <v>1114</v>
      </c>
      <c r="E28" s="23" t="s">
        <v>1115</v>
      </c>
      <c r="F28" s="23" t="s">
        <v>2375</v>
      </c>
      <c r="G28" s="23" t="s">
        <v>2471</v>
      </c>
      <c r="H28" s="23" t="s">
        <v>2377</v>
      </c>
      <c r="I28" s="23" t="s">
        <v>2472</v>
      </c>
      <c r="J28" s="23" t="s">
        <v>2379</v>
      </c>
      <c r="K28" s="23" t="s">
        <v>680</v>
      </c>
      <c r="L28" s="23" t="s">
        <v>2587</v>
      </c>
      <c r="M28" s="23" t="s">
        <v>2473</v>
      </c>
      <c r="N28" s="22" t="s">
        <v>2474</v>
      </c>
    </row>
    <row r="29" spans="1:14" ht="409.6">
      <c r="A29" s="22" t="s">
        <v>696</v>
      </c>
      <c r="B29" s="22" t="s">
        <v>59</v>
      </c>
      <c r="C29" s="22" t="s">
        <v>1117</v>
      </c>
      <c r="D29" s="22" t="s">
        <v>1118</v>
      </c>
      <c r="E29" s="22" t="s">
        <v>1119</v>
      </c>
      <c r="F29" s="22" t="s">
        <v>2388</v>
      </c>
      <c r="G29" s="22" t="s">
        <v>2475</v>
      </c>
      <c r="H29" s="22" t="s">
        <v>2390</v>
      </c>
      <c r="I29" s="22" t="s">
        <v>2476</v>
      </c>
      <c r="J29" s="22" t="s">
        <v>2379</v>
      </c>
      <c r="K29" s="22" t="s">
        <v>2477</v>
      </c>
      <c r="L29" s="22" t="s">
        <v>2588</v>
      </c>
      <c r="M29" s="22" t="s">
        <v>2305</v>
      </c>
      <c r="N29" s="55" t="s">
        <v>2478</v>
      </c>
    </row>
    <row r="30" spans="1:14" ht="409.6">
      <c r="A30" s="23" t="s">
        <v>755</v>
      </c>
      <c r="B30" s="23" t="s">
        <v>59</v>
      </c>
      <c r="C30" s="23" t="s">
        <v>1121</v>
      </c>
      <c r="D30" s="23" t="s">
        <v>1122</v>
      </c>
      <c r="E30" s="23" t="s">
        <v>1123</v>
      </c>
      <c r="F30" s="23" t="s">
        <v>2388</v>
      </c>
      <c r="G30" s="23" t="s">
        <v>2479</v>
      </c>
      <c r="H30" s="23" t="s">
        <v>2390</v>
      </c>
      <c r="I30" s="23" t="s">
        <v>2480</v>
      </c>
      <c r="J30" s="23" t="s">
        <v>2379</v>
      </c>
      <c r="K30" s="23" t="s">
        <v>2481</v>
      </c>
      <c r="L30" s="23" t="s">
        <v>2589</v>
      </c>
      <c r="M30" s="23" t="s">
        <v>2306</v>
      </c>
      <c r="N30" s="22" t="s">
        <v>2482</v>
      </c>
    </row>
    <row r="31" spans="1:14" ht="409.6">
      <c r="A31" s="22" t="s">
        <v>742</v>
      </c>
      <c r="B31" s="22" t="s">
        <v>59</v>
      </c>
      <c r="C31" s="22" t="s">
        <v>1125</v>
      </c>
      <c r="D31" s="22" t="s">
        <v>1126</v>
      </c>
      <c r="E31" s="22" t="s">
        <v>1127</v>
      </c>
      <c r="F31" s="22" t="s">
        <v>2388</v>
      </c>
      <c r="G31" s="22" t="s">
        <v>2483</v>
      </c>
      <c r="H31" s="22" t="s">
        <v>2390</v>
      </c>
      <c r="I31" s="22" t="s">
        <v>2484</v>
      </c>
      <c r="J31" s="22" t="s">
        <v>2379</v>
      </c>
      <c r="K31" s="22" t="s">
        <v>738</v>
      </c>
      <c r="L31" s="22" t="s">
        <v>2590</v>
      </c>
      <c r="M31" s="22" t="s">
        <v>2485</v>
      </c>
      <c r="N31" s="55" t="s">
        <v>2486</v>
      </c>
    </row>
    <row r="32" spans="1:14" ht="409.6">
      <c r="A32" s="23" t="s">
        <v>777</v>
      </c>
      <c r="B32" s="23" t="s">
        <v>59</v>
      </c>
      <c r="C32" s="23" t="s">
        <v>1129</v>
      </c>
      <c r="D32" s="23" t="s">
        <v>1130</v>
      </c>
      <c r="E32" s="23" t="s">
        <v>1131</v>
      </c>
      <c r="F32" s="23" t="s">
        <v>2388</v>
      </c>
      <c r="G32" s="23" t="s">
        <v>2487</v>
      </c>
      <c r="H32" s="23" t="s">
        <v>2390</v>
      </c>
      <c r="I32" s="23" t="s">
        <v>2488</v>
      </c>
      <c r="J32" s="23" t="s">
        <v>2379</v>
      </c>
      <c r="K32" s="23" t="s">
        <v>2489</v>
      </c>
      <c r="L32" s="23" t="s">
        <v>2591</v>
      </c>
      <c r="M32" s="23" t="s">
        <v>2307</v>
      </c>
      <c r="N32" s="22" t="s">
        <v>2490</v>
      </c>
    </row>
    <row r="33" spans="1:14" ht="409.6">
      <c r="A33" s="22" t="s">
        <v>850</v>
      </c>
      <c r="B33" s="22" t="s">
        <v>60</v>
      </c>
      <c r="C33" s="22" t="s">
        <v>1138</v>
      </c>
      <c r="D33" s="22" t="s">
        <v>1139</v>
      </c>
      <c r="E33" s="22" t="s">
        <v>1140</v>
      </c>
      <c r="F33" s="22" t="s">
        <v>2388</v>
      </c>
      <c r="G33" s="22" t="s">
        <v>2491</v>
      </c>
      <c r="H33" s="22" t="s">
        <v>2390</v>
      </c>
      <c r="I33" s="22" t="s">
        <v>2492</v>
      </c>
      <c r="J33" s="22" t="s">
        <v>2379</v>
      </c>
      <c r="K33" s="22" t="s">
        <v>2493</v>
      </c>
      <c r="L33" s="22" t="s">
        <v>2592</v>
      </c>
      <c r="M33" s="22" t="s">
        <v>2308</v>
      </c>
      <c r="N33" s="55" t="s">
        <v>2494</v>
      </c>
    </row>
    <row r="34" spans="1:14" ht="409.6">
      <c r="A34" s="23" t="s">
        <v>895</v>
      </c>
      <c r="B34" s="23" t="s">
        <v>60</v>
      </c>
      <c r="C34" s="23" t="s">
        <v>1142</v>
      </c>
      <c r="D34" s="23" t="s">
        <v>1143</v>
      </c>
      <c r="E34" s="23" t="s">
        <v>1144</v>
      </c>
      <c r="F34" s="23" t="s">
        <v>2388</v>
      </c>
      <c r="G34" s="23" t="s">
        <v>2495</v>
      </c>
      <c r="H34" s="23" t="s">
        <v>2390</v>
      </c>
      <c r="I34" s="23" t="s">
        <v>2496</v>
      </c>
      <c r="J34" s="23" t="s">
        <v>2379</v>
      </c>
      <c r="K34" s="23" t="s">
        <v>2497</v>
      </c>
      <c r="L34" s="23" t="s">
        <v>2593</v>
      </c>
      <c r="M34" s="23" t="s">
        <v>2498</v>
      </c>
      <c r="N34" s="22" t="s">
        <v>2499</v>
      </c>
    </row>
    <row r="35" spans="1:14" ht="409.6">
      <c r="A35" s="22" t="s">
        <v>942</v>
      </c>
      <c r="B35" s="22" t="s">
        <v>60</v>
      </c>
      <c r="C35" s="22" t="s">
        <v>1146</v>
      </c>
      <c r="D35" s="22" t="s">
        <v>1147</v>
      </c>
      <c r="E35" s="22" t="s">
        <v>1148</v>
      </c>
      <c r="F35" s="22" t="s">
        <v>2388</v>
      </c>
      <c r="G35" s="22" t="s">
        <v>2500</v>
      </c>
      <c r="H35" s="22" t="s">
        <v>2390</v>
      </c>
      <c r="I35" s="22" t="s">
        <v>2501</v>
      </c>
      <c r="J35" s="22" t="s">
        <v>2379</v>
      </c>
      <c r="K35" s="22" t="s">
        <v>2502</v>
      </c>
      <c r="L35" s="22" t="s">
        <v>2594</v>
      </c>
      <c r="M35" s="22" t="s">
        <v>2309</v>
      </c>
      <c r="N35" s="55" t="s">
        <v>2503</v>
      </c>
    </row>
    <row r="36" spans="1:14" ht="409.6">
      <c r="A36" s="23" t="s">
        <v>2324</v>
      </c>
      <c r="B36" s="23" t="s">
        <v>56</v>
      </c>
      <c r="C36" s="23" t="s">
        <v>2504</v>
      </c>
      <c r="D36" s="23" t="s">
        <v>2505</v>
      </c>
      <c r="E36" s="23" t="s">
        <v>2506</v>
      </c>
      <c r="F36" s="23" t="s">
        <v>2507</v>
      </c>
      <c r="G36" s="23" t="s">
        <v>2508</v>
      </c>
      <c r="H36" s="23" t="s">
        <v>2377</v>
      </c>
      <c r="I36" s="23" t="s">
        <v>2509</v>
      </c>
      <c r="J36" s="23" t="s">
        <v>2379</v>
      </c>
      <c r="K36" s="23" t="s">
        <v>225</v>
      </c>
      <c r="L36" s="23" t="s">
        <v>2595</v>
      </c>
      <c r="M36" s="23" t="s">
        <v>2510</v>
      </c>
      <c r="N36" s="22" t="s">
        <v>2511</v>
      </c>
    </row>
    <row r="37" spans="1:14" ht="409.6">
      <c r="A37" s="23" t="s">
        <v>2331</v>
      </c>
      <c r="B37" s="23" t="s">
        <v>37</v>
      </c>
      <c r="C37" s="23" t="s">
        <v>2512</v>
      </c>
      <c r="D37" s="23" t="s">
        <v>2513</v>
      </c>
      <c r="E37" s="23" t="s">
        <v>2514</v>
      </c>
      <c r="F37" s="23" t="s">
        <v>2507</v>
      </c>
      <c r="G37" s="23" t="s">
        <v>2515</v>
      </c>
      <c r="H37" s="23" t="s">
        <v>2377</v>
      </c>
      <c r="I37" s="23" t="s">
        <v>2516</v>
      </c>
      <c r="J37" s="23" t="s">
        <v>2379</v>
      </c>
      <c r="K37" s="23" t="s">
        <v>376</v>
      </c>
      <c r="L37" s="23" t="s">
        <v>2596</v>
      </c>
      <c r="M37" s="23" t="s">
        <v>2517</v>
      </c>
      <c r="N37" s="22" t="s">
        <v>2518</v>
      </c>
    </row>
    <row r="38" spans="1:14" ht="409.6">
      <c r="A38" s="23" t="s">
        <v>2334</v>
      </c>
      <c r="B38" s="23" t="s">
        <v>57</v>
      </c>
      <c r="C38" s="23" t="s">
        <v>2519</v>
      </c>
      <c r="D38" s="23" t="s">
        <v>2520</v>
      </c>
      <c r="E38" s="23" t="s">
        <v>2521</v>
      </c>
      <c r="F38" s="23" t="s">
        <v>2507</v>
      </c>
      <c r="G38" s="23" t="s">
        <v>2522</v>
      </c>
      <c r="H38" s="23" t="s">
        <v>2377</v>
      </c>
      <c r="I38" s="23" t="s">
        <v>2523</v>
      </c>
      <c r="J38" s="23" t="s">
        <v>2379</v>
      </c>
      <c r="K38" s="23" t="s">
        <v>521</v>
      </c>
      <c r="L38" s="23" t="s">
        <v>2597</v>
      </c>
      <c r="M38" s="23" t="s">
        <v>2524</v>
      </c>
      <c r="N38" s="22" t="s">
        <v>2525</v>
      </c>
    </row>
    <row r="39" spans="1:14" ht="409.6">
      <c r="A39" s="23" t="s">
        <v>2337</v>
      </c>
      <c r="B39" s="23" t="s">
        <v>58</v>
      </c>
      <c r="C39" s="23" t="s">
        <v>2526</v>
      </c>
      <c r="D39" s="23" t="s">
        <v>2527</v>
      </c>
      <c r="E39" s="23" t="s">
        <v>2528</v>
      </c>
      <c r="F39" s="23" t="s">
        <v>2507</v>
      </c>
      <c r="G39" s="23" t="s">
        <v>2529</v>
      </c>
      <c r="H39" s="23" t="s">
        <v>2377</v>
      </c>
      <c r="I39" s="23" t="s">
        <v>2530</v>
      </c>
      <c r="J39" s="23" t="s">
        <v>2379</v>
      </c>
      <c r="K39" s="23" t="s">
        <v>662</v>
      </c>
      <c r="L39" s="23" t="s">
        <v>2598</v>
      </c>
      <c r="M39" s="23" t="s">
        <v>2531</v>
      </c>
      <c r="N39" s="22" t="s">
        <v>2532</v>
      </c>
    </row>
    <row r="40" spans="1:14" ht="409.6">
      <c r="A40" s="23" t="s">
        <v>2345</v>
      </c>
      <c r="B40" s="23" t="s">
        <v>59</v>
      </c>
      <c r="C40" s="23" t="s">
        <v>2533</v>
      </c>
      <c r="D40" s="23" t="s">
        <v>2534</v>
      </c>
      <c r="E40" s="23" t="s">
        <v>2535</v>
      </c>
      <c r="F40" s="23" t="s">
        <v>2507</v>
      </c>
      <c r="G40" s="23" t="s">
        <v>2536</v>
      </c>
      <c r="H40" s="23" t="s">
        <v>2377</v>
      </c>
      <c r="I40" s="23" t="s">
        <v>2537</v>
      </c>
      <c r="J40" s="23" t="s">
        <v>2379</v>
      </c>
      <c r="K40" s="23" t="s">
        <v>815</v>
      </c>
      <c r="L40" s="23" t="s">
        <v>2599</v>
      </c>
      <c r="M40" s="23" t="s">
        <v>2538</v>
      </c>
      <c r="N40" s="22" t="s">
        <v>2539</v>
      </c>
    </row>
    <row r="41" spans="1:14" ht="409.6">
      <c r="A41" s="22" t="s">
        <v>2540</v>
      </c>
      <c r="B41" s="22" t="s">
        <v>1567</v>
      </c>
      <c r="C41" s="22" t="s">
        <v>2541</v>
      </c>
      <c r="D41" s="22" t="s">
        <v>2542</v>
      </c>
      <c r="E41" s="22" t="s">
        <v>2543</v>
      </c>
      <c r="F41" s="22" t="s">
        <v>2388</v>
      </c>
      <c r="G41" s="22" t="s">
        <v>2544</v>
      </c>
      <c r="H41" s="22" t="s">
        <v>2390</v>
      </c>
      <c r="I41" s="22" t="s">
        <v>2545</v>
      </c>
      <c r="J41" s="22" t="s">
        <v>2379</v>
      </c>
      <c r="K41" s="22" t="s">
        <v>1567</v>
      </c>
      <c r="L41" s="22" t="s">
        <v>2600</v>
      </c>
      <c r="M41" s="22" t="s">
        <v>2546</v>
      </c>
      <c r="N41" s="55" t="s">
        <v>2547</v>
      </c>
    </row>
    <row r="42" spans="1:14" ht="409.6">
      <c r="A42" s="23" t="s">
        <v>2548</v>
      </c>
      <c r="B42" s="23" t="s">
        <v>1567</v>
      </c>
      <c r="C42" s="23" t="s">
        <v>2549</v>
      </c>
      <c r="D42" s="23" t="s">
        <v>2550</v>
      </c>
      <c r="E42" s="23" t="s">
        <v>2551</v>
      </c>
      <c r="F42" s="23" t="s">
        <v>2388</v>
      </c>
      <c r="G42" s="23" t="s">
        <v>2552</v>
      </c>
      <c r="H42" s="23" t="s">
        <v>2390</v>
      </c>
      <c r="I42" s="23" t="s">
        <v>2553</v>
      </c>
      <c r="J42" s="23" t="s">
        <v>2379</v>
      </c>
      <c r="K42" s="23" t="s">
        <v>1567</v>
      </c>
      <c r="L42" s="23" t="s">
        <v>2601</v>
      </c>
      <c r="M42" s="23" t="s">
        <v>2554</v>
      </c>
      <c r="N42" s="22" t="s">
        <v>2555</v>
      </c>
    </row>
    <row r="43" spans="1:14" ht="409.6" customHeight="1">
      <c r="A43" s="27" t="s">
        <v>2556</v>
      </c>
      <c r="B43" s="27" t="s">
        <v>56</v>
      </c>
      <c r="C43" s="27" t="s">
        <v>2557</v>
      </c>
      <c r="D43" s="27" t="s">
        <v>2558</v>
      </c>
      <c r="E43" s="27" t="s">
        <v>2559</v>
      </c>
      <c r="F43" s="27" t="s">
        <v>2437</v>
      </c>
      <c r="G43" s="28" t="s">
        <v>2560</v>
      </c>
      <c r="H43" s="27" t="s">
        <v>2377</v>
      </c>
      <c r="I43" s="27" t="s">
        <v>2561</v>
      </c>
      <c r="J43" s="27" t="s">
        <v>2379</v>
      </c>
      <c r="K43" s="27" t="s">
        <v>2562</v>
      </c>
      <c r="L43" s="27" t="s">
        <v>2602</v>
      </c>
      <c r="M43" s="27" t="s">
        <v>2563</v>
      </c>
      <c r="N43" s="55" t="s">
        <v>2564</v>
      </c>
    </row>
    <row r="44" spans="1:14" ht="319.95" customHeight="1">
      <c r="A44" s="27" t="s">
        <v>241</v>
      </c>
      <c r="B44" s="27" t="s">
        <v>2565</v>
      </c>
      <c r="C44" s="27" t="s">
        <v>2566</v>
      </c>
      <c r="D44" s="27" t="s">
        <v>2567</v>
      </c>
      <c r="E44" s="27" t="s">
        <v>2568</v>
      </c>
      <c r="F44" s="27" t="s">
        <v>2569</v>
      </c>
      <c r="G44" s="28" t="s">
        <v>2570</v>
      </c>
      <c r="H44" s="27" t="s">
        <v>2310</v>
      </c>
      <c r="I44" s="27" t="s">
        <v>2571</v>
      </c>
      <c r="J44" s="27" t="s">
        <v>2441</v>
      </c>
      <c r="K44" s="27" t="s">
        <v>2572</v>
      </c>
      <c r="L44" s="27" t="s">
        <v>2603</v>
      </c>
      <c r="M44" s="27" t="s">
        <v>2311</v>
      </c>
      <c r="N44" s="22" t="s">
        <v>2313</v>
      </c>
    </row>
  </sheetData>
  <mergeCells count="2">
    <mergeCell ref="A1:J1"/>
    <mergeCell ref="A2:J2"/>
  </mergeCells>
  <conditionalFormatting sqref="J6:J758">
    <cfRule type="containsText" dxfId="20" priority="1" operator="containsText" text="Approved"/>
    <cfRule type="containsText" dxfId="19" priority="2" operator="containsText" text="Blocked"/>
    <cfRule type="containsText" dxfId="18" priority="3" operator="containsText" text="In Progress"/>
    <cfRule type="containsText" dxfId="17"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2573</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2574</v>
      </c>
      <c r="F25" s="11" t="s">
        <v>1385</v>
      </c>
      <c r="G25" s="11" t="s">
        <v>1386</v>
      </c>
      <c r="H25" s="11" t="s">
        <v>1320</v>
      </c>
      <c r="I25" s="18"/>
      <c r="J25" s="11"/>
      <c r="K25" s="11"/>
      <c r="L25" s="11"/>
    </row>
    <row r="26" spans="1:12" ht="182.4">
      <c r="A26" s="11" t="s">
        <v>1387</v>
      </c>
      <c r="B26" s="11" t="s">
        <v>59</v>
      </c>
      <c r="C26" s="11" t="s">
        <v>1388</v>
      </c>
      <c r="D26" s="11" t="s">
        <v>1389</v>
      </c>
      <c r="E26" s="11" t="s">
        <v>2575</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2576</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6" priority="1" operator="containsText" text="Pass"/>
    <cfRule type="containsText" dxfId="15" priority="2" operator="containsText" text="Blocked"/>
    <cfRule type="containsText" dxfId="14" priority="3" operator="containsText" text="In Progress"/>
    <cfRule type="containsText" dxfId="13"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2" priority="1" operator="containsText" text="Approved"/>
    <cfRule type="containsText" dxfId="11" priority="2" operator="containsText" text="Blocked"/>
    <cfRule type="containsText" dxfId="10" priority="3" operator="containsText" text="In Progress"/>
    <cfRule type="containsText" dxfId="9"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C17" sqref="C17"/>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2579</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2579</v>
      </c>
      <c r="G30" s="11" t="s">
        <v>93</v>
      </c>
      <c r="H30" s="11" t="s">
        <v>1653</v>
      </c>
      <c r="I30" s="20"/>
      <c r="J30" s="18"/>
    </row>
  </sheetData>
  <mergeCells count="2">
    <mergeCell ref="A1:J1"/>
    <mergeCell ref="A2:J2"/>
  </mergeCells>
  <conditionalFormatting sqref="F6:F30">
    <cfRule type="containsText" dxfId="8" priority="1" operator="containsText" text="Done"/>
    <cfRule type="containsText" dxfId="7" priority="2" operator="containsText" text="Blocked"/>
    <cfRule type="containsText" dxfId="6" priority="3" operator="containsText" text="In Progress"/>
    <cfRule type="containsText" dxfId="5"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4" priority="1" operator="containsText" text="MUST"/>
    <cfRule type="containsText" dxfId="3" priority="2" operator="containsText" text="SHOULD"/>
    <cfRule type="containsText" dxfId="2"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1"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2026-08-27T14:45:11Z</dcterms:modified>
</cp:coreProperties>
</file>