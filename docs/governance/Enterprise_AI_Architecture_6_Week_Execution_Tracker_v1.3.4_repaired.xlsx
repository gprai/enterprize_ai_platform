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6165659A-FE48-4919-809E-266AD87AC293}" xr6:coauthVersionLast="47" xr6:coauthVersionMax="47" xr10:uidLastSave="{00000000-0000-0000-0000-000000000000}"/>
  <bookViews>
    <workbookView xWindow="-108" yWindow="-108" windowWidth="23256" windowHeight="13896" tabRatio="788" firstSheet="4" activeTab="4"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2" i="11" l="1" a="1"/>
  <c r="L32" i="11" s="1"/>
  <c r="L33" i="11" a="1"/>
  <c r="L33" i="11" s="1"/>
  <c r="L34" i="11" a="1"/>
  <c r="L34" i="11" s="1"/>
  <c r="L45" i="11" a="1"/>
  <c r="L45" i="11" s="1"/>
  <c r="L46" i="11" a="1"/>
  <c r="L46" i="11" s="1"/>
  <c r="L47" i="11" a="1"/>
  <c r="L47" i="11" s="1"/>
  <c r="L48" i="11" a="1"/>
  <c r="L48" i="11" s="1"/>
  <c r="L49" i="11" a="1"/>
  <c r="L49" i="11" s="1"/>
  <c r="L50" i="11" a="1"/>
  <c r="L50" i="11" s="1"/>
  <c r="L51" i="11" a="1"/>
  <c r="L51" i="11" s="1"/>
  <c r="L52" i="11" a="1"/>
  <c r="L52" i="11" s="1"/>
  <c r="L53" i="11" a="1"/>
  <c r="L53" i="11" s="1"/>
  <c r="L54" i="11" a="1"/>
  <c r="L54" i="11" s="1"/>
  <c r="L55" i="11" a="1"/>
  <c r="L55" i="11" s="1"/>
  <c r="L56" i="11" a="1"/>
  <c r="L56" i="11" s="1"/>
  <c r="L60" i="11" a="1"/>
  <c r="L60" i="11" s="1"/>
  <c r="L61" i="11" a="1"/>
  <c r="L61" i="11" s="1"/>
  <c r="L62" i="11" a="1"/>
  <c r="L62" i="11" s="1"/>
  <c r="L63" i="11" a="1"/>
  <c r="L63" i="11" s="1"/>
  <c r="L64" i="11" a="1"/>
  <c r="L64" i="11" s="1"/>
  <c r="L65" i="11" a="1"/>
  <c r="L65" i="11" s="1"/>
  <c r="L66" i="11" a="1"/>
  <c r="L66" i="11" s="1"/>
  <c r="L77" i="11" a="1"/>
  <c r="L77" i="11" s="1"/>
  <c r="L78" i="11" a="1"/>
  <c r="L78" i="11" s="1"/>
  <c r="L80" i="11" a="1"/>
  <c r="L80" i="11" s="1"/>
  <c r="L82" i="11" a="1"/>
  <c r="L82" i="11" s="1"/>
  <c r="L83" i="11" a="1"/>
  <c r="L83" i="11" s="1"/>
  <c r="L87" i="11" a="1"/>
  <c r="L87" i="11" s="1"/>
  <c r="L88" i="11" a="1"/>
  <c r="L88" i="11" s="1"/>
  <c r="L92" i="11" a="1"/>
  <c r="L92" i="11" s="1"/>
  <c r="L93" i="11" a="1"/>
  <c r="L93" i="11" s="1"/>
  <c r="L94" i="11" a="1"/>
  <c r="L94" i="11" s="1"/>
  <c r="L95" i="11" a="1"/>
  <c r="L95" i="11" s="1"/>
  <c r="L97" i="11" a="1"/>
  <c r="L97" i="11" s="1"/>
  <c r="L111" i="11" a="1"/>
  <c r="L111" i="11" s="1"/>
  <c r="L112" i="11" a="1"/>
  <c r="L112" i="11" s="1"/>
  <c r="L113" i="11" a="1"/>
  <c r="L113" i="11" s="1"/>
  <c r="L114" i="11" a="1"/>
  <c r="L114" i="11" s="1"/>
  <c r="L115" i="11" a="1"/>
  <c r="L115" i="11" s="1"/>
  <c r="L116" i="11" a="1"/>
  <c r="L116" i="11" s="1"/>
  <c r="L180" i="11" a="1"/>
  <c r="L180" i="11" s="1"/>
  <c r="L181" i="11" a="1"/>
  <c r="L181" i="11" s="1"/>
  <c r="L182" i="11" a="1"/>
  <c r="L182" i="11" s="1"/>
  <c r="L183" i="11" a="1"/>
  <c r="L183" i="11" s="1"/>
  <c r="L184" i="11" a="1"/>
  <c r="L184" i="11" s="1"/>
  <c r="L185" i="11" a="1"/>
  <c r="L185" i="11" s="1"/>
  <c r="L186" i="11" a="1"/>
  <c r="L186" i="11" s="1"/>
  <c r="L187" i="11" a="1"/>
  <c r="L187" i="11" s="1"/>
  <c r="L188" i="11" a="1"/>
  <c r="L188" i="11" s="1"/>
  <c r="L189" i="11" a="1"/>
  <c r="L189" i="11" s="1"/>
  <c r="L214" i="11" a="1"/>
  <c r="L214" i="11" s="1"/>
  <c r="L215" i="11" a="1"/>
  <c r="L215" i="11" s="1"/>
  <c r="L216" i="11" a="1"/>
  <c r="L216" i="11" s="1"/>
  <c r="L217" i="11" a="1"/>
  <c r="L217" i="11" s="1"/>
  <c r="L218" i="11" a="1"/>
  <c r="L218" i="11" s="1"/>
  <c r="L219" i="11" a="1"/>
  <c r="L219" i="11" s="1"/>
  <c r="L221" i="11" a="1"/>
  <c r="L221" i="11" s="1"/>
  <c r="L222" i="11" a="1"/>
  <c r="L222" i="11" s="1"/>
  <c r="L223" i="11" a="1"/>
  <c r="L223" i="11" s="1"/>
  <c r="L224" i="11" a="1"/>
  <c r="L224" i="11" s="1"/>
  <c r="L225" i="11" a="1"/>
  <c r="L225" i="11" s="1"/>
  <c r="L226" i="11" a="1"/>
  <c r="L226" i="11" s="1"/>
  <c r="L228" i="11" a="1"/>
  <c r="L228" i="11" s="1"/>
  <c r="L270" i="11" a="1"/>
  <c r="L270" i="11" s="1"/>
  <c r="L271" i="11" a="1"/>
  <c r="L271" i="11" s="1"/>
  <c r="L278" i="11" a="1"/>
  <c r="L278" i="11" s="1"/>
  <c r="L283" i="11" a="1"/>
  <c r="L283" i="11" s="1"/>
  <c r="L302" i="11" a="1"/>
  <c r="L302" i="11" s="1"/>
  <c r="L303" i="11" a="1"/>
  <c r="L303" i="11" s="1"/>
  <c r="L304" i="11" a="1"/>
  <c r="L304" i="11" s="1"/>
  <c r="L305" i="11" a="1"/>
  <c r="L305" i="11" s="1"/>
  <c r="L306" i="11" a="1"/>
  <c r="L306" i="11" s="1"/>
  <c r="L307" i="11" a="1"/>
  <c r="L307" i="11" s="1"/>
  <c r="L308" i="11" a="1"/>
  <c r="L308" i="11" s="1"/>
  <c r="L309" i="11" a="1"/>
  <c r="L309" i="11" s="1"/>
  <c r="L310" i="11" a="1"/>
  <c r="L310" i="11" s="1"/>
  <c r="L311" i="11" a="1"/>
  <c r="L311" i="11" s="1"/>
  <c r="L312" i="11" a="1"/>
  <c r="L312" i="11" s="1"/>
  <c r="L313" i="11" a="1"/>
  <c r="L313" i="11" s="1"/>
  <c r="L327" i="11" a="1"/>
  <c r="L327" i="11" s="1"/>
  <c r="L332" i="11" a="1"/>
  <c r="L332" i="11" s="1"/>
  <c r="L333" i="11" a="1"/>
  <c r="L333" i="11" s="1"/>
  <c r="L340" i="11" a="1"/>
  <c r="L340" i="11" s="1"/>
  <c r="L356" i="11"/>
  <c r="L357" i="11"/>
  <c r="L397" i="11" a="1"/>
  <c r="L397" i="11" s="1"/>
  <c r="L398" i="11" a="1"/>
  <c r="L398" i="11" s="1"/>
  <c r="L403" i="11" a="1"/>
  <c r="L403" i="11" s="1"/>
  <c r="L408" i="11" a="1"/>
  <c r="L408" i="11" s="1"/>
  <c r="L409" i="11" a="1"/>
  <c r="L409" i="11" s="1"/>
  <c r="L410" i="11" a="1"/>
  <c r="L410" i="11" s="1"/>
  <c r="L412" i="11" a="1"/>
  <c r="L412" i="11" s="1"/>
  <c r="L414" i="11" a="1"/>
  <c r="L414" i="11"/>
  <c r="L415" i="11" a="1"/>
  <c r="L415" i="11" s="1"/>
  <c r="L416" i="11" a="1"/>
  <c r="L416" i="11" s="1"/>
  <c r="L418" i="11" a="1"/>
  <c r="L418" i="11" s="1"/>
  <c r="L452" i="11" a="1"/>
  <c r="L452" i="11" s="1"/>
  <c r="L456" i="11" a="1"/>
  <c r="L456" i="11" s="1"/>
  <c r="L457" i="11" a="1"/>
  <c r="L457" i="11" s="1"/>
  <c r="L458" i="11" a="1"/>
  <c r="L458" i="11" s="1"/>
  <c r="L459" i="11" a="1"/>
  <c r="L459" i="11" s="1"/>
  <c r="L460" i="11" a="1"/>
  <c r="L460" i="11" s="1"/>
  <c r="H18" i="19"/>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8" i="2" l="1"/>
  <c r="H18" i="2" s="1"/>
  <c r="D13" i="2"/>
  <c r="H13" i="2" s="1"/>
  <c r="D15" i="2"/>
  <c r="H15" i="2" s="1"/>
  <c r="D17" i="2"/>
  <c r="H17" i="2" s="1"/>
  <c r="D16" i="2"/>
  <c r="H16" i="2" s="1"/>
  <c r="D14" i="2"/>
  <c r="H14" i="2" s="1"/>
  <c r="G5"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<sst xmlns="http://schemas.openxmlformats.org/spreadsheetml/2006/main" count="5693" uniqueCount="2849">
  <si>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</si>
  <si>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</si>
  <si>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</si>
  <si>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</si>
  <si>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</si>
  <si>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</si>
  <si>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</si>
  <si>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</si>
  <si>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</si>
  <si>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</si>
  <si>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</si>
  <si>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</si>
  <si>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</si>
  <si>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</si>
  <si>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</si>
  <si>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</si>
  <si>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</si>
  <si>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</si>
  <si>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</si>
  <si>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</si>
  <si>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</si>
  <si>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</si>
  <si>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</si>
  <si>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</si>
  <si>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</si>
  <si>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</si>
  <si>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</si>
  <si>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</si>
  <si>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</si>
  <si>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</si>
  <si>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</si>
  <si>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</si>
  <si>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</si>
  <si>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</si>
  <si>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</si>
  <si>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</si>
  <si>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</si>
  <si>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</si>
  <si>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</si>
  <si>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</si>
  <si>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</si>
  <si>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</si>
  <si>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</si>
  <si>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</si>
  <si>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</si>
  <si>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</si>
  <si>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</si>
  <si>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</si>
  <si>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</si>
  <si>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</si>
  <si>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</si>
  <si>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</si>
  <si>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</si>
  <si>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</si>
  <si>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</si>
  <si>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</si>
  <si>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</si>
  <si>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</si>
  <si>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</si>
  <si>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</si>
  <si>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</si>
  <si>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</si>
  <si>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</si>
  <si>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</si>
  <si>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</si>
  <si>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</si>
  <si>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</si>
  <si>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</si>
  <si>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</si>
  <si>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</si>
  <si>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</si>
  <si>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</si>
  <si>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</si>
  <si>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</si>
  <si>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</si>
  <si>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</si>
  <si>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</si>
  <si>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</si>
  <si>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</si>
  <si>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</si>
  <si>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</si>
  <si>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</si>
  <si>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</si>
  <si>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</si>
  <si>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</si>
  <si>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</si>
  <si>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</si>
  <si>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</si>
  <si>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</si>
  <si>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</si>
  <si>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</si>
  <si>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</si>
  <si>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</si>
  <si>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</si>
  <si>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</si>
  <si>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</si>
  <si>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</si>
  <si>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</si>
  <si>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</si>
  <si>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</si>
  <si>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</si>
  <si>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</si>
  <si>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</si>
  <si>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</si>
  <si>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</si>
  <si>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</si>
  <si>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</si>
  <si>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</si>
  <si>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</si>
  <si>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</si>
  <si>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</si>
  <si>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</si>
  <si>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</si>
  <si>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</si>
  <si>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</si>
  <si>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</si>
  <si>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</si>
  <si>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</si>
  <si>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</si>
  <si>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</si>
  <si>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</si>
  <si>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</si>
  <si>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</si>
  <si>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</si>
  <si>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</si>
  <si>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</si>
  <si>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</si>
  <si>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</si>
  <si>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</si>
  <si>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</si>
  <si>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</si>
  <si>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</si>
  <si>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</si>
  <si>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</si>
  <si>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</si>
  <si>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</si>
  <si>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</si>
  <si>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</si>
  <si>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</si>
  <si>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</si>
  <si>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</si>
  <si>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</si>
  <si>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</si>
  <si>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</si>
  <si>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</si>
  <si>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</si>
  <si>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</si>
  <si>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</si>
  <si>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</si>
  <si>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</si>
  <si>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</si>
  <si>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</si>
  <si>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</si>
  <si>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</si>
  <si>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</si>
  <si>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</si>
  <si>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</si>
  <si>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</si>
  <si>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</si>
  <si>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</si>
  <si>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</si>
  <si>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</si>
  <si>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</si>
  <si>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</si>
  <si>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</si>
  <si>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</si>
  <si>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</si>
  <si>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</si>
  <si>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</si>
  <si>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</si>
  <si>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</si>
  <si>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</si>
  <si>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</si>
  <si>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</si>
  <si>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</si>
  <si>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</si>
  <si>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</si>
  <si>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</si>
  <si>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</si>
  <si>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</si>
  <si>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</si>
  <si>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</si>
  <si>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</si>
  <si>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</si>
  <si>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</si>
  <si>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</si>
  <si>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</si>
  <si>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</si>
  <si>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</si>
  <si>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</si>
  <si>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</si>
  <si>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</si>
  <si>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</si>
  <si>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</si>
  <si>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</si>
  <si>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</si>
  <si>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</si>
  <si>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</si>
  <si>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</si>
  <si>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</si>
  <si>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</si>
  <si>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</si>
  <si>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</si>
  <si>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</si>
  <si>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</si>
  <si>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</si>
  <si>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</si>
  <si>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</si>
  <si>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</si>
  <si>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</si>
  <si>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</si>
  <si>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</si>
  <si>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</si>
  <si>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</si>
  <si>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</si>
  <si>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</si>
  <si>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</si>
  <si>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</si>
  <si>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</si>
  <si>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</si>
  <si>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</si>
  <si>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</si>
  <si>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</si>
  <si>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</si>
  <si>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</si>
  <si>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</si>
  <si>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</si>
  <si>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</si>
  <si>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</si>
  <si>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All Week 1 TODOs</t>
  </si>
  <si>
    <t>Every MUST step is Done; no blocker or unapproved scope remains.</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</si>
  <si>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</si>
  <si>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</si>
  <si>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</si>
  <si>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</si>
  <si>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</si>
  <si>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</si>
  <si>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</si>
  <si>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</si>
  <si>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</si>
  <si>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</si>
  <si>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</si>
  <si>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</si>
  <si>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</si>
  <si>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</si>
  <si>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</si>
  <si>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</si>
  <si>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</si>
  <si>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</si>
  <si>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</si>
  <si>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</si>
  <si>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</si>
  <si>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</si>
  <si>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</si>
  <si>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</si>
  <si>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</si>
  <si>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</si>
  <si>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</si>
  <si>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</si>
  <si>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</si>
  <si>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</si>
  <si>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</si>
  <si>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</si>
  <si>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</si>
  <si>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</si>
  <si>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</si>
  <si>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</si>
  <si>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</si>
  <si>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</si>
  <si>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</si>
  <si>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</si>
  <si>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</si>
  <si>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</si>
  <si>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</si>
  <si>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</si>
  <si>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</si>
  <si>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</si>
  <si>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Service is healthy; image version is pinned.</t>
  </si>
  <si>
    <t>docs/test-evidence/W2-03-qdrant.txt</t>
  </si>
  <si>
    <t>ADR-003</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</si>
  <si>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</si>
  <si>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</si>
  <si>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</si>
  <si>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</si>
  <si>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</si>
  <si>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</si>
  <si>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</si>
  <si>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</si>
  <si>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</si>
  <si>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</si>
  <si>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</si>
  <si>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</si>
  <si>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</si>
  <si>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</si>
  <si>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</si>
  <si>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</si>
  <si>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</si>
  <si>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</si>
  <si>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</si>
  <si>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</si>
  <si>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</si>
  <si>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</si>
  <si>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</si>
  <si>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Not Started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</si>
  <si>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</si>
  <si>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</si>
  <si>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</si>
  <si>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</si>
  <si>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</si>
  <si>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</si>
  <si>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</si>
  <si>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</si>
  <si>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</si>
  <si>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</si>
  <si>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</si>
  <si>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</si>
  <si>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</si>
  <si>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</si>
  <si>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</si>
  <si>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</si>
  <si>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</si>
  <si>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</si>
  <si>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</si>
  <si>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</si>
  <si>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</si>
  <si>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</si>
  <si>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</si>
  <si>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</si>
  <si>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</si>
  <si>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</si>
  <si>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</si>
  <si>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</si>
  <si>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</si>
  <si>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</si>
  <si>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</si>
  <si>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</si>
  <si>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</si>
  <si>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</si>
  <si>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</si>
  <si>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</si>
  <si>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</si>
  <si>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</si>
  <si>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</si>
  <si>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</si>
  <si>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</si>
  <si>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</si>
  <si>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</si>
  <si>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</si>
  <si>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</si>
  <si>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</si>
  <si>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</si>
  <si>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</si>
  <si>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</si>
  <si>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</si>
  <si>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</si>
  <si>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</si>
  <si>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</si>
  <si>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</si>
  <si>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</si>
  <si>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</si>
  <si>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</si>
  <si>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</si>
  <si>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</si>
  <si>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</si>
  <si>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</si>
  <si>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</si>
  <si>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</si>
  <si>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</si>
  <si>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</si>
  <si>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</si>
  <si>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</si>
  <si>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</si>
  <si>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</si>
  <si>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</si>
  <si>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</si>
  <si>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</si>
  <si>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</si>
  <si>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</si>
  <si>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</si>
  <si>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BED-001, EVAL-001</t>
  </si>
  <si>
    <t>All MUST tests and cleanup evidence pass.</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</si>
  <si>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</si>
  <si>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</si>
  <si>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</si>
  <si>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</si>
  <si>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</si>
  <si>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</si>
  <si>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</si>
  <si>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</si>
  <si>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</si>
  <si>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</si>
  <si>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</si>
  <si>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</si>
  <si>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</si>
  <si>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</si>
  <si>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</si>
  <si>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</si>
  <si>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</si>
  <si>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</si>
  <si>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</si>
  <si>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</si>
  <si>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</si>
  <si>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</si>
  <si>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</si>
  <si>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</si>
  <si>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</si>
  <si>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</si>
  <si>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</si>
  <si>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</si>
  <si>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</si>
  <si>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</si>
  <si>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</si>
  <si>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</si>
  <si>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</si>
  <si>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</si>
  <si>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</si>
  <si>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</si>
  <si>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</si>
  <si>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</si>
  <si>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</si>
  <si>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</si>
  <si>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</si>
  <si>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</si>
  <si>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</si>
  <si>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</si>
  <si>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</si>
  <si>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</si>
  <si>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</si>
  <si>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</si>
  <si>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</si>
  <si>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</si>
  <si>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</si>
  <si>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</si>
  <si>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</si>
  <si>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</si>
  <si>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</si>
  <si>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</si>
  <si>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</si>
  <si>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</si>
  <si>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</si>
  <si>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</si>
  <si>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</si>
  <si>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</si>
  <si>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</si>
  <si>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</si>
  <si>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</si>
  <si>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</si>
  <si>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</si>
  <si>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</si>
  <si>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</si>
  <si>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</si>
  <si>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</si>
  <si>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</si>
  <si>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</si>
  <si>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</si>
  <si>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</si>
  <si>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</si>
  <si>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</si>
  <si>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</si>
  <si>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</si>
  <si>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</si>
  <si>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</si>
  <si>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</si>
  <si>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</si>
  <si>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</si>
  <si>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</si>
  <si>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</si>
  <si>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</si>
  <si>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</si>
  <si>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</si>
  <si>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</si>
  <si>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</si>
  <si>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</si>
  <si>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</si>
  <si>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</si>
  <si>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</si>
  <si>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</si>
  <si>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</si>
  <si>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</si>
  <si>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</si>
  <si>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</si>
  <si>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</si>
  <si>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</si>
  <si>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</si>
  <si>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</si>
  <si>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</si>
  <si>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</si>
  <si>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</si>
  <si>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</si>
  <si>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</si>
  <si>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</si>
  <si>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</si>
  <si>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</si>
  <si>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</si>
  <si>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</si>
  <si>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</si>
  <si>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</si>
  <si>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</si>
  <si>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</si>
  <si>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</si>
  <si>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</si>
  <si>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</si>
  <si>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</si>
  <si>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</si>
  <si>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</si>
  <si>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</si>
  <si>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</si>
  <si>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</si>
  <si>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</si>
  <si>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</si>
  <si>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</si>
  <si>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</si>
  <si>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</si>
  <si>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</si>
  <si>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</si>
  <si>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</si>
  <si>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</si>
  <si>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</si>
  <si>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</si>
  <si>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</si>
  <si>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</si>
  <si>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</si>
  <si>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</si>
  <si>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</si>
  <si>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APP-001</t>
  </si>
  <si>
    <t>Grounded answer or abstention works; security/regression/rollback tests pass.</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</si>
  <si>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</si>
  <si>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</si>
  <si>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</si>
  <si>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</si>
  <si>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</si>
  <si>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</si>
  <si>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</si>
  <si>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</si>
  <si>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</si>
  <si>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</si>
  <si>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</si>
  <si>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</si>
  <si>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</si>
  <si>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</si>
  <si>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</si>
  <si>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</si>
  <si>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</si>
  <si>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</si>
  <si>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</si>
  <si>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</si>
  <si>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</si>
  <si>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</si>
  <si>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</si>
  <si>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</si>
  <si>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</si>
  <si>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</si>
  <si>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</si>
  <si>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</si>
  <si>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</si>
  <si>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</si>
  <si>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</si>
  <si>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</si>
  <si>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</si>
  <si>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</si>
  <si>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</si>
  <si>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</si>
  <si>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</si>
  <si>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</si>
  <si>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</si>
  <si>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</si>
  <si>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</si>
  <si>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</si>
  <si>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</si>
  <si>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</si>
  <si>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</si>
  <si>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</si>
  <si>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</si>
  <si>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</si>
  <si>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</si>
  <si>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</si>
  <si>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</si>
  <si>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</si>
  <si>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</si>
  <si>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</si>
  <si>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</si>
  <si>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</si>
  <si>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</si>
  <si>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</si>
  <si>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</si>
  <si>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</si>
  <si>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</si>
  <si>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</si>
  <si>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</si>
  <si>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</si>
  <si>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</si>
  <si>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</si>
  <si>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</si>
  <si>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</si>
  <si>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</si>
  <si>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</si>
  <si>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</si>
  <si>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</si>
  <si>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</si>
  <si>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</si>
  <si>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</si>
  <si>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</si>
  <si>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</si>
  <si>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</si>
  <si>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</si>
  <si>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</si>
  <si>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</si>
  <si>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</si>
  <si>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</si>
  <si>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</si>
  <si>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</si>
  <si>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</si>
  <si>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</si>
  <si>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</si>
  <si>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</si>
  <si>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</si>
  <si>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</si>
  <si>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</si>
  <si>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</si>
  <si>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</si>
  <si>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</si>
  <si>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</si>
  <si>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</si>
  <si>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</si>
  <si>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</si>
  <si>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</si>
  <si>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</si>
  <si>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</si>
  <si>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</si>
  <si>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</si>
  <si>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</si>
  <si>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</si>
  <si>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</si>
  <si>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</si>
  <si>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</si>
  <si>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</si>
  <si>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</si>
  <si>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</si>
  <si>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</si>
  <si>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</si>
  <si>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</si>
  <si>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</si>
  <si>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</si>
  <si>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</si>
  <si>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</si>
  <si>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</si>
  <si>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</si>
  <si>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</si>
  <si>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</si>
  <si>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</si>
  <si>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</si>
  <si>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</si>
  <si>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</si>
  <si>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</si>
  <si>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</si>
  <si>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</si>
  <si>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</si>
  <si>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</si>
  <si>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</si>
  <si>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</si>
  <si>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</si>
  <si>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</si>
  <si>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</si>
  <si>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</si>
  <si>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</si>
  <si>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AWS-001, AWS-002, NET-001, TAG-001, COST-001</t>
  </si>
  <si>
    <t>All consequential actions are policy-valid and approved.</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</si>
  <si>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</si>
  <si>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</si>
  <si>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</si>
  <si>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</si>
  <si>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</si>
  <si>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</si>
  <si>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</si>
  <si>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</si>
  <si>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</si>
  <si>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</si>
  <si>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</si>
  <si>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</si>
  <si>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</si>
  <si>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</si>
  <si>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</si>
  <si>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</si>
  <si>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</si>
  <si>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</si>
  <si>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</si>
  <si>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</si>
  <si>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</si>
  <si>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</si>
  <si>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</si>
  <si>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</si>
  <si>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</si>
  <si>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</si>
  <si>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t>
  </si>
  <si>
    <t>Build isolated encrypted/versioned S3 state and Terraform 1.5 DynamoDB locking stack.</t>
  </si>
  <si>
    <t>State must survive platform rollback and be removed last during full teardown.</t>
  </si>
  <si>
    <t>W5-001</t>
  </si>
  <si>
    <t>fmt/validate/Checkov pass; apply remains manual.</t>
  </si>
  <si>
    <t>Bootstrap plan contains only expected resources.</t>
  </si>
  <si>
    <t>docs/test-evidence/W5-02-bootstrap.txt</t>
  </si>
  <si>
    <t>Destroy platform first; bootstrap destroy is separately reviewed.</t>
  </si>
  <si>
    <t>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t>
  </si>
  <si>
    <t>W5-03</t>
  </si>
  <si>
    <t>Security foundation</t>
  </si>
  <si>
    <t>Create KMS, private/versioned S3 and secret-metadata modules.</t>
  </si>
  <si>
    <t>Encryption and secret separation are foundational controls.</t>
  </si>
  <si>
    <t>KMS-001, TAG-001</t>
  </si>
  <si>
    <t>No public access or secret value resource exists.</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</si>
  <si>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</si>
  <si>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</si>
  <si>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</si>
  <si>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</si>
  <si>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</si>
  <si>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</si>
  <si>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</si>
  <si>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</si>
  <si>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</si>
  <si>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</si>
  <si>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</si>
  <si>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</si>
  <si>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</si>
  <si>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</si>
  <si>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</si>
  <si>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</si>
  <si>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</si>
  <si>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</si>
  <si>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</si>
  <si>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</si>
  <si>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</si>
  <si>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</si>
  <si>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</si>
  <si>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</si>
  <si>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</si>
  <si>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</si>
  <si>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</si>
  <si>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</si>
  <si>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</si>
  <si>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</si>
  <si>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</si>
  <si>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</si>
  <si>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</si>
  <si>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</si>
  <si>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</si>
  <si>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</si>
  <si>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</si>
  <si>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</si>
  <si>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</si>
  <si>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</si>
  <si>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</si>
  <si>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</si>
  <si>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</si>
  <si>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</si>
  <si>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</si>
  <si>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</si>
  <si>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</si>
  <si>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</si>
  <si>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</si>
  <si>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</si>
  <si>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</si>
  <si>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</si>
  <si>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</si>
  <si>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</si>
  <si>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</si>
  <si>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</si>
  <si>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</si>
  <si>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</si>
  <si>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</si>
  <si>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</si>
  <si>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</si>
  <si>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</si>
  <si>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</si>
  <si>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</si>
  <si>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</si>
  <si>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</si>
  <si>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</si>
  <si>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</si>
  <si>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</si>
  <si>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</si>
  <si>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</si>
  <si>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</si>
  <si>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</si>
  <si>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</si>
  <si>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</si>
  <si>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</si>
  <si>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</si>
  <si>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</si>
  <si>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</si>
  <si>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</si>
  <si>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</si>
  <si>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</si>
  <si>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</si>
  <si>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</si>
  <si>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</si>
  <si>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</si>
  <si>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</si>
  <si>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</si>
  <si>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</si>
  <si>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</si>
  <si>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</si>
  <si>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</si>
  <si>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</si>
  <si>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</si>
  <si>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</si>
  <si>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</si>
  <si>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</si>
  <si>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</si>
  <si>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</si>
  <si>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</si>
  <si>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</si>
  <si>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</si>
  <si>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</si>
  <si>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</si>
  <si>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</si>
  <si>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</si>
  <si>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</si>
  <si>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</si>
  <si>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</si>
  <si>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</si>
  <si>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</si>
  <si>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</si>
  <si>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</si>
  <si>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</si>
  <si>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</si>
  <si>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</si>
  <si>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</si>
  <si>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</si>
  <si>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</si>
  <si>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</si>
  <si>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</si>
  <si>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</si>
  <si>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</si>
  <si>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</si>
  <si>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</si>
  <si>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</si>
  <si>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</si>
  <si>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</si>
  <si>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</si>
  <si>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</si>
  <si>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</si>
  <si>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</si>
  <si>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</si>
  <si>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</si>
  <si>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</si>
  <si>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</si>
  <si>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</si>
  <si>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</si>
  <si>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</si>
  <si>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</si>
  <si>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</si>
  <si>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</si>
  <si>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</si>
  <si>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</si>
  <si>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</si>
  <si>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</si>
  <si>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</si>
  <si>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</si>
  <si>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</si>
  <si>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</si>
  <si>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</si>
  <si>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</si>
  <si>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</si>
  <si>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</si>
  <si>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</si>
  <si>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</si>
  <si>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</si>
  <si>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</si>
  <si>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</si>
  <si>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</si>
  <si>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</si>
  <si>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</si>
  <si>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</si>
  <si>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</si>
  <si>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</si>
  <si>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</si>
  <si>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</si>
  <si>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</si>
  <si>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</si>
  <si>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</si>
  <si>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</si>
  <si>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</si>
  <si>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</si>
  <si>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</si>
  <si>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</si>
  <si>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</si>
  <si>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</si>
  <si>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</si>
  <si>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</si>
  <si>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</si>
  <si>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</si>
  <si>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</si>
  <si>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</si>
  <si>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</si>
  <si>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</si>
  <si>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</si>
  <si>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</si>
  <si>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</si>
  <si>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</si>
  <si>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</si>
  <si>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</si>
  <si>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</si>
  <si>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</si>
  <si>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</si>
  <si>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</si>
  <si>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</si>
  <si>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</si>
  <si>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</si>
  <si>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</si>
  <si>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</si>
  <si>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</si>
  <si>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</si>
  <si>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</si>
  <si>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</si>
  <si>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</si>
  <si>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</si>
  <si>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</si>
  <si>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</si>
  <si>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</si>
  <si>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</si>
  <si>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</si>
  <si>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</si>
  <si>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</si>
  <si>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</si>
  <si>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</si>
  <si>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</si>
  <si>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</si>
  <si>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</si>
  <si>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</si>
  <si>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</si>
  <si>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</si>
  <si>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</si>
  <si>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</si>
  <si>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</si>
  <si>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</si>
  <si>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</si>
  <si>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</si>
  <si>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</si>
  <si>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</si>
  <si>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</si>
  <si>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</si>
  <si>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</si>
  <si>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</si>
  <si>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</si>
  <si>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</si>
  <si>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</si>
  <si>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</si>
  <si>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</si>
  <si>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</si>
  <si>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</si>
  <si>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</si>
  <si>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</si>
  <si>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</si>
  <si>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</si>
  <si>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</si>
  <si>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</si>
  <si>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</si>
  <si>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</si>
  <si>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</si>
  <si>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</si>
  <si>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</si>
  <si>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</si>
  <si>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</si>
  <si>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</si>
  <si>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</si>
  <si>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</si>
  <si>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</si>
  <si>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</si>
  <si>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</si>
  <si>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</si>
  <si>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</si>
  <si>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</si>
  <si>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</si>
  <si>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</si>
  <si>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</si>
  <si>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</si>
  <si>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</si>
  <si>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</si>
  <si>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</si>
  <si>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</si>
  <si>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</si>
  <si>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</si>
  <si>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</si>
  <si>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</si>
  <si>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</si>
  <si>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</si>
  <si>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</si>
  <si>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</si>
  <si>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</si>
  <si>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</si>
  <si>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</si>
  <si>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</si>
  <si>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</si>
  <si>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</si>
  <si>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</si>
  <si>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</si>
  <si>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</si>
  <si>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</si>
  <si>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</si>
  <si>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</si>
  <si>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</si>
  <si>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</si>
  <si>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</si>
  <si>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</si>
  <si>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</si>
  <si>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</si>
  <si>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</si>
  <si>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</si>
  <si>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</si>
  <si>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</si>
  <si>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</si>
  <si>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</si>
  <si>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</si>
  <si>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</si>
  <si>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</si>
  <si>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</si>
  <si>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</si>
  <si>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</si>
  <si>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</si>
  <si>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</si>
  <si>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</si>
  <si>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</si>
  <si>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</si>
  <si>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</si>
  <si>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</si>
  <si>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</si>
  <si>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</si>
  <si>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</si>
  <si>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</si>
  <si>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</si>
  <si>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</si>
  <si>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</si>
  <si>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</si>
  <si>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</si>
  <si>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</si>
  <si>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</si>
  <si>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</si>
  <si>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</si>
  <si>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</si>
  <si>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</si>
  <si>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</si>
  <si>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</si>
  <si>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</si>
  <si>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</si>
  <si>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</si>
  <si>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</si>
  <si>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</si>
  <si>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</si>
  <si>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</si>
  <si>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</si>
  <si>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</si>
  <si>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</si>
  <si>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</si>
  <si>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</si>
  <si>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</si>
  <si>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</si>
  <si>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</si>
  <si>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</si>
  <si>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</si>
  <si>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</si>
  <si>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</si>
  <si>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</si>
  <si>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</si>
  <si>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</si>
  <si>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</si>
  <si>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</si>
  <si>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</si>
  <si>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Use only for owner learning and teach-back; no code, command or document mutation</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</si>
  <si>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</si>
  <si>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</si>
  <si>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</si>
  <si>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</si>
  <si>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</si>
  <si>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</si>
  <si>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</si>
  <si>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</si>
  <si>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</si>
  <si>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</si>
  <si>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</si>
  <si>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</si>
  <si>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</si>
  <si>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</si>
  <si>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</si>
  <si>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</si>
  <si>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</si>
  <si>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</si>
  <si>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</si>
  <si>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</si>
  <si>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</si>
  <si>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</si>
  <si>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</si>
  <si>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</si>
  <si>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</si>
  <si>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</si>
  <si>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</si>
  <si>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</si>
  <si>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</si>
  <si>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</si>
  <si>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</si>
  <si>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</si>
  <si>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</si>
  <si>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</si>
  <si>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</si>
  <si>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</si>
  <si>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</si>
  <si>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</si>
  <si>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</si>
  <si>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</si>
  <si>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</si>
  <si>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</si>
  <si>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</si>
  <si>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</si>
  <si>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</si>
  <si>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</si>
  <si>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</si>
  <si>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</si>
  <si>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</si>
  <si>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</si>
  <si>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</si>
  <si>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</si>
  <si>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</si>
  <si>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</si>
  <si>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</si>
  <si>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</si>
  <si>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</si>
  <si>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</si>
  <si>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</si>
  <si>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</si>
  <si>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</si>
  <si>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</si>
  <si>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</si>
  <si>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</si>
  <si>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</si>
  <si>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</si>
  <si>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</si>
  <si>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</si>
  <si>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</si>
  <si>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</si>
  <si>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</si>
  <si>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</si>
  <si>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</si>
  <si>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</si>
  <si>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</si>
  <si>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</si>
  <si>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</si>
  <si>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</si>
  <si>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</si>
  <si>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</si>
  <si>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</si>
  <si>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</si>
  <si>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</si>
  <si>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</si>
  <si>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</si>
  <si>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</si>
  <si>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</si>
  <si>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</si>
  <si>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</si>
  <si>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</si>
  <si>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</si>
  <si>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</si>
  <si>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</si>
  <si>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</si>
  <si>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</si>
  <si>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</si>
  <si>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</si>
  <si>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</si>
  <si>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</si>
  <si>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</si>
  <si>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</si>
  <si>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</si>
  <si>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</si>
  <si>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</si>
  <si>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</si>
  <si>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</si>
  <si>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</si>
  <si>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</si>
  <si>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</si>
  <si>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</si>
  <si>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</si>
  <si>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</si>
  <si>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</si>
  <si>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</si>
  <si>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</si>
  <si>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</si>
  <si>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</si>
  <si>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</si>
  <si>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</si>
  <si>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</si>
  <si>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</si>
  <si>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</si>
  <si>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</si>
  <si>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</si>
  <si>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</si>
  <si>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</si>
  <si>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</si>
  <si>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</si>
  <si>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</si>
  <si>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</si>
  <si>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</si>
  <si>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</si>
  <si>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</si>
  <si>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</si>
  <si>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</si>
  <si>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</si>
  <si>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</si>
  <si>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</si>
  <si>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</si>
  <si>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</si>
  <si>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</si>
  <si>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</si>
  <si>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</si>
  <si>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</si>
  <si>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</si>
  <si>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</si>
  <si>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</si>
  <si>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</si>
  <si>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</si>
  <si>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</si>
  <si>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</si>
  <si>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</si>
  <si>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</si>
  <si>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</si>
  <si>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</si>
  <si>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</si>
  <si>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</si>
  <si>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</si>
  <si>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</si>
  <si>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</si>
  <si>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</si>
  <si>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</si>
  <si>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</si>
  <si>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</si>
  <si>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</si>
  <si>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</si>
  <si>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</si>
  <si>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</si>
  <si>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</si>
  <si>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</si>
  <si>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</si>
  <si>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</si>
  <si>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</si>
  <si>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</si>
  <si>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</si>
  <si>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</si>
  <si>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</si>
  <si>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</si>
  <si>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</si>
  <si>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</si>
  <si>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</si>
  <si>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</si>
  <si>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</si>
  <si>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</si>
  <si>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</si>
  <si>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</si>
  <si>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</si>
  <si>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</si>
  <si>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</si>
  <si>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</si>
  <si>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</si>
  <si>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</si>
  <si>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</si>
  <si>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</si>
  <si>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</si>
  <si>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</si>
  <si>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</si>
  <si>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</si>
  <si>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</si>
  <si>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</si>
  <si>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</si>
  <si>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</si>
  <si>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</si>
  <si>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</si>
  <si>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</si>
  <si>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</si>
  <si>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v1.3.4</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</si>
  <si>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</si>
  <si>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</si>
  <si>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</si>
  <si>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</si>
  <si>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</si>
  <si>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</si>
  <si>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</si>
  <si>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</si>
  <si>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</si>
  <si>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</si>
  <si>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</si>
  <si>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</si>
  <si>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</si>
  <si>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</si>
  <si>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</si>
  <si>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</si>
  <si>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</si>
  <si>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</si>
  <si>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</si>
  <si>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</si>
  <si>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</si>
  <si>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</si>
  <si>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</si>
  <si>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</si>
  <si>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</si>
  <si>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</si>
  <si>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</si>
  <si>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</si>
  <si>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</si>
  <si>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</si>
  <si>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</si>
  <si>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</si>
  <si>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</si>
  <si>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</si>
  <si>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</si>
  <si>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</si>
  <si>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</si>
  <si>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</si>
  <si>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</si>
  <si>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</si>
  <si>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</si>
  <si>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</si>
  <si>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</si>
  <si>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</si>
  <si>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</si>
  <si>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</si>
  <si>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</si>
  <si>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</si>
  <si>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</si>
  <si>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</si>
  <si>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</si>
  <si>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</si>
  <si>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</si>
  <si>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</si>
  <si>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</si>
  <si>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</si>
  <si>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</si>
  <si>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</si>
  <si>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</si>
  <si>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</si>
  <si>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</si>
  <si>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</si>
  <si>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</si>
  <si>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</si>
  <si>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</si>
  <si>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</si>
  <si>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</si>
  <si>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</si>
  <si>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</si>
  <si>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</si>
  <si>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</si>
  <si>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</si>
  <si>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</si>
  <si>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</si>
  <si>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</si>
  <si>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</si>
  <si>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</si>
  <si>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</si>
  <si>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</si>
  <si>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</si>
  <si>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</si>
  <si>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</si>
  <si>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</si>
  <si>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</si>
  <si>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</si>
  <si>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</si>
  <si>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</si>
  <si>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</si>
  <si>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</si>
  <si>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</si>
  <si>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</si>
  <si>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</si>
  <si>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</si>
  <si>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</si>
  <si>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</si>
  <si>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</si>
  <si>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</si>
  <si>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</si>
  <si>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</si>
  <si>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</si>
  <si>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</si>
  <si>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</si>
  <si>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</si>
  <si>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</si>
  <si>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</si>
  <si>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</si>
  <si>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</si>
  <si>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</si>
  <si>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</si>
  <si>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</si>
  <si>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</si>
  <si>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</si>
  <si>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Exit 0</t>
  </si>
  <si>
    <t>docs/test-evidence/W5-terraform.txt</t>
  </si>
  <si>
    <t>T-W5-002</t>
  </si>
  <si>
    <t>Policy</t>
  </si>
  <si>
    <t>tflint/Checkov/OPA</t>
  </si>
  <si>
    <t>Secure config passes; insecure fixtures fail</t>
  </si>
  <si>
    <t>docs/test-evidence/W5-policy.txt</t>
  </si>
  <si>
    <t>T-W5-003</t>
  </si>
  <si>
    <t>Reviewed sandbox plan</t>
  </si>
  <si>
    <t>Only expected resources; no secret values</t>
  </si>
  <si>
    <t>T-W5-004</t>
  </si>
  <si>
    <t>Trivy, Syft and Grype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</si>
  <si>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</si>
  <si>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</si>
  <si>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</si>
  <si>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</si>
  <si>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</si>
  <si>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</si>
  <si>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</si>
  <si>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</si>
  <si>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</si>
  <si>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</si>
  <si>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</si>
  <si>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</si>
  <si>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</si>
  <si>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</si>
  <si>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</si>
  <si>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</si>
  <si>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</si>
  <si>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</si>
  <si>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</si>
  <si>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</si>
  <si>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</si>
  <si>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</si>
  <si>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</si>
  <si>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</si>
  <si>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</si>
  <si>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</si>
  <si>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</si>
  <si>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</si>
  <si>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</si>
  <si>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</si>
  <si>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</si>
  <si>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</si>
  <si>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</si>
  <si>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</si>
  <si>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</si>
  <si>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</si>
  <si>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</si>
  <si>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</si>
  <si>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</si>
  <si>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</si>
  <si>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</si>
  <si>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</si>
  <si>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</si>
  <si>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</si>
  <si>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</si>
  <si>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</si>
  <si>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</si>
  <si>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</si>
  <si>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</si>
  <si>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</si>
  <si>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</si>
  <si>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</si>
  <si>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</si>
  <si>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</si>
  <si>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</si>
  <si>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</si>
  <si>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</si>
  <si>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</si>
  <si>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</si>
  <si>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</si>
  <si>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</si>
  <si>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</si>
  <si>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</si>
  <si>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</si>
  <si>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</si>
  <si>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</si>
  <si>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</si>
  <si>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</si>
  <si>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</si>
  <si>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</si>
  <si>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</si>
  <si>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</si>
  <si>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</si>
  <si>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</si>
  <si>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</si>
  <si>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</si>
  <si>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</si>
  <si>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</si>
  <si>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</si>
  <si>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</si>
  <si>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</si>
  <si>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</si>
  <si>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</si>
  <si>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</si>
  <si>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</si>
  <si>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</si>
  <si>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</si>
  <si>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</si>
  <si>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</si>
  <si>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</si>
  <si>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</si>
  <si>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</si>
  <si>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</si>
  <si>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</si>
  <si>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</si>
  <si>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</si>
  <si>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</si>
  <si>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</si>
  <si>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</si>
  <si>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</si>
  <si>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</si>
  <si>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</si>
  <si>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</si>
  <si>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</si>
  <si>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</si>
  <si>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</si>
  <si>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</si>
  <si>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</si>
  <si>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</si>
  <si>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</si>
  <si>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</si>
  <si>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</si>
  <si>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</si>
  <si>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</si>
  <si>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</si>
  <si>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</si>
  <si>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</si>
  <si>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</si>
  <si>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</si>
  <si>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</si>
  <si>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</si>
  <si>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</si>
  <si>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</si>
  <si>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</si>
  <si>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</si>
  <si>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</si>
  <si>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</si>
  <si>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</si>
  <si>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</si>
  <si>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</si>
  <si>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</si>
  <si>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</si>
  <si>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</si>
  <si>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</si>
  <si>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</si>
  <si>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</si>
  <si>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</si>
  <si>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</si>
  <si>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</si>
  <si>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</si>
  <si>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</si>
  <si>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</si>
  <si>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</si>
  <si>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</si>
  <si>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</si>
  <si>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</si>
  <si>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</si>
  <si>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</si>
  <si>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</si>
  <si>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</si>
  <si>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</si>
  <si>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</si>
  <si>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</si>
  <si>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</si>
  <si>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</si>
  <si>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</si>
  <si>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</si>
  <si>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</si>
  <si>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</si>
  <si>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</si>
  <si>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</si>
  <si>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</si>
  <si>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</si>
  <si>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</si>
  <si>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</si>
  <si>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</si>
  <si>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</si>
  <si>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</si>
  <si>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</si>
  <si>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</si>
  <si>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Post-MVP</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</si>
  <si>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</si>
  <si>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</si>
  <si>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</si>
  <si>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</si>
  <si>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</si>
  <si>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</si>
  <si>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</si>
  <si>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</si>
  <si>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</si>
  <si>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</si>
  <si>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</si>
  <si>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</si>
  <si>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</si>
  <si>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</si>
  <si>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</si>
  <si>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</si>
  <si>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</si>
  <si>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</si>
  <si>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</si>
  <si>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</si>
  <si>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</si>
  <si>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</si>
  <si>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</si>
  <si>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</si>
  <si>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</si>
  <si>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</si>
  <si>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</si>
  <si>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</si>
  <si>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</si>
  <si>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</si>
  <si>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</si>
  <si>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</si>
  <si>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</si>
  <si>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</si>
  <si>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</si>
  <si>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</si>
  <si>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</si>
  <si>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</si>
  <si>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</si>
  <si>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</si>
  <si>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</si>
  <si>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</si>
  <si>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</si>
  <si>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</si>
  <si>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</si>
  <si>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</si>
  <si>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</si>
  <si>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</si>
  <si>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</si>
  <si>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</si>
  <si>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</si>
  <si>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</si>
  <si>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</si>
  <si>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</si>
  <si>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</si>
  <si>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</si>
  <si>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</si>
  <si>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</si>
  <si>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</si>
  <si>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</si>
  <si>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</si>
  <si>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</si>
  <si>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</si>
  <si>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</si>
  <si>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</si>
  <si>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</si>
  <si>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</si>
  <si>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</si>
  <si>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</si>
  <si>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</si>
  <si>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</si>
  <si>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</si>
  <si>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</si>
  <si>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</si>
  <si>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</si>
  <si>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</si>
  <si>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</si>
  <si>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</si>
  <si>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</si>
  <si>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</si>
  <si>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</si>
  <si>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</si>
  <si>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</si>
  <si>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</si>
  <si>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</si>
  <si>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</si>
  <si>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</si>
  <si>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</si>
  <si>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</si>
  <si>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</si>
  <si>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</si>
  <si>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</si>
  <si>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</si>
  <si>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</si>
  <si>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</si>
  <si>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</si>
  <si>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</si>
  <si>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</si>
  <si>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</si>
  <si>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</si>
  <si>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</si>
  <si>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</si>
  <si>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</si>
  <si>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</si>
  <si>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</si>
  <si>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</si>
  <si>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</si>
  <si>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</si>
  <si>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</si>
  <si>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</si>
  <si>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</si>
  <si>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</si>
  <si>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</si>
  <si>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</si>
  <si>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</si>
  <si>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</si>
  <si>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</si>
  <si>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All</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</si>
  <si>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</si>
  <si>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</si>
  <si>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</si>
  <si>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</si>
  <si>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</si>
  <si>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</si>
  <si>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</si>
  <si>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</si>
  <si>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</si>
  <si>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</si>
  <si>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</si>
  <si>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</si>
  <si>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</si>
  <si>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</si>
  <si>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</si>
  <si>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</si>
  <si>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</si>
  <si>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</si>
  <si>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</si>
  <si>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</si>
  <si>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</si>
  <si>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</si>
  <si>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</si>
  <si>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</si>
  <si>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</si>
  <si>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</si>
  <si>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</si>
  <si>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</si>
  <si>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</si>
  <si>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</si>
  <si>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</si>
  <si>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</si>
  <si>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</si>
  <si>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</si>
  <si>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</si>
  <si>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</si>
  <si>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</si>
  <si>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</si>
  <si>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</si>
  <si>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</si>
  <si>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</si>
  <si>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</si>
  <si>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</si>
  <si>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</si>
  <si>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</si>
  <si>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</si>
  <si>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</si>
  <si>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</si>
  <si>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</si>
  <si>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</si>
  <si>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</si>
  <si>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</si>
  <si>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</si>
  <si>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</si>
  <si>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</si>
  <si>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</si>
  <si>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</si>
  <si>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</si>
  <si>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</si>
  <si>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</si>
  <si>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</si>
  <si>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</si>
  <si>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</si>
  <si>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</si>
  <si>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</si>
  <si>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</si>
  <si>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</si>
  <si>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</si>
  <si>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</si>
  <si>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</si>
  <si>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</si>
  <si>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</si>
  <si>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</si>
  <si>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</si>
  <si>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</si>
  <si>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</si>
  <si>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</si>
  <si>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</si>
  <si>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</si>
  <si>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</si>
  <si>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</si>
  <si>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</si>
  <si>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</si>
  <si>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</si>
  <si>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</si>
  <si>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</si>
  <si>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</si>
  <si>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</si>
  <si>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</si>
  <si>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</si>
  <si>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</si>
  <si>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</si>
  <si>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</si>
  <si>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</si>
  <si>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</si>
  <si>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</si>
  <si>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</si>
  <si>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</si>
  <si>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</si>
  <si>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</si>
  <si>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</si>
  <si>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</si>
  <si>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</si>
  <si>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</si>
  <si>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</si>
  <si>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</si>
  <si>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</si>
  <si>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</si>
  <si>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</si>
  <si>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</si>
  <si>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</si>
  <si>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</si>
  <si>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</si>
  <si>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</si>
  <si>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</si>
  <si>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</si>
  <si>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</si>
  <si>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</si>
  <si>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</si>
  <si>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</si>
  <si>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</si>
  <si>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</si>
  <si>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</si>
  <si>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</si>
  <si>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</si>
  <si>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</si>
  <si>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</si>
  <si>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</si>
  <si>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</si>
  <si>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</si>
  <si>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</si>
  <si>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</si>
  <si>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</si>
  <si>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</si>
  <si>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</si>
  <si>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</si>
  <si>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</si>
  <si>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</si>
  <si>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</si>
  <si>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</si>
  <si>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</si>
  <si>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</si>
  <si>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</si>
  <si>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</si>
  <si>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</si>
  <si>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</si>
  <si>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</si>
  <si>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</si>
  <si>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</si>
  <si>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</si>
  <si>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</si>
  <si>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</si>
  <si>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</si>
  <si>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</si>
  <si>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</si>
  <si>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</si>
  <si>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</si>
  <si>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</si>
  <si>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</si>
  <si>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</si>
  <si>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</si>
  <si>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</si>
  <si>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</si>
  <si>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</si>
  <si>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</si>
  <si>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</si>
  <si>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</si>
  <si>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</si>
  <si>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</si>
  <si>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</si>
  <si>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</si>
  <si>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</si>
  <si>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</si>
  <si>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</si>
  <si>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</si>
  <si>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</si>
  <si>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</si>
  <si>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</si>
  <si>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</si>
  <si>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</si>
  <si>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</si>
  <si>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</si>
  <si>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</si>
  <si>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</si>
  <si>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</si>
  <si>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</si>
  <si>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</si>
  <si>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</si>
  <si>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</si>
  <si>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</si>
  <si>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</si>
  <si>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</si>
  <si>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</si>
  <si>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</si>
  <si>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</si>
  <si>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</si>
  <si>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</si>
  <si>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</si>
  <si>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</si>
  <si>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</si>
  <si>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</si>
  <si>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</si>
  <si>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</si>
  <si>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</si>
  <si>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</si>
  <si>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</si>
  <si>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</si>
  <si>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</si>
  <si>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</si>
  <si>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</si>
  <si>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</si>
  <si>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</si>
  <si>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</si>
  <si>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</si>
  <si>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</si>
  <si>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</si>
  <si>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</si>
  <si>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</si>
  <si>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</si>
  <si>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</si>
  <si>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</si>
  <si>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</si>
  <si>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</si>
  <si>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</si>
  <si>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</si>
  <si>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</si>
  <si>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</si>
  <si>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</si>
  <si>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</si>
  <si>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</si>
  <si>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</si>
  <si>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</si>
  <si>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</si>
  <si>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</si>
  <si>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</si>
  <si>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</si>
  <si>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</si>
  <si>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</si>
  <si>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</si>
  <si>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</si>
  <si>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</si>
  <si>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</si>
  <si>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</si>
  <si>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</si>
  <si>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</si>
  <si>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</si>
  <si>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</si>
  <si>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</si>
  <si>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</si>
  <si>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</si>
  <si>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</si>
  <si>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</si>
  <si>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</si>
  <si>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</si>
  <si>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</si>
  <si>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</si>
  <si>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</si>
  <si>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</si>
  <si>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</si>
  <si>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</si>
  <si>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</si>
  <si>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</si>
  <si>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</si>
  <si>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</si>
  <si>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</si>
  <si>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</si>
  <si>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</si>
  <si>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</si>
  <si>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</si>
  <si>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</si>
  <si>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</si>
  <si>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</si>
  <si>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</si>
  <si>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</si>
  <si>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</si>
  <si>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</si>
  <si>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</si>
  <si>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</si>
  <si>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</si>
  <si>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</si>
  <si>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</si>
  <si>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</si>
  <si>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</si>
  <si>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</si>
  <si>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</si>
  <si>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</si>
  <si>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</si>
  <si>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</si>
  <si>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</si>
  <si>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</si>
  <si>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</si>
  <si>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</si>
  <si>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</si>
  <si>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</si>
  <si>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</si>
  <si>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</si>
  <si>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</si>
  <si>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</si>
  <si>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</si>
  <si>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</si>
  <si>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</si>
  <si>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</si>
  <si>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</si>
  <si>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</si>
  <si>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</si>
  <si>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</si>
  <si>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</si>
  <si>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</si>
  <si>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</si>
  <si>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</si>
  <si>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</si>
  <si>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</si>
  <si>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</si>
  <si>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</si>
  <si>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</si>
  <si>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</si>
  <si>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</si>
  <si>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</si>
  <si>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</si>
  <si>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</si>
  <si>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</si>
  <si>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</si>
  <si>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</si>
  <si>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</si>
  <si>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</si>
  <si>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</si>
  <si>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</si>
  <si>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</si>
  <si>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</si>
  <si>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</si>
  <si>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</si>
  <si>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</si>
  <si>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</si>
  <si>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</si>
  <si>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</si>
  <si>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</si>
  <si>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</si>
  <si>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</si>
  <si>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</si>
  <si>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</si>
  <si>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</si>
  <si>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</si>
  <si>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</si>
  <si>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</si>
  <si>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</si>
  <si>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</si>
  <si>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</si>
  <si>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</si>
  <si>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</si>
  <si>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</si>
  <si>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</si>
  <si>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</si>
  <si>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</si>
  <si>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</si>
  <si>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</si>
  <si>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</si>
  <si>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</si>
  <si>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</si>
  <si>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</si>
  <si>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</si>
  <si>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</si>
  <si>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</si>
  <si>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</si>
  <si>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</si>
  <si>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</si>
  <si>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</si>
  <si>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</si>
  <si>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</si>
  <si>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</si>
  <si>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</si>
  <si>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</si>
  <si>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</si>
  <si>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</si>
  <si>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</si>
  <si>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</si>
  <si>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</si>
  <si>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</si>
  <si>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</si>
  <si>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</si>
  <si>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</si>
  <si>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</si>
  <si>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</si>
  <si>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</si>
  <si>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</si>
  <si>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</si>
  <si>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</si>
  <si>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</si>
  <si>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</si>
  <si>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</si>
  <si>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</si>
  <si>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</si>
  <si>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</si>
  <si>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</si>
  <si>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</si>
  <si>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</si>
  <si>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</si>
  <si>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</si>
  <si>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</si>
  <si>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</si>
  <si>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</si>
  <si>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</si>
  <si>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</si>
  <si>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</si>
  <si>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</si>
  <si>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</si>
  <si>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</si>
  <si>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</si>
  <si>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</si>
  <si>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</si>
  <si>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</si>
  <si>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</si>
  <si>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</si>
  <si>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</si>
  <si>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</si>
  <si>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</si>
  <si>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</si>
  <si>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</si>
  <si>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</si>
  <si>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</si>
  <si>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</si>
  <si>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</si>
  <si>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</si>
  <si>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</si>
  <si>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</si>
  <si>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</si>
  <si>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</si>
  <si>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</si>
  <si>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</si>
  <si>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</si>
  <si>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</si>
  <si>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</si>
  <si>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</si>
  <si>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0.45</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</si>
  <si>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</si>
  <si>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</si>
  <si>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</si>
  <si>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</si>
  <si>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</si>
  <si>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</si>
  <si>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</si>
  <si>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</si>
  <si>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</si>
  <si>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</si>
  <si>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</si>
  <si>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</si>
  <si>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</si>
  <si>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</si>
  <si>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</si>
  <si>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</si>
  <si>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</si>
  <si>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</si>
  <si>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</si>
  <si>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</si>
  <si>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</si>
  <si>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</si>
  <si>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</si>
  <si>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</si>
  <si>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</si>
  <si>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</si>
  <si>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</si>
  <si>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</si>
  <si>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</si>
  <si>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</si>
  <si>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</si>
  <si>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</si>
  <si>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</si>
  <si>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</si>
  <si>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</si>
  <si>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</si>
  <si>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</si>
  <si>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</si>
  <si>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</si>
  <si>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</si>
  <si>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</si>
  <si>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</si>
  <si>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</si>
  <si>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</si>
  <si>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</si>
  <si>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</si>
  <si>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</si>
  <si>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</si>
  <si>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</si>
  <si>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</si>
  <si>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</si>
  <si>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</si>
  <si>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</si>
  <si>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</si>
  <si>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</si>
  <si>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</si>
  <si>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</si>
  <si>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</si>
  <si>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</si>
  <si>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</si>
  <si>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</si>
  <si>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</si>
  <si>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</si>
  <si>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</si>
  <si>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</si>
  <si>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</si>
  <si>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</si>
  <si>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</si>
  <si>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</si>
  <si>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</si>
  <si>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</si>
  <si>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</si>
  <si>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</si>
  <si>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</si>
  <si>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</si>
  <si>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</si>
  <si>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</si>
  <si>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</si>
  <si>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</si>
  <si>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</si>
  <si>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</si>
  <si>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</si>
  <si>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</si>
  <si>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</si>
  <si>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</si>
  <si>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</si>
  <si>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</si>
  <si>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</si>
  <si>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</si>
  <si>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</si>
  <si>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</si>
  <si>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</si>
  <si>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</si>
  <si>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</si>
  <si>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</si>
  <si>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</si>
  <si>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</si>
  <si>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</si>
  <si>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</si>
  <si>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</si>
  <si>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</si>
  <si>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TEST-001</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</si>
  <si>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</si>
  <si>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</si>
  <si>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</si>
  <si>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</si>
  <si>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</si>
  <si>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</si>
  <si>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</si>
  <si>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</si>
  <si>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</si>
  <si>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</si>
  <si>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</si>
  <si>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</si>
  <si>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</si>
  <si>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</si>
  <si>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</si>
  <si>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</si>
  <si>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</si>
  <si>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</si>
  <si>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</si>
  <si>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</si>
  <si>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</si>
  <si>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</si>
  <si>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</si>
  <si>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</si>
  <si>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</si>
  <si>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</si>
  <si>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</si>
  <si>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</si>
  <si>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</si>
  <si>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</si>
  <si>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</si>
  <si>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</si>
  <si>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</si>
  <si>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</si>
  <si>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</si>
  <si>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</si>
  <si>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</si>
  <si>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</si>
  <si>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</si>
  <si>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</si>
  <si>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</si>
  <si>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</si>
  <si>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</si>
  <si>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</si>
  <si>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</si>
  <si>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</si>
  <si>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</si>
  <si>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</si>
  <si>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</si>
  <si>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</si>
  <si>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</si>
  <si>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</si>
  <si>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</si>
  <si>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</si>
  <si>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</si>
  <si>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</si>
  <si>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</si>
  <si>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</si>
  <si>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</si>
  <si>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</si>
  <si>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</si>
  <si>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</si>
  <si>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</si>
  <si>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</si>
  <si>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</si>
  <si>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</si>
  <si>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</si>
  <si>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</si>
  <si>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</si>
  <si>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</si>
  <si>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</si>
  <si>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</si>
  <si>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</si>
  <si>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python -m tools.platformctl validate</t>
  </si>
  <si>
    <t>python -m enterprise_ai_platform.evaluation.runner --dataset configs/eval/golden.jsonl --out reports/eval.json</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</si>
  <si>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</si>
  <si>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</si>
  <si>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</si>
  <si>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</si>
  <si>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</si>
  <si>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</si>
  <si>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M — EXACT DOCUMENT WRITING APPROVAL — W4-001
This is a separate owner approval after the bounded edit and owner testing or content review. Classify every path under one—and only one—of the CREATE and UPDATE headings after read-only preflight inspection.
EXACT DOCUMENTATION BOUNDARY
CREATE:
- docs/test-evidence/W4-001.md
- docs/test-evidence/W4-01-api.txt
- docs/test-evidence/W4-02-auth.txt
- docs/test-evidence/W4-10-load.json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W4-001.
</t>
  </si>
  <si>
    <t xml:space="preserve">COLUMN M — EXACT DOCUMENT WRITING APPROVAL — W4-002
This is a separate owner approval after the bounded edit and owner testing or content review. Classify every path under one—and only one—of the CREATE and UPDATE headings after read-only preflight inspection.
EXACT DOCUMENTATION BOUNDARY
CREATE:
- docs/test-evidence/W4-002.md
- docs/test-evidence/W4-03-graph.txt
- docs/test-evidence/W4-04-read-tool.txt
- docs/test-evidence/W4-05-approval.txt
- docs/test-evidence/W4-06-budgets.txt
- docs/test-evidence/W4-07-state.txt
- docs/test-evidence/W4-09-failures.txt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W4-002.
</t>
  </si>
  <si>
    <t xml:space="preserve">COLUMN M — EXACT DOCUMENT WRITING APPROVAL — W4-003
This is a separate owner approval after the bounded edit and owner testing or content review. Classify every path under one—and only one—of the CREATE and UPDATE headings after read-only preflight inspection.
EXACT DOCUMENTATION BOUNDARY
CREATE:
- docs/test-evidence/W4-003.md
- docs/test-evidence/W4-08-trace.json
- docs/test-evidence/W4-trace.json
- docs/test-evidence/W3-09-telemetry.txt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W4-003.
</t>
  </si>
  <si>
    <t xml:space="preserve">COLUMN M — EXACT DOCUMENT WRITING APPROVAL — W5-001
This is a separate owner approval after the bounded edit and owner testing or content review. Classify every path under one—and only one—of the CREATE and UPDATE headings after read-only preflight inspection.
EXACT DOCUMENTATION BOUNDARY
CREATE:
- docs/test-evidence/W5-001.md
- docs/test-evidence/W5-02-bootstrap.txt
- docs/test-evidence/W5-03-security.txt
- docs/test-evidence/W5-04-iam.txt
- docs/test-evidence/W5-05-platform-plan.txt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W5-001.
</t>
  </si>
  <si>
    <t xml:space="preserve">COLUMN M — EXACT DOCUMENT WRITING APPROVAL — W5-002
This is a separate owner approval after the bounded edit and owner testing or content review. Classify every path under one—and only one—of the CREATE and UPDATE headings after read-only preflight inspection.
EXACT DOCUMENTATION BOUNDARY
CREATE:
- docs/test-evidence/W5-002.md
- docs/deployment-records/W6-image.md
- docs/test-evidence/W5-07-ci.txt
- docs/test-evidence/W5-08-supply-chain.txt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W5-002.
</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</si>
  <si>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</si>
  <si>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</si>
  <si>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</si>
  <si>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Read-only teaching plan → owner teach-back → owner writes the exact weekly evidence note → final teach-back approval → owner tracker update</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</si>
  <si>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</si>
  <si>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</si>
  <si>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</si>
  <si>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Owner completes the teach-back and records notes in docs/learning/W1-learning-review.md</t>
  </si>
  <si>
    <t>Owner completes the teach-back and records notes in docs/learning/W2-learning-review.md</t>
  </si>
  <si>
    <t>Owner completes the teach-back and records notes in docs/learning/W3-learning-review.md</t>
  </si>
  <si>
    <t>Owner completes the teach-back and records notes in docs/learning/W4-learning-review.md</t>
  </si>
  <si>
    <t>Owner completes the teach-back and records notes in docs/learning/W5-learning-review.md</t>
  </si>
  <si>
    <t>Owner completes the teach-back and records notes in docs/learning/W6-learning-review.md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</si>
  <si>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</si>
  <si>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</si>
  <si>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</si>
  <si>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</si>
  <si>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W1-REVIEW-001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</si>
  <si>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</si>
  <si>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</si>
  <si>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</si>
  <si>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</si>
  <si>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</si>
  <si>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records the five-minute teach-back notes in docs/architecture/local-retrieval.md</t>
  </si>
  <si>
    <t>W2-REVIEW-001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</si>
  <si>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</si>
  <si>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</si>
  <si>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W3-REVIEW-001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</si>
  <si>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</si>
  <si>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</si>
  <si>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W4-REVIEW-001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</si>
  <si>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</si>
  <si>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</si>
  <si>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</si>
  <si>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</si>
  <si>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</si>
  <si>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</si>
  <si>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</si>
  <si>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W5-REVIEW-001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</si>
  <si>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</si>
  <si>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Week 1 sheet, evidence register, ADRs, TODOs and owner-supplied results</t>
  </si>
  <si>
    <t>Owner-written evidence: docs/architecture/local-retrieval.md</t>
  </si>
  <si>
    <t>Week 2 sheet, evidence register, ADRs, TODOs and owner-supplied results</t>
  </si>
  <si>
    <t>Week 3 sheet, evidence register, ADRs, TODOs and owner-supplied results</t>
  </si>
  <si>
    <t>Week 4 sheet, evidence register, ADRs, TODOs and owner-supplied results</t>
  </si>
  <si>
    <t>Week 5 sheet, evidence register, ADRs, TODOs and owner-supplied results</t>
  </si>
  <si>
    <t>CTX-001</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</si>
  <si>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</si>
  <si>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</si>
  <si>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</si>
  <si>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</si>
  <si>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v1.3.4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</si>
  <si>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</si>
  <si>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</si>
  <si>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</si>
  <si>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</si>
  <si>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</si>
  <si>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</si>
  <si>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</si>
  <si>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</si>
  <si>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</si>
  <si>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v1.3.4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</si>
  <si>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</si>
  <si>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</si>
  <si>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</si>
  <si>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</si>
  <si>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</si>
  <si>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v1.3.4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</si>
  <si>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</si>
  <si>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v1.3.4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</si>
  <si>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</si>
  <si>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</si>
  <si>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</si>
  <si>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</si>
  <si>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</si>
  <si>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</si>
  <si>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v1.3.4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</si>
  <si>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</si>
  <si>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</si>
  <si>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</si>
  <si>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</si>
  <si>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</si>
  <si>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v1.3.4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</si>
  <si>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</si>
  <si>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</si>
  <si>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</si>
  <si>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</si>
  <si>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</si>
  <si>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v1.3.4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</si>
  <si>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</si>
  <si>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</si>
  <si>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</si>
  <si>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v1.3.4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</si>
  <si>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</si>
  <si>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</si>
  <si>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</si>
  <si>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</si>
  <si>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v1.3.4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</si>
  <si>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</si>
  <si>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</si>
  <si>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</si>
  <si>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</si>
  <si>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</si>
  <si>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</si>
  <si>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</si>
  <si>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v1.3.4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</si>
  <si>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</si>
  <si>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</si>
  <si>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</si>
  <si>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</si>
  <si>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</si>
  <si>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v1.3.4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</si>
  <si>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</si>
  <si>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</si>
  <si>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</si>
  <si>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</si>
  <si>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v1.3.4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</si>
  <si>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</si>
  <si>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</si>
  <si>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</si>
  <si>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</si>
  <si>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</si>
  <si>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</si>
  <si>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</si>
  <si>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</si>
  <si>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v1.3.4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</si>
  <si>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</si>
  <si>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</si>
  <si>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</si>
  <si>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</si>
  <si>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</si>
  <si>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v1.3.4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</si>
  <si>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</si>
  <si>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</si>
  <si>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</si>
  <si>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</si>
  <si>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 xml:space="preserve">FOUR APPROVAL GATES PLUS OWNER TESTING AND WEEKLY LEARNING — TRACKER v1.3.4
MAIN PROMPT — W3-001
TASK IDENTITY
- Week: Week 3
- Feature/outcome: LLM adapters and cited RAG pipeline
- Business purpose: Generate evidence-bound answers while retaining provider portability.
- Covered tracker steps: W3-01, W3-02, W3-03, W3-04
- Required inputs: LLM_PROVIDER, LLM_MODEL_ID, AWS_REGION; Bedrock test is marked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W3-01 — Create provider-neutral chat/tool/usage types and fake provider.
  Business reason: RAG logic should not depend on Bedrock response formats.
  Acceptance: Fake tests cover success, timeout and malformed response.
  Dependency: W2-13
  Owner verification reference: pytest tests/unit/test_llm_provider.py -q
  Expected result: Normalized errors and usage fields are stable.
  Canonical evidence: docs/test-evidence/W3-01-llm-contract.txt
  Rollback/teardown: Switch configuration back to fake provider.
  Current tracker status (read-only historical/current fact): Not Started
  Separate Task Context: 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
- W3-02 — Implement Bedrock adapter behind marked integration tests.
  Business reason: Bedrock is the primary AWS model boundary without GPU operations.
  Acceptance: Adapter has deadlines/retry caps and no hard-coded model ID.
  Dependency: W3-01
  Owner verification reference: pytest tests/unit/test_bedrock_adapter.py -q
  Expected result: Offline tests pass; live test is skipped unless explicitly enabled.
  Canonical evidence: docs/test-evidence/W3-02-bedrock.txt
  Rollback/teardown: Set LLM_PROVIDER=fake; revoke test session if created.
  Current tracker status (read-only historical/current fact): Not Started
  Separate Task Context: 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
- W3-03 — Create versioned evidence-bound prompt template.
  Business reason: Retrieved documents are data, never instructions.
  Acceptance: Prompt clearly delimits evidence and demands citations/abstention.
  Dependency: W3-01
  Owner verification reference: pytest tests/unit/test_prompt_template.py -q
  Expected result: Injection fixture cannot override system policy.
  Canonical evidence: docs/test-evidence/W3-03-prompt.txt
  Rollback/teardown: Restore previous approved prompt version.
  Current tracker status (read-only historical/current fact): Not Started
  Separate Task Context: 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
- W3-04 — Authorize, retrieve, grade, generate and validate citations.
  Business reason: This is the core safe-answer path.
  Acceptance: Structured Answer contains only supplied source IDs.
  Dependency: W3-01:W3-03,W2-09
  Owner verification reference: pytest tests/unit/test_rag_pipeline.py -q
  Expected result: Good evidence answers; low evidence abstains.
  Canonical evidence: docs/test-evidence/W3-04-rag.txt
  Rollback/teardown: Switch to last-known-good prompt/model/retriever configuration.
  Current tracker status (read-only historical/current fact): Not Started
  Separate Task Context: 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
Downstream tracker steps identified from recorded dependencies: W3-02, W3-03, W3-04, W3-05, W3-07, W3-09, W3-12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Define an async LLMProvider Protocol with normalized ChatRequest, ToolSpec, Usage and ChatResponse. Implement FakeLLMProvider and BedrockLLMProvider using boto3, configured model ID, explicit connect/read timeouts, retry caps, usage capture and normalized throttle/timeout errors. Implement cited RAG: authorize metadata before retrieval, retrieve top-k, reject weak evidence, delimit context as untrusted data, generate a structured Answer, validate every citation against supplied context and abstain when evidence is insufficient. Do not log prompts or document text.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CITED RAG AND OWNER-GATED BEDROCK
1. Require W2-12 owner sign-off, independently approved W2 implementation hashes, BED-001, SEC-001/DATA-002 and an explicit RAG-001 proposal for top_k, minimum score and context/token budget. Verify ADR-004 and step dependencies W3-01 → W3-02/W3-03 → W3-04.
2. FakeLLMProvider is the default for unit/feature tests. Bedrock unit tests use an injected/stubbed client; no AWS call. Live Bedrock model discovery/inference is networked, paid and owner-gated and requires exact account/region/model ID, quota, fallback, timeout/retry, expected maximum spend and privacy/residency approval. Never hard-code a model ID or silently substitute a region/model.
3. Treat identity and Query separately. Authorize before retrieval, retrieve only filtered evidence, delimit retrieved text as untrusted, grade evidence with deterministic rules, generate a typed Answer, validate every citation against supplied authorized source/chunk IDs and abstain on weak, conflicting, unauthorized or malformed evidence. Do not expose chain-of-thought.
4. Bound connect/read deadlines, retry only classified transient/throttle errors with caps/jitter, capture safe usage/cost fields and normalize timeout/throttle/malformed errors without endpoints, content or SDK exceptions. Never log prompt/context/document/PII/secrets.
5. Test LLM contract success/timeout/throttle/malformed/usage, prompt delimiter/injection, authorization short-circuit, weak/conflicting evidence, citation fabrication, abstention, deadlines/retry exhaustion and provider-object isolation.
6. Canonical evidence: W3-01-llm-contract.txt, W3-02-bedrock.txt, W3-03-prompt.txt and W3-04-rag.txt. Aggregate W3-rag.txt may summarize but must not conflict. Run normal developer commands and cleanliness. No unapproved AWS/paid call, Qdrant lifecycle change, tracker edit, stage, commit or push.
7. After W3-001 passes, run W4-003 Phase A for W3-09 telemetry before the Week 3 checkpoint; do not wait until Week 4.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Dependency/runtime API: Verify declared dependency bounds and exact runtime API names against the approved environment; do not install, upgrade or contact a package service.
- AWS/cloud: Use explicit account, region, role and service boundaries, short-lived identity, least privilege, cost limits and owner-only API execution.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Generate evidence-bound answers while retaining provider portability. The primary beneficiaries are knowledge users, compliance, application teams and model governance.
- Process and risk: This task supports authorized question -&gt; retrieval -&gt; evidence pack -&gt; provider-neutral LLM -&gt; citation validation -&gt; grounded answer. Without it, the platform can produce an unauditable, insecure or non-reproducible result at this exact layer.
- Measurable outcome: grounded answers with valid source IDs and no unauthorized provider call. It contributes to the MVP by making LLM adapters and cited RAG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END-TO-END ARCHITECTURE LEARNING
- Position and flow: authorized question -&gt; retrieval -&gt; evidence pack -&gt; provider-neutral LLM -&gt; citation validation -&gt; grounded answer.
- Upstream/dependency boundary: W2-13, W3-01, W3-01, W3-01:W3-03,W2-09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LLM protocol, fake and Bedrock adapters, prompt builder, RAG orchestrator, answer/citation schemas.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LLM protocol, fake and Bedrock adapters, prompt builder, RAG orchestrator, answer/citation schemas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research assistant allowed to answer only from numbered source cards.
- What goes in / happens / comes out: approved LLM_PROVIDER, LLM_MODEL_ID, AWS_REGION; Bedrock test is marked goes through LLM adapters and cited RAG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retrieval selects evidence; generation composes an answer; citation validation proves support.
ARCHITECTURE DECISIONS AND TRADE-OFFS
- Selected recorded direction: provider portability and evidence-bound generation are selected over model-specific orchestration.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precedes retrieval/LLM calls; retrieved text is untrusted and outputs expose approved citations only. Apply classification, PII handling, tenant isolation, authorization before provider/storage calls, secret exclusion, redacted evidence, residency, retention, provenance and least privilege where applicable.
- Failure/operations: timeouts, invalid citations or provider errors fail without fabricated answer; rollback restores prompt/model/retriever/index baseline.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LLM adapters and cited RAG pipeline addresses generate evidence-bound answers while retaining provider portability. It makes the result governed, testable and reversible, measured by grounded answers with valid source IDs and no unauthorized provider call.
- Two-minute technical explanation: describe LLM protocol, fake and Bedrock adapters, prompt builder, RAG orchestrator, answer/citation schemas; trace authorized question -&gt; retrieval -&gt; evidence pack -&gt; provider-neutral LLM -&gt; citation validation -&gt; grounded answer;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LLM adapters and cited RAG pipeline solve?
   Answer points: Connect Generate evidence-bound answers while retaining provider portability. to grounded answers with valid source IDs and no unauthorized provider call and identify knowledge users, compliance, application teams and model governance.
2. Q: Trace the end-to-end flow for W3-001.
   Answer points: Explain authorized question -&gt; retrieval -&gt; evidence pack -&gt; provider-neutral LLM -&gt; citation validation -&gt; grounded answer; name upstream dependencies, downstream consumers, trust and state boundaries.
3. Q: Which design decision matters most and what alternative was rejected?
   Answer points: Discuss provider portability and evidence-bound generation are selected over model-specific orchestration; compare the adjacent alternative and when it could be preferable.
4. Q: How does this task fail safely and how is it recovered?
   Answer points: Use this scenario: timeouts, invalid citations or provider errors fail without fabricated answer; rollback restores prompt/model/retriever/index baseline; distinguish retry, remediation, rollback, teardown and evidence.
5. Q: How are security, privacy and cost controlled?
   Answer points: Explain authorization precedes retrieval/LLM calls; retrieved text is untrusted and outputs expose approved citations only; include least privilege, redaction/residency, bounded resources and owner-only access.
- Design trade-off: volume/latency increases tenfold; explain whether provider portability and evidence-bound generation are selected over model-specific orchestration still holds and what evidence/ADR/approval must change.
- Failure/remediation: timeouts, invalid citations or provider errors fail without fabricated answer; rollback restores prompt/model/retriever/index baseline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LLM adapters and cited RAG pipeline. Task — establish the governed contract. Action — map consumers, work within gates, owner-test, diagnose completely and prove lifecycle. Result — report only accepted evidence and grounded answers with valid source IDs and no unauthorized provider call.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LLM_PROVIDER, LLM_MODEL_ID, AWS_REGION; Bedrock test is marked.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W3-001.
</t>
  </si>
  <si>
    <t>READY FOR PRE-EDIT REVIEW — W3-001</t>
  </si>
  <si>
    <t>W3-01, W3-02, W3-03, W3-04</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</si>
  <si>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</si>
  <si>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 xml:space="preserve">FOUR APPROVAL GATES PLUS OWNER TESTING AND WEEKLY LEARNING — TRACKER v1.3.4
MAIN PROMPT — W3-002
TASK IDENTITY
- Week: Week 3
- Feature/outcome: Evaluation harness and release gate
- Business purpose: Replace subjective demonstrations with repeatable evidence.
- Covered tracker steps: W3-06, W3-07, W3-10
- Required inputs: configs/eval/golden.jsonl with 25+ approved cases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W3-06 — Create 25+ golden cases with sources, facts, tenant and safety tags.
  Business reason: Quality thresholds require versioned, representative truth data.
  Acceptance: Dataset passes schema and privacy review.
  Dependency: W2-09
  Owner verification reference: python tools/validate_eval_dataset.py configs/eval/golden.jsonl
  Expected result: 25+ valid cases; no prohibited data.
  Canonical evidence: docs/test-evidence/W3-06-golden.txt
  Rollback/teardown: Revert dataset version; never silently edit expected answers.
  Current tracker status (read-only historical/current fact): Not Started
  Separate Task Context: 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
- W3-07 — Measure retrieval, citations, abstention, latency and cost.
  Business reason: Promotion must rely on repeatable evidence, not a demo.
  Acceptance: Baseline report and nonzero regression exit behavior exist.
  Dependency: W3-04,W3-06
  Owner verification reference: python -m enterprise_ai_platform.evaluation.runner --dataset configs/eval/golden.jsonl --out reports/eval.json
  Expected result: Recall@5, citation precision, groundedness, latency and estimated cost recorded.
  Canonical evidence: reports/eval.json
  Rollback/teardown: Restore last approved baseline; block release on unresolved regression.
  Current tracker status (read-only historical/current fact): Not Started
  Separate Task Context: 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
- W3-10 — Set initial thresholds: Recall@5 &gt;=0.85 and citation-valid/safe-abstain &gt;=95%.
  Business reason: Thresholds convert evaluation into a release decision.
  Acceptance: CI-style command fails on a material regression.
  Dependency: W3-07
  Owner verification reference: make evaluate
  Expected result: Baseline passes; synthetic regression fails.
  Canonical evidence: docs/test-evidence/W3-10-gate.txt
  Rollback/teardown: Revert candidate prompt/model/index and preserve failing evidence.
  Current tracker status (read-only historical/current fact): Not Started
  Separate Task Context: 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
Downstream tracker steps identified from recorded dependencies: W3-07, W3-10, W3-11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a versioned JSONL evaluation harness with question, expected facts, expected source IDs, tenant and safety tags. Compute retrieval recall@k/MRR, citation precision, abstention correctness, latency and token/cost fields. Integrate Ragas behind an Evaluator Protocol; label LLM-judge metrics non-deterministic. Compare with a checked-in baseline and fail only on configured material regression. Redact case content in logs and output machine-readable JSON plus concise Markdown.
TASK-SPECIFIC CLARIFICATION
Include at least 25 versioned golden JSONL cases with question, expected facts, expected source IDs, tenant and safety tags. Validate schema and privacy; never silently alter approved expected facts.
TASK-SPECIFIC AMENDMENT — VERSIONED GOLDEN TRUTH AND DETERMINISTIC RELEASE GATE
1. Require W3-001, W3-003 and W4-003 Phase A to have independent PASS/final owner approval; EVAL-001 and DATA-001 owner approval; a valid corpus manifest; stable source IDs; and approved metric definitions/thresholds. Never generate expected facts from the candidate model.
2. Include at least 25 versioned cases with case ID, question, expected facts, expected source IDs, tenant, authorization context and safety tags. Validate every source ID, tenant/classification rule, schema, duplicate and privacy boundary. Owner-approved expected facts may change only through a separately reviewed dataset version.
3. Deterministic offline metrics and failure propagation are the release authority. Compute Recall@5/MRR, citation precision/validity, abstention correctness, latency and token/cost fields. Initial gates: Recall@5 &gt;= 0.85 and citation-valid grounded answer or correct safe abstention &gt;= 95%; unresolved security/isolation failure always blocks.
4. Ragas/LLM-judge metrics remain behind Evaluator and are non-deterministic supplemental results. Any judge call requires exact model/provider, case limit, maximum spend, residency/privacy and network approval. Paid/judge-disabled is NOT RUN, not PASS.
5. Compare to a versioned checked-in baseline with explicit tolerance and nonzero material-regression exit. Preserve candidate and failure evidence; never overwrite the last approved baseline on failure or tune thresholds to make a candidate pass.
6. Test schema/privacy/source validation, metric edge cases, deterministic repeatability, partial/failed provider behavior, nonzero regression, redacted reports and baseline immutability. Canonical evidence: W3-06-golden.txt, reports/eval.json and W3-10-gate.txt; reconcile aggregate evidence. No hidden model/Qdrant/AWS/paid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Replace subjective demonstrations with repeatable evidence. The primary beneficiaries are product owner, model risk, QA and release managers.
- Process and risk: This task supports versioned golden cases -&gt; RAG execution -&gt; deterministic metrics -&gt; thresholds -&gt; release gate and evidence. Without it, the platform can produce an unauditable, insecure or non-reproducible result at this exact layer.
- Measurable outcome: 25+ valid cases and repeatable threshold decisions. It contributes to the MVP by making Evaluation harness and release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END-TO-END ARCHITECTURE LEARNING
- Position and flow: versioned golden cases -&gt; RAG execution -&gt; deterministic metrics -&gt; thresholds -&gt; release gate and evidence.
- Upstream/dependency boundary: W2-09, W3-04,W3-06, W3-07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JSONL evaluation schema, dataset validator, metrics, report, threshold configuration and CI/release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JSONL evaluation schema, dataset validator, metrics, report, threshold configuration and CI/release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exam with fixed questions, marking rules and a pass score.
- What goes in / happens / comes out: approved configs/eval/golden.jsonl with 25+ approved cases goes through Evaluation harness and release gate;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verify code contracts; evaluation measures answer/retrieval quality.
ARCHITECTURE DECISIONS AND TRADE-OFFS
- Selected recorded direction: repeatable versioned evaluation and explicit thresholds replace subjective demonstration.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golden data is sanitized and tenant/classification context is enforced. Apply classification, PII handling, tenant isolation, authorization before provider/storage calls, secret exclusion, redacted evidence, residency, retention, provenance and least privilege where applicable.
- Failure/operations: malformed cases or threshold regression fail the release; rollback returns to last passing artifacts.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Evaluation harness and release gate addresses replace subjective demonstrations with repeatable evidence. It makes the result governed, testable and reversible, measured by 25+ valid cases and repeatable threshold decisions.
- Two-minute technical explanation: describe JSONL evaluation schema, dataset validator, metrics, report, threshold configuration and CI/release consumer; trace versioned golden cases -&gt; RAG execution -&gt; deterministic metrics -&gt; thresholds -&gt; release gate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Evaluation harness and release gate solve?
   Answer points: Connect Replace subjective demonstrations with repeatable evidence. to 25+ valid cases and repeatable threshold decisions and identify product owner, model risk, QA and release managers.
2. Q: Trace the end-to-end flow for W3-002.
   Answer points: Explain versioned golden cases -&gt; RAG execution -&gt; deterministic metrics -&gt; thresholds -&gt; release gate and evidence; name upstream dependencies, downstream consumers, trust and state boundaries.
3. Q: Which design decision matters most and what alternative was rejected?
   Answer points: Discuss repeatable versioned evaluation and explicit thresholds replace subjective demonstration; compare the adjacent alternative and when it could be preferable.
4. Q: How does this task fail safely and how is it recovered?
   Answer points: Use this scenario: malformed cases or threshold regression fail the release; rollback returns to last passing artifacts; distinguish retry, remediation, rollback, teardown and evidence.
5. Q: How are security, privacy and cost controlled?
   Answer points: Explain golden data is sanitized and tenant/classification context is enforced; include least privilege, redaction/residency, bounded resources and owner-only access.
- Design trade-off: volume/latency increases tenfold; explain whether repeatable versioned evaluation and explicit thresholds replace subjective demonstration still holds and what evidence/ADR/approval must change.
- Failure/remediation: malformed cases or threshold regression fail the release; rollback returns to last passing artifacts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Evaluation harness and release gate. Task — establish the governed contract. Action — map consumers, work within gates, owner-test, diagnose completely and prove lifecycle. Result — report only accepted evidence and 25+ valid cases and repeatable threshold decisions.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configs/eval/golden.jsonl with 25+ approved cases.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W3-002.
</t>
  </si>
  <si>
    <t>READY FOR PRE-EDIT REVIEW — W3-002</t>
  </si>
  <si>
    <t>W3-06, W3-07, W3-10</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</si>
  <si>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</si>
  <si>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 xml:space="preserve">FOUR APPROVAL GATES PLUS OWNER TESTING AND WEEKLY LEARNING — TRACKER v1.3.4
MAIN PROMPT — W3-003
TASK IDENTITY
- Week: Week 3
- Feature/outcome: RAG guardrails and security regression suite
- Business purpose: Treat retrieved content as untrusted and enforce authorization outside the model.
- Covered tracker steps: W3-05, W3-08
- Required inputs: Classification/tenant rules; injection fixtures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recorded dependencies: W3-08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approved W3-001 and execute before W3-002 establishes the release baseline.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retrieved content as untrusted and enforce authorization outside the model. The primary beneficiaries are users, security operations, compliance and model governance.
- Process and risk: This task supports untrusted user/retrieved content -&gt; deterministic policy checks -&gt; authorized RAG -&gt; safe response or refusal. Without it, the platform can produce an unauditable, insecure or non-reproducible result at this exact layer.
- Measurable outcome: known attacks are rejected without reducing valid grounded answers. It contributes to the MVP by making RAG guardrails and security regression suite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 Position and flow: untrusted user/retrieved content -&gt; deterministic policy checks -&gt; authorized RAG -&gt; safe response or refusal.
- Upstream/dependency boundary: W3-04, W3-05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airport security that screens every bag even if the passenger says it is safe.
-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guardrails constrain behavior; authorization determines access rights.
ARCHITECTURE DECISIONS AND TRADE-OFFS
- Selected recorded direction: deterministic external controls are selected over asking the model to police itself.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2. Q: Trace the end-to-end flow for W3-003.
   Answer points: Explain untrusted user/retrieved content -&gt; deterministic policy checks -&gt; authorized RAG -&gt; safe response or refusal; name upstream dependencies, downstream consumers, trust and state boundaries.
3. Q: Which design decision matters most and what alternative was rejected?
   Answer points: Discuss deterministic external controls are selected over asking the model to police itself; compare the adjacent alternative and when it could be preferable.
4. Q: How does this task fail safely and how is it recovered?
   Answer points: Use this scenario: injection or authorization ambiguity fails closed and creates redacted evidence; distinguish retry, remediation, rollback, teardown and evidence.
5. Q: How are security, privacy and cost controlled?
   Answer points: Explain tenant and ACL enforcement stay outside the LLM; sensitive instructions/content are not logged; include least privilege, redaction/residency, bounded resources and owner-only access.
- Design trade-off: volume/latency increases tenfold; explain whether deterministic external controls are selected over asking the model to police itself still holds and what evidence/ADR/approval must change.
- Failure/remediation: injection or authorization ambiguity fails closed and creates redacted evidence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Classification/tenant rules; injection fixtures.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W3-003.
</t>
  </si>
  <si>
    <t>READY FOR PRE-EDIT REVIEW — W3-003</t>
  </si>
  <si>
    <t>W3-05, W3-08</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</si>
  <si>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</si>
  <si>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</si>
  <si>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 xml:space="preserve">FOUR APPROVAL GATES PLUS OWNER TESTING AND WEEKLY LEARNING — TRACKER v1.3.4
MAIN PROMPT — W3-ROLLBACK-001
TASK IDENTITY
- Week: Week 3
- Feature/outcome: Cited-RAG configuration rollback drill
- Business purpose: Prove prompt/model/retriever/index configuration can return to a known-good baseline.
- Covered tracker steps: W3-11
- Required inputs: Approved baseline and exact local configuration paths from the pre-edit plan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W3-11 — Restore prior prompt/model/retriever/index configuration and re-evaluate.
  Business reason: RAG changes can regress without application code changes.
  Acceptance: Last-known-good configuration returns baseline results.
  Dependency: W3-10
  Owner verification reference: make rollback-rag &amp;&amp; make evaluate
  Expected result: Rollback record identifies versions and post-rollback metrics.
  Canonical evidence: docs/rollback-records/W3-rag.md
  Rollback/teardown: Forward-fix only after a new feature cycle.
  Current tracker status (read-only historical/current fact): Not Started
  Separate Task Context: 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
Downstream tracker steps identified from recorded dependencies: W3-12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W3-ROLLBACK-001
Use only the exact existing local prompt/model/retriever/index configuration files listed and approved in the pre-edit plan, plus docs/rollback-records/W3-rag.md. Plan owner-run TEST-001 to restore the prior known-good configuration, execute the exact rollback and evaluation commands, compare the checked-in baseline, and supply exact versions, results, elapsed time and residual risks for later Column M documentation. Do not hide regression, edit the golden truth set, mutate cloud resources or edit this tracker.
TASK-SPECIFIC AMENDMENT — SAFE CONFIGURATION ROLLBACK
Run only after W3-10 has a passing approved baseline and before W3-12. Freeze exact configuration N hashes and passing evidence; introduce only an owner-approved local test regression N+1; prove the gate detects it; restore N; rerun evaluation, citation/abstention, security/isolation and telemetry checks. Do not edit the golden truth set, lower thresholds, destroy shared data or use teardown as rollback. If Qdrant/model resources are needed, list their exact local lifecycle/cache boundary and clean or preserve them per approval. The rollback record must contain hashes, elapsed time, failure signal and restored results. Any mismatch or residual is FAIL.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prompt/model/retriever/index configuration can return to a known-good baseline.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Cited-RAG configuration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END-TO-END ARCHITECTURE LEARNING
- Position and flow: known-good baseline -&gt; bounded change -&gt; regression detection -&gt; owner rollback -&gt; verification and evidence.
- Upstream/dependency boundary: W3-10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baseline and exact local configuration paths from the pre-edit plan goes through Cited-RAG configuration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Cited-RAG configuration rollback drill addresses prove prompt/model/retriever/index configuration can return to a known-good baseline.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Cited-RAG configuration rollback drill solve?
   Answer points: Connect Prove prompt/model/retriever/index configuration can return to a known-good baseline. to restored baseline passes exact regression and leaves no ambiguous active version and identify release owner, SRE, support and risk managers.
2. Q: Trace the end-to-end flow for W3-ROLLBACK-001.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Cited-RAG configuration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baseline and exact local configuration paths from the pre-edit plan.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W3-ROLLBACK-001.
</t>
  </si>
  <si>
    <t>READY FOR PRE-EDIT REVIEW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</si>
  <si>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docs/test-evidence/W3-ROLLBACK-001.md
- docs/rollback-records/W3-rag.md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</si>
  <si>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</si>
  <si>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 xml:space="preserve">FOUR APPROVAL GATES PLUS OWNER TESTING AND WEEKLY LEARNING — TRACKER v1.3.4
MAIN PROMPT — W4-001
TASK IDENTITY
- Week: Week 4
- Feature/outcome: FastAPI service boundary
- Business purpose: Expose production-shaped, testable endpoints.
- Covered tracker steps: W4-01, W4-02, W4-10
- Required inputs: Fake providers by default; auth interface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W4-01 — Implement health, query and agent endpoints using dependency interfaces.
  Business reason: A thin typed boundary isolates clients from implementation details.
  Acceptance: Endpoints return normalized schemas and request IDs.
  Dependency: W3-13
  Owner verification reference: pytest tests/unit/test_api.py -q
  Expected result: Health and fake query tests pass; no internal prompt/error leak.
  Canonical evidence: docs/test-evidence/W4-01-api.txt
  Rollback/teardown: Roll back image/config and disable new route.
  Current tracker status (read-only historical/current fact): Not Started
  Separate Task Context: 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
- W4-02 — Implement auth context interface and deny before retrieval/action.
  Business reason: Identity and authorization are deterministic platform controls.
  Acceptance: Unauthorized query never invokes retriever or tool.
  Dependency: W4-01
  Owner verification reference: pytest tests/security/test_api_authorization.py -q
  Expected result: Mock call assertions prove deny-before-retrieve.
  Canonical evidence: docs/test-evidence/W4-02-auth.txt
  Rollback/teardown: Disable endpoint or restore previous auth dependency.
  Current tracker status (read-only historical/current fact): Not Started
  Separate Task Context: 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
- W4-10 — Run bounded local smoke/load test with fake/approved model.
  Business reason: Concurrency and timeouts must fail predictably before EKS.
  Acceptance: No unbounded queue; p95/p99 baseline is recorded.
  Dependency: W4-01,W4-06
  Owner verification reference: pytest tests/feature/test_api_load_smoke.py -q
  Expected result: Latency/error/concurrency report is redacted.
  Canonical evidence: docs/test-evidence/W4-10-load.json
  Rollback/teardown: Reduce traffic; revert concurrency settings.
  Current tracker status (read-only historical/current fact): Not Started
  Separate Task Context: 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
Downstream tracker steps identified from recorded dependencies: W4-02, W4-03, W4-08, W4-10, W4-11,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FastAPI endpoints /health/live, /health/ready, /v1/query and /v1/agent. Use Pydantic schemas, correlation IDs, request-size limits, authentication/authorization interfaces, deadlines, concurrency limiting and normalized errors. Readiness checks dependencies with short timeouts. Return citations, model/retriever versions and request ID; never expose prompts, chain-of-thought, secrets or raw exceptions. Add JSON logging with redaction and OpenTelemetry spans.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TRUSTED API BOUNDARY
Require W3-12 sign-off plus SEC-001 and COST-001. The authentication dependency—not request JSON—constructs trusted AuthContext; deny before retriever or agent invocation. Keep /v1/agent disabled until W4-002 is approved. Validate request/body/content-type limits, correlation/request IDs, deadlines, bounded concurrency/backpressure, cancellation and normalized status/error mapping. Trust forwarded headers only from an explicitly configured proxy boundary. Readiness uses short dependency timeouts and differs from liveness. Never return prompts, context, chain-of-thought, secrets, PII, internal endpoints or raw exceptions. Load smoke must be bounded, local/fake by default, record p95/p99 and leave no process/cache residue. Canonical evidence: W4-01-api.txt, W4-02-auth.txt and W4-10-load.json; aggregate W4-api.txt must reconcile. Test auth short-circuit, size/type/rate/deadline/concurrency, dependency failure, schema/redaction and shutdown cleanup.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Expose production-shaped, testable endpoints. The primary beneficiaries are client teams, knowledge users, operations and security.
- Process and risk: This task supports authenticated HTTP request -&gt; FastAPI validation/auth -&gt; application service -&gt; fake or approved providers -&gt; typed response/error. Without it, the platform can produce an unauditable, insecure or non-reproducible result at this exact layer.
- Measurable outcome: stable contract, correct status codes and bounded latency under approved tests. It contributes to the MVP by making FastAPI service boundary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END-TO-END ARCHITECTURE LEARNING
- Position and flow: authenticated HTTP request -&gt; FastAPI validation/auth -&gt; application service -&gt; fake or approved providers -&gt; typed response/error.
- Upstream/dependency boundary: W3-13, W4-01, W4-01,W4-06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FastAPI routes, request/response schemas, dependency injection, auth interface, health/readiness and API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FastAPI routes, request/response schemas, dependency injection, auth interface, health/readiness and API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guarded reception desk that checks forms and identity before sending work inside.
- What goes in / happens / comes out: approved Fake providers by default; auth interface choice goes through FastAPI service boundary;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API exposes the capability; the service layer owns business rules.
ARCHITECTURE DECISIONS AND TRADE-OFFS
- Selected recorded direction: a thin transport boundary with injected providers and typed errors is selected over business logic in routes.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authentication, tenant context, limits and redaction happen before provider access. Apply classification, PII handling, tenant isolation, authorization before provider/storage calls, secret exclusion, redacted evidence, residency, retention, provenance and least privilege where applicable.
- Failure/operations: bad input/auth/provider timeout maps to stable status without content leakage; rollback restores the last API release.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FastAPI service boundary addresses expose production-shaped, testable endpoints. It makes the result governed, testable and reversible, measured by stable contract, correct status codes and bounded latency under approved tests.
- Two-minute technical explanation: describe FastAPI routes, request/response schemas, dependency injection, auth interface, health/readiness and API tests; trace authenticated HTTP request -&gt; FastAPI validation/auth -&gt; application service -&gt; fake or approved providers -&gt; typed response/error;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FastAPI service boundary solve?
   Answer points: Connect Expose production-shaped, testable endpoints. to stable contract, correct status codes and bounded latency under approved tests and identify client teams, knowledge users, operations and security.
2. Q: Trace the end-to-end flow for W4-001.
   Answer points: Explain authenticated HTTP request -&gt; FastAPI validation/auth -&gt; application service -&gt; fake or approved providers -&gt; typed response/error; name upstream dependencies, downstream consumers, trust and state boundaries.
3. Q: Which design decision matters most and what alternative was rejected?
   Answer points: Discuss a thin transport boundary with injected providers and typed errors is selected over business logic in routes; compare the adjacent alternative and when it could be preferable.
4. Q: How does this task fail safely and how is it recovered?
   Answer points: Use this scenario: bad input/auth/provider timeout maps to stable status without content leakage; rollback restores the last API release; distinguish retry, remediation, rollback, teardown and evidence.
5. Q: How are security, privacy and cost controlled?
   Answer points: Explain authentication, tenant context, limits and redaction happen before provider access; include least privilege, redaction/residency, bounded resources and owner-only access.
- Design trade-off: volume/latency increases tenfold; explain whether a thin transport boundary with injected providers and typed errors is selected over business logic in routes still holds and what evidence/ADR/approval must change.
- Failure/remediation: bad input/auth/provider timeout maps to stable status without content leakage; rollback restores the last API release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FastAPI service boundary. Task — establish the governed contract. Action — map consumers, work within gates, owner-test, diagnose completely and prove lifecycle. Result — report only accepted evidence and stable contract, correct status codes and bounded latency under approved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Fake providers by default; auth interface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W4-001.
</t>
  </si>
  <si>
    <t>READY FOR PRE-EDIT REVIEW — W4-001</t>
  </si>
  <si>
    <t>W4-01, W4-02, W4-10</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</si>
  <si>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</si>
  <si>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 xml:space="preserve">FOUR APPROVAL GATES PLUS OWNER TESTING AND WEEKLY LEARNING — TRACKER v1.3.4
MAIN PROMPT — W4-002
TASK IDENTITY
- Week: Week 4
- Feature/outcome: Bounded LangGraph agent controller
- Business purpose: Add controlled agent behavior without uncontrolled autonomy.
- Covered tracker steps: W4-03, W4-04, W4-05, W4-06, W4-07, W4-09
- Required inputs: Step/tool/time budgets; approval-store decision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W4-03 —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 routing tests pass; Mermaid matches implementation.
  Canonical evidence: docs/test-evidence/W4-03-graph.txt
  Rollback/teardown: Feature flag disables graph; query endpoint remains read-only.
  Current tracker status (read-only historical/current fact): Not Started
  Separate Task Context: 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
- W4-04 — Add one read-only status tool with narrow schema.
  Business reason: Read-only tool proves integration at low consequence.
  Acceptance: Allowlist and JSON schema reject malformed calls.
  Dependency: W4-03
  Owner verification reference: pytest tests/unit/test_agent_tools.py -q
  Expected result: Only allowlisted tool executes; output is normalized/redacted.
  Canonical evidence: docs/test-evidence/W4-04-read-tool.txt
  Rollback/teardown: Remove tool registration and restore prior graph.
  Current tracker status (read-only historical/current fact): Not Started
  Separate Task Context: 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
- W4-05 — Add mocked write tool that requires durable approval.
  Business reason: Consequential actions cannot rely on model intent.
  Acceptance: No approval/rejection/expired approval prevents execution.
  Dependency: W4-03,W4-04
  Owner verification reference: pytest tests/security/test_agent_approval.py -q
  Expected result: 100% write executions have valid approval and idempotency key.
  Canonical evidence: docs/test-evidence/W4-05-approval.txt
  Rollback/teardown: Disable write-tool feature flag and invalidate pending approvals.
  Current tracker status (read-only historical/current fact): Not Started
  Separate Task Context: 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
- W4-06 — Enforce step, tool-call, token/time deadline and retry limits.
  Business reason: Bounds prevent loops, retry storms and unplanned model spend.
  Acceptance: Budget-exceeded paths stop safely and record reason.
  Dependency: W4-03
  Owner verification reference: pytest tests/unit/test_agent_budgets.py -q
  Expected result: No repeated tool execution; timeouts are bounded.
  Canonical evidence: docs/test-evidence/W4-06-budgets.txt
  Rollback/teardown: Reduce limits or disable agent route.
  Current tracker status (read-only historical/current fact): Not Started
  Separate Task Context: 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
- W4-07 — Persist only redacted agent state and audit decisions.
  Business reason: Checkpoints must not become a secret/PII store.
  Acceptance: State fixture contains IDs/outcomes but no content/secrets.
  Dependency: W4-05
  Owner verification reference: pytest tests/security/test_agent_state_redaction.py -q
  Expected result: Redaction assertion passes.
  Canonical evidence: docs/test-evidence/W4-07-state.txt
  Rollback/teardown: Purge test checkpoints and restore safe serializer.
  Current tracker status (read-only historical/current fact): Not Started
  Separate Task Context: 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
- W4-09 — Exercise denial, malformed args, injection, timeout, loop and rejection.
  Business reason: Agent safety is proven through negative paths.
  Acceptance: All failure modes terminate without write side effects.
  Dependency: W4-05:W4-08
  Owner verification reference: pytest tests/security/test_agent_* tests/feature/test_agent_failures.py -q
  Expected result: Audit records show safe terminal reason.
  Canonical evidence: docs/test-evidence/W4-09-failures.txt
  Rollback/teardown: Disable agent endpoint and preserve evidence.
  Current tracker status (read-only historical/current fact): Not Started
  Separate Task Context: 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
Downstream tracker steps identified from recorded dependencies: W4-04, W4-05, W4-06, W4-07, W4-08, W4-09, W4-10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LangGraph StateGraph with typed state and nodes validate_input, authorize, retrieve, grade_evidence, answer, propose_tool, await_human_approval, execute_tool and safe_terminal. Keep routing deterministic except evidence grading/answer generation. Enforce max steps, max tool calls, deadline, allowlists, JSON-schema arguments and idempotency keys. Include one read-only status tool and one mocked write tool that cannot execute without durable approval. Persist only redacted state. Test denial, timeout, repeated calls, malformed args, injection, approval rejection and approved execution.
TASK-SPECIFIC AMENDMENT — BOUNDED GRAPH, DURABLE APPROVAL AND REPLAY SAFETY
Require W4-001, APP-001, COST-001 and RET-001. Do not invent the approval store, approver role, TTL, rejection or retention rules. Bind approval to tenant, subject/approver, exact tool, normalized arguments, idempotency key, request, expiry and one-time decision; expired/rejected/replayed/altered approvals deny. The Week 4 write tool is mocked and produces no external side effect. Keep read-only and write permissions separate; admin has no implicit cross-tenant authority. Cap steps, tool calls, tokens, wall time, retries, state size and concurrency; every path reaches an explicit safe terminal. Persist only allowlisted redacted fields with retention/purge tests. Test all graph branches, malformed/extra args, injection, denial, timeout, loop/retry exhaustion, duplicate/replayed calls, approval races and failure before/after mocked execution. Canonical evidence: W4-03-graph.txt through W4-07-state.txt and W4-09-failures.txt; reconcile W4 aggregate records. No real write tool, external approval service, cloud mutation or paid call.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Add controlled agent behavior without uncontrolled autonomy. The primary beneficiaries are operators, approvers, application users and risk teams.
- Process and risk: This task supports authorized request -&gt; bounded state graph -&gt; permitted tool node -&gt; human approval when required -&gt; final response/audit. Without it, the platform can produce an unauditable, insecure or non-reproducible result at this exact layer.
- Measurable outcome: no unapproved tool call and deterministic state transitions. It contributes to the MVP by making Bounded LangGraph agent controller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END-TO-END ARCHITECTURE LEARNING
- Position and flow: authorized request -&gt; bounded state graph -&gt; permitted tool node -&gt; human approval when required -&gt; final response/audit.
- Upstream/dependency boundary: W4-02, W4-03, W4-03,W4-04, W4-03, W4-05, W4-05:W4-08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LangGraph state, node/edge contracts, tool registry, budgets, approval store and deterministic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LangGraph state, node/edge contracts, tool registry, budgets, approval store and deterministic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supervised checklist where each step and tool needs the right stamp.
- What goes in / happens / comes out: approved Step/tool/time budgets; approval-store decision goes through Bounded LangGraph agent controller;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RAG answers from evidence; an agent chooses among bounded actions and tools.
ARCHITECTURE DECISIONS AND TRADE-OFFS
- Selected recorded direction: explicit graph, step/tool/time budgets and human gates are selected over open-ended autonomy.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tool authorization and approval happen before side effects; state/logs redact content and credentials. Apply classification, PII handling, tenant isolation, authorization before provider/storage calls, secret exclusion, redacted evidence, residency, retention, provenance and least privilege where applicable.
- Failure/operations: budget exhaustion, denial, timeout or cancellation stops the graph without a later tool call.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Bounded LangGraph agent controller addresses add controlled agent behavior without uncontrolled autonomy. It makes the result governed, testable and reversible, measured by no unapproved tool call and deterministic state transitions.
- Two-minute technical explanation: describe LangGraph state, node/edge contracts, tool registry, budgets, approval store and deterministic tests; trace authorized request -&gt; bounded state graph -&gt; permitted tool node -&gt; human approval when required -&gt; final response/audit;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Bounded LangGraph agent controller solve?
   Answer points: Connect Add controlled agent behavior without uncontrolled autonomy. to no unapproved tool call and deterministic state transitions and identify operators, approvers, application users and risk teams.
2. Q: Trace the end-to-end flow for W4-002.
   Answer points: Explain authorized request -&gt; bounded state graph -&gt; permitted tool node -&gt; human approval when required -&gt; final response/audit; name upstream dependencies, downstream consumers, trust and state boundaries.
3. Q: Which design decision matters most and what alternative was rejected?
   Answer points: Discuss explicit graph, step/tool/time budgets and human gates are selected over open-ended autonomy; compare the adjacent alternative and when it could be preferable.
4. Q: How does this task fail safely and how is it recovered?
   Answer points: Use this scenario: budget exhaustion, denial, timeout or cancellation stops the graph without a later tool call; distinguish retry, remediation, rollback, teardown and evidence.
5. Q: How are security, privacy and cost controlled?
   Answer points: Explain tool authorization and approval happen before side effects; state/logs redact content and credentials; include least privilege, redaction/residency, bounded resources and owner-only access.
- Design trade-off: volume/latency increases tenfold; explain whether explicit graph, step/tool/time budgets and human gates are selected over open-ended autonomy still holds and what evidence/ADR/approval must change.
- Failure/remediation: budget exhaustion, denial, timeout or cancellation stops the graph without a later tool call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Bounded LangGraph agent controller. Task — establish the governed contract. Action — map consumers, work within gates, owner-test, diagnose completely and prove lifecycle. Result — report only accepted evidence and no unapproved tool call and deterministic state transitions.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Step/tool/time budgets; approval-store decision.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W4-002.
</t>
  </si>
  <si>
    <t>READY FOR PRE-EDIT REVIEW — W4-002</t>
  </si>
  <si>
    <t>W4-03, W4-04, W4-05, W4-06, W4-07, W4-09</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</si>
  <si>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</si>
  <si>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 xml:space="preserve">FOUR APPROVAL GATES PLUS OWNER TESTING AND WEEKLY LEARNING — TRACKER v1.3.4
MAIN PROMPT — W4-003
TASK IDENTITY
- Week: Week 4
- Feature/outcome: Application telemetry and redacted audit trail
- Business purpose: Make each RAG and agent stage explainable operationally.
- Covered tracker steps: W3-09, W4-08
- Required inputs: OTEL exporter endpoint; no content export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W3-09 — Record retrieval/model/token/guardrail metrics without content.
  Business reason: Stage-level data explains latency, errors and cost.
  Acceptance: Metrics include versions/outcomes and exclude prompt/document text.
  Dependency: W3-04
  Owner verification reference: pytest tests/unit/test_telemetry.py -q
  Expected result: Redaction tests pass; metrics names are documented.
  Canonical evidence: docs/test-evidence/W3-09-telemetry.txt
  Rollback/teardown: Disable exporter or revert instrumentation, not core answer path.
  Current tracker status (read-only historical/current fact): Not Started
  Separate Task Context: 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
- W4-08 — Trace API to retrieval, LLM, guardrail, approval and tool.
  Business reason: Correlated traces make probabilistic workflows diagnosable.
  Acceptance: One local trace contains all stages and safe attributes.
  Dependency: W4-01:W4-07
  Owner verification reference: pytest tests/feature/test_trace_correlation.py -q
  Expected result: Trace ID links JSON logs and spans; content is redacted.
  Canonical evidence: docs/test-evidence/W4-08-trace.json
  Rollback/teardown: Disable exporter; preserve local logs and core service.
  Current tracker status (read-only historical/current fact): Not Started
  Separate Task Context: 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
Downstream tracker steps identified from recorded dependencies: W4-09,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Instrument FastAPI, retrieval, embedding, LLM, guardrail and tool stages with OpenTelemetry. Emit safe attributes for request ID, stage, duration, outcome, model/retriever version, token counts and error class; never emit raw prompts, documents, secrets, PII or chain-of-thought. Add JSON logs with correlation IDs and a local collector/Jaeger path. Test that one trace links API to retrieval and model, and add redaction tests.
TASK-SPECIFIC AMENDMENT — TWO SEPARATE CONTROLLED CYCLES TO REMOVE THE CROSS-WEEK DEPENDENCY
This prompt is executed twice under the same Prompt ID; never combine the phases or reuse approval/evidence between them.
PHASE A — WEEK 3 / W3-09
- Run after W3-001 and before W3-12. Require OBS-001 or report the early blocking dependency explicitly.
- Implement safe metric/log/trace contracts for retrieval, model, token/usage and guardrail stages with bounded low-cardinality attributes, content/PII/secret exclusion and exporter-failure isolation.
- Canonical evidence: docs/test-evidence/W3-09-telemetry.txt. Obtain its own pre-edit approval, independent TEST-001 and final owner approval.
PHASE B — WEEK 4 / W4-08
- Run only after W4-001 and W4-002 are independently approved.
- Extend correlation across API, authorization, retrieval, embedding, LLM, guardrail, approval and tool stages; prove one local trace and redacted JSON logs. Canonical evidence: docs/test-evidence/W4-08-trace.json; reconcile aggregate W4-trace.json.
- Any local collector/Jaeger container requires an immutable pin, external cache, explicit local-mutation approval and complete teardown. AWS exporters remain disabled until separately approved.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each RAG and agent stage explainable operationally. The primary beneficiaries are SRE, security operations, developers and auditors.
- Process and risk: This task supports RAG/agent/API events -&gt; redaction and correlation -&gt; OpenTelemetry -&gt; approved local/export destination -&gt; alerts/evidence. Without it, the platform can produce an unauditable, insecure or non-reproducible result at this exact layer.
- Measurable outcome: diagnosable stage latency/errors with zero protected-content export. It contributes to the MVP by making Application telemetry and redacted audit trail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END-TO-END ARCHITECTURE LEARNING
- Position and flow: RAG/agent/API events -&gt; redaction and correlation -&gt; OpenTelemetry -&gt; approved local/export destination -&gt; alerts/evidence.
- Upstream/dependency boundary: W3-04, W4-01:W4-07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traces, metrics, structured logs, correlation IDs, redaction processor and exporter boundary.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traces, metrics, structured logs, correlation IDs, redaction processor and exporter boundary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flight recorder that stores instrument readings, not passengers' conversations.
- What goes in / happens / comes out: approved OTEL exporter endpoint; no content export goes through Application telemetry and redacted audit trail;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application logs explain events; traces connect stages; metrics summarize behavior.
ARCHITECTURE DECISIONS AND TRADE-OFFS
- Selected recorded direction: stage-level observability without prompt/document export balances diagnosis and privacy.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raw content, PII, secrets or credentials leave process; exporter is explicit. Apply classification, PII handling, tenant isolation, authorization before provider/storage calls, secret exclusion, redacted evidence, residency, retention, provenance and least privilege where applicable.
- Failure/operations: export failure must not expose data or corrupt user flow; buffering/retry is bounded.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Application telemetry and redacted audit trail addresses make each rag and agent stage explainable operationally. It makes the result governed, testable and reversible, measured by diagnosable stage latency/errors with zero protected-content export.
- Two-minute technical explanation: describe traces, metrics, structured logs, correlation IDs, redaction processor and exporter boundary; trace RAG/agent/API events -&gt; redaction and correlation -&gt; OpenTelemetry -&gt; approved local/export destination -&gt; alerts/evidence;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Application telemetry and redacted audit trail solve?
   Answer points: Connect Make each RAG and agent stage explainable operationally. to diagnosable stage latency/errors with zero protected-content export and identify SRE, security operations, developers and auditors.
2. Q: Trace the end-to-end flow for W4-003.
   Answer points: Explain RAG/agent/API events -&gt; redaction and correlation -&gt; OpenTelemetry -&gt; approved local/export destination -&gt; alerts/evidence; name upstream dependencies, downstream consumers, trust and state boundaries.
3. Q: Which design decision matters most and what alternative was rejected?
   Answer points: Discuss stage-level observability without prompt/document export balances diagnosis and privacy; compare the adjacent alternative and when it could be preferable.
4. Q: How does this task fail safely and how is it recovered?
   Answer points: Use this scenario: export failure must not expose data or corrupt user flow; buffering/retry is bounded; distinguish retry, remediation, rollback, teardown and evidence.
5. Q: How are security, privacy and cost controlled?
   Answer points: Explain no raw content, PII, secrets or credentials leave process; exporter is explicit; include least privilege, redaction/residency, bounded resources and owner-only access.
- Design trade-off: volume/latency increases tenfold; explain whether stage-level observability without prompt/document export balances diagnosis and privacy still holds and what evidence/ADR/approval must change.
- Failure/remediation: export failure must not expose data or corrupt user flow; buffering/retry is bounded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Application telemetry and redacted audit trail. Task — establish the governed contract. Action — map consumers, work within gates, owner-test, diagnose completely and prove lifecycle. Result — report only accepted evidence and diagnosable stage latency/errors with zero protected-content export.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OTEL exporter endpoint; no content export.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W4-003.
</t>
  </si>
  <si>
    <t>READY FOR PRE-EDIT REVIEW — W4-003</t>
  </si>
  <si>
    <t>W3-09, W4-08</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</si>
  <si>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</si>
  <si>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 xml:space="preserve">FOUR APPROVAL GATES PLUS OWNER TESTING AND WEEKLY LEARNING — TRACKER v1.3.4
MAIN PROMPT — W4-ROLLBACK-001
TASK IDENTITY
- Week: Week 4
- Feature/outcome: Local immutable release rollback drill
- Business purpose: Prove release rollback separately from infrastructure rollback.
- Covered tracker steps: W4-11
- Required inputs: Approved local immutable releases N and N+1 and safe regression method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W4-11 — Deploy local immutable version N+1, force regression and restore N.
  Business reason: Release rollback is separate from infrastructure rollback.
  Acceptance: N becomes healthy and passes feature tests after rollback.
  Dependency: W4-01:W4-10
  Owner verification reference: make rollback-release &amp;&amp; make smoke
  Expected result: Rollback duration and health evidence recorded.
  Canonical evidence: docs/rollback-records/W4-release.md
  Rollback/teardown: Keep agent route disabled until the failure is fixed.
  Current tracker status (read-only historical/current fact): Not Started
  Separate Task Context: 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
Downstream tracker steps identified from recorded dependencies: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W4-ROLLBACK-001
Using only local immutable release artifacts and files explicitly listed in the approved pre-edit plan, design owner-run TEST-001 steps to deploy local version N+1, introduce the approved safe regression, restore N, and execute the rollback and smoke commands. The owner supplies versions, digests, results, duration and risks for later Column M documentation in docs/rollback-records/W4-release.md. Do not push images, mutate Kubernetes/cloud resources or edit this tracker.
TASK-SPECIFIC AMENDMENT — IMMUTABLE LOCAL RELEASE ROLLBACK
Require completion of W4-01 through W4-10 and an approved safe regression. Capture immutable release N and N+1 digests/config hashes, health/evaluation baseline and exact local resources. Prove N+1 failure, restore N without changing infrastructure or shared data, then rerun liveness/readiness, API/auth, agent safety, smoke, telemetry and cleanup checks. Do not build or pull an unapproved image, use a mutable tag as authority, push an image, mutate Kubernetes/cloud or treat teardown as rollback. Record rollback time, failure signal, restored digest and residuals at docs/rollback-records/W4-release.md; remove task-owned local containers/networks/volumes/caches according to approval.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release rollback separately from infrastructure rollback.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Local immutable release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END-TO-END ARCHITECTURE LEARNING
- Position and flow: known-good baseline -&gt; bounded change -&gt; regression detection -&gt; owner rollback -&gt; verification and evidence.
- Upstream/dependency boundary: W4-01:W4-10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local immutable releases N and N+1 and safe regression method goes through Local immutable release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immutable release rollback drill addresses prove release rollback separately from infrastructure rollback.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immutable release rollback drill solve?
   Answer points: Connect Prove release rollback separately from infrastructure rollback. to restored baseline passes exact regression and leaves no ambiguous active version and identify release owner, SRE, support and risk managers.
2. Q: Trace the end-to-end flow for W4-ROLLBACK-001.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immutable release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immutable releases N and N+1 and safe regression method.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W4-ROLLBACK-001.
</t>
  </si>
  <si>
    <t>READY FOR PRE-EDIT REVIEW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</si>
  <si>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</si>
  <si>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</si>
  <si>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TESTING AND WEEKLY LEARNING — TRACKER v1.3.4
MAIN PROMPT — W5-INPUTS-001
TASK IDENTITY
- Week: Week 5
- Feature/outcome: AWS sandbox input approval
- Business purpose: Capture all non-secret AWS, network, tagging, residency and budget choices before Terraform work.
- Covered tracker steps: W5-01
- Required inputs: AWS-001, AWS-002, NET-001, TAG-001, COST-001 and PRIV-001;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W5-01 — Confirm sandbox account, region, network, tags, data residency and budget ceiling.
  Business reason: Terraform cannot be safely reviewed with ambiguous ownership or cost.
  Acceptance: All variables are non-secret and approved.
  Dependency: W4-13
  Owner verification reference: Review infra/environments/sandbox/terraform.tfvars.example
  Expected result: No credential/secret value is requested.
  Canonical evidence: docs/cost-estimates/W5-inputs.md
  Rollback/teardown: Do not initialize/apply until inputs are approved.
  Current tracker status (read-only historical/current fact): Not Started
  Separate Task Context: 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
Downstream tracker steps identified from recorded dependencies: W5-02, W5-03, W5-04, W5-13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W5-INPUTS-001
The planned Column L content boundary is create only infra/environments/sandbox/terraform.tfvars.example and docs/cost-estimates/W5-inputs.md; their approved parent structure exists. Use TODO placeholders for sandbox account ID, approved region, VPC/subnets, mandatory tags, data-residency/privacy constraints, expiry and monthly budget. Never request, store or display credentials, secret values or live tokens. Do not run terraform init/plan/apply/destroy and do not access AWS. Leave the approval record READY FOR OWNER REVIEW.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Record which later owner-run Terraform/AWS actions remain prohibited until a separate approval; do not provide or execute those actions in this task.
6. Confirm no ignored or Git-invisible residue remains.
TASK-SPECIFIC AMENDMENT — COMPLETE NON-SECRET AWS INPUT GATE
Do not start Terraform design until W4-12 is signed off. Reconcile and obtain owner decisions for AWS-001, AWS-002, NET-001, TAG-001, COST-001, PRIV-001, KMS-001, GHA-001 and BED-001; also identify EKS-001, OBS-001 and SLO-001 as required before W5-13/Week 6. Record account ID, region/service availability, existing-vs-owned VPC/subnets/CIDRs/DNS/egress/endpoints, data residency, mandatory tags/expiry, monthly/daily/paid-evaluation ceilings, KMS deletion window/follow-up owner, GitHub repository/environment/OIDC naming and Bedrock model/quota/fallback—never credentials, role sessions, secret values or live tokens. Validate ownership boundaries so shared networking/EKS resources can never be destroyed. Modify only the two scoped input documents, leave status READY FOR OWNER REVIEW, run no Terraform/AWS/network command and do not infer approval from placeholders.
CONTENT-SPECIFIC READ-ONLY REVIEW — REQUIRED RESPONSE SECTIONS
1. Business and document outcome
Explain the non-secret sandbox variable example and cost/input decision record; Terraform and AWS execution remain outside this task.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infra/environments/sandbox/terraform.tfvars.example
- docs/cost-estimates/W5-inputs.md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Capture all non-secret AWS, network, tagging, residency and budget choices before Terraform work. The primary beneficiaries are cloud owner, security, finance, networking and platform teams.
- Process and risk: This task supports owner-approved non-secret account/network/tag/residency/budget choices -&gt; decision record -&gt; Terraform inputs. Without it, the platform can produce an unauditable, insecure or non-reproducible result at this exact layer.
- Measurable outcome: complete non-secret input record with zero unresolved code-blocking values. It contributes to the MVP by making AWS sandbox input approval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END-TO-END ARCHITECTURE LEARNING
- Position and flow: owner-approved non-secret account/network/tag/residency/budget choices -&gt; decision record -&gt; Terraform inputs.
- Upstream/dependency boundary: W4-13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AWS account/region, VPC/subnets, tags, GitHub OIDC, Bedrock IDs, residency and cost ceiling.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AWS account/region, VPC/subnets, tags, GitHub OIDC, Bedrock IDs, residency and cost ceiling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signed travel authorization before booking anything.
- What goes in / happens / comes out: approved AWS-001, AWS-002, NET-001, TAG-001, COST-001 and PRIV-001; no credentials goes through AWS sandbox input approval; validation and controls run; the output is Approved business-first documentation/decision record only; no code or command execution or a clear, non-fabricated stop.
- Why the business cares: the process becomes explainable, safer and repeatable.
- Adjacent technology: input approval chooses constraints; Terraform later implements them.
ARCHITECTURE DECISIONS AND TRADE-OFFS
- Selected recorded direction: record every cloud boundary before IaC so placeholders cannot become accidental production values.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credentials in workbook/repository; least privilege, residency and budget are explicit. Apply classification, PII handling, tenant isolation, authorization before provider/storage calls, secret exclusion, redacted evidence, residency, retention, provenance and least privilege where applicable.
- Failure/operations: missing or conflicting input blocks Terraform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AWS sandbox input approval addresses capture all non-secret aws, network, tagging, residency and budget choices before terraform work. It makes the result governed, testable and reversible, measured by complete non-secret input record with zero unresolved code-blocking values.
- Two-minute technical explanation: describe AWS account/region, VPC/subnets, tags, GitHub OIDC, Bedrock IDs, residency and cost ceiling; trace owner-approved non-secret account/network/tag/residency/budget choices -&gt; decision record -&gt; Terraform inputs;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AWS sandbox input approval solve?
   Answer points: Connect Capture all non-secret AWS, network, tagging, residency and budget choices before Terraform work. to complete non-secret input record with zero unresolved code-blocking values and identify cloud owner, security, finance, networking and platform teams.
2. Q: Trace the end-to-end flow for W5-INPUTS-001.
   Answer points: Explain owner-approved non-secret account/network/tag/residency/budget choices -&gt; decision record -&gt; Terraform inputs; name upstream dependencies, downstream consumers, trust and state boundaries.
3. Q: Which design decision matters most and what alternative was rejected?
   Answer points: Discuss record every cloud boundary before IaC so placeholders cannot become accidental production values; compare the adjacent alternative and when it could be preferable.
4. Q: How does this task fail safely and how is it recovered?
   Answer points: Use this scenario: missing or conflicting input blocks Terraform approval; distinguish retry, remediation, rollback, teardown and evidence.
5. Q: How are security, privacy and cost controlled?
   Answer points: Explain no credentials in workbook/repository; least privilege, residency and budget are explicit; include least privilege, redaction/residency, bounded resources and owner-only access.
- Design trade-off: volume/latency increases tenfold; explain whether record every cloud boundary before IaC so placeholders cannot become accidental production values still holds and what evidence/ADR/approval must change.
- Failure/remediation: missing or conflicting input blocks Terraform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AWS sandbox input approval. Task — establish the governed contract. Action — map consumers, work within gates, owner-test, diagnose completely and prove lifecycle. Result — report only accepted evidence and complete non-secret input record with zero unresolved code-blocking values.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AWS-001, AWS-002, NET-001, TAG-001, COST-001 and PRIV-001; no credentials.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resource creation and provider/API execution do not apply to this document gate
- Column L activation: no workbook text grants authority until the owner explicitly issues an exact bounded Code or Content Edit Approval after all edit-blocking decisions are resolved and patch contexts are re-read.
End exactly: READY FOR PRE-EDIT REVIEW — W5-INPUTS-001.</t>
  </si>
  <si>
    <t>READY FOR PRE-EDIT REVIEW — W5-INPUTS-001</t>
  </si>
  <si>
    <t xml:space="preserve">COLUMN M — EXACT DOCUMENT WRITING APPROVAL — W5-INPUTS-001
This is a separate owner approval after the bounded edit and owner testing or content review. Classify every path under one—and only one—of the CREATE and UPDATE headings after read-only preflight inspection.
EXACT DOCUMENTATION BOUNDARY
CREATE:
- infra/environments/sandbox/terraform.tfvars.example
- docs/cost-estimates/W5-inputs.md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W5-INPUTS-001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W5-INPUTS-001.
</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</si>
  <si>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</si>
  <si>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 xml:space="preserve">FOUR APPROVAL GATES PLUS OWNER TESTING AND WEEKLY LEARNING — TRACKER v1.3.4
MAIN PROMPT — W5-001
TASK IDENTITY
- Week: Week 5
- Feature/outcome: Terraform AWS sandbox modules
- Business purpose: Produce reviewable infrastructure without secret material.
- Covered tracker steps: W5-02, W5-03, W5-04, W5-05
- Required inputs: TODO account, region, VPC/subnets, GitHub repo, tags, Bedrock models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W5-02 — Build isolated encrypted/versioned S3 state and Terraform 1.5 DynamoDB locking stack.
  Business reason: State must survive platform rollback and be removed last during full teardown.
  Acceptance: fmt/validate/Checkov pass; apply remains manual.
  Dependency: W5-01
  Owner verification reference: terraform -chdir=infra/bootstrap fmt -check &amp;&amp; terraform -chdir=infra/bootstrap validate
  Expected result: Bootstrap plan contains only expected resources.
  Canonical evidence: docs/test-evidence/W5-02-bootstrap.txt
  Rollback/teardown: Destroy platform first; bootstrap destroy is separately reviewed.
  Current tracker status (read-only historical/current fact): Not Started
  Separate Task Context: 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
- W5-03 — Create KMS, private/versioned S3 and secret-metadata modules.
  Business reason: Encryption and secret separation are foundational controls.
  Acceptance: No public access or secret value resource exists.
  Dependency: W5-01,W5-02
  Owner verification reference: terraform -chdir=infra/environments/sandbox validate &amp;&amp; checkov -d infra/modules
  Expected result: Security controls pass; deletion settings are explicit.
  Canonical evidence: docs/test-evidence/W5-03-security.txt
  Rollback/teardown: Apply prior Terraform version; use purge only for disposable sandbox.
  Current tracker status (read-only historical/current fact): Not Started
  Separate Task Context: 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
- W5-04 — Create least-privilege runtime, ingestion and GitHub OIDC roles.
  Business reason: Workloads need short-lived, separated permissions.
  Acceptance: No wildcard action/resource without reviewed exception.
  Dependency: W5-01
  Owner verification reference: checkov -d infra &amp;&amp; opa test policies/opa -v
  Expected result: Trust policies bind approved repo/environment and workload identity.
  Canonical evidence: docs/test-evidence/W5-04-iam.txt
  Rollback/teardown: Disable role session/restore prior policy; do not store keys.
  Current tracker status (read-only historical/current fact): Not Started
  Separate Task Context: 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
- W5-05 — Create private encrypted OpenSearch and ECR modules.
  Business reason: OpenSearch is the AWS vector target; ECR stores immutable images.
  Acceptance: Private network, TLS, encryption, logs and access controls are planned.
  Dependency: W5-03,W5-04
  Owner verification reference: terraform -chdir=infra/environments/sandbox plan -out=tfplan
  Expected result: Plan summary shows only expected resources and estimated baseline cost.
  Canonical evidence: docs/test-evidence/W5-05-platform-plan.txt
  Rollback/teardown: Apply reviewed previous Terraform version or destroy disposable resources in order.
  Current tracker status (read-only historical/current fact): Not Started
  Separate Task Context: 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
Downstream tracker steps identified from recorded dependencies: W5-03, W5-05, W5-06, W5-07, W5-09, W6-03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Terraform &gt;=1.5 modules and sandbox composition for KMS, private versioned S3, Secrets Manager metadata only, least-privilege runtime/ingestion roles, ECR and a private VPC OpenSearch domain with encryption, HTTPS, fine-grained access, logs and security groups. Isolate an encrypted/versioned S3 state plus DynamoDB-locking bootstrap for Terraform 1.5 and document newer S3 lockfiles. Never create secret versions or accept secret values. Validate inputs, apply mandatory tags, gate deletion protection and document every suppression with owner/reason/expiry. Plan only.
TASK-SPECIFIC AMENDMENT — TERRAFORM STATIC FOUNDATION AND BOOTSTRAP DEPENDENCY
1. Require W5-INPUTS-001 final approval and exact non-secret inputs. Pin Terraform/provider/module versions; owner-run reviewed initialization may generate exact dependency lock files for a separately reviewed repository update, but Codex does not initialize, stage or commit them. Use external TF_DATA_DIR/plugin caches; repository .terraform, plan binaries, state and credentials are prohibited.
2. Separate bootstrap and platform roots. Static work here creates/validates code only. Use terraform init -backend=false for offline/static checks unless an exact read-only network initialization is separately approved. A real plan requires approved short-lived AWS identity/account/region and is not an offline test.
3. The remote backend must physically exist before the W5-09 platform saved plan. Therefore W5-004 must perform a separately approved bootstrap saved-plan/apply cycle when the backend is absent; W5-001 must not claim that platform planning can use an unapplied backend.
4. No secret value/resource version, public endpoint, wildcard IAM or unbounded cost default. OpenSearch must be private, encrypted in transit/at rest, access-controlled, logged and deletion/cost guarded. ECR uses immutable scanning settings. Tags apply to every supported resource; exceptions require owner/rationale/expiry.
5. Test variables, outputs, fmt/validate/tflint/Checkov/OPA, plan redaction, secret-in-state prevention, provider-lock integrity, bootstrap/platform dependency and destroy ordering. Canonical evidence: W5-02-bootstrap.txt, W5-03-security.txt, W5-04-iam.txt and W5-05-platform-plan.txt; reconcile aggregate W5-terraform.txt. No apply/destroy, live AWS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Produce reviewable infrastructure without secret material. The primary beneficiaries are platform, security, networking, finance and SRE.
- Process and risk: This task supports approved cloud inputs -&gt; Terraform modules -&gt; static/policy validation -&gt; saved plan -&gt; owner review -&gt; later apply. Without it, the platform can produce an unauditable, insecure or non-reproducible result at this exact layer.
- Measurable outcome: reproducible plan with zero critical policy findings and bounded cost. It contributes to the MVP by making Terraform AWS sandbox modules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END-TO-END ARCHITECTURE LEARNING
- Position and flow: approved cloud inputs -&gt; Terraform modules -&gt; static/policy validation -&gt; saved plan -&gt; owner review -&gt; later apply.
- Upstream/dependency boundary: W5-01, W5-01,W5-02, W5-01, W5-03,W5-04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providers, state/bootstrap boundary, network, IAM, KMS, storage/search/compute modules, variables and outputs.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providers, state/bootstrap boundary, network, IAM, KMS, storage/search/compute modules, variables and outputs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engineering blueprint that can be reviewed before machinery builds anything.
- What goes in / happens / comes out: approved TODO account, region, VPC/subnets, GitHub repo, tags, Bedrock models goes through Terraform AWS sandbox modules;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declares infrastructure; deployment applies an approved plan.
ARCHITECTURE DECISIONS AND TRADE-OFFS
- Selected recorded direction: modular IaC, reviewed plans and immutable inputs are selected over console changes.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encryption, private networking, mandatory tags and no secrets in state/code. Apply classification, PII handling, tenant isolation, authorization before provider/storage calls, secret exclusion, redacted evidence, residency, retention, provenance and least privilege where applicable.
- Failure/operations: plan or policy failure blocks apply; rollback uses reviewed prior configuration; teardown is dependency ordered.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Terraform AWS sandbox modules addresses produce reviewable infrastructure without secret material. It makes the result governed, testable and reversible, measured by reproducible plan with zero critical policy findings and bounded cost.
- Two-minute technical explanation: describe providers, state/bootstrap boundary, network, IAM, KMS, storage/search/compute modules, variables and outputs; trace approved cloud inputs -&gt; Terraform modules -&gt; static/policy validation -&gt; saved plan -&gt; owner review -&gt; later apply;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Terraform AWS sandbox modules solve?
   Answer points: Connect Produce reviewable infrastructure without secret material. to reproducible plan with zero critical policy findings and bounded cost and identify platform, security, networking, finance and SRE.
2. Q: Trace the end-to-end flow for W5-001.
   Answer points: Explain approved cloud inputs -&gt; Terraform modules -&gt; static/policy validation -&gt; saved plan -&gt; owner review -&gt; later apply; name upstream dependencies, downstream consumers, trust and state boundaries.
3. Q: Which design decision matters most and what alternative was rejected?
   Answer points: Discuss modular IaC, reviewed plans and immutable inputs are selected over console changes; compare the adjacent alternative and when it could be preferable.
4. Q: How does this task fail safely and how is it recovered?
   Answer points: Use this scenario: plan or policy failure blocks apply; rollback uses reviewed prior configuration; teardown is dependency ordered; distinguish retry, remediation, rollback, teardown and evidence.
5. Q: How are security, privacy and cost controlled?
   Answer points: Explain least privilege, encryption, private networking, mandatory tags and no secrets in state/code; include least privilege, redaction/residency, bounded resources and owner-only access.
- Design trade-off: volume/latency increases tenfold; explain whether modular IaC, reviewed plans and immutable inputs are selected over console changes still holds and what evidence/ADR/approval must change.
- Failure/remediation: plan or policy failure blocks apply; rollback uses reviewed prior configuration; teardown is dependency ordered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Terraform AWS sandbox modules. Task — establish the governed contract. Action — map consumers, work within gates, owner-test, diagnose completely and prove lifecycle. Result — report only accepted evidence and reproducible plan with zero critical policy findings and bounded cost.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TODO account, region, VPC/subnets, GitHub repo, tags, Bedrock models.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W5-001.
</t>
  </si>
  <si>
    <t>READY FOR PRE-EDIT REVIEW — W5-001</t>
  </si>
  <si>
    <t>W5-02, W5-03, W5-04, W5-05</t>
  </si>
  <si>
    <t xml:space="preserve">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
</t>
  </si>
  <si>
    <t xml:space="preserve">FOUR APPROVAL GATES PLUS OWNER TESTING AND WEEKLY LEARNING — TRACKER v1.3.4
MAIN PROMPT — W5-002
TASK IDENTITY
- Week: Week 5
- Feature/outcome: GitHub Actions DevSecOps pipeline
- Business purpose: Enforce quality, IaC and supply-chain gates with short-lived identity.
- Covered tracker steps: W5-07, W5-08, W6-01
- Required inputs: GitHub environment, OIDC role ARN, sandbox variables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W5-07 — Create PR CI and Terraform-plan workflow using GitHub OIDC.
  Business reason: Automated gates and short-lived identity reduce change and credential risk.
  Acceptance: All required checks run; apply/destroy are owner-gated.
  Dependency: W5-04,W5-06
  Owner verification reference: Review .github/workflows and run actionlint if available
  Expected result: No access-key secret; immutable action pins are TODO/approved.
  Canonical evidence: docs/test-evidence/W5-07-ci.txt
  Rollback/teardown: Disable workflow; revoke OIDC trust; keep last good release.
  Current tracker status (read-only historical/current fact): Not Started
  Separate Task Context: 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
- W5-08 — Build image, scan with Trivy/Grype and generate Syft SBOM.
  Business reason: Deployment must use a known, scanned immutable artifact.
  Acceptance: Critical findings fail per policy and SBOM is retained.
  Dependency: W5-07
  Owner verification reference: docker build -t enterprise-ai:test . &amp;&amp; trivy image enterprise-ai:test
  Expected result: Redacted scan reports and SPDX/CycloneDX SBOM exist.
  Canonical evidence: docs/test-evidence/W5-08-supply-chain.txt
  Rollback/teardown: Do not publish vulnerable digest; restore prior approved digest.
  Current tracker status (read-only historical/current fact): Not Started
  Separate Task Context: 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
- W6-01 — Publish scanned image to ECR by immutable digest.
  Business reason: Rollback and provenance require immutable deployment identity.
  Acceptance: Digest matches the scanned/SBOM artifact.
  Dependency: W5-14
  Owner verification reference: docker inspect --format='{{index .RepoDigests 0}}' enterprise-ai:test
  Expected result: Digest, scan and SBOM are linked in deployment record.
  Canonical evidence: docs/deployment-records/W6-image.md
  Rollback/teardown: Restore prior approved digest; never reuse a mutable tag as authority.
  Current tracker status (read-only historical/current fact): Not Started
  Separate Task Context: 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
Downstream tracker steps identified from recorded dependencies: W5-08, W5-09, W6-02, W6-10,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least-privilege GitHub Actions workflows. On PR run Python 3.11 cache/install, Ruff, mypy, pytest, secret scan, terraform fmt/validate/tflint, Checkov, plan JSON through OPA, Docker build, Trivy filesystem/image scan, Syft SPDX/CycloneDX SBOM, Grype scan and a RAG smoke evaluation. Use Qdrant service container if useful. Upload only redacted reports and do not upload sensitive plans. Use GitHub OIDC, immutable image digest, protected environment approval and explicit timeouts. Pin actions to immutable SHAs with TODOs. Never use AWS access-key secrets or auto-run apply/destroy.
TASK-SPECIFIC AMENDMENT — TWO SEPARATE CI/SUPPLY-CHAIN AND PROMOTION CYCLES
This prompt is executed in two separately approved cycles; W6-01 cannot be completed before W5-13.
PHASE A — WEEK 5 / W5-07 AND W5-08
- Require W5-001/W5-003 and GHA-001. Pin every GitHub Action to an immutable commit SHA, base/service images to approved digests and tools/dependencies to reviewed versions. Use least-privilege OIDC with exact repository/ref/environment trust and no access-key secret.
- Build locally/CI without push, scan the exact image with Trivy/Grype, generate Syft SPDX/CycloneDX SBOM, enforce policy thresholds and preserve redacted provenance. Do not upload sensitive Terraform plans, logs, environment dumps or source data. A workflow/PR run is an external action and requires explicit approval.
- Canonical evidence: W5-07-ci.txt and W5-08-supply-chain.txt; reconcile W5-oidc.txt/W5-supply-chain.txt.
PHASE B — WEEK 6 / W6-01
- Run only after W5-13, W5-004 Week-6 environment recreation and a passing Phase A. Require the exact scanned image digest, SBOM/provenance, ECR target and separate push authorization.
- Push/promote only the approved digest; verify the ECR digest matches the scanned artifact. Mutable tags may be convenience labels but never deployment authority. Record docs/deployment-records/W6-image.md and leave no unapproved local builder/cache residue.
Each phase requires its own pre-edit approval, independent TEST-001 and final owner approval. No apply/destroy, Kubernetes mutation or automatic deployment.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Enforce quality, IaC and supply-chain gates with short-lived identity. The primary beneficiaries are developers, release managers, security and auditors.
- Process and risk: This task supports Git change -&gt; CI quality/security/IaC gates -&gt; OIDC token -&gt; approved artifact/plan -&gt; environment approval. Without it, the platform can produce an unauditable, insecure or non-reproducible result at this exact layer.
- Measurable outcome: all configured gates pass and no long-lived credential exists. It contributes to the MVP by making GitHub Actions DevSecOps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W6-01 (Not Started): Publish scanned image to ECR by immutable digest. Why: Rollback and provenance require immutable deployment identity. Acceptance: Digest matches the scanned/SBOM artifact. Dependency: W5-14. Owner verification: follow 02 Master Plan!M72 through TEST-001 one command at a time. Expected: Digest, scan and SBOM are linked in deployment record. Evidence: docs/deployment-records/W6-image.md Rollback/teardown: Restore prior approved digest; never reuse a mutable tag as authority.
END-TO-END ARCHITECTURE LEARNING
- Position and flow: Git change -&gt; CI quality/security/IaC gates -&gt; OIDC token -&gt; approved artifact/plan -&gt; environment approval.
- Upstream/dependency boundary: W5-04,W5-06, W5-07, W5-14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GitHub workflow, job permissions, OIDC role, pinned actions, quality/security stages and artifact provenance.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GitHub workflow, job permissions, OIDC role, pinned actions, quality/security stages and artifact provenance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automated border checkpoint that verifies every package and temporary pass.
- What goes in / happens / comes out: approved GitHub environment, OIDC role ARN, sandbox variables goes through GitHub Actions DevSecOps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CI validates changes; CD promotes an approved immutable artifact.
ARCHITECTURE DECISIONS AND TRADE-OFFS
- Selected recorded direction: short-lived OIDC and pinned actions replace stored cloud keys and floating supply-chain dependencies.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minimum job permissions, environment approvals and no secret output. Apply classification, PII handling, tenant isolation, authorization before provider/storage calls, secret exclusion, redacted evidence, residency, retention, provenance and least privilege where applicable.
- Failure/operations: failed gate prevents promotion; compromised/unverified artifact is rejected.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GitHub Actions DevSecOps pipeline addresses enforce quality, iac and supply-chain gates with short-lived identity. It makes the result governed, testable and reversible, measured by all configured gates pass and no long-lived credential exists.
- Two-minute technical explanation: describe GitHub workflow, job permissions, OIDC role, pinned actions, quality/security stages and artifact provenance; trace Git change -&gt; CI quality/security/IaC gates -&gt; OIDC token -&gt; approved artifact/plan -&gt; environment approval;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GitHub Actions DevSecOps pipeline solve?
   Answer points: Connect Enforce quality, IaC and supply-chain gates with short-lived identity. to all configured gates pass and no long-lived credential exists and identify developers, release managers, security and auditors.
2. Q: Trace the end-to-end flow for W5-002.
   Answer points: Explain Git change -&gt; CI quality/security/IaC gates -&gt; OIDC token -&gt; approved artifact/plan -&gt; environment approval; name upstream dependencies, downstream consumers, trust and state boundaries.
3. Q: Which design decision matters most and what alternative was rejected?
   Answer points: Discuss short-lived OIDC and pinned actions replace stored cloud keys and floating supply-chain dependencies; compare the adjacent alternative and when it could be preferable.
4. Q: How does this task fail safely and how is it recovered?
   Answer points: Use this scenario: failed gate prevents promotion; compromised/unverified artifact is rejected; distinguish retry, remediation, rollback, teardown and evidence.
5. Q: How are security, privacy and cost controlled?
   Answer points: Explain minimum job permissions, environment approvals and no secret output; include least privilege, redaction/residency, bounded resources and owner-only access.
- Design trade-off: volume/latency increases tenfold; explain whether short-lived OIDC and pinned actions replace stored cloud keys and floating supply-chain dependencies still holds and what evidence/ADR/approval must change.
- Failure/remediation: failed gate prevents promotion; compromised/unverified artifact is rejected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GitHub Actions DevSecOps pipeline. Task — establish the governed contract. Action — map consumers, work within gates, owner-test, diagnose completely and prove lifecycle. Result — report only accepted evidence and all configured gates pass and no long-lived credential exists.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GitHub environment, OIDC role ARN, sandbox variables.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W5-002.
</t>
  </si>
  <si>
    <t>READY FOR PRE-EDIT REVIEW — W5-002</t>
  </si>
  <si>
    <t>W5-07, W5-08, W6-01</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</si>
  <si>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</si>
  <si>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FOUR APPROVAL GATES PLUS OWNER TESTING AND WEEKLY LEARNING — TRACKER v1.3.4
MAIN PROMPT — W5-003
TASK IDENTITY
- Week: Week 5
- Feature/outcome: OPA and Checkov policy pack
- Business purpose: Make critical cloud controls executable before apply.
- Covered tracker steps: W5-06
- Required inputs: Approved regions, encryption/tag rules, exception process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W5-06 — Implement OPA and Checkov security/tagging policies with fixtures.
  Business reason: Policy gates make critical architecture decisions executable.
  Acceptance: Insecure fixtures fail; secure fixtures pass.
  Dependency: W5-03:W5-05
  Owner verification reference: opa test policies/opa -v &amp;&amp; checkov -d infra
  Expected result: Failures identify resource/rule/remediation.
  Canonical evidence: docs/test-evidence/W5-06-policy.txt
  Rollback/teardown: Revert candidate policy only through reviewed exception/ADR.
  Current tracker status (read-only historical/current fact): Not Started
  Separate Task Context: 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
Downstream tracker steps identified from recorded dependencies: W5-07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OPA/Rego tests over Terraform plan JSON to deny public S3, missing KMS encryption, unrestricted security groups, unapproved regions, missing mandatory tags and IAM wildcard actions unless an explicit time-bound exception is approved. Add equivalent focused Checkov custom policies where appropriate, secure/insecure fixtures and CI commands. Policy failures must show resource address, violated rule and remediation without exposing sensitive values.
TASK-SPECIFIC AMENDMENT — POLICY TESTING AND NARROW EXCEPTIONS
Require W5-001 design and approved region/tag/encryption/IAM rules. Test deny and allow cases for public S3, encryption/KMS, unrestricted ingress/egress, unapproved regions, mandatory tags, IAM wildcard actions/resources, public OpenSearch, mutable images and missing deletion/cost guards. Parse Terraform plan JSON without exposing sensitive values. Every denial identifies resource address, rule and remediation. Secure fixtures pass; each insecure fixture fails for the intended rule; tests must detect a policy accidentally disabled or not evaluated. Exceptions are resource/rule scoped and require owner, rationale, expires_at and evidence; expired/malformed/broad directory/file/type bypasses deny. Rego and Checkov controls must not contradict. Canonical evidence: docs/test-evidence/W5-06-policy.txt; reconcile aggregate W5-policy.txt. No live AWS, Terraform mutation or CI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CI/CD: Pin actions and artifacts, use least permissions and protected approvals, and keep deployment/rollback jobs owner-authorized.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critical cloud controls executable before apply. The primary beneficiaries are security, compliance, platform and auditors.
- Process and risk: This task supports Terraform/configuration -&gt; policy checks -&gt; deny findings or approved exception -&gt; release gate. Without it, the platform can produce an unauditable, insecure or non-reproducible result at this exact layer.
- Measurable outcome: critical misconfiguration fixtures are denied and valid fixtures pass. It contributes to the MVP by making OPA and Checkov policy pack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END-TO-END ARCHITECTURE LEARNING
- Position and flow: Terraform/configuration -&gt; policy checks -&gt; deny findings or approved exception -&gt; release gate.
- Upstream/dependency boundary: W5-03:W5-05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OPA/Rego policies, Checkov configuration, fixtures, exception schema and CI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OPA/Rego policies, Checkov configuration, fixtures, exception schema and CI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building inspector applying the same checklist to every blueprint.
- What goes in / happens / comes out: approved Approved regions, encryption/tag rules, exception process goes through OPA and Checkov policy pack;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describes resources; policy code decides whether a plan is allowed.
ARCHITECTURE DECISIONS AND TRADE-OFFS
- Selected recorded direction: policy-as-code and default deny make cloud controls repeatable.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reject public access, missing encryption/tags, wildcard IAM and unapproved regions. Apply classification, PII handling, tenant isolation, authorization before provider/storage calls, secret exclusion, redacted evidence, residency, retention, provenance and least privilege where applicable.
- Failure/operations: policy errors or expired exceptions fail the gate; rollback restores the last passing policy pack.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OPA and Checkov policy pack addresses make critical cloud controls executable before apply. It makes the result governed, testable and reversible, measured by critical misconfiguration fixtures are denied and valid fixtures pass.
- Two-minute technical explanation: describe OPA/Rego policies, Checkov configuration, fixtures, exception schema and CI consumer; trace Terraform/configuration -&gt; policy checks -&gt; deny findings or approved exception -&gt; release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OPA and Checkov policy pack solve?
   Answer points: Connect Make critical cloud controls executable before apply. to critical misconfiguration fixtures are denied and valid fixtures pass and identify security, compliance, platform and auditors.
2. Q: Trace the end-to-end flow for W5-003.
   Answer points: Explain Terraform/configuration -&gt; policy checks -&gt; deny findings or approved exception -&gt; release gate; name upstream dependencies, downstream consumers, trust and state boundaries.
3. Q: Which design decision matters most and what alternative was rejected?
   Answer points: Discuss policy-as-code and default deny make cloud controls repeatable; compare the adjacent alternative and when it could be preferable.
4. Q: How does this task fail safely and how is it recovered?
   Answer points: Use this scenario: policy errors or expired exceptions fail the gate; rollback restores the last passing policy pack; distinguish retry, remediation, rollback, teardown and evidence.
5. Q: How are security, privacy and cost controlled?
   Answer points: Explain reject public access, missing encryption/tags, wildcard IAM and unapproved regions; include least privilege, redaction/residency, bounded resources and owner-only access.
- Design trade-off: volume/latency increases tenfold; explain whether policy-as-code and default deny make cloud controls repeatable still holds and what evidence/ADR/approval must change.
- Failure/remediation: policy errors or expired exceptions fail the gate; rollback restores the last passing policy pack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OPA and Checkov policy pack. Task — establish the governed contract. Action — map consumers, work within gates, owner-test, diagnose completely and prove lifecycle. Result — report only accepted evidence and critical misconfiguration fixtures are denied and valid fixtures pass.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regions, encryption/tag rules, exception process.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W5-003.
</t>
  </si>
  <si>
    <t>READY FOR PRE-EDIT REVIEW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</si>
  <si>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</si>
  <si>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</si>
  <si>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 xml:space="preserve">FOUR APPROVAL GATES PLUS OWNER TESTING AND WEEKLY LEARNING — TRACKER v1.3.4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</si>
  <si>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READY FOR PRE-EDIT REVIEW — W5-004</t>
  </si>
  <si>
    <t>W5-09, W5-10, W5-11, W5-12, W6-12</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</si>
  <si>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</si>
  <si>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 xml:space="preserve">FOUR APPROVAL GATES PLUS OWNER TESTING AND WEEKLY LEARNING — TRACKER v1.3.4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</si>
  <si>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READY FOR PRE-EDIT REVIEW — W6-001</t>
  </si>
  <si>
    <t>W6-02, W6-03, W6-04, W6-05</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</si>
  <si>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</si>
  <si>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 xml:space="preserve">FOUR APPROVAL GATES PLUS OWNER TESTING AND WEEKLY LEARNING — TRACKER v1.3.4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</si>
  <si>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READY FOR PRE-EDIT REVIEW — W6-002</t>
  </si>
  <si>
    <t>W6-06, W6-07, W6-08, W6-09</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</si>
  <si>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</si>
  <si>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</si>
  <si>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 xml:space="preserve">FOUR APPROVAL GATES PLUS OWNER TESTING AND WEEKLY LEARNING — TRACKER v1.3.4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</si>
  <si>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READY FOR PRE-EDIT REVIEW — W6-003</t>
  </si>
  <si>
    <t>W6-10, W6-11, W6-13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</si>
  <si>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</si>
  <si>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</si>
  <si>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</si>
  <si>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</si>
  <si>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</si>
  <si>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v1.3.4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</si>
  <si>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</si>
  <si>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</si>
  <si>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</si>
  <si>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</si>
  <si>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</si>
  <si>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</si>
  <si>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v1.3.4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</si>
  <si>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</si>
  <si>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</si>
  <si>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</si>
  <si>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</si>
  <si>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</si>
  <si>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</si>
  <si>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v1.3.4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</si>
  <si>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</si>
  <si>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</si>
  <si>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</si>
  <si>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</si>
  <si>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</si>
  <si>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</si>
  <si>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v1.3.4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</si>
  <si>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</si>
  <si>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</si>
  <si>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</si>
  <si>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</si>
  <si>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</si>
  <si>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</si>
  <si>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v1.3.4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</si>
  <si>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</si>
  <si>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</si>
  <si>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</si>
  <si>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</si>
  <si>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PyTorch Lightning and PEFT/LoRA training lab</t>
  </si>
  <si>
    <t>Learn model development without making it an MVP dependency.</t>
  </si>
  <si>
    <t>Approved model/dataset IDs, license and GPU budget</t>
  </si>
  <si>
    <t xml:space="preserve">FOUR APPROVAL GATES PLUS OWNER TESTING AND WEEKLY LEARNING — TRACKER v1.3.4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</si>
  <si>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</si>
  <si>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</si>
  <si>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</si>
  <si>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</si>
  <si>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</si>
  <si>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</si>
  <si>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</si>
  <si>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v1.3.4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</si>
  <si>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</si>
  <si>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</si>
  <si>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</si>
  <si>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</si>
  <si>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</si>
  <si>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</si>
  <si>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</si>
  <si>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v1.3.4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</si>
  <si>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</si>
  <si>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</si>
  <si>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</si>
  <si>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</si>
  <si>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</si>
  <si>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</si>
  <si>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</si>
  <si>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</si>
  <si>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</si>
  <si>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v1.3.4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</si>
  <si>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Owner learning and teach-back review — WEEKLY-LEARN-001</t>
  </si>
  <si>
    <t>W1-13, W2-13, W3-13, W4-13, W5-14, W6-14</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</si>
  <si>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</si>
  <si>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</si>
  <si>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</si>
  <si>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</si>
  <si>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AND TEARDOWN</t>
  </si>
  <si>
    <t>The complete W2-004 repository-backed pre-edit plan, consolidated owner</t>
  </si>
  <si>
    <t>decisions, producer-consumer analysis and final path manifest are approved.</t>
  </si>
  <si>
    <t>APPROVED BASELINE</t>
  </si>
  <si>
    <t>- Authoritative tracker:</t>
  </si>
  <si>
    <t xml:space="preserve">  docs/governance/Enterprise_AI_Architecture_6_Week_Execution_Tracker_v1.3.4_repaired.xlsx</t>
  </si>
  <si>
    <t>- Tracker SHA-256:</t>
  </si>
  <si>
    <t xml:space="preserve">  9b14c04248da9801ca85a03a402a4440b6af259026a43961512fd21d3d0ce850</t>
  </si>
  <si>
    <t>- Repository HEAD:</t>
  </si>
  <si>
    <t xml:space="preserve">  827dbf0360f8f3dd6ef396f513d1201926810e94</t>
  </si>
  <si>
    <t>- W2-01 through W2-08 are recorded as Done.</t>
  </si>
  <si>
    <t>- Final W2-001, W2-002 and W2-003 evidence is authoritative for W2-004.</t>
  </si>
  <si>
    <t>- Stale approval wording in ADR-003 and ADR-006 is accepted as a deferred</t>
  </si>
  <si>
    <t xml:space="preserve">  documentation inconsistency and must not be edited under this approval.</t>
  </si>
  <si>
    <t>EXACT APPROVED WRITE BOUNDARY</t>
  </si>
  <si>
    <t>CREATE ONLY:</t>
  </si>
  <si>
    <t>- docker-compose.w2-004.yml</t>
  </si>
  <si>
    <t>UPDATE ONLY:</t>
  </si>
  <si>
    <t>No other path may be created, modified, renamed, moved or deleted.</t>
  </si>
  <si>
    <t>APPROVED INTERNAL-ONLY ARCHITECTURE</t>
  </si>
  <si>
    <t>Preserve the existing base docker-compose.yml and existing W2-001 Qdrant</t>
  </si>
  <si>
    <t>runner unchanged.</t>
  </si>
  <si>
    <t>Create a bounded W2-004 Compose override with:</t>
  </si>
  <si>
    <t>- Compose project: enterprise-ai-w2-004a</t>
  </si>
  <si>
    <t>- Qdrant endpoint: http://qdrant:6333</t>
  </si>
  <si>
    <t>- CPU limit: 2</t>
  </si>
  <si>
    <t>- Memory limit: 2 GiB</t>
  </si>
  <si>
    <t>- PID limit: 256</t>
  </si>
  <si>
    <t>- Capabilities: drop ALL</t>
  </si>
  <si>
    <t>- Security option: no-new-privileges:true</t>
  </si>
  <si>
    <t>- Temporary storage: /tmp tmpfs limited to 64 MiB with mode 1777</t>
  </si>
  <si>
    <t>- Credentials and secrets: prohibited</t>
  </si>
  <si>
    <t>Both Qdrant and the runner must reference only the portable Compose logical</t>
  </si>
  <si>
    <t>network qdrant_internal. Do not specify a global network name. Preserve</t>
  </si>
  <si>
    <t>internal: true.</t>
  </si>
  <si>
    <t>The runner must use depends_on with Qdrant’s healthy-service condition.</t>
  </si>
  <si>
    <t>Do not add or restore 127.0.0.1:6333 publication.</t>
  </si>
  <si>
    <t>APPROVED READ-ONLY RUNTIME INPUTS</t>
  </si>
  <si>
    <t>Mount only these repository inputs read-only:</t>
  </si>
  <si>
    <t>Mount the owner-supplied W2_002_MODEL_SNAPSHOT_HOST read-only into the exact</t>
  </si>
  <si>
    <t>container hierarchy:</t>
  </si>
  <si>
    <t>/opt/model-cache/models--sentence-transformers--all-MiniLM-L6-v2/snapshots/1110a243fdf4706b3f48f1d95db1a4f5529b4d41</t>
  </si>
  <si>
    <t>Do not mount a repository directory, virtual environment, Docker socket,</t>
  </si>
  <si>
    <t>credential directory or writable host path.</t>
  </si>
  <si>
    <t>APPROVED IMMUTABLE IMAGE CONTRACT</t>
  </si>
  <si>
    <t>Python base image:</t>
  </si>
  <si>
    <t>docker.io/library/python:3.13.7-slim-bookworm</t>
  </si>
  <si>
    <t>Approved immutable multi-platform index:</t>
  </si>
  <si>
    <t>sha256:adafcc17694d715c905b4c7bebd96907a1fd5cf183395f0ebc4d3428bd22d92d</t>
  </si>
  <si>
    <t>Approved Linux/AMD64 runtime manifest to preserve in a provenance label and</t>
  </si>
  <si>
    <t>automated contract test:</t>
  </si>
  <si>
    <t>sha256:781449467ffb6f04218f09b1ecdcdc7d22b289ee5da9ec498b024e24ad7a6db7</t>
  </si>
  <si>
    <t>Use the approved index digest as the Dockerfile image reference with an</t>
  </si>
  <si>
    <t>explicit linux/amd64 platform constraint. Do not use an attestation manifest</t>
  </si>
  <si>
    <t>as a runtime image.</t>
  </si>
  <si>
    <t>Preserve the existing Qdrant image reference and approved digests unchanged:</t>
  </si>
  <si>
    <t>- Index:</t>
  </si>
  <si>
    <t xml:space="preserve">  sha256:a0e04fe623cb064502cd869cefc1dc7ce359d8edd481063b5bd351c0a0a2c91e</t>
  </si>
  <si>
    <t>- Linux/AMD64 runtime manifest:</t>
  </si>
  <si>
    <t xml:space="preserve">  sha256:80fb7b20ee4b49d57443b51aabdfb8514b910f333d3c4862e106fd02d1d66fa7</t>
  </si>
  <si>
    <t>APPROVED RUNNER DEPENDENCIES</t>
  </si>
  <si>
    <t>Use exact direct dependency pins:</t>
  </si>
  <si>
    <t>- pytest==9.1.1</t>
  </si>
  <si>
    <t>- pydantic==2.13.4</t>
  </si>
  <si>
    <t>- PyYAML==6.0.3</t>
  </si>
  <si>
    <t>- pypdf==6.16.2</t>
  </si>
  <si>
    <t>- qdrant-client==1.19.0</t>
  </si>
  <si>
    <t>- sentence-transformers==5.7.0</t>
  </si>
  <si>
    <t>- transformers==5.15.1</t>
  </si>
  <si>
    <t>- torch==2.13.0</t>
  </si>
  <si>
    <t>- huggingface-hub==1.16.1</t>
  </si>
  <si>
    <t>- safetensors==0.8.0</t>
  </si>
  <si>
    <t>- tokenizers==0.22.2</t>
  </si>
  <si>
    <t>Configure installation to use only the approved CPU-compatible PyTorch</t>
  </si>
  <si>
    <t>source. Do not add a CUDA, GPU, ONNX, OpenVINO, TensorFlow, Rust, Presidio,</t>
  </si>
  <si>
    <t>AWS, OpenSearch or unrelated dependency.</t>
  </si>
  <si>
    <t>This is exact direct-dependency pinning, not a fully hashed transitive lock.</t>
  </si>
  <si>
    <t>Do not represent it as complete supply-chain locking.</t>
  </si>
  <si>
    <t>APPROVED RETRIEVAL SERVICE</t>
  </si>
  <si>
    <t>Create a provider-neutral RetrievalService using only existing approved</t>
  </si>
  <si>
    <t>contracts:</t>
  </si>
  <si>
    <t>The service must:</t>
  </si>
  <si>
    <t>1. Validate the embedder and collection contract during construction.</t>
  </si>
  <si>
    <t>2. Validate the approved collection specification before provider access.</t>
  </si>
  <si>
    <t>3. Require an active authorization context before query embedding.</t>
  </si>
  <si>
    <t>4. Build the existing retrieval policy before vector search.</t>
  </si>
  <si>
    <t>5. Embed the query through Embedder.embed_query.</t>
  </si>
  <si>
    <t>6. Search through VectorStore.search.</t>
  </si>
  <si>
    <t>7. Return tuple[RetrievedChunk, ...].</t>
  </si>
  <si>
    <t>8. Preserve the requested top_k and existing result ordering.</t>
  </si>
  <si>
    <t>9. Use the existing bounded vector timeout contract.</t>
  </si>
  <si>
    <t>10. Translate failures through existing normalized exception boundaries.</t>
  </si>
  <si>
    <t>11. Perform no collection creation, upsert, deletion or other mutation.</t>
  </si>
  <si>
    <t>12. Expose no Qdrant or OpenSearch SDK type.</t>
  </si>
  <si>
    <t>13. Log no query text, corpus text, embedding vector, credential or PII.</t>
  </si>
  <si>
    <t>Export only the new approved public retrieval-service symbol from</t>
  </si>
  <si>
    <t>src/enterprise_ai_platform/retrieval/__init__.py.</t>
  </si>
  <si>
    <t>APPROVED REAL LOCAL FEATURE PROOF</t>
  </si>
  <si>
    <t>The one-shot runner must use:</t>
  </si>
  <si>
    <t>- The approved corpus manifest, PII policy and Q1–Q5 fixture</t>
  </si>
  <si>
    <t>- No remote code</t>
  </si>
  <si>
    <t>Initial ingestion must fail closed if w2_004_local_retrieval already exists.</t>
  </si>
  <si>
    <t>It must not reuse, overwrite or delete an unexpected pre-existing</t>
  </si>
  <si>
    <t>collection.</t>
  </si>
  <si>
    <t>The approved initial feature sequence must:</t>
  </si>
  <si>
    <t>1. Prove the collection is absent.</t>
  </si>
  <si>
    <t>2. Create or validate only the approved collection contract.</t>
  </si>
  <si>
    <t>3. Ingest the three approved manifest sources.</t>
  </si>
  <si>
    <t>4. Run ingestion a second time in the same approved feature flow.</t>
  </si>
  <si>
    <t>5. Prove stable document, version, chunk and vector identities.</t>
  </si>
  <si>
    <t>6. Prove the second ingestion creates no duplicate vectors.</t>
  </si>
  <si>
    <t>7. Record exact point count without recording source text.</t>
  </si>
  <si>
    <t>8. Verify the approved model, revision, dimension, normalization and cosine</t>
  </si>
  <si>
    <t xml:space="preserve">   metric.</t>
  </si>
  <si>
    <t>9. Run Q1 through Q5 in their approved order.</t>
  </si>
  <si>
    <t>10. For Q1 through Q4, require the exact expected source within the top five</t>
  </si>
  <si>
    <t xml:space="preserve">    authorized results.</t>
  </si>
  <si>
    <t>11. Record only question ID, expected source ID, returned source ID, rank and</t>
  </si>
  <si>
    <t xml:space="preserve">    score.</t>
  </si>
  <si>
    <t>12. For Q5, record retrieval-only results and make no safe-abstention claim.</t>
  </si>
  <si>
    <t>13. Prove unauthorized tenant, role, group and clearance combinations return</t>
  </si>
  <si>
    <t xml:space="preserve">    zero chunks.</t>
  </si>
  <si>
    <t>14. Inspect stored payload metadata and source identities to prove no</t>
  </si>
  <si>
    <t xml:space="preserve">    quarantined document or chunk exists.</t>
  </si>
  <si>
    <t>15. Record no raw corpus text, question text, PII or embedding vector.</t>
  </si>
  <si>
    <t>Real Presidio remains NOT RUN. Do not modify the corpus or claim production</t>
  </si>
  <si>
    <t>PII-detection quality.</t>
  </si>
  <si>
    <t>APPROVED REGRESSION AND ROLLBACK</t>
  </si>
  <si>
    <t>Implement a test-scoped environment or in-memory expected-source override.</t>
  </si>
  <si>
    <t>The regression must:</t>
  </si>
  <si>
    <t>- Apply only inside the W2-004 runner.</t>
  </si>
  <si>
    <t>- Modify no tracked file, fixture, corpus, collection schema or production</t>
  </si>
  <si>
    <t xml:space="preserve">  configuration.</t>
  </si>
  <si>
    <t>- Deliberately make one Q1–Q4 expected-source assertion fail.</t>
  </si>
  <si>
    <t>- Perform no vector or collection mutation.</t>
  </si>
  <si>
    <t>Rollback means removing the override and rerunning the known-good state.</t>
  </si>
  <si>
    <t>After rollback, revalidate:</t>
  </si>
  <si>
    <t>- Exact collection contract.</t>
  </si>
  <si>
    <t>- Stable and idempotent ingestion state.</t>
  </si>
  <si>
    <t>- Q1–Q4 expected-source top-five retrieval.</t>
  </si>
  <si>
    <t>- Tenant, role, group and clearance isolation.</t>
  </si>
  <si>
    <t>Do not describe environment destruction as rollback.</t>
  </si>
  <si>
    <t>APPROVED COLLECTION REMOVAL</t>
  </si>
  <si>
    <t>After successful rollback verification, remove only:</t>
  </si>
  <si>
    <t>w2_004_local_retrieval</t>
  </si>
  <si>
    <t>Use the Qdrant client collection lifecycle API only in the approved removal</t>
  </si>
  <si>
    <t>phase. Verify the collection is absent after deletion.</t>
  </si>
  <si>
    <t>Do not delete, overwrite or recreate an unexpected collection.</t>
  </si>
  <si>
    <t>APPROVED MAKEFILE TARGETS</t>
  </si>
  <si>
    <t>Add one bounded owner action per target:</t>
  </si>
  <si>
    <t>Each target must perform one visible owner operation. It must not silently</t>
  </si>
  <si>
    <t>combine build, start, test, rollback, removal or teardown.</t>
  </si>
  <si>
    <t>The only approved exception is verify-clean-local, which may invoke the fixed</t>
  </si>
  <si>
    <t>read-only cleanliness verifier and its multiple internal inventory reads.</t>
  </si>
  <si>
    <t>Do not perform broad Docker cleanup or Docker system prune.</t>
  </si>
  <si>
    <t>APPROVED READ-ONLY CLEANLINESS VERIFIER</t>
  </si>
  <si>
    <t>tools/verify_w2_004_local.py must:</t>
  </si>
  <si>
    <t>- Use fixed, non-shell-expanded command arguments.</t>
  </si>
  <si>
    <t>- Perform no deletion, stop, removal, pruning or mutation.</t>
  </si>
  <si>
    <t>- Inspect W2-004 project-labelled containers, networks and volumes.</t>
  </si>
  <si>
    <t>- Inspect the exact task collection state where directly reachable.</t>
  </si>
  <si>
    <t>- Inspect repository caches, bytecode and task-owned temporary paths.</t>
  </si>
  <si>
    <t>- Inspect unexpected ignored files and empty task directories.</t>
  </si>
  <si>
    <t>- Inspect the exact external W2-002 cache path.</t>
  </si>
  <si>
    <t>- Record intentionally retained shared base images and BuildKit cache.</t>
  </si>
  <si>
    <t>- Return nonzero for prohibited or indeterminate residue.</t>
  </si>
  <si>
    <t>- Distinguish REMOVED, RETAINED, NOT RUN and INDETERMINATE.</t>
  </si>
  <si>
    <t>- Never print environment secrets, document text, query text or embeddings.</t>
  </si>
  <si>
    <t>The external Python virtual environment is an approved retained resource.</t>
  </si>
  <si>
    <t>APPROVED FEATURE-MATRIX SYNCHRONIZATION</t>
  </si>
  <si>
    <t>Preserve feature-matrix.yaml as one valid JSON object.</t>
  </si>
  <si>
    <t>Preserve exact feature order:</t>
  </si>
  <si>
    <t>1. MVP-001</t>
  </si>
  <si>
    <t>2. RAG-001</t>
  </si>
  <si>
    <t>Append only these tracker steps to RAG-001:</t>
  </si>
  <si>
    <t>Do not add them to MVP-001 and do not create a new feature ID.</t>
  </si>
  <si>
    <t>Append these new W2-004 implementation paths in this exact order:</t>
  </si>
  <si>
    <t>1. docker-compose.w2-004.yml</t>
  </si>
  <si>
    <t>2. docker/local-retrieval-runner.Dockerfile</t>
  </si>
  <si>
    <t>3. docker/local-retrieval-runner.Dockerfile.dockerignore</t>
  </si>
  <si>
    <t>4. docker/local-retrieval-runner.requirements.txt</t>
  </si>
  <si>
    <t>5. Makefile</t>
  </si>
  <si>
    <t>6. src/enterprise_ai_platform/retrieval/service.py</t>
  </si>
  <si>
    <t>7. tools/verify_w2_004_local.py</t>
  </si>
  <si>
    <t>8. tests/unit/test_retrieval_service.py</t>
  </si>
  <si>
    <t>9. tests/unit/test_verify_w2_004_local.py</t>
  </si>
  <si>
    <t>10. tests/contract/test_retrieval_service.py</t>
  </si>
  <si>
    <t>11. tests/feature/test_local_retrieval.py</t>
  </si>
  <si>
    <t>12. tests/security/test_w2_004_retrieval_security.py</t>
  </si>
  <si>
    <t>13. tests/rollback/test_w2_004_local_rollback.py</t>
  </si>
  <si>
    <t>14. tests/teardown/test_w2_004_retrieval_cleanliness.py</t>
  </si>
  <si>
    <t>Do not duplicate src/enterprise_ai_platform/retrieval/__init__.py because it</t>
  </si>
  <si>
    <t>already exists in the authoritative RAG-001 implementation-path list.</t>
  </si>
  <si>
    <t>Synchronize the validator and automated fixtures with the same exact ordered</t>
  </si>
  <si>
    <t>contract.</t>
  </si>
  <si>
    <t>In tests/feature/test_w2_003_ingestion_contract.py, replace only the stale</t>
  </si>
  <si>
    <t>assumption that W2-003 paths and steps are the final suffix. Continue proving</t>
  </si>
  <si>
    <t>that the complete W2-003 path and tracker-step contracts remain present as</t>
  </si>
  <si>
    <t>an exact ordered contiguous segment before the appended W2-004 contract.</t>
  </si>
  <si>
    <t>Do not weaken rejection of malformed JSON, extra data, reordered, missing,</t>
  </si>
  <si>
    <t>duplicate or unexpected paths, tracker steps or feature IDs.</t>
  </si>
  <si>
    <t>APPROVED AUTOMATED TEST COVERAGE</t>
  </si>
  <si>
    <t>Add or update automated tests for:</t>
  </si>
  <si>
    <t>- RetrievalService construction and contract mismatch.</t>
  </si>
  <si>
    <t>- Query embedding and VectorStore.search connection.</t>
  </si>
  <si>
    <t>- Timeout, cancellation and normalized failure behavior.</t>
  </si>
  <si>
    <t>- No vendor-type leakage.</t>
  </si>
  <si>
    <t>- No query text, document text, vector or PII in errors or reports.</t>
  </si>
  <si>
    <t>- No host ports, host networking, Docker socket or credentials.</t>
  </si>
  <si>
    <t>- Exact image index and Linux/AMD64 provenance.</t>
  </si>
  <si>
    <t>- Exact direct dependency pins.</t>
  </si>
  <si>
    <t>- Read-only mounts and least privilege.</t>
  </si>
  <si>
    <t>- Tenant, classification, role and group isolation.</t>
  </si>
  <si>
    <t>- Exact collection deletion and absence.</t>
  </si>
  <si>
    <t>- Task-specific Docker and repository residue checks.</t>
  </si>
  <si>
    <t>- Feature-matrix and validator synchronization.</t>
  </si>
  <si>
    <t>Normal unit, contract, feature, security and repository regression tests must</t>
  </si>
  <si>
    <t>use fakes and must not load or download the real model.</t>
  </si>
  <si>
    <t>Real W2-004 execution must remain explicit, owner-controlled and opt-in.</t>
  </si>
  <si>
    <t>STRICT COLUMN L BOUNDARY</t>
  </si>
  <si>
    <t>Codex may write only the exact CREATE and UPDATE paths listed above.</t>
  </si>
  <si>
    <t>Codex must not:</t>
  </si>
  <si>
    <t>- run tests, Ruff, MyPy or repository validation;</t>
  </si>
  <si>
    <t>- install or update dependencies;</t>
  </si>
  <si>
    <t>- build, inspect, start or remove an image or container;</t>
  </si>
  <si>
    <t>- access Docker Hub, PyPI, Python-hosted files or PyTorch endpoints;</t>
  </si>
  <si>
    <t>- load or download the model;</t>
  </si>
  <si>
    <t>- start Qdrant or the runner;</t>
  </si>
  <si>
    <t>- create, query, mutate or delete a collection;</t>
  </si>
  <si>
    <t>- perform regression, rollback, teardown or cleanup;</t>
  </si>
  <si>
    <t>- inspect or delete the external model cache;</t>
  </si>
  <si>
    <t>- modify docker-compose.yml;</t>
  </si>
  <si>
    <t>- modify requirements.txt, requirements-dev.txt or pyproject.toml;</t>
  </si>
  <si>
    <t>- modify existing embedding, ingestion, authorization or adapter behavior;</t>
  </si>
  <si>
    <t>- modify the approved corpus, PII policy or evaluation fixture;</t>
  </si>
  <si>
    <t>- execute real Presidio;</t>
  </si>
  <si>
    <t>- access AWS, OpenSearch, cloud or paid services;</t>
  </si>
  <si>
    <t>- write documentation, evidence, ADRs or architecture records;</t>
  </si>
  <si>
    <t>- edit any Excel workbook or tracker field;</t>
  </si>
  <si>
    <t>- stage, commit or push;</t>
  </si>
  <si>
    <t>- perform bulk formatting or automatic fixes;</t>
  </si>
  <si>
    <t>DEFERRED DOCUMENTATION — NOT AUTHORIZED BY COLUMN L</t>
  </si>
  <si>
    <t>These paths require separate approved documentation gates.</t>
  </si>
  <si>
    <t>AFTER EDITING</t>
  </si>
  <si>
    <t>Return:</t>
  </si>
  <si>
    <t>1. The exact changed-path list classified CREATE or UPDATE.</t>
  </si>
  <si>
    <t>2. A concise per-path diff summary.</t>
  </si>
  <si>
    <t>3. Confirmation that no unlisted path changed.</t>
  </si>
  <si>
    <t>4. Confirmation that Qdrant and the runner use only qdrant_internal.</t>
  </si>
  <si>
    <t>5. Confirmation that neither service publishes a host port.</t>
  </si>
  <si>
    <t>6. Confirmation of the Python index and Linux/AMD64 manifest usage.</t>
  </si>
  <si>
    <t>7. Confirmation of all exact direct dependency pins.</t>
  </si>
  <si>
    <t>8. Confirmation that runtime model access is offline and read-only.</t>
  </si>
  <si>
    <t>9. Confirmation that the collection fails closed when unexpectedly present.</t>
  </si>
  <si>
    <t>10. Confirmation that the feature matrix and all consumers use one identical</t>
  </si>
  <si>
    <t xml:space="preserve">    ordered contract.</t>
  </si>
  <si>
    <t>11. The complete owner testing, regression, rollback, removal and teardown</t>
  </si>
  <si>
    <t xml:space="preserve">    guide without executing it.</t>
  </si>
  <si>
    <t>12. The estimated build disk impact before the owner build command.</t>
  </si>
  <si>
    <t>13. Business use case, architecture position, technical importance, layman</t>
  </si>
  <si>
    <t xml:space="preserve">    explanation, decisions/trade-offs, failure/rollback story and interview</t>
  </si>
  <si>
    <t xml:space="preserve">    talking points.</t>
  </si>
  <si>
    <t>Do not show full code unless the owner asks SHOW FULL CODE.</t>
  </si>
  <si>
    <t>End exactly:</t>
  </si>
  <si>
    <t>CODE READY FOR OWNER TESTING — W2-004.</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</si>
  <si>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docs/governance/Enterprise_AI_Architecture_6_Week_Execution_Tracker_v1.3.4_repaired.xlsx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</si>
  <si>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In Progress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</si>
</sst>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2">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1" fillId="2" borderId="0" xfId="0" applyFont="1" applyFill="1" applyAlignment="1">
      <alignment vertical="center"/>
    </xf>
    <xf numFmtId="0" fontId="2" fillId="3" borderId="0" xfId="0" applyFont="1" applyFill="1" applyAlignment="1">
      <alignment vertical="center" wrapText="1"/>
    </xf>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0" fontId="4" fillId="10" borderId="0" xfId="0" applyFont="1" applyFill="1"/>
    <xf numFmtId="0" fontId="0" fillId="0" borderId="0" xfId="0"/>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1" fillId="10" borderId="0" xfId="0" applyFont="1" applyFill="1" applyAlignment="1">
      <alignment vertical="top"/>
    </xf>
    <xf numFmtId="0" fontId="2" fillId="11" borderId="0" xfId="0" applyFont="1" applyFill="1" applyAlignment="1">
      <alignment vertical="top"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cellXfs>
  <cellStyles count="1">
    <cellStyle name="Normal" xfId="0" builtinId="0"/>
  </cellStyles>
  <dxfs count="48">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0</c:v>
                </c:pt>
                <c:pt idx="3">
                  <c:v>0</c:v>
                </c:pt>
                <c:pt idx="4">
                  <c:v>0</c:v>
                </c:pt>
                <c:pt idx="5">
                  <c:v>0</c:v>
                </c:pt>
              </c:numCache>
            </c:numRef>
          </c:val>
          <c:extLst>
            <c:ext xmlns:c16="http://schemas.microsoft.com/office/drawing/2014/chart" uri="{C3380CC4-5D6E-409C-BE32-E72D297353CC}">
              <c16:uniqueId val="{00000000-C879-4CFA-B124-97E34B2B3DD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2"/>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490"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56" t="s">
        <v>0</v>
      </c>
      <c r="B1" s="56"/>
      <c r="C1" s="56"/>
      <c r="D1" s="56"/>
      <c r="E1" s="56"/>
      <c r="F1" s="56"/>
      <c r="G1" s="56"/>
      <c r="H1" s="56"/>
      <c r="I1" s="56"/>
      <c r="J1" s="56"/>
    </row>
    <row r="2" spans="1:10">
      <c r="A2" s="57" t="s">
        <v>1</v>
      </c>
      <c r="B2" s="57"/>
      <c r="C2" s="57"/>
      <c r="D2" s="57"/>
      <c r="E2" s="57"/>
      <c r="F2" s="57"/>
      <c r="G2" s="57"/>
      <c r="H2" s="57"/>
      <c r="I2" s="57"/>
      <c r="J2" s="57"/>
    </row>
    <row r="4" spans="1:10">
      <c r="A4" s="58" t="s">
        <v>2</v>
      </c>
      <c r="B4" s="59"/>
      <c r="C4" s="59"/>
      <c r="D4" s="59"/>
      <c r="E4" s="58" t="s">
        <v>3</v>
      </c>
      <c r="F4" s="59"/>
      <c r="G4" s="59"/>
      <c r="H4" s="59"/>
      <c r="I4" s="59"/>
      <c r="J4" s="60"/>
    </row>
    <row r="5" spans="1:10" ht="39.6">
      <c r="A5" s="21">
        <v>1</v>
      </c>
      <c r="B5" s="4" t="s">
        <v>4</v>
      </c>
      <c r="C5" s="4" t="s">
        <v>5</v>
      </c>
      <c r="E5" s="61" t="s">
        <v>6</v>
      </c>
      <c r="F5" s="62"/>
      <c r="G5" s="62"/>
      <c r="H5" s="62"/>
      <c r="I5" s="62"/>
      <c r="J5" s="63"/>
    </row>
    <row r="6" spans="1:10" ht="39.6">
      <c r="A6" s="21">
        <v>2</v>
      </c>
      <c r="B6" s="5" t="s">
        <v>7</v>
      </c>
      <c r="C6" s="5" t="s">
        <v>8</v>
      </c>
      <c r="E6" s="64" t="s">
        <v>9</v>
      </c>
      <c r="F6" s="65"/>
      <c r="G6" s="65"/>
      <c r="H6" s="65"/>
      <c r="I6" s="65"/>
      <c r="J6" s="66"/>
    </row>
    <row r="7" spans="1:10" ht="66">
      <c r="A7" s="21">
        <v>3</v>
      </c>
      <c r="B7" s="5" t="s">
        <v>10</v>
      </c>
      <c r="C7" s="5" t="s">
        <v>11</v>
      </c>
      <c r="E7" s="64" t="s">
        <v>12</v>
      </c>
      <c r="F7" s="65"/>
      <c r="G7" s="65"/>
      <c r="H7" s="65"/>
      <c r="I7" s="65"/>
      <c r="J7" s="66"/>
    </row>
    <row r="8" spans="1:10" ht="79.2">
      <c r="A8" s="21">
        <v>4</v>
      </c>
      <c r="B8" s="5" t="s">
        <v>13</v>
      </c>
      <c r="C8" s="5" t="s">
        <v>14</v>
      </c>
      <c r="E8" s="64" t="s">
        <v>15</v>
      </c>
      <c r="F8" s="65"/>
      <c r="G8" s="65"/>
      <c r="H8" s="65"/>
      <c r="I8" s="65"/>
      <c r="J8" s="66"/>
    </row>
    <row r="9" spans="1:10" ht="66">
      <c r="A9" s="21">
        <v>5</v>
      </c>
      <c r="B9" s="5" t="s">
        <v>16</v>
      </c>
      <c r="C9" s="5" t="s">
        <v>17</v>
      </c>
      <c r="E9" s="64" t="s">
        <v>18</v>
      </c>
      <c r="F9" s="65"/>
      <c r="G9" s="65"/>
      <c r="H9" s="65"/>
      <c r="I9" s="65"/>
      <c r="J9" s="66"/>
    </row>
    <row r="10" spans="1:10" ht="79.2">
      <c r="A10" s="21">
        <v>6</v>
      </c>
      <c r="B10" s="5" t="s">
        <v>19</v>
      </c>
      <c r="C10" s="5" t="s">
        <v>20</v>
      </c>
      <c r="E10" s="64" t="s">
        <v>21</v>
      </c>
      <c r="F10" s="65"/>
      <c r="G10" s="65"/>
      <c r="H10" s="65"/>
      <c r="I10" s="65"/>
      <c r="J10" s="66"/>
    </row>
    <row r="11" spans="1:10" ht="92.4">
      <c r="A11" s="21">
        <v>7</v>
      </c>
      <c r="B11" s="5" t="s">
        <v>22</v>
      </c>
      <c r="C11" s="5" t="s">
        <v>23</v>
      </c>
      <c r="E11" s="73" t="s">
        <v>24</v>
      </c>
      <c r="F11" s="74"/>
      <c r="G11" s="74"/>
      <c r="H11" s="74"/>
      <c r="I11" s="74"/>
      <c r="J11" s="75"/>
    </row>
    <row r="12" spans="1:10" ht="66">
      <c r="A12" s="21">
        <v>8</v>
      </c>
      <c r="B12" s="5" t="s">
        <v>25</v>
      </c>
      <c r="C12" s="5" t="s">
        <v>26</v>
      </c>
      <c r="E12" t="s">
        <v>27</v>
      </c>
    </row>
    <row r="13" spans="1:10" ht="66">
      <c r="A13" s="21">
        <v>9</v>
      </c>
      <c r="B13" s="5" t="s">
        <v>28</v>
      </c>
      <c r="C13" s="5" t="s">
        <v>29</v>
      </c>
      <c r="E13" s="58" t="s">
        <v>30</v>
      </c>
      <c r="F13" s="59"/>
      <c r="G13" s="59"/>
      <c r="H13" s="59"/>
      <c r="I13" s="59"/>
      <c r="J13" s="60"/>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67" t="s">
        <v>42</v>
      </c>
      <c r="B19" s="68"/>
      <c r="C19" s="68"/>
      <c r="D19" s="68"/>
      <c r="E19" s="68"/>
      <c r="F19" s="68"/>
      <c r="G19" s="68"/>
      <c r="H19" s="68"/>
      <c r="I19" s="68"/>
      <c r="J19" s="69"/>
    </row>
    <row r="20" spans="1:10">
      <c r="A20" s="70"/>
      <c r="B20" s="71"/>
      <c r="C20" s="71"/>
      <c r="D20" s="71"/>
      <c r="E20" s="71"/>
      <c r="F20" s="71"/>
      <c r="G20" s="71"/>
      <c r="H20" s="71"/>
      <c r="I20" s="71"/>
      <c r="J20" s="72"/>
    </row>
  </sheetData>
  <mergeCells count="12">
    <mergeCell ref="E13:J13"/>
    <mergeCell ref="A19:J20"/>
    <mergeCell ref="E7:J7"/>
    <mergeCell ref="E8:J8"/>
    <mergeCell ref="E9:J9"/>
    <mergeCell ref="E10:J10"/>
    <mergeCell ref="E11:J11"/>
    <mergeCell ref="A1:J1"/>
    <mergeCell ref="A2:J2"/>
    <mergeCell ref="A4:J4"/>
    <mergeCell ref="E5:J5"/>
    <mergeCell ref="E6:J6"/>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workbookViewId="0">
      <selection sqref="A1:P1"/>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56" t="s">
        <v>43</v>
      </c>
      <c r="B1" s="56"/>
      <c r="C1" s="56"/>
      <c r="D1" s="56"/>
      <c r="E1" s="56"/>
      <c r="F1" s="56"/>
      <c r="G1" s="56"/>
      <c r="H1" s="56"/>
      <c r="I1" s="56"/>
      <c r="J1" s="56"/>
      <c r="K1" s="56"/>
      <c r="L1" s="56"/>
      <c r="M1" s="56"/>
      <c r="N1" s="56"/>
      <c r="O1" s="56"/>
      <c r="P1" s="56"/>
    </row>
    <row r="2" spans="1:16" ht="31.95" customHeight="1">
      <c r="A2" s="57" t="s">
        <v>44</v>
      </c>
      <c r="B2" s="57"/>
      <c r="C2" s="57"/>
      <c r="D2" s="57"/>
      <c r="E2" s="57"/>
      <c r="F2" s="57"/>
      <c r="G2" s="57"/>
      <c r="H2" s="57"/>
      <c r="I2" s="57"/>
      <c r="J2" s="57"/>
      <c r="K2" s="57"/>
      <c r="L2" s="57"/>
      <c r="M2" s="57"/>
      <c r="N2" s="57"/>
      <c r="O2" s="57"/>
      <c r="P2" s="57"/>
    </row>
    <row r="4" spans="1:16">
      <c r="A4" s="76" t="s">
        <v>45</v>
      </c>
      <c r="B4" s="76"/>
      <c r="D4" s="76" t="s">
        <v>46</v>
      </c>
      <c r="E4" s="76"/>
      <c r="G4" s="76" t="s">
        <v>47</v>
      </c>
      <c r="H4" s="76"/>
      <c r="J4" s="76" t="s">
        <v>48</v>
      </c>
      <c r="K4" s="76"/>
    </row>
    <row r="5" spans="1:16">
      <c r="A5" s="77">
        <f>COUNTA('02 Master Plan'!$A$6:$A$120)</f>
        <v>80</v>
      </c>
      <c r="B5" s="78"/>
      <c r="D5" s="77">
        <f>COUNTIF('02 Master Plan'!$S$6:$S$120,"Done")</f>
        <v>26</v>
      </c>
      <c r="E5" s="78"/>
      <c r="G5" s="81">
        <f>IF(A5=0,0,D5/A5)</f>
        <v>0.32500000000000001</v>
      </c>
      <c r="H5" s="82"/>
      <c r="J5" s="77">
        <f>COUNTIF('02 Master Plan'!$S$6:$S$120,"Blocked")</f>
        <v>0</v>
      </c>
      <c r="K5" s="78"/>
    </row>
    <row r="6" spans="1:16">
      <c r="A6" s="79"/>
      <c r="B6" s="80"/>
      <c r="D6" s="79"/>
      <c r="E6" s="80"/>
      <c r="G6" s="83"/>
      <c r="H6" s="84"/>
      <c r="J6" s="79"/>
      <c r="K6" s="80"/>
    </row>
    <row r="7" spans="1:16">
      <c r="A7" s="76" t="s">
        <v>49</v>
      </c>
      <c r="B7" s="76"/>
      <c r="D7" s="76" t="s">
        <v>50</v>
      </c>
      <c r="E7" s="76"/>
      <c r="G7" s="76" t="s">
        <v>51</v>
      </c>
      <c r="H7" s="76"/>
      <c r="J7" s="76" t="s">
        <v>52</v>
      </c>
      <c r="K7" s="76"/>
    </row>
    <row r="8" spans="1:16">
      <c r="A8" s="77">
        <f>COUNTIFS('13 Owner TODOs'!$F$6:$F$80,"&lt;&gt;Done",'13 Owner TODOs'!$A$6:$A$80,"&lt;&gt;")</f>
        <v>15</v>
      </c>
      <c r="B8" s="78"/>
      <c r="D8" s="77">
        <f>COUNTIF('11 Test Evidence'!$H$6:$H$80,"Pass")</f>
        <v>6</v>
      </c>
      <c r="E8" s="78"/>
      <c r="G8" s="77">
        <f>COUNTIF('12 Decision Log'!$C$6:$C$60,"Baseline Approved")+COUNTIF('12 Decision Log'!$C$6:$C$60,"Approved")</f>
        <v>18</v>
      </c>
      <c r="H8" s="78"/>
      <c r="J8" s="77">
        <f>COUNTIFS('11 Test Evidence'!$C$6:$C$80,"Teardown",'11 Test Evidence'!$H$6:$H$80,"Pass")</f>
        <v>1</v>
      </c>
      <c r="K8" s="78"/>
    </row>
    <row r="9" spans="1:16">
      <c r="A9" s="79"/>
      <c r="B9" s="80"/>
      <c r="D9" s="79"/>
      <c r="E9" s="80"/>
      <c r="G9" s="79"/>
      <c r="H9" s="80"/>
      <c r="J9" s="79"/>
      <c r="K9" s="80"/>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57</v>
      </c>
      <c r="B15" s="11">
        <f>COUNTIF('02 Master Plan'!$B$6:$B$120,A15)</f>
        <v>13</v>
      </c>
      <c r="C15" s="11">
        <f>COUNTIFS('02 Master Plan'!$B$6:$B$120,A15,'02 Master Plan'!$S$6:$S$120,"Done")</f>
        <v>0</v>
      </c>
      <c r="D15" s="13">
        <f t="shared" si="0"/>
        <v>0</v>
      </c>
      <c r="E15" s="11">
        <f>COUNTIFS('02 Master Plan'!$B$6:$B$120,A15,'02 Master Plan'!$S$6:$S$120,"Blocked")</f>
        <v>0</v>
      </c>
      <c r="G15" t="str">
        <f t="shared" si="1"/>
        <v>Week 3</v>
      </c>
      <c r="H15" s="14">
        <f t="shared" si="2"/>
        <v>0</v>
      </c>
    </row>
    <row r="16" spans="1:16">
      <c r="A16" s="11" t="s">
        <v>58</v>
      </c>
      <c r="B16" s="11">
        <f>COUNTIF('02 Master Plan'!$B$6:$B$120,A16)</f>
        <v>13</v>
      </c>
      <c r="C16" s="11">
        <f>COUNTIFS('02 Master Plan'!$B$6:$B$120,A16,'02 Master Plan'!$S$6:$S$120,"Done")</f>
        <v>0</v>
      </c>
      <c r="D16" s="13">
        <f t="shared" si="0"/>
        <v>0</v>
      </c>
      <c r="E16" s="11">
        <f>COUNTIFS('02 Master Plan'!$B$6:$B$120,A16,'02 Master Plan'!$S$6:$S$120,"Blocked")</f>
        <v>0</v>
      </c>
      <c r="G16" t="str">
        <f t="shared" si="1"/>
        <v>Week 4</v>
      </c>
      <c r="H16" s="14">
        <f t="shared" si="2"/>
        <v>0</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58" t="s">
        <v>61</v>
      </c>
      <c r="B21" s="59"/>
      <c r="C21" s="59"/>
      <c r="D21" s="59"/>
      <c r="E21" s="59"/>
      <c r="F21" s="59"/>
      <c r="G21" s="59"/>
      <c r="H21" s="60"/>
    </row>
    <row r="22" spans="1:8" ht="30" customHeight="1">
      <c r="A22" s="91" t="s">
        <v>62</v>
      </c>
      <c r="B22" s="92"/>
      <c r="C22" s="92"/>
      <c r="D22" s="92"/>
      <c r="E22" s="92"/>
      <c r="F22" s="92"/>
      <c r="G22" s="92"/>
      <c r="H22" s="93"/>
    </row>
    <row r="23" spans="1:8" ht="30" customHeight="1">
      <c r="A23" s="85" t="s">
        <v>63</v>
      </c>
      <c r="B23" s="86"/>
      <c r="C23" s="86"/>
      <c r="D23" s="86"/>
      <c r="E23" s="86"/>
      <c r="F23" s="86"/>
      <c r="G23" s="86"/>
      <c r="H23" s="87"/>
    </row>
    <row r="24" spans="1:8" ht="30" customHeight="1">
      <c r="A24" s="85" t="s">
        <v>64</v>
      </c>
      <c r="B24" s="86"/>
      <c r="C24" s="86"/>
      <c r="D24" s="86"/>
      <c r="E24" s="86"/>
      <c r="F24" s="86"/>
      <c r="G24" s="86"/>
      <c r="H24" s="87"/>
    </row>
    <row r="25" spans="1:8" ht="30" customHeight="1">
      <c r="A25" s="85" t="s">
        <v>65</v>
      </c>
      <c r="B25" s="86"/>
      <c r="C25" s="86"/>
      <c r="D25" s="86"/>
      <c r="E25" s="86"/>
      <c r="F25" s="86"/>
      <c r="G25" s="86"/>
      <c r="H25" s="87"/>
    </row>
    <row r="26" spans="1:8" ht="30" customHeight="1">
      <c r="A26" s="88" t="s">
        <v>66</v>
      </c>
      <c r="B26" s="89"/>
      <c r="C26" s="89"/>
      <c r="D26" s="89"/>
      <c r="E26" s="89"/>
      <c r="F26" s="89"/>
      <c r="G26" s="89"/>
      <c r="H26" s="90"/>
    </row>
  </sheetData>
  <mergeCells count="24">
    <mergeCell ref="A24:H24"/>
    <mergeCell ref="A25:H25"/>
    <mergeCell ref="A26:H26"/>
    <mergeCell ref="J7:K7"/>
    <mergeCell ref="J8:K9"/>
    <mergeCell ref="A21:H21"/>
    <mergeCell ref="A22:H22"/>
    <mergeCell ref="A23:H23"/>
    <mergeCell ref="A7:B7"/>
    <mergeCell ref="A8:B9"/>
    <mergeCell ref="D7:E7"/>
    <mergeCell ref="D8:E9"/>
    <mergeCell ref="G7:H7"/>
    <mergeCell ref="G8:H9"/>
    <mergeCell ref="A1:P1"/>
    <mergeCell ref="A2:P2"/>
    <mergeCell ref="A4:B4"/>
    <mergeCell ref="A5:B6"/>
    <mergeCell ref="D4:E4"/>
    <mergeCell ref="D5:E6"/>
    <mergeCell ref="G4:H4"/>
    <mergeCell ref="G5:H6"/>
    <mergeCell ref="J4:K4"/>
    <mergeCell ref="J5:K6"/>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N1" workbookViewId="0">
      <selection activeCell="S31" sqref="S31"/>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customWidth="1"/>
  </cols>
  <sheetData>
    <row r="1" spans="1:21" ht="31.95" customHeight="1">
      <c r="A1" s="56" t="s">
        <v>67</v>
      </c>
      <c r="B1" s="56"/>
      <c r="C1" s="56"/>
      <c r="D1" s="56"/>
      <c r="E1" s="56"/>
      <c r="F1" s="56"/>
      <c r="G1" s="56"/>
      <c r="H1" s="56"/>
      <c r="I1" s="56"/>
      <c r="J1" s="56"/>
      <c r="K1" s="56"/>
      <c r="L1" s="56"/>
      <c r="M1" s="56"/>
      <c r="N1" s="56"/>
      <c r="O1" s="56"/>
      <c r="P1" s="56"/>
      <c r="Q1" s="56"/>
      <c r="R1" s="56"/>
      <c r="S1" s="56"/>
      <c r="T1" s="56"/>
    </row>
    <row r="2" spans="1:21" ht="31.95" customHeight="1">
      <c r="A2" s="57" t="s">
        <v>68</v>
      </c>
      <c r="B2" s="57"/>
      <c r="C2" s="57"/>
      <c r="D2" s="57"/>
      <c r="E2" s="57"/>
      <c r="F2" s="57"/>
      <c r="G2" s="57"/>
      <c r="H2" s="57"/>
      <c r="I2" s="57"/>
      <c r="J2" s="57"/>
      <c r="K2" s="57"/>
      <c r="L2" s="57"/>
      <c r="M2" s="57"/>
      <c r="N2" s="57"/>
      <c r="O2" s="57"/>
      <c r="P2" s="57"/>
      <c r="Q2" s="57"/>
      <c r="R2" s="57"/>
      <c r="S2" s="57"/>
      <c r="T2" s="57"/>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9"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9"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9"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9"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2294</v>
      </c>
      <c r="N9" s="11" t="s">
        <v>139</v>
      </c>
      <c r="O9" s="11" t="s">
        <v>140</v>
      </c>
      <c r="P9" s="11" t="s">
        <v>115</v>
      </c>
      <c r="Q9" s="11" t="s">
        <v>119</v>
      </c>
      <c r="R9" s="11" t="s">
        <v>141</v>
      </c>
      <c r="S9" s="11" t="s">
        <v>46</v>
      </c>
      <c r="T9" s="11" t="s">
        <v>131</v>
      </c>
      <c r="U9" s="29" t="s">
        <v>142</v>
      </c>
    </row>
    <row r="10" spans="1:21" ht="193.8" hidden="1">
      <c r="A10" s="11" t="s">
        <v>143</v>
      </c>
      <c r="B10" s="11" t="s">
        <v>56</v>
      </c>
      <c r="C10" s="11">
        <v>5</v>
      </c>
      <c r="D10" s="11" t="s">
        <v>89</v>
      </c>
      <c r="E10" s="11" t="s">
        <v>144</v>
      </c>
      <c r="F10" s="11" t="s">
        <v>145</v>
      </c>
      <c r="G10" s="11" t="s">
        <v>146</v>
      </c>
      <c r="H10" s="11" t="s">
        <v>123</v>
      </c>
      <c r="I10" s="16">
        <v>1.5</v>
      </c>
      <c r="J10" s="11" t="s">
        <v>147</v>
      </c>
      <c r="K10" s="11" t="s">
        <v>148</v>
      </c>
      <c r="L10" s="11" t="s">
        <v>149</v>
      </c>
      <c r="M10" s="11" t="s">
        <v>2320</v>
      </c>
      <c r="N10" s="11" t="s">
        <v>150</v>
      </c>
      <c r="O10" s="11" t="s">
        <v>151</v>
      </c>
      <c r="P10" s="11" t="s">
        <v>152</v>
      </c>
      <c r="Q10" s="11" t="s">
        <v>119</v>
      </c>
      <c r="R10" s="11" t="s">
        <v>153</v>
      </c>
      <c r="S10" s="11" t="s">
        <v>46</v>
      </c>
      <c r="T10" s="11" t="s">
        <v>131</v>
      </c>
      <c r="U10" s="29" t="s">
        <v>154</v>
      </c>
    </row>
    <row r="11" spans="1:21" ht="96.6" hidden="1">
      <c r="A11" s="11" t="s">
        <v>155</v>
      </c>
      <c r="B11" s="11" t="s">
        <v>56</v>
      </c>
      <c r="C11" s="11">
        <v>6</v>
      </c>
      <c r="D11" s="11" t="s">
        <v>89</v>
      </c>
      <c r="E11" s="11" t="s">
        <v>156</v>
      </c>
      <c r="F11" s="11" t="s">
        <v>157</v>
      </c>
      <c r="G11" s="11" t="s">
        <v>158</v>
      </c>
      <c r="H11" s="11" t="s">
        <v>123</v>
      </c>
      <c r="I11" s="16">
        <v>1.25</v>
      </c>
      <c r="J11" s="11" t="s">
        <v>159</v>
      </c>
      <c r="K11" s="11" t="s">
        <v>101</v>
      </c>
      <c r="L11" s="11" t="s">
        <v>160</v>
      </c>
      <c r="M11" s="11" t="s">
        <v>161</v>
      </c>
      <c r="N11" s="11" t="s">
        <v>162</v>
      </c>
      <c r="O11" s="11" t="s">
        <v>163</v>
      </c>
      <c r="P11" s="11" t="s">
        <v>164</v>
      </c>
      <c r="Q11" s="11" t="s">
        <v>165</v>
      </c>
      <c r="R11" s="11" t="s">
        <v>166</v>
      </c>
      <c r="S11" s="11" t="s">
        <v>46</v>
      </c>
      <c r="T11" s="11" t="s">
        <v>131</v>
      </c>
      <c r="U11" s="29" t="s">
        <v>167</v>
      </c>
    </row>
    <row r="12" spans="1:21" ht="193.8" hidden="1">
      <c r="A12" s="11" t="s">
        <v>168</v>
      </c>
      <c r="B12" s="11" t="s">
        <v>56</v>
      </c>
      <c r="C12" s="11">
        <v>7</v>
      </c>
      <c r="D12" s="11" t="s">
        <v>89</v>
      </c>
      <c r="E12" s="11" t="s">
        <v>169</v>
      </c>
      <c r="F12" s="11" t="s">
        <v>170</v>
      </c>
      <c r="G12" s="11" t="s">
        <v>171</v>
      </c>
      <c r="H12" s="11" t="s">
        <v>123</v>
      </c>
      <c r="I12" s="16">
        <v>1</v>
      </c>
      <c r="J12" s="11" t="s">
        <v>124</v>
      </c>
      <c r="K12" s="11" t="s">
        <v>101</v>
      </c>
      <c r="L12" s="11" t="s">
        <v>172</v>
      </c>
      <c r="M12" s="11" t="s">
        <v>2321</v>
      </c>
      <c r="N12" s="11" t="s">
        <v>173</v>
      </c>
      <c r="O12" s="11" t="s">
        <v>174</v>
      </c>
      <c r="P12" s="11" t="s">
        <v>175</v>
      </c>
      <c r="Q12" s="11" t="s">
        <v>119</v>
      </c>
      <c r="R12" s="11" t="s">
        <v>176</v>
      </c>
      <c r="S12" s="11" t="s">
        <v>46</v>
      </c>
      <c r="T12" s="11" t="s">
        <v>131</v>
      </c>
      <c r="U12" s="29" t="s">
        <v>177</v>
      </c>
    </row>
    <row r="13" spans="1:21" ht="110.4" hidden="1">
      <c r="A13" s="11" t="s">
        <v>178</v>
      </c>
      <c r="B13" s="11" t="s">
        <v>56</v>
      </c>
      <c r="C13" s="11">
        <v>8</v>
      </c>
      <c r="D13" s="11" t="s">
        <v>89</v>
      </c>
      <c r="E13" s="11" t="s">
        <v>179</v>
      </c>
      <c r="F13" s="11" t="s">
        <v>180</v>
      </c>
      <c r="G13" s="11" t="s">
        <v>181</v>
      </c>
      <c r="H13" s="11" t="s">
        <v>123</v>
      </c>
      <c r="I13" s="16">
        <v>1</v>
      </c>
      <c r="J13" s="11" t="s">
        <v>159</v>
      </c>
      <c r="K13" s="11" t="s">
        <v>182</v>
      </c>
      <c r="L13" s="11" t="s">
        <v>183</v>
      </c>
      <c r="M13" s="11" t="s">
        <v>184</v>
      </c>
      <c r="N13" s="11" t="s">
        <v>185</v>
      </c>
      <c r="O13" s="11" t="s">
        <v>186</v>
      </c>
      <c r="P13" s="11" t="s">
        <v>164</v>
      </c>
      <c r="Q13" s="11" t="s">
        <v>143</v>
      </c>
      <c r="R13" s="11" t="s">
        <v>187</v>
      </c>
      <c r="S13" s="11" t="s">
        <v>46</v>
      </c>
      <c r="T13" s="11" t="s">
        <v>131</v>
      </c>
      <c r="U13" s="29" t="s">
        <v>188</v>
      </c>
    </row>
    <row r="14" spans="1:21" ht="193.8" hidden="1">
      <c r="A14" s="11" t="s">
        <v>189</v>
      </c>
      <c r="B14" s="11" t="s">
        <v>56</v>
      </c>
      <c r="C14" s="11">
        <v>9</v>
      </c>
      <c r="D14" s="11" t="s">
        <v>89</v>
      </c>
      <c r="E14" s="11" t="s">
        <v>190</v>
      </c>
      <c r="F14" s="11" t="s">
        <v>191</v>
      </c>
      <c r="G14" s="11" t="s">
        <v>192</v>
      </c>
      <c r="H14" s="11" t="s">
        <v>123</v>
      </c>
      <c r="I14" s="16">
        <v>1.25</v>
      </c>
      <c r="J14" s="11" t="s">
        <v>193</v>
      </c>
      <c r="K14" s="11" t="s">
        <v>194</v>
      </c>
      <c r="L14" s="11" t="s">
        <v>195</v>
      </c>
      <c r="M14" s="11" t="s">
        <v>2322</v>
      </c>
      <c r="N14" s="11" t="s">
        <v>196</v>
      </c>
      <c r="O14" s="11" t="s">
        <v>197</v>
      </c>
      <c r="P14" s="11" t="s">
        <v>198</v>
      </c>
      <c r="Q14" s="11" t="s">
        <v>119</v>
      </c>
      <c r="R14" s="11" t="s">
        <v>199</v>
      </c>
      <c r="S14" s="11" t="s">
        <v>46</v>
      </c>
      <c r="T14" s="11" t="s">
        <v>200</v>
      </c>
      <c r="U14" s="29" t="s">
        <v>201</v>
      </c>
    </row>
    <row r="15" spans="1:21" ht="193.8" hidden="1">
      <c r="A15" s="11" t="s">
        <v>202</v>
      </c>
      <c r="B15" s="11" t="s">
        <v>56</v>
      </c>
      <c r="C15" s="11">
        <v>10</v>
      </c>
      <c r="D15" s="11" t="s">
        <v>89</v>
      </c>
      <c r="E15" s="11" t="s">
        <v>203</v>
      </c>
      <c r="F15" s="11" t="s">
        <v>204</v>
      </c>
      <c r="G15" s="11" t="s">
        <v>205</v>
      </c>
      <c r="H15" s="11" t="s">
        <v>123</v>
      </c>
      <c r="I15" s="16">
        <v>1.5</v>
      </c>
      <c r="J15" s="11" t="s">
        <v>193</v>
      </c>
      <c r="K15" s="11" t="s">
        <v>206</v>
      </c>
      <c r="L15" s="11" t="s">
        <v>207</v>
      </c>
      <c r="M15" s="11" t="s">
        <v>2323</v>
      </c>
      <c r="N15" s="11" t="s">
        <v>208</v>
      </c>
      <c r="O15" s="11" t="s">
        <v>209</v>
      </c>
      <c r="P15" s="11" t="s">
        <v>210</v>
      </c>
      <c r="Q15" s="11" t="s">
        <v>189</v>
      </c>
      <c r="R15" s="11" t="s">
        <v>211</v>
      </c>
      <c r="S15" s="11" t="s">
        <v>46</v>
      </c>
      <c r="T15" s="11" t="s">
        <v>200</v>
      </c>
      <c r="U15" s="29" t="s">
        <v>212</v>
      </c>
    </row>
    <row r="16" spans="1:21" ht="125.4" hidden="1">
      <c r="A16" s="11" t="s">
        <v>213</v>
      </c>
      <c r="B16" s="11" t="s">
        <v>56</v>
      </c>
      <c r="C16" s="11">
        <v>11</v>
      </c>
      <c r="D16" s="11" t="s">
        <v>89</v>
      </c>
      <c r="E16" s="11" t="s">
        <v>214</v>
      </c>
      <c r="F16" s="11" t="s">
        <v>215</v>
      </c>
      <c r="G16" s="11" t="s">
        <v>216</v>
      </c>
      <c r="H16" s="11" t="s">
        <v>123</v>
      </c>
      <c r="I16" s="16">
        <v>1</v>
      </c>
      <c r="J16" s="11" t="s">
        <v>193</v>
      </c>
      <c r="K16" s="11" t="s">
        <v>217</v>
      </c>
      <c r="L16" s="11" t="s">
        <v>218</v>
      </c>
      <c r="M16" s="11" t="s">
        <v>219</v>
      </c>
      <c r="N16" s="11" t="s">
        <v>220</v>
      </c>
      <c r="O16" s="11" t="s">
        <v>221</v>
      </c>
      <c r="P16" s="11" t="s">
        <v>222</v>
      </c>
      <c r="Q16" s="11" t="s">
        <v>202</v>
      </c>
      <c r="R16" s="11" t="s">
        <v>223</v>
      </c>
      <c r="S16" s="11" t="s">
        <v>46</v>
      </c>
      <c r="T16" s="11" t="s">
        <v>200</v>
      </c>
      <c r="U16" s="29" t="s">
        <v>224</v>
      </c>
    </row>
    <row r="17" spans="1:21" ht="193.8" hidden="1">
      <c r="A17" s="11" t="s">
        <v>225</v>
      </c>
      <c r="B17" s="11" t="s">
        <v>56</v>
      </c>
      <c r="C17" s="11">
        <v>12</v>
      </c>
      <c r="D17" s="11" t="s">
        <v>89</v>
      </c>
      <c r="E17" s="11" t="s">
        <v>226</v>
      </c>
      <c r="F17" s="11" t="s">
        <v>227</v>
      </c>
      <c r="G17" s="11" t="s">
        <v>228</v>
      </c>
      <c r="H17" s="11" t="s">
        <v>93</v>
      </c>
      <c r="I17" s="16">
        <v>1</v>
      </c>
      <c r="J17" s="11" t="s">
        <v>2324</v>
      </c>
      <c r="K17" s="11" t="s">
        <v>229</v>
      </c>
      <c r="L17" s="11" t="s">
        <v>230</v>
      </c>
      <c r="M17" s="11" t="s">
        <v>2325</v>
      </c>
      <c r="N17" s="11" t="s">
        <v>231</v>
      </c>
      <c r="O17" s="11" t="s">
        <v>232</v>
      </c>
      <c r="P17" s="11" t="s">
        <v>115</v>
      </c>
      <c r="Q17" s="11" t="s">
        <v>233</v>
      </c>
      <c r="R17" s="11" t="s">
        <v>234</v>
      </c>
      <c r="S17" s="11" t="s">
        <v>46</v>
      </c>
      <c r="T17" s="11" t="s">
        <v>235</v>
      </c>
      <c r="U17" s="29" t="s">
        <v>236</v>
      </c>
    </row>
    <row r="18" spans="1:21" ht="69" hidden="1">
      <c r="A18" s="11" t="s">
        <v>237</v>
      </c>
      <c r="B18" s="11" t="s">
        <v>56</v>
      </c>
      <c r="C18" s="11">
        <v>13</v>
      </c>
      <c r="D18" s="11" t="s">
        <v>89</v>
      </c>
      <c r="E18" s="11" t="s">
        <v>238</v>
      </c>
      <c r="F18" s="11" t="s">
        <v>239</v>
      </c>
      <c r="G18" s="11" t="s">
        <v>240</v>
      </c>
      <c r="H18" s="11" t="s">
        <v>109</v>
      </c>
      <c r="I18" s="16">
        <v>1</v>
      </c>
      <c r="J18" s="11" t="s">
        <v>241</v>
      </c>
      <c r="K18" s="11" t="s">
        <v>101</v>
      </c>
      <c r="L18" s="11" t="s">
        <v>242</v>
      </c>
      <c r="M18" s="11" t="s">
        <v>2314</v>
      </c>
      <c r="N18" s="11" t="s">
        <v>243</v>
      </c>
      <c r="O18" s="11" t="s">
        <v>244</v>
      </c>
      <c r="P18" s="11" t="s">
        <v>245</v>
      </c>
      <c r="Q18" s="11" t="s">
        <v>225</v>
      </c>
      <c r="R18" s="11" t="s">
        <v>246</v>
      </c>
      <c r="S18" s="11" t="s">
        <v>46</v>
      </c>
      <c r="T18" s="11" t="s">
        <v>247</v>
      </c>
      <c r="U18" s="29" t="s">
        <v>248</v>
      </c>
    </row>
    <row r="19" spans="1:21" ht="110.4">
      <c r="A19" s="11" t="s">
        <v>249</v>
      </c>
      <c r="B19" s="11" t="s">
        <v>37</v>
      </c>
      <c r="C19" s="11">
        <v>1</v>
      </c>
      <c r="D19" s="11" t="s">
        <v>89</v>
      </c>
      <c r="E19" s="11" t="s">
        <v>250</v>
      </c>
      <c r="F19" s="11" t="s">
        <v>251</v>
      </c>
      <c r="G19" s="11" t="s">
        <v>252</v>
      </c>
      <c r="H19" s="11" t="s">
        <v>123</v>
      </c>
      <c r="I19" s="16">
        <v>1</v>
      </c>
      <c r="J19" s="11" t="s">
        <v>253</v>
      </c>
      <c r="K19" s="11" t="s">
        <v>254</v>
      </c>
      <c r="L19" s="11" t="s">
        <v>255</v>
      </c>
      <c r="M19" s="11" t="s">
        <v>256</v>
      </c>
      <c r="N19" s="11" t="s">
        <v>257</v>
      </c>
      <c r="O19" s="11" t="s">
        <v>258</v>
      </c>
      <c r="P19" s="11" t="s">
        <v>152</v>
      </c>
      <c r="Q19" s="11" t="s">
        <v>237</v>
      </c>
      <c r="R19" s="11" t="s">
        <v>259</v>
      </c>
      <c r="S19" s="11" t="s">
        <v>46</v>
      </c>
      <c r="T19" s="11"/>
      <c r="U19" s="29" t="s">
        <v>260</v>
      </c>
    </row>
    <row r="20" spans="1:21" ht="110.4">
      <c r="A20" s="11" t="s">
        <v>261</v>
      </c>
      <c r="B20" s="11" t="s">
        <v>37</v>
      </c>
      <c r="C20" s="11">
        <v>2</v>
      </c>
      <c r="D20" s="11" t="s">
        <v>89</v>
      </c>
      <c r="E20" s="11" t="s">
        <v>262</v>
      </c>
      <c r="F20" s="11" t="s">
        <v>263</v>
      </c>
      <c r="G20" s="11" t="s">
        <v>264</v>
      </c>
      <c r="H20" s="11" t="s">
        <v>123</v>
      </c>
      <c r="I20" s="16">
        <v>1.25</v>
      </c>
      <c r="J20" s="11" t="s">
        <v>253</v>
      </c>
      <c r="K20" s="11" t="s">
        <v>101</v>
      </c>
      <c r="L20" s="11" t="s">
        <v>265</v>
      </c>
      <c r="M20" s="11" t="s">
        <v>266</v>
      </c>
      <c r="N20" s="11" t="s">
        <v>267</v>
      </c>
      <c r="O20" s="11" t="s">
        <v>268</v>
      </c>
      <c r="P20" s="11" t="s">
        <v>269</v>
      </c>
      <c r="Q20" s="11" t="s">
        <v>249</v>
      </c>
      <c r="R20" s="11" t="s">
        <v>270</v>
      </c>
      <c r="S20" s="11" t="s">
        <v>46</v>
      </c>
      <c r="T20" s="11"/>
      <c r="U20" s="29" t="s">
        <v>271</v>
      </c>
    </row>
    <row r="21" spans="1:21" ht="330.6">
      <c r="A21" s="11" t="s">
        <v>272</v>
      </c>
      <c r="B21" s="11" t="s">
        <v>37</v>
      </c>
      <c r="C21" s="11">
        <v>3</v>
      </c>
      <c r="D21" s="11" t="s">
        <v>89</v>
      </c>
      <c r="E21" s="11" t="s">
        <v>273</v>
      </c>
      <c r="F21" s="11" t="s">
        <v>274</v>
      </c>
      <c r="G21" s="11" t="s">
        <v>275</v>
      </c>
      <c r="H21" s="11" t="s">
        <v>123</v>
      </c>
      <c r="I21" s="16">
        <v>1</v>
      </c>
      <c r="J21" s="11" t="s">
        <v>253</v>
      </c>
      <c r="K21" s="11" t="s">
        <v>101</v>
      </c>
      <c r="L21" s="11" t="s">
        <v>276</v>
      </c>
      <c r="M21" s="11" t="s">
        <v>2326</v>
      </c>
      <c r="N21" s="11" t="s">
        <v>277</v>
      </c>
      <c r="O21" s="11" t="s">
        <v>278</v>
      </c>
      <c r="P21" s="11" t="s">
        <v>279</v>
      </c>
      <c r="Q21" s="11" t="s">
        <v>225</v>
      </c>
      <c r="R21" s="11" t="s">
        <v>2327</v>
      </c>
      <c r="S21" s="11" t="s">
        <v>46</v>
      </c>
      <c r="T21" s="11"/>
      <c r="U21" s="29" t="s">
        <v>280</v>
      </c>
    </row>
    <row r="22" spans="1:21" ht="330.6">
      <c r="A22" s="11" t="s">
        <v>281</v>
      </c>
      <c r="B22" s="11" t="s">
        <v>37</v>
      </c>
      <c r="C22" s="11">
        <v>4</v>
      </c>
      <c r="D22" s="11" t="s">
        <v>89</v>
      </c>
      <c r="E22" s="11" t="s">
        <v>282</v>
      </c>
      <c r="F22" s="11" t="s">
        <v>283</v>
      </c>
      <c r="G22" s="11" t="s">
        <v>284</v>
      </c>
      <c r="H22" s="11" t="s">
        <v>123</v>
      </c>
      <c r="I22" s="16">
        <v>1.5</v>
      </c>
      <c r="J22" s="11" t="s">
        <v>253</v>
      </c>
      <c r="K22" s="11" t="s">
        <v>285</v>
      </c>
      <c r="L22" s="11" t="s">
        <v>286</v>
      </c>
      <c r="M22" s="11" t="s">
        <v>2326</v>
      </c>
      <c r="N22" s="11" t="s">
        <v>287</v>
      </c>
      <c r="O22" s="11" t="s">
        <v>288</v>
      </c>
      <c r="P22" s="11" t="s">
        <v>279</v>
      </c>
      <c r="Q22" s="11" t="s">
        <v>289</v>
      </c>
      <c r="R22" s="11" t="s">
        <v>290</v>
      </c>
      <c r="S22" s="11" t="s">
        <v>46</v>
      </c>
      <c r="T22" s="11"/>
      <c r="U22" s="29" t="s">
        <v>291</v>
      </c>
    </row>
    <row r="23" spans="1:21" ht="110.4">
      <c r="A23" s="11" t="s">
        <v>292</v>
      </c>
      <c r="B23" s="11" t="s">
        <v>37</v>
      </c>
      <c r="C23" s="11">
        <v>5</v>
      </c>
      <c r="D23" s="11" t="s">
        <v>89</v>
      </c>
      <c r="E23" s="11" t="s">
        <v>293</v>
      </c>
      <c r="F23" s="11" t="s">
        <v>294</v>
      </c>
      <c r="G23" s="11" t="s">
        <v>295</v>
      </c>
      <c r="H23" s="11" t="s">
        <v>123</v>
      </c>
      <c r="I23" s="16">
        <v>1.25</v>
      </c>
      <c r="J23" s="11" t="s">
        <v>296</v>
      </c>
      <c r="K23" s="11" t="s">
        <v>297</v>
      </c>
      <c r="L23" s="11" t="s">
        <v>298</v>
      </c>
      <c r="M23" s="11" t="s">
        <v>299</v>
      </c>
      <c r="N23" s="11" t="s">
        <v>300</v>
      </c>
      <c r="O23" s="11" t="s">
        <v>301</v>
      </c>
      <c r="P23" s="11" t="s">
        <v>152</v>
      </c>
      <c r="Q23" s="11" t="s">
        <v>249</v>
      </c>
      <c r="R23" s="11" t="s">
        <v>302</v>
      </c>
      <c r="S23" s="11" t="s">
        <v>46</v>
      </c>
      <c r="T23" s="11"/>
      <c r="U23" s="29" t="s">
        <v>304</v>
      </c>
    </row>
    <row r="24" spans="1:21" ht="110.4">
      <c r="A24" s="11" t="s">
        <v>305</v>
      </c>
      <c r="B24" s="11" t="s">
        <v>37</v>
      </c>
      <c r="C24" s="11">
        <v>6</v>
      </c>
      <c r="D24" s="11" t="s">
        <v>89</v>
      </c>
      <c r="E24" s="11" t="s">
        <v>306</v>
      </c>
      <c r="F24" s="11" t="s">
        <v>307</v>
      </c>
      <c r="G24" s="11" t="s">
        <v>308</v>
      </c>
      <c r="H24" s="11" t="s">
        <v>123</v>
      </c>
      <c r="I24" s="16">
        <v>1.5</v>
      </c>
      <c r="J24" s="11" t="s">
        <v>309</v>
      </c>
      <c r="K24" s="11" t="s">
        <v>310</v>
      </c>
      <c r="L24" s="11" t="s">
        <v>311</v>
      </c>
      <c r="M24" s="11" t="s">
        <v>312</v>
      </c>
      <c r="N24" s="11" t="s">
        <v>313</v>
      </c>
      <c r="O24" s="11" t="s">
        <v>314</v>
      </c>
      <c r="P24" s="11" t="s">
        <v>164</v>
      </c>
      <c r="Q24" s="11" t="s">
        <v>315</v>
      </c>
      <c r="R24" s="11" t="s">
        <v>316</v>
      </c>
      <c r="S24" s="11" t="s">
        <v>46</v>
      </c>
      <c r="T24" s="11"/>
      <c r="U24" s="29" t="s">
        <v>317</v>
      </c>
    </row>
    <row r="25" spans="1:21" ht="96.6">
      <c r="A25" s="11" t="s">
        <v>318</v>
      </c>
      <c r="B25" s="11" t="s">
        <v>37</v>
      </c>
      <c r="C25" s="11">
        <v>7</v>
      </c>
      <c r="D25" s="11" t="s">
        <v>89</v>
      </c>
      <c r="E25" s="11" t="s">
        <v>319</v>
      </c>
      <c r="F25" s="11" t="s">
        <v>320</v>
      </c>
      <c r="G25" s="11" t="s">
        <v>321</v>
      </c>
      <c r="H25" s="11" t="s">
        <v>123</v>
      </c>
      <c r="I25" s="16">
        <v>1</v>
      </c>
      <c r="J25" s="11" t="s">
        <v>309</v>
      </c>
      <c r="K25" s="11" t="s">
        <v>322</v>
      </c>
      <c r="L25" s="11" t="s">
        <v>323</v>
      </c>
      <c r="M25" s="11" t="s">
        <v>324</v>
      </c>
      <c r="N25" s="11" t="s">
        <v>325</v>
      </c>
      <c r="O25" s="11" t="s">
        <v>326</v>
      </c>
      <c r="P25" s="11" t="s">
        <v>327</v>
      </c>
      <c r="Q25" s="11" t="s">
        <v>305</v>
      </c>
      <c r="R25" s="11" t="s">
        <v>328</v>
      </c>
      <c r="S25" s="11" t="s">
        <v>46</v>
      </c>
      <c r="T25" s="11"/>
      <c r="U25" s="29" t="s">
        <v>329</v>
      </c>
    </row>
    <row r="26" spans="1:21" ht="110.4">
      <c r="A26" s="11" t="s">
        <v>330</v>
      </c>
      <c r="B26" s="11" t="s">
        <v>37</v>
      </c>
      <c r="C26" s="11">
        <v>8</v>
      </c>
      <c r="D26" s="11" t="s">
        <v>89</v>
      </c>
      <c r="E26" s="11" t="s">
        <v>331</v>
      </c>
      <c r="F26" s="11" t="s">
        <v>332</v>
      </c>
      <c r="G26" s="11" t="s">
        <v>333</v>
      </c>
      <c r="H26" s="11" t="s">
        <v>123</v>
      </c>
      <c r="I26" s="16">
        <v>1</v>
      </c>
      <c r="J26" s="11" t="s">
        <v>253</v>
      </c>
      <c r="K26" s="11" t="s">
        <v>334</v>
      </c>
      <c r="L26" s="11" t="s">
        <v>335</v>
      </c>
      <c r="M26" s="11" t="s">
        <v>336</v>
      </c>
      <c r="N26" s="11" t="s">
        <v>337</v>
      </c>
      <c r="O26" s="11" t="s">
        <v>338</v>
      </c>
      <c r="P26" s="11" t="s">
        <v>327</v>
      </c>
      <c r="Q26" s="11" t="s">
        <v>281</v>
      </c>
      <c r="R26" s="11" t="s">
        <v>339</v>
      </c>
      <c r="S26" s="11" t="s">
        <v>46</v>
      </c>
      <c r="T26" s="11"/>
      <c r="U26" s="29" t="s">
        <v>340</v>
      </c>
    </row>
    <row r="27" spans="1:21" ht="205.2">
      <c r="A27" s="11" t="s">
        <v>341</v>
      </c>
      <c r="B27" s="11" t="s">
        <v>37</v>
      </c>
      <c r="C27" s="11">
        <v>9</v>
      </c>
      <c r="D27" s="11" t="s">
        <v>89</v>
      </c>
      <c r="E27" s="11" t="s">
        <v>342</v>
      </c>
      <c r="F27" s="11" t="s">
        <v>343</v>
      </c>
      <c r="G27" s="11" t="s">
        <v>344</v>
      </c>
      <c r="H27" s="11" t="s">
        <v>109</v>
      </c>
      <c r="I27" s="16">
        <v>1</v>
      </c>
      <c r="J27" s="11" t="s">
        <v>345</v>
      </c>
      <c r="K27" s="11" t="s">
        <v>346</v>
      </c>
      <c r="L27" s="11" t="s">
        <v>347</v>
      </c>
      <c r="M27" s="11" t="s">
        <v>2328</v>
      </c>
      <c r="N27" s="11" t="s">
        <v>348</v>
      </c>
      <c r="O27" s="11" t="s">
        <v>349</v>
      </c>
      <c r="P27" s="11" t="s">
        <v>350</v>
      </c>
      <c r="Q27" s="11" t="s">
        <v>351</v>
      </c>
      <c r="R27" s="11" t="s">
        <v>352</v>
      </c>
      <c r="S27" s="11" t="s">
        <v>46</v>
      </c>
      <c r="T27" s="11"/>
      <c r="U27" s="29" t="s">
        <v>353</v>
      </c>
    </row>
    <row r="28" spans="1:21" ht="205.2">
      <c r="A28" s="11" t="s">
        <v>354</v>
      </c>
      <c r="B28" s="11" t="s">
        <v>37</v>
      </c>
      <c r="C28" s="11">
        <v>10</v>
      </c>
      <c r="D28" s="11" t="s">
        <v>89</v>
      </c>
      <c r="E28" s="11" t="s">
        <v>203</v>
      </c>
      <c r="F28" s="11" t="s">
        <v>355</v>
      </c>
      <c r="G28" s="11" t="s">
        <v>356</v>
      </c>
      <c r="H28" s="11" t="s">
        <v>109</v>
      </c>
      <c r="I28" s="16">
        <v>1</v>
      </c>
      <c r="J28" s="11" t="s">
        <v>345</v>
      </c>
      <c r="K28" s="11" t="s">
        <v>357</v>
      </c>
      <c r="L28" s="11" t="s">
        <v>358</v>
      </c>
      <c r="M28" s="11" t="s">
        <v>2329</v>
      </c>
      <c r="N28" s="11" t="s">
        <v>359</v>
      </c>
      <c r="O28" s="11" t="s">
        <v>360</v>
      </c>
      <c r="P28" s="11" t="s">
        <v>361</v>
      </c>
      <c r="Q28" s="11" t="s">
        <v>341</v>
      </c>
      <c r="R28" s="11" t="s">
        <v>362</v>
      </c>
      <c r="S28" s="11" t="s">
        <v>46</v>
      </c>
      <c r="T28" s="11"/>
      <c r="U28" s="29" t="s">
        <v>363</v>
      </c>
    </row>
    <row r="29" spans="1:21" ht="110.4">
      <c r="A29" s="11" t="s">
        <v>364</v>
      </c>
      <c r="B29" s="11" t="s">
        <v>37</v>
      </c>
      <c r="C29" s="11">
        <v>11</v>
      </c>
      <c r="D29" s="11" t="s">
        <v>365</v>
      </c>
      <c r="E29" s="11" t="s">
        <v>366</v>
      </c>
      <c r="F29" s="11" t="s">
        <v>367</v>
      </c>
      <c r="G29" s="11" t="s">
        <v>368</v>
      </c>
      <c r="H29" s="11" t="s">
        <v>93</v>
      </c>
      <c r="I29" s="16">
        <v>0.75</v>
      </c>
      <c r="J29" s="11" t="s">
        <v>369</v>
      </c>
      <c r="K29" s="11" t="s">
        <v>101</v>
      </c>
      <c r="L29" s="11" t="s">
        <v>370</v>
      </c>
      <c r="M29" s="11" t="s">
        <v>2330</v>
      </c>
      <c r="N29" s="11" t="s">
        <v>371</v>
      </c>
      <c r="O29" s="11" t="s">
        <v>372</v>
      </c>
      <c r="P29" s="11" t="s">
        <v>373</v>
      </c>
      <c r="Q29" s="11" t="s">
        <v>341</v>
      </c>
      <c r="R29" s="11" t="s">
        <v>374</v>
      </c>
      <c r="S29" s="11" t="s">
        <v>46</v>
      </c>
      <c r="T29" s="11"/>
      <c r="U29" s="29" t="s">
        <v>375</v>
      </c>
    </row>
    <row r="30" spans="1:21" ht="193.8">
      <c r="A30" s="11" t="s">
        <v>376</v>
      </c>
      <c r="B30" s="11" t="s">
        <v>37</v>
      </c>
      <c r="C30" s="11">
        <v>12</v>
      </c>
      <c r="D30" s="11" t="s">
        <v>89</v>
      </c>
      <c r="E30" s="11" t="s">
        <v>226</v>
      </c>
      <c r="F30" s="11" t="s">
        <v>377</v>
      </c>
      <c r="G30" s="11" t="s">
        <v>378</v>
      </c>
      <c r="H30" s="11" t="s">
        <v>93</v>
      </c>
      <c r="I30" s="16">
        <v>0.75</v>
      </c>
      <c r="J30" s="11" t="s">
        <v>2331</v>
      </c>
      <c r="K30" s="11" t="s">
        <v>379</v>
      </c>
      <c r="L30" s="11" t="s">
        <v>380</v>
      </c>
      <c r="M30" s="11" t="s">
        <v>2332</v>
      </c>
      <c r="N30" s="11" t="s">
        <v>381</v>
      </c>
      <c r="O30" s="11" t="s">
        <v>382</v>
      </c>
      <c r="P30" s="11" t="s">
        <v>115</v>
      </c>
      <c r="Q30" s="11" t="s">
        <v>383</v>
      </c>
      <c r="R30" s="11" t="s">
        <v>384</v>
      </c>
      <c r="S30" s="11" t="s">
        <v>46</v>
      </c>
      <c r="T30" s="11"/>
      <c r="U30" s="29" t="s">
        <v>385</v>
      </c>
    </row>
    <row r="31" spans="1:21" ht="69">
      <c r="A31" s="11" t="s">
        <v>386</v>
      </c>
      <c r="B31" s="11" t="s">
        <v>37</v>
      </c>
      <c r="C31" s="11">
        <v>13</v>
      </c>
      <c r="D31" s="11" t="s">
        <v>89</v>
      </c>
      <c r="E31" s="11" t="s">
        <v>238</v>
      </c>
      <c r="F31" s="11" t="s">
        <v>387</v>
      </c>
      <c r="G31" s="11" t="s">
        <v>388</v>
      </c>
      <c r="H31" s="11" t="s">
        <v>109</v>
      </c>
      <c r="I31" s="16">
        <v>1</v>
      </c>
      <c r="J31" s="11" t="s">
        <v>241</v>
      </c>
      <c r="K31" s="11" t="s">
        <v>101</v>
      </c>
      <c r="L31" s="11" t="s">
        <v>389</v>
      </c>
      <c r="M31" s="11" t="s">
        <v>2315</v>
      </c>
      <c r="N31" s="11" t="s">
        <v>243</v>
      </c>
      <c r="O31" s="11" t="s">
        <v>390</v>
      </c>
      <c r="P31" s="11" t="s">
        <v>373</v>
      </c>
      <c r="Q31" s="11" t="s">
        <v>376</v>
      </c>
      <c r="R31" s="11" t="s">
        <v>246</v>
      </c>
      <c r="S31" s="11" t="s">
        <v>46</v>
      </c>
      <c r="T31" s="11" t="s">
        <v>391</v>
      </c>
      <c r="U31" s="29" t="s">
        <v>392</v>
      </c>
    </row>
    <row r="32" spans="1:21" ht="110.4" hidden="1">
      <c r="A32" s="11" t="s">
        <v>393</v>
      </c>
      <c r="B32" s="11" t="s">
        <v>57</v>
      </c>
      <c r="C32" s="11">
        <v>1</v>
      </c>
      <c r="D32" s="11" t="s">
        <v>89</v>
      </c>
      <c r="E32" s="11" t="s">
        <v>394</v>
      </c>
      <c r="F32" s="11" t="s">
        <v>395</v>
      </c>
      <c r="G32" s="11" t="s">
        <v>396</v>
      </c>
      <c r="H32" s="11" t="s">
        <v>123</v>
      </c>
      <c r="I32" s="16">
        <v>1</v>
      </c>
      <c r="J32" s="11" t="s">
        <v>397</v>
      </c>
      <c r="K32" s="11" t="s">
        <v>398</v>
      </c>
      <c r="L32" s="11" t="s">
        <v>399</v>
      </c>
      <c r="M32" s="11" t="s">
        <v>400</v>
      </c>
      <c r="N32" s="11" t="s">
        <v>401</v>
      </c>
      <c r="O32" s="11" t="s">
        <v>402</v>
      </c>
      <c r="P32" s="11" t="s">
        <v>403</v>
      </c>
      <c r="Q32" s="11" t="s">
        <v>386</v>
      </c>
      <c r="R32" s="11" t="s">
        <v>404</v>
      </c>
      <c r="S32" s="11" t="s">
        <v>303</v>
      </c>
      <c r="T32" s="11"/>
      <c r="U32" s="29" t="s">
        <v>405</v>
      </c>
    </row>
    <row r="33" spans="1:21" ht="110.4" hidden="1">
      <c r="A33" s="11" t="s">
        <v>406</v>
      </c>
      <c r="B33" s="11" t="s">
        <v>57</v>
      </c>
      <c r="C33" s="11">
        <v>2</v>
      </c>
      <c r="D33" s="11" t="s">
        <v>89</v>
      </c>
      <c r="E33" s="11" t="s">
        <v>407</v>
      </c>
      <c r="F33" s="11" t="s">
        <v>408</v>
      </c>
      <c r="G33" s="11" t="s">
        <v>409</v>
      </c>
      <c r="H33" s="11" t="s">
        <v>123</v>
      </c>
      <c r="I33" s="16">
        <v>1.25</v>
      </c>
      <c r="J33" s="11" t="s">
        <v>397</v>
      </c>
      <c r="K33" s="11" t="s">
        <v>410</v>
      </c>
      <c r="L33" s="11" t="s">
        <v>411</v>
      </c>
      <c r="M33" s="11" t="s">
        <v>412</v>
      </c>
      <c r="N33" s="11" t="s">
        <v>413</v>
      </c>
      <c r="O33" s="11" t="s">
        <v>414</v>
      </c>
      <c r="P33" s="11" t="s">
        <v>415</v>
      </c>
      <c r="Q33" s="11" t="s">
        <v>393</v>
      </c>
      <c r="R33" s="11" t="s">
        <v>416</v>
      </c>
      <c r="S33" s="11" t="s">
        <v>303</v>
      </c>
      <c r="T33" s="11"/>
      <c r="U33" s="29" t="s">
        <v>417</v>
      </c>
    </row>
    <row r="34" spans="1:21" ht="96.6" hidden="1">
      <c r="A34" s="11" t="s">
        <v>418</v>
      </c>
      <c r="B34" s="11" t="s">
        <v>57</v>
      </c>
      <c r="C34" s="11">
        <v>3</v>
      </c>
      <c r="D34" s="11" t="s">
        <v>89</v>
      </c>
      <c r="E34" s="11" t="s">
        <v>419</v>
      </c>
      <c r="F34" s="11" t="s">
        <v>420</v>
      </c>
      <c r="G34" s="11" t="s">
        <v>421</v>
      </c>
      <c r="H34" s="11" t="s">
        <v>123</v>
      </c>
      <c r="I34" s="16">
        <v>0.75</v>
      </c>
      <c r="J34" s="11" t="s">
        <v>397</v>
      </c>
      <c r="K34" s="11" t="s">
        <v>101</v>
      </c>
      <c r="L34" s="11" t="s">
        <v>422</v>
      </c>
      <c r="M34" s="11" t="s">
        <v>423</v>
      </c>
      <c r="N34" s="11" t="s">
        <v>424</v>
      </c>
      <c r="O34" s="11" t="s">
        <v>425</v>
      </c>
      <c r="P34" s="11" t="s">
        <v>426</v>
      </c>
      <c r="Q34" s="11" t="s">
        <v>393</v>
      </c>
      <c r="R34" s="11" t="s">
        <v>427</v>
      </c>
      <c r="S34" s="11" t="s">
        <v>303</v>
      </c>
      <c r="T34" s="11"/>
      <c r="U34" s="29" t="s">
        <v>428</v>
      </c>
    </row>
    <row r="35" spans="1:21" ht="110.4" hidden="1">
      <c r="A35" s="11" t="s">
        <v>429</v>
      </c>
      <c r="B35" s="11" t="s">
        <v>57</v>
      </c>
      <c r="C35" s="11">
        <v>4</v>
      </c>
      <c r="D35" s="11" t="s">
        <v>89</v>
      </c>
      <c r="E35" s="11" t="s">
        <v>430</v>
      </c>
      <c r="F35" s="11" t="s">
        <v>431</v>
      </c>
      <c r="G35" s="11" t="s">
        <v>432</v>
      </c>
      <c r="H35" s="11" t="s">
        <v>123</v>
      </c>
      <c r="I35" s="16">
        <v>1.5</v>
      </c>
      <c r="J35" s="11" t="s">
        <v>397</v>
      </c>
      <c r="K35" s="11" t="s">
        <v>433</v>
      </c>
      <c r="L35" s="11" t="s">
        <v>434</v>
      </c>
      <c r="M35" s="11" t="s">
        <v>435</v>
      </c>
      <c r="N35" s="11" t="s">
        <v>436</v>
      </c>
      <c r="O35" s="11" t="s">
        <v>437</v>
      </c>
      <c r="P35" s="11" t="s">
        <v>426</v>
      </c>
      <c r="Q35" s="11" t="s">
        <v>438</v>
      </c>
      <c r="R35" s="11" t="s">
        <v>439</v>
      </c>
      <c r="S35" s="11" t="s">
        <v>303</v>
      </c>
      <c r="T35" s="11"/>
      <c r="U35" s="29" t="s">
        <v>440</v>
      </c>
    </row>
    <row r="36" spans="1:21" ht="110.4" hidden="1">
      <c r="A36" s="11" t="s">
        <v>441</v>
      </c>
      <c r="B36" s="11" t="s">
        <v>57</v>
      </c>
      <c r="C36" s="11">
        <v>5</v>
      </c>
      <c r="D36" s="11" t="s">
        <v>89</v>
      </c>
      <c r="E36" s="11" t="s">
        <v>442</v>
      </c>
      <c r="F36" s="11" t="s">
        <v>443</v>
      </c>
      <c r="G36" s="11" t="s">
        <v>444</v>
      </c>
      <c r="H36" s="11" t="s">
        <v>123</v>
      </c>
      <c r="I36" s="16">
        <v>1</v>
      </c>
      <c r="J36" s="11" t="s">
        <v>445</v>
      </c>
      <c r="K36" s="11" t="s">
        <v>446</v>
      </c>
      <c r="L36" s="11" t="s">
        <v>447</v>
      </c>
      <c r="M36" s="11" t="s">
        <v>448</v>
      </c>
      <c r="N36" s="11" t="s">
        <v>449</v>
      </c>
      <c r="O36" s="11" t="s">
        <v>450</v>
      </c>
      <c r="P36" s="11" t="s">
        <v>327</v>
      </c>
      <c r="Q36" s="11" t="s">
        <v>429</v>
      </c>
      <c r="R36" s="11" t="s">
        <v>451</v>
      </c>
      <c r="S36" s="11" t="s">
        <v>303</v>
      </c>
      <c r="T36" s="11"/>
      <c r="U36" s="29" t="s">
        <v>452</v>
      </c>
    </row>
    <row r="37" spans="1:21" ht="110.4" hidden="1">
      <c r="A37" s="11" t="s">
        <v>453</v>
      </c>
      <c r="B37" s="11" t="s">
        <v>57</v>
      </c>
      <c r="C37" s="11">
        <v>6</v>
      </c>
      <c r="D37" s="11" t="s">
        <v>89</v>
      </c>
      <c r="E37" s="11" t="s">
        <v>454</v>
      </c>
      <c r="F37" s="11" t="s">
        <v>455</v>
      </c>
      <c r="G37" s="11" t="s">
        <v>456</v>
      </c>
      <c r="H37" s="11" t="s">
        <v>93</v>
      </c>
      <c r="I37" s="16">
        <v>1.25</v>
      </c>
      <c r="J37" s="11" t="s">
        <v>457</v>
      </c>
      <c r="K37" s="11" t="s">
        <v>458</v>
      </c>
      <c r="L37" s="11" t="s">
        <v>459</v>
      </c>
      <c r="M37" s="11" t="s">
        <v>460</v>
      </c>
      <c r="N37" s="11" t="s">
        <v>461</v>
      </c>
      <c r="O37" s="11" t="s">
        <v>462</v>
      </c>
      <c r="P37" s="11" t="s">
        <v>164</v>
      </c>
      <c r="Q37" s="11" t="s">
        <v>341</v>
      </c>
      <c r="R37" s="11" t="s">
        <v>463</v>
      </c>
      <c r="S37" s="11" t="s">
        <v>303</v>
      </c>
      <c r="T37" s="11"/>
      <c r="U37" s="29" t="s">
        <v>464</v>
      </c>
    </row>
    <row r="38" spans="1:21" ht="110.4" hidden="1">
      <c r="A38" s="11" t="s">
        <v>465</v>
      </c>
      <c r="B38" s="11" t="s">
        <v>57</v>
      </c>
      <c r="C38" s="11">
        <v>7</v>
      </c>
      <c r="D38" s="11" t="s">
        <v>89</v>
      </c>
      <c r="E38" s="11" t="s">
        <v>466</v>
      </c>
      <c r="F38" s="11" t="s">
        <v>467</v>
      </c>
      <c r="G38" s="11" t="s">
        <v>468</v>
      </c>
      <c r="H38" s="11" t="s">
        <v>123</v>
      </c>
      <c r="I38" s="16">
        <v>1.5</v>
      </c>
      <c r="J38" s="11" t="s">
        <v>457</v>
      </c>
      <c r="K38" s="11" t="s">
        <v>469</v>
      </c>
      <c r="L38" s="11" t="s">
        <v>470</v>
      </c>
      <c r="M38" s="11" t="s">
        <v>2295</v>
      </c>
      <c r="N38" s="11" t="s">
        <v>471</v>
      </c>
      <c r="O38" s="11" t="s">
        <v>472</v>
      </c>
      <c r="P38" s="11" t="s">
        <v>164</v>
      </c>
      <c r="Q38" s="11" t="s">
        <v>473</v>
      </c>
      <c r="R38" s="11" t="s">
        <v>474</v>
      </c>
      <c r="S38" s="11" t="s">
        <v>303</v>
      </c>
      <c r="T38" s="11"/>
      <c r="U38" s="29" t="s">
        <v>475</v>
      </c>
    </row>
    <row r="39" spans="1:21" ht="110.4" hidden="1">
      <c r="A39" s="11" t="s">
        <v>476</v>
      </c>
      <c r="B39" s="11" t="s">
        <v>57</v>
      </c>
      <c r="C39" s="11">
        <v>8</v>
      </c>
      <c r="D39" s="11" t="s">
        <v>89</v>
      </c>
      <c r="E39" s="11" t="s">
        <v>477</v>
      </c>
      <c r="F39" s="11" t="s">
        <v>478</v>
      </c>
      <c r="G39" s="11" t="s">
        <v>479</v>
      </c>
      <c r="H39" s="11" t="s">
        <v>123</v>
      </c>
      <c r="I39" s="16">
        <v>1</v>
      </c>
      <c r="J39" s="11" t="s">
        <v>445</v>
      </c>
      <c r="K39" s="11" t="s">
        <v>334</v>
      </c>
      <c r="L39" s="11" t="s">
        <v>480</v>
      </c>
      <c r="M39" s="11" t="s">
        <v>481</v>
      </c>
      <c r="N39" s="11" t="s">
        <v>482</v>
      </c>
      <c r="O39" s="11" t="s">
        <v>483</v>
      </c>
      <c r="P39" s="11" t="s">
        <v>327</v>
      </c>
      <c r="Q39" s="11" t="s">
        <v>441</v>
      </c>
      <c r="R39" s="11" t="s">
        <v>484</v>
      </c>
      <c r="S39" s="11" t="s">
        <v>303</v>
      </c>
      <c r="T39" s="11"/>
      <c r="U39" s="29" t="s">
        <v>485</v>
      </c>
    </row>
    <row r="40" spans="1:21" ht="110.4" hidden="1">
      <c r="A40" s="11" t="s">
        <v>486</v>
      </c>
      <c r="B40" s="11" t="s">
        <v>57</v>
      </c>
      <c r="C40" s="11">
        <v>9</v>
      </c>
      <c r="D40" s="11" t="s">
        <v>89</v>
      </c>
      <c r="E40" s="11" t="s">
        <v>487</v>
      </c>
      <c r="F40" s="11" t="s">
        <v>488</v>
      </c>
      <c r="G40" s="11" t="s">
        <v>489</v>
      </c>
      <c r="H40" s="11" t="s">
        <v>123</v>
      </c>
      <c r="I40" s="16">
        <v>0.75</v>
      </c>
      <c r="J40" s="11" t="s">
        <v>490</v>
      </c>
      <c r="K40" s="11" t="s">
        <v>491</v>
      </c>
      <c r="L40" s="11" t="s">
        <v>492</v>
      </c>
      <c r="M40" s="11" t="s">
        <v>493</v>
      </c>
      <c r="N40" s="11" t="s">
        <v>494</v>
      </c>
      <c r="O40" s="11" t="s">
        <v>495</v>
      </c>
      <c r="P40" s="11" t="s">
        <v>496</v>
      </c>
      <c r="Q40" s="11" t="s">
        <v>429</v>
      </c>
      <c r="R40" s="11" t="s">
        <v>497</v>
      </c>
      <c r="S40" s="11" t="s">
        <v>303</v>
      </c>
      <c r="T40" s="11"/>
      <c r="U40" s="29" t="s">
        <v>498</v>
      </c>
    </row>
    <row r="41" spans="1:21" ht="110.4" hidden="1">
      <c r="A41" s="11" t="s">
        <v>499</v>
      </c>
      <c r="B41" s="11" t="s">
        <v>57</v>
      </c>
      <c r="C41" s="11">
        <v>10</v>
      </c>
      <c r="D41" s="11" t="s">
        <v>89</v>
      </c>
      <c r="E41" s="11" t="s">
        <v>500</v>
      </c>
      <c r="F41" s="11" t="s">
        <v>501</v>
      </c>
      <c r="G41" s="11" t="s">
        <v>502</v>
      </c>
      <c r="H41" s="11" t="s">
        <v>109</v>
      </c>
      <c r="I41" s="16">
        <v>0.75</v>
      </c>
      <c r="J41" s="11" t="s">
        <v>457</v>
      </c>
      <c r="K41" s="11" t="s">
        <v>503</v>
      </c>
      <c r="L41" s="11" t="s">
        <v>504</v>
      </c>
      <c r="M41" s="11" t="s">
        <v>505</v>
      </c>
      <c r="N41" s="11" t="s">
        <v>506</v>
      </c>
      <c r="O41" s="11" t="s">
        <v>507</v>
      </c>
      <c r="P41" s="11" t="s">
        <v>164</v>
      </c>
      <c r="Q41" s="11" t="s">
        <v>465</v>
      </c>
      <c r="R41" s="11" t="s">
        <v>508</v>
      </c>
      <c r="S41" s="11" t="s">
        <v>303</v>
      </c>
      <c r="T41" s="11"/>
      <c r="U41" s="29" t="s">
        <v>509</v>
      </c>
    </row>
    <row r="42" spans="1:21" ht="193.8" hidden="1">
      <c r="A42" s="11" t="s">
        <v>510</v>
      </c>
      <c r="B42" s="11" t="s">
        <v>57</v>
      </c>
      <c r="C42" s="11">
        <v>11</v>
      </c>
      <c r="D42" s="11" t="s">
        <v>89</v>
      </c>
      <c r="E42" s="11" t="s">
        <v>511</v>
      </c>
      <c r="F42" s="11" t="s">
        <v>512</v>
      </c>
      <c r="G42" s="11" t="s">
        <v>513</v>
      </c>
      <c r="H42" s="11" t="s">
        <v>109</v>
      </c>
      <c r="I42" s="16">
        <v>1</v>
      </c>
      <c r="J42" s="11" t="s">
        <v>514</v>
      </c>
      <c r="K42" s="11" t="s">
        <v>101</v>
      </c>
      <c r="L42" s="11" t="s">
        <v>515</v>
      </c>
      <c r="M42" s="11" t="s">
        <v>2333</v>
      </c>
      <c r="N42" s="11" t="s">
        <v>516</v>
      </c>
      <c r="O42" s="11" t="s">
        <v>517</v>
      </c>
      <c r="P42" s="11" t="s">
        <v>518</v>
      </c>
      <c r="Q42" s="11" t="s">
        <v>499</v>
      </c>
      <c r="R42" s="11" t="s">
        <v>519</v>
      </c>
      <c r="S42" s="11" t="s">
        <v>303</v>
      </c>
      <c r="T42" s="11"/>
      <c r="U42" s="29" t="s">
        <v>520</v>
      </c>
    </row>
    <row r="43" spans="1:21" ht="193.8" hidden="1">
      <c r="A43" s="11" t="s">
        <v>521</v>
      </c>
      <c r="B43" s="11" t="s">
        <v>57</v>
      </c>
      <c r="C43" s="11">
        <v>12</v>
      </c>
      <c r="D43" s="11" t="s">
        <v>89</v>
      </c>
      <c r="E43" s="11" t="s">
        <v>226</v>
      </c>
      <c r="F43" s="11" t="s">
        <v>522</v>
      </c>
      <c r="G43" s="11" t="s">
        <v>523</v>
      </c>
      <c r="H43" s="11" t="s">
        <v>93</v>
      </c>
      <c r="I43" s="16">
        <v>0.75</v>
      </c>
      <c r="J43" s="11" t="s">
        <v>2334</v>
      </c>
      <c r="K43" s="11" t="s">
        <v>524</v>
      </c>
      <c r="L43" s="11" t="s">
        <v>525</v>
      </c>
      <c r="M43" s="11" t="s">
        <v>2335</v>
      </c>
      <c r="N43" s="11" t="s">
        <v>526</v>
      </c>
      <c r="O43" s="11" t="s">
        <v>527</v>
      </c>
      <c r="P43" s="11" t="s">
        <v>115</v>
      </c>
      <c r="Q43" s="11" t="s">
        <v>528</v>
      </c>
      <c r="R43" s="11" t="s">
        <v>529</v>
      </c>
      <c r="S43" s="11" t="s">
        <v>303</v>
      </c>
      <c r="T43" s="11"/>
      <c r="U43" s="29" t="s">
        <v>530</v>
      </c>
    </row>
    <row r="44" spans="1:21" ht="69" hidden="1">
      <c r="A44" s="11" t="s">
        <v>531</v>
      </c>
      <c r="B44" s="11" t="s">
        <v>57</v>
      </c>
      <c r="C44" s="11">
        <v>13</v>
      </c>
      <c r="D44" s="11" t="s">
        <v>89</v>
      </c>
      <c r="E44" s="11" t="s">
        <v>238</v>
      </c>
      <c r="F44" s="11" t="s">
        <v>532</v>
      </c>
      <c r="G44" s="11" t="s">
        <v>533</v>
      </c>
      <c r="H44" s="11" t="s">
        <v>109</v>
      </c>
      <c r="I44" s="16">
        <v>1</v>
      </c>
      <c r="J44" s="11" t="s">
        <v>241</v>
      </c>
      <c r="K44" s="11" t="s">
        <v>101</v>
      </c>
      <c r="L44" s="11" t="s">
        <v>534</v>
      </c>
      <c r="M44" s="11" t="s">
        <v>2316</v>
      </c>
      <c r="N44" s="11" t="s">
        <v>243</v>
      </c>
      <c r="O44" s="11" t="s">
        <v>535</v>
      </c>
      <c r="P44" s="11" t="s">
        <v>536</v>
      </c>
      <c r="Q44" s="11" t="s">
        <v>521</v>
      </c>
      <c r="R44" s="11" t="s">
        <v>246</v>
      </c>
      <c r="S44" s="11" t="s">
        <v>303</v>
      </c>
      <c r="T44" s="11" t="s">
        <v>537</v>
      </c>
      <c r="U44" s="29" t="s">
        <v>538</v>
      </c>
    </row>
    <row r="45" spans="1:21" ht="110.4" hidden="1">
      <c r="A45" s="11" t="s">
        <v>539</v>
      </c>
      <c r="B45" s="11" t="s">
        <v>58</v>
      </c>
      <c r="C45" s="11">
        <v>1</v>
      </c>
      <c r="D45" s="11" t="s">
        <v>89</v>
      </c>
      <c r="E45" s="11" t="s">
        <v>540</v>
      </c>
      <c r="F45" s="11" t="s">
        <v>541</v>
      </c>
      <c r="G45" s="11" t="s">
        <v>542</v>
      </c>
      <c r="H45" s="11" t="s">
        <v>123</v>
      </c>
      <c r="I45" s="16">
        <v>1.5</v>
      </c>
      <c r="J45" s="11" t="s">
        <v>543</v>
      </c>
      <c r="K45" s="11" t="s">
        <v>334</v>
      </c>
      <c r="L45" s="11" t="s">
        <v>544</v>
      </c>
      <c r="M45" s="11" t="s">
        <v>545</v>
      </c>
      <c r="N45" s="11" t="s">
        <v>546</v>
      </c>
      <c r="O45" s="11" t="s">
        <v>547</v>
      </c>
      <c r="P45" s="11" t="s">
        <v>548</v>
      </c>
      <c r="Q45" s="11" t="s">
        <v>531</v>
      </c>
      <c r="R45" s="11" t="s">
        <v>549</v>
      </c>
      <c r="S45" s="11" t="s">
        <v>303</v>
      </c>
      <c r="T45" s="11"/>
      <c r="U45" s="29" t="s">
        <v>550</v>
      </c>
    </row>
    <row r="46" spans="1:21" ht="110.4" hidden="1">
      <c r="A46" s="11" t="s">
        <v>551</v>
      </c>
      <c r="B46" s="11" t="s">
        <v>58</v>
      </c>
      <c r="C46" s="11">
        <v>2</v>
      </c>
      <c r="D46" s="11" t="s">
        <v>89</v>
      </c>
      <c r="E46" s="11" t="s">
        <v>331</v>
      </c>
      <c r="F46" s="11" t="s">
        <v>552</v>
      </c>
      <c r="G46" s="11" t="s">
        <v>553</v>
      </c>
      <c r="H46" s="11" t="s">
        <v>123</v>
      </c>
      <c r="I46" s="16">
        <v>1</v>
      </c>
      <c r="J46" s="11" t="s">
        <v>543</v>
      </c>
      <c r="K46" s="11" t="s">
        <v>334</v>
      </c>
      <c r="L46" s="11" t="s">
        <v>554</v>
      </c>
      <c r="M46" s="11" t="s">
        <v>555</v>
      </c>
      <c r="N46" s="11" t="s">
        <v>556</v>
      </c>
      <c r="O46" s="11" t="s">
        <v>557</v>
      </c>
      <c r="P46" s="11" t="s">
        <v>327</v>
      </c>
      <c r="Q46" s="11" t="s">
        <v>539</v>
      </c>
      <c r="R46" s="11" t="s">
        <v>558</v>
      </c>
      <c r="S46" s="11" t="s">
        <v>303</v>
      </c>
      <c r="T46" s="11"/>
      <c r="U46" s="29" t="s">
        <v>559</v>
      </c>
    </row>
    <row r="47" spans="1:21" ht="110.4" hidden="1">
      <c r="A47" s="11" t="s">
        <v>560</v>
      </c>
      <c r="B47" s="11" t="s">
        <v>58</v>
      </c>
      <c r="C47" s="11">
        <v>3</v>
      </c>
      <c r="D47" s="11" t="s">
        <v>89</v>
      </c>
      <c r="E47" s="11" t="s">
        <v>561</v>
      </c>
      <c r="F47" s="11" t="s">
        <v>562</v>
      </c>
      <c r="G47" s="11" t="s">
        <v>563</v>
      </c>
      <c r="H47" s="11" t="s">
        <v>123</v>
      </c>
      <c r="I47" s="16">
        <v>1.25</v>
      </c>
      <c r="J47" s="11" t="s">
        <v>564</v>
      </c>
      <c r="K47" s="11" t="s">
        <v>524</v>
      </c>
      <c r="L47" s="11" t="s">
        <v>565</v>
      </c>
      <c r="M47" s="11" t="s">
        <v>566</v>
      </c>
      <c r="N47" s="11" t="s">
        <v>567</v>
      </c>
      <c r="O47" s="11" t="s">
        <v>568</v>
      </c>
      <c r="P47" s="11" t="s">
        <v>569</v>
      </c>
      <c r="Q47" s="11" t="s">
        <v>551</v>
      </c>
      <c r="R47" s="11" t="s">
        <v>570</v>
      </c>
      <c r="S47" s="11" t="s">
        <v>303</v>
      </c>
      <c r="T47" s="11"/>
      <c r="U47" s="29" t="s">
        <v>571</v>
      </c>
    </row>
    <row r="48" spans="1:21" ht="96.6" hidden="1">
      <c r="A48" s="11" t="s">
        <v>572</v>
      </c>
      <c r="B48" s="11" t="s">
        <v>58</v>
      </c>
      <c r="C48" s="11">
        <v>4</v>
      </c>
      <c r="D48" s="11" t="s">
        <v>89</v>
      </c>
      <c r="E48" s="11" t="s">
        <v>573</v>
      </c>
      <c r="F48" s="11" t="s">
        <v>574</v>
      </c>
      <c r="G48" s="11" t="s">
        <v>575</v>
      </c>
      <c r="H48" s="11" t="s">
        <v>123</v>
      </c>
      <c r="I48" s="16">
        <v>0.75</v>
      </c>
      <c r="J48" s="11" t="s">
        <v>564</v>
      </c>
      <c r="K48" s="11" t="s">
        <v>101</v>
      </c>
      <c r="L48" s="11" t="s">
        <v>576</v>
      </c>
      <c r="M48" s="11" t="s">
        <v>577</v>
      </c>
      <c r="N48" s="11" t="s">
        <v>578</v>
      </c>
      <c r="O48" s="11" t="s">
        <v>579</v>
      </c>
      <c r="P48" s="11" t="s">
        <v>569</v>
      </c>
      <c r="Q48" s="11" t="s">
        <v>560</v>
      </c>
      <c r="R48" s="11" t="s">
        <v>580</v>
      </c>
      <c r="S48" s="11" t="s">
        <v>303</v>
      </c>
      <c r="T48" s="11"/>
      <c r="U48" s="29" t="s">
        <v>581</v>
      </c>
    </row>
    <row r="49" spans="1:21" ht="96.6" hidden="1">
      <c r="A49" s="11" t="s">
        <v>582</v>
      </c>
      <c r="B49" s="11" t="s">
        <v>58</v>
      </c>
      <c r="C49" s="11">
        <v>5</v>
      </c>
      <c r="D49" s="11" t="s">
        <v>89</v>
      </c>
      <c r="E49" s="11" t="s">
        <v>583</v>
      </c>
      <c r="F49" s="11" t="s">
        <v>584</v>
      </c>
      <c r="G49" s="11" t="s">
        <v>585</v>
      </c>
      <c r="H49" s="11" t="s">
        <v>123</v>
      </c>
      <c r="I49" s="16">
        <v>1.25</v>
      </c>
      <c r="J49" s="11" t="s">
        <v>564</v>
      </c>
      <c r="K49" s="11" t="s">
        <v>524</v>
      </c>
      <c r="L49" s="11" t="s">
        <v>586</v>
      </c>
      <c r="M49" s="11" t="s">
        <v>587</v>
      </c>
      <c r="N49" s="11" t="s">
        <v>588</v>
      </c>
      <c r="O49" s="11" t="s">
        <v>589</v>
      </c>
      <c r="P49" s="11" t="s">
        <v>590</v>
      </c>
      <c r="Q49" s="11" t="s">
        <v>591</v>
      </c>
      <c r="R49" s="11" t="s">
        <v>592</v>
      </c>
      <c r="S49" s="11" t="s">
        <v>303</v>
      </c>
      <c r="T49" s="11"/>
      <c r="U49" s="29" t="s">
        <v>593</v>
      </c>
    </row>
    <row r="50" spans="1:21" ht="110.4" hidden="1">
      <c r="A50" s="11" t="s">
        <v>594</v>
      </c>
      <c r="B50" s="11" t="s">
        <v>58</v>
      </c>
      <c r="C50" s="11">
        <v>6</v>
      </c>
      <c r="D50" s="11" t="s">
        <v>89</v>
      </c>
      <c r="E50" s="11" t="s">
        <v>595</v>
      </c>
      <c r="F50" s="11" t="s">
        <v>596</v>
      </c>
      <c r="G50" s="11" t="s">
        <v>597</v>
      </c>
      <c r="H50" s="11" t="s">
        <v>123</v>
      </c>
      <c r="I50" s="16">
        <v>1</v>
      </c>
      <c r="J50" s="11" t="s">
        <v>564</v>
      </c>
      <c r="K50" s="11" t="s">
        <v>598</v>
      </c>
      <c r="L50" s="11" t="s">
        <v>599</v>
      </c>
      <c r="M50" s="11" t="s">
        <v>600</v>
      </c>
      <c r="N50" s="11" t="s">
        <v>601</v>
      </c>
      <c r="O50" s="11" t="s">
        <v>602</v>
      </c>
      <c r="P50" s="11" t="s">
        <v>569</v>
      </c>
      <c r="Q50" s="11" t="s">
        <v>560</v>
      </c>
      <c r="R50" s="11" t="s">
        <v>603</v>
      </c>
      <c r="S50" s="11" t="s">
        <v>303</v>
      </c>
      <c r="T50" s="11"/>
      <c r="U50" s="29" t="s">
        <v>604</v>
      </c>
    </row>
    <row r="51" spans="1:21" ht="96.6" hidden="1">
      <c r="A51" s="11" t="s">
        <v>605</v>
      </c>
      <c r="B51" s="11" t="s">
        <v>58</v>
      </c>
      <c r="C51" s="11">
        <v>7</v>
      </c>
      <c r="D51" s="11" t="s">
        <v>89</v>
      </c>
      <c r="E51" s="11" t="s">
        <v>606</v>
      </c>
      <c r="F51" s="11" t="s">
        <v>607</v>
      </c>
      <c r="G51" s="11" t="s">
        <v>608</v>
      </c>
      <c r="H51" s="11" t="s">
        <v>123</v>
      </c>
      <c r="I51" s="16">
        <v>0.75</v>
      </c>
      <c r="J51" s="11" t="s">
        <v>564</v>
      </c>
      <c r="K51" s="11" t="s">
        <v>609</v>
      </c>
      <c r="L51" s="11" t="s">
        <v>610</v>
      </c>
      <c r="M51" s="11" t="s">
        <v>611</v>
      </c>
      <c r="N51" s="11" t="s">
        <v>612</v>
      </c>
      <c r="O51" s="11" t="s">
        <v>613</v>
      </c>
      <c r="P51" s="11" t="s">
        <v>327</v>
      </c>
      <c r="Q51" s="11" t="s">
        <v>582</v>
      </c>
      <c r="R51" s="11" t="s">
        <v>614</v>
      </c>
      <c r="S51" s="11" t="s">
        <v>303</v>
      </c>
      <c r="T51" s="11"/>
      <c r="U51" s="29" t="s">
        <v>615</v>
      </c>
    </row>
    <row r="52" spans="1:21" ht="110.4" hidden="1">
      <c r="A52" s="11" t="s">
        <v>616</v>
      </c>
      <c r="B52" s="11" t="s">
        <v>58</v>
      </c>
      <c r="C52" s="11">
        <v>8</v>
      </c>
      <c r="D52" s="11" t="s">
        <v>89</v>
      </c>
      <c r="E52" s="11" t="s">
        <v>617</v>
      </c>
      <c r="F52" s="11" t="s">
        <v>618</v>
      </c>
      <c r="G52" s="11" t="s">
        <v>619</v>
      </c>
      <c r="H52" s="11" t="s">
        <v>123</v>
      </c>
      <c r="I52" s="16">
        <v>1</v>
      </c>
      <c r="J52" s="11" t="s">
        <v>490</v>
      </c>
      <c r="K52" s="11" t="s">
        <v>491</v>
      </c>
      <c r="L52" s="11" t="s">
        <v>620</v>
      </c>
      <c r="M52" s="11" t="s">
        <v>621</v>
      </c>
      <c r="N52" s="11" t="s">
        <v>622</v>
      </c>
      <c r="O52" s="11" t="s">
        <v>623</v>
      </c>
      <c r="P52" s="11" t="s">
        <v>496</v>
      </c>
      <c r="Q52" s="11" t="s">
        <v>624</v>
      </c>
      <c r="R52" s="11" t="s">
        <v>625</v>
      </c>
      <c r="S52" s="11" t="s">
        <v>303</v>
      </c>
      <c r="T52" s="11"/>
      <c r="U52" s="29" t="s">
        <v>626</v>
      </c>
    </row>
    <row r="53" spans="1:21" ht="110.4" hidden="1">
      <c r="A53" s="11" t="s">
        <v>627</v>
      </c>
      <c r="B53" s="11" t="s">
        <v>58</v>
      </c>
      <c r="C53" s="11">
        <v>9</v>
      </c>
      <c r="D53" s="11" t="s">
        <v>89</v>
      </c>
      <c r="E53" s="11" t="s">
        <v>628</v>
      </c>
      <c r="F53" s="11" t="s">
        <v>629</v>
      </c>
      <c r="G53" s="11" t="s">
        <v>630</v>
      </c>
      <c r="H53" s="11" t="s">
        <v>123</v>
      </c>
      <c r="I53" s="16">
        <v>1</v>
      </c>
      <c r="J53" s="11" t="s">
        <v>564</v>
      </c>
      <c r="K53" s="11" t="s">
        <v>101</v>
      </c>
      <c r="L53" s="11" t="s">
        <v>631</v>
      </c>
      <c r="M53" s="11" t="s">
        <v>632</v>
      </c>
      <c r="N53" s="11" t="s">
        <v>633</v>
      </c>
      <c r="O53" s="11" t="s">
        <v>634</v>
      </c>
      <c r="P53" s="11" t="s">
        <v>635</v>
      </c>
      <c r="Q53" s="11" t="s">
        <v>636</v>
      </c>
      <c r="R53" s="11" t="s">
        <v>637</v>
      </c>
      <c r="S53" s="11" t="s">
        <v>303</v>
      </c>
      <c r="T53" s="11"/>
      <c r="U53" s="29" t="s">
        <v>638</v>
      </c>
    </row>
    <row r="54" spans="1:21" ht="110.4" hidden="1">
      <c r="A54" s="11" t="s">
        <v>639</v>
      </c>
      <c r="B54" s="11" t="s">
        <v>58</v>
      </c>
      <c r="C54" s="11">
        <v>10</v>
      </c>
      <c r="D54" s="11" t="s">
        <v>365</v>
      </c>
      <c r="E54" s="11" t="s">
        <v>640</v>
      </c>
      <c r="F54" s="11" t="s">
        <v>641</v>
      </c>
      <c r="G54" s="11" t="s">
        <v>642</v>
      </c>
      <c r="H54" s="11" t="s">
        <v>123</v>
      </c>
      <c r="I54" s="16">
        <v>0.75</v>
      </c>
      <c r="J54" s="11" t="s">
        <v>543</v>
      </c>
      <c r="K54" s="11" t="s">
        <v>598</v>
      </c>
      <c r="L54" s="11" t="s">
        <v>643</v>
      </c>
      <c r="M54" s="11" t="s">
        <v>644</v>
      </c>
      <c r="N54" s="11" t="s">
        <v>645</v>
      </c>
      <c r="O54" s="11" t="s">
        <v>646</v>
      </c>
      <c r="P54" s="11" t="s">
        <v>647</v>
      </c>
      <c r="Q54" s="11" t="s">
        <v>648</v>
      </c>
      <c r="R54" s="11" t="s">
        <v>649</v>
      </c>
      <c r="S54" s="11" t="s">
        <v>303</v>
      </c>
      <c r="T54" s="11"/>
      <c r="U54" s="29" t="s">
        <v>650</v>
      </c>
    </row>
    <row r="55" spans="1:21" ht="193.8" hidden="1">
      <c r="A55" s="11" t="s">
        <v>651</v>
      </c>
      <c r="B55" s="11" t="s">
        <v>58</v>
      </c>
      <c r="C55" s="11">
        <v>11</v>
      </c>
      <c r="D55" s="11" t="s">
        <v>89</v>
      </c>
      <c r="E55" s="11" t="s">
        <v>652</v>
      </c>
      <c r="F55" s="11" t="s">
        <v>653</v>
      </c>
      <c r="G55" s="11" t="s">
        <v>654</v>
      </c>
      <c r="H55" s="11" t="s">
        <v>109</v>
      </c>
      <c r="I55" s="16">
        <v>1</v>
      </c>
      <c r="J55" s="11" t="s">
        <v>655</v>
      </c>
      <c r="K55" s="11" t="s">
        <v>101</v>
      </c>
      <c r="L55" s="11" t="s">
        <v>656</v>
      </c>
      <c r="M55" s="11" t="s">
        <v>2336</v>
      </c>
      <c r="N55" s="11" t="s">
        <v>657</v>
      </c>
      <c r="O55" s="11" t="s">
        <v>658</v>
      </c>
      <c r="P55" s="11" t="s">
        <v>518</v>
      </c>
      <c r="Q55" s="11" t="s">
        <v>659</v>
      </c>
      <c r="R55" s="11" t="s">
        <v>660</v>
      </c>
      <c r="S55" s="11" t="s">
        <v>303</v>
      </c>
      <c r="T55" s="11"/>
      <c r="U55" s="29" t="s">
        <v>661</v>
      </c>
    </row>
    <row r="56" spans="1:21" ht="193.8" hidden="1">
      <c r="A56" s="11" t="s">
        <v>662</v>
      </c>
      <c r="B56" s="11" t="s">
        <v>58</v>
      </c>
      <c r="C56" s="11">
        <v>12</v>
      </c>
      <c r="D56" s="11" t="s">
        <v>89</v>
      </c>
      <c r="E56" s="11" t="s">
        <v>226</v>
      </c>
      <c r="F56" s="11" t="s">
        <v>663</v>
      </c>
      <c r="G56" s="11" t="s">
        <v>664</v>
      </c>
      <c r="H56" s="11" t="s">
        <v>93</v>
      </c>
      <c r="I56" s="16">
        <v>0.75</v>
      </c>
      <c r="J56" s="11" t="s">
        <v>2337</v>
      </c>
      <c r="K56" s="11" t="s">
        <v>665</v>
      </c>
      <c r="L56" s="11" t="s">
        <v>666</v>
      </c>
      <c r="M56" s="11" t="s">
        <v>2338</v>
      </c>
      <c r="N56" s="11" t="s">
        <v>667</v>
      </c>
      <c r="O56" s="11" t="s">
        <v>668</v>
      </c>
      <c r="P56" s="11" t="s">
        <v>115</v>
      </c>
      <c r="Q56" s="11" t="s">
        <v>669</v>
      </c>
      <c r="R56" s="11" t="s">
        <v>670</v>
      </c>
      <c r="S56" s="11" t="s">
        <v>303</v>
      </c>
      <c r="T56" s="11"/>
      <c r="U56" s="29" t="s">
        <v>671</v>
      </c>
    </row>
    <row r="57" spans="1:21" ht="69" hidden="1">
      <c r="A57" s="11" t="s">
        <v>672</v>
      </c>
      <c r="B57" s="11" t="s">
        <v>58</v>
      </c>
      <c r="C57" s="11">
        <v>13</v>
      </c>
      <c r="D57" s="11" t="s">
        <v>89</v>
      </c>
      <c r="E57" s="11" t="s">
        <v>238</v>
      </c>
      <c r="F57" s="11" t="s">
        <v>673</v>
      </c>
      <c r="G57" s="11" t="s">
        <v>674</v>
      </c>
      <c r="H57" s="11" t="s">
        <v>109</v>
      </c>
      <c r="I57" s="16">
        <v>1</v>
      </c>
      <c r="J57" s="11" t="s">
        <v>241</v>
      </c>
      <c r="K57" s="11" t="s">
        <v>101</v>
      </c>
      <c r="L57" s="11" t="s">
        <v>675</v>
      </c>
      <c r="M57" s="11" t="s">
        <v>2317</v>
      </c>
      <c r="N57" s="11" t="s">
        <v>243</v>
      </c>
      <c r="O57" s="11" t="s">
        <v>676</v>
      </c>
      <c r="P57" s="11" t="s">
        <v>677</v>
      </c>
      <c r="Q57" s="11" t="s">
        <v>662</v>
      </c>
      <c r="R57" s="11" t="s">
        <v>246</v>
      </c>
      <c r="S57" s="11" t="s">
        <v>303</v>
      </c>
      <c r="T57" s="11" t="s">
        <v>678</v>
      </c>
      <c r="U57" s="29" t="s">
        <v>679</v>
      </c>
    </row>
    <row r="58" spans="1:21" ht="96.6" hidden="1">
      <c r="A58" s="11" t="s">
        <v>680</v>
      </c>
      <c r="B58" s="11" t="s">
        <v>59</v>
      </c>
      <c r="C58" s="11">
        <v>1</v>
      </c>
      <c r="D58" s="11" t="s">
        <v>89</v>
      </c>
      <c r="E58" s="11" t="s">
        <v>681</v>
      </c>
      <c r="F58" s="11" t="s">
        <v>682</v>
      </c>
      <c r="G58" s="11" t="s">
        <v>683</v>
      </c>
      <c r="H58" s="11" t="s">
        <v>93</v>
      </c>
      <c r="I58" s="16">
        <v>1</v>
      </c>
      <c r="J58" s="11" t="s">
        <v>684</v>
      </c>
      <c r="K58" s="11" t="s">
        <v>685</v>
      </c>
      <c r="L58" s="11" t="s">
        <v>686</v>
      </c>
      <c r="M58" s="11" t="s">
        <v>687</v>
      </c>
      <c r="N58" s="11" t="s">
        <v>688</v>
      </c>
      <c r="O58" s="11" t="s">
        <v>689</v>
      </c>
      <c r="P58" s="11" t="s">
        <v>175</v>
      </c>
      <c r="Q58" s="11" t="s">
        <v>672</v>
      </c>
      <c r="R58" s="11" t="s">
        <v>690</v>
      </c>
      <c r="S58" s="11" t="s">
        <v>303</v>
      </c>
      <c r="T58" s="11"/>
      <c r="U58" s="29" t="s">
        <v>691</v>
      </c>
    </row>
    <row r="59" spans="1:21" ht="193.8" hidden="1">
      <c r="A59" s="11" t="s">
        <v>692</v>
      </c>
      <c r="B59" s="11" t="s">
        <v>59</v>
      </c>
      <c r="C59" s="11">
        <v>2</v>
      </c>
      <c r="D59" s="11" t="s">
        <v>89</v>
      </c>
      <c r="E59" s="11" t="s">
        <v>693</v>
      </c>
      <c r="F59" s="11" t="s">
        <v>694</v>
      </c>
      <c r="G59" s="11" t="s">
        <v>695</v>
      </c>
      <c r="H59" s="11" t="s">
        <v>123</v>
      </c>
      <c r="I59" s="16">
        <v>1.25</v>
      </c>
      <c r="J59" s="11" t="s">
        <v>696</v>
      </c>
      <c r="K59" s="11" t="s">
        <v>194</v>
      </c>
      <c r="L59" s="11" t="s">
        <v>697</v>
      </c>
      <c r="M59" s="11" t="s">
        <v>2339</v>
      </c>
      <c r="N59" s="11" t="s">
        <v>698</v>
      </c>
      <c r="O59" s="11" t="s">
        <v>699</v>
      </c>
      <c r="P59" s="11" t="s">
        <v>198</v>
      </c>
      <c r="Q59" s="11" t="s">
        <v>680</v>
      </c>
      <c r="R59" s="11" t="s">
        <v>700</v>
      </c>
      <c r="S59" s="11" t="s">
        <v>303</v>
      </c>
      <c r="T59" s="11"/>
      <c r="U59" s="29" t="s">
        <v>701</v>
      </c>
    </row>
    <row r="60" spans="1:21" ht="193.8" hidden="1">
      <c r="A60" s="11" t="s">
        <v>702</v>
      </c>
      <c r="B60" s="11" t="s">
        <v>59</v>
      </c>
      <c r="C60" s="11">
        <v>3</v>
      </c>
      <c r="D60" s="11" t="s">
        <v>89</v>
      </c>
      <c r="E60" s="11" t="s">
        <v>703</v>
      </c>
      <c r="F60" s="11" t="s">
        <v>704</v>
      </c>
      <c r="G60" s="11" t="s">
        <v>705</v>
      </c>
      <c r="H60" s="11" t="s">
        <v>123</v>
      </c>
      <c r="I60" s="16">
        <v>1.25</v>
      </c>
      <c r="J60" s="11" t="s">
        <v>696</v>
      </c>
      <c r="K60" s="11" t="s">
        <v>706</v>
      </c>
      <c r="L60" s="11" t="s">
        <v>707</v>
      </c>
      <c r="M60" s="11" t="s">
        <v>2340</v>
      </c>
      <c r="N60" s="11" t="s">
        <v>708</v>
      </c>
      <c r="O60" s="11" t="s">
        <v>709</v>
      </c>
      <c r="P60" s="11" t="s">
        <v>710</v>
      </c>
      <c r="Q60" s="11" t="s">
        <v>711</v>
      </c>
      <c r="R60" s="11" t="s">
        <v>712</v>
      </c>
      <c r="S60" s="11" t="s">
        <v>303</v>
      </c>
      <c r="T60" s="11"/>
      <c r="U60" s="29" t="s">
        <v>713</v>
      </c>
    </row>
    <row r="61" spans="1:21" ht="193.8" hidden="1">
      <c r="A61" s="11" t="s">
        <v>714</v>
      </c>
      <c r="B61" s="11" t="s">
        <v>59</v>
      </c>
      <c r="C61" s="11">
        <v>4</v>
      </c>
      <c r="D61" s="11" t="s">
        <v>89</v>
      </c>
      <c r="E61" s="11" t="s">
        <v>715</v>
      </c>
      <c r="F61" s="11" t="s">
        <v>716</v>
      </c>
      <c r="G61" s="11" t="s">
        <v>717</v>
      </c>
      <c r="H61" s="11" t="s">
        <v>123</v>
      </c>
      <c r="I61" s="16">
        <v>1.25</v>
      </c>
      <c r="J61" s="11" t="s">
        <v>696</v>
      </c>
      <c r="K61" s="11" t="s">
        <v>718</v>
      </c>
      <c r="L61" s="11" t="s">
        <v>719</v>
      </c>
      <c r="M61" s="11" t="s">
        <v>2341</v>
      </c>
      <c r="N61" s="11" t="s">
        <v>720</v>
      </c>
      <c r="O61" s="11" t="s">
        <v>721</v>
      </c>
      <c r="P61" s="11" t="s">
        <v>722</v>
      </c>
      <c r="Q61" s="11" t="s">
        <v>680</v>
      </c>
      <c r="R61" s="11" t="s">
        <v>723</v>
      </c>
      <c r="S61" s="11" t="s">
        <v>303</v>
      </c>
      <c r="T61" s="11"/>
      <c r="U61" s="29" t="s">
        <v>724</v>
      </c>
    </row>
    <row r="62" spans="1:21" ht="110.4" hidden="1">
      <c r="A62" s="11" t="s">
        <v>725</v>
      </c>
      <c r="B62" s="11" t="s">
        <v>59</v>
      </c>
      <c r="C62" s="11">
        <v>5</v>
      </c>
      <c r="D62" s="11" t="s">
        <v>89</v>
      </c>
      <c r="E62" s="11" t="s">
        <v>726</v>
      </c>
      <c r="F62" s="11" t="s">
        <v>727</v>
      </c>
      <c r="G62" s="11" t="s">
        <v>728</v>
      </c>
      <c r="H62" s="11" t="s">
        <v>123</v>
      </c>
      <c r="I62" s="16">
        <v>1.5</v>
      </c>
      <c r="J62" s="11" t="s">
        <v>696</v>
      </c>
      <c r="K62" s="11" t="s">
        <v>729</v>
      </c>
      <c r="L62" s="11" t="s">
        <v>730</v>
      </c>
      <c r="M62" s="11" t="s">
        <v>731</v>
      </c>
      <c r="N62" s="11" t="s">
        <v>732</v>
      </c>
      <c r="O62" s="11" t="s">
        <v>733</v>
      </c>
      <c r="P62" s="11" t="s">
        <v>734</v>
      </c>
      <c r="Q62" s="11" t="s">
        <v>735</v>
      </c>
      <c r="R62" s="11" t="s">
        <v>736</v>
      </c>
      <c r="S62" s="11" t="s">
        <v>303</v>
      </c>
      <c r="T62" s="11"/>
      <c r="U62" s="29" t="s">
        <v>737</v>
      </c>
    </row>
    <row r="63" spans="1:21" ht="193.8" hidden="1">
      <c r="A63" s="11" t="s">
        <v>738</v>
      </c>
      <c r="B63" s="11" t="s">
        <v>59</v>
      </c>
      <c r="C63" s="11">
        <v>6</v>
      </c>
      <c r="D63" s="11" t="s">
        <v>89</v>
      </c>
      <c r="E63" s="11" t="s">
        <v>739</v>
      </c>
      <c r="F63" s="11" t="s">
        <v>740</v>
      </c>
      <c r="G63" s="11" t="s">
        <v>741</v>
      </c>
      <c r="H63" s="11" t="s">
        <v>123</v>
      </c>
      <c r="I63" s="16">
        <v>1</v>
      </c>
      <c r="J63" s="11" t="s">
        <v>742</v>
      </c>
      <c r="K63" s="11" t="s">
        <v>743</v>
      </c>
      <c r="L63" s="11" t="s">
        <v>744</v>
      </c>
      <c r="M63" s="11" t="s">
        <v>2342</v>
      </c>
      <c r="N63" s="11" t="s">
        <v>745</v>
      </c>
      <c r="O63" s="11" t="s">
        <v>746</v>
      </c>
      <c r="P63" s="11" t="s">
        <v>747</v>
      </c>
      <c r="Q63" s="11" t="s">
        <v>748</v>
      </c>
      <c r="R63" s="11" t="s">
        <v>749</v>
      </c>
      <c r="S63" s="11" t="s">
        <v>303</v>
      </c>
      <c r="T63" s="11"/>
      <c r="U63" s="29" t="s">
        <v>750</v>
      </c>
    </row>
    <row r="64" spans="1:21" ht="110.4" hidden="1">
      <c r="A64" s="11" t="s">
        <v>751</v>
      </c>
      <c r="B64" s="11" t="s">
        <v>59</v>
      </c>
      <c r="C64" s="11">
        <v>7</v>
      </c>
      <c r="D64" s="11" t="s">
        <v>89</v>
      </c>
      <c r="E64" s="11" t="s">
        <v>752</v>
      </c>
      <c r="F64" s="11" t="s">
        <v>753</v>
      </c>
      <c r="G64" s="11" t="s">
        <v>754</v>
      </c>
      <c r="H64" s="11" t="s">
        <v>123</v>
      </c>
      <c r="I64" s="16">
        <v>1.5</v>
      </c>
      <c r="J64" s="11" t="s">
        <v>755</v>
      </c>
      <c r="K64" s="11" t="s">
        <v>756</v>
      </c>
      <c r="L64" s="11" t="s">
        <v>757</v>
      </c>
      <c r="M64" s="11" t="s">
        <v>758</v>
      </c>
      <c r="N64" s="11" t="s">
        <v>759</v>
      </c>
      <c r="O64" s="11" t="s">
        <v>760</v>
      </c>
      <c r="P64" s="11" t="s">
        <v>175</v>
      </c>
      <c r="Q64" s="11" t="s">
        <v>761</v>
      </c>
      <c r="R64" s="11" t="s">
        <v>762</v>
      </c>
      <c r="S64" s="11" t="s">
        <v>303</v>
      </c>
      <c r="T64" s="11"/>
      <c r="U64" s="29" t="s">
        <v>763</v>
      </c>
    </row>
    <row r="65" spans="1:21" ht="193.8" hidden="1">
      <c r="A65" s="11" t="s">
        <v>764</v>
      </c>
      <c r="B65" s="11" t="s">
        <v>59</v>
      </c>
      <c r="C65" s="11">
        <v>8</v>
      </c>
      <c r="D65" s="11" t="s">
        <v>89</v>
      </c>
      <c r="E65" s="11" t="s">
        <v>765</v>
      </c>
      <c r="F65" s="11" t="s">
        <v>766</v>
      </c>
      <c r="G65" s="11" t="s">
        <v>767</v>
      </c>
      <c r="H65" s="11" t="s">
        <v>123</v>
      </c>
      <c r="I65" s="16">
        <v>1</v>
      </c>
      <c r="J65" s="11" t="s">
        <v>755</v>
      </c>
      <c r="K65" s="11" t="s">
        <v>101</v>
      </c>
      <c r="L65" s="11" t="s">
        <v>768</v>
      </c>
      <c r="M65" s="11" t="s">
        <v>2343</v>
      </c>
      <c r="N65" s="11" t="s">
        <v>769</v>
      </c>
      <c r="O65" s="11" t="s">
        <v>770</v>
      </c>
      <c r="P65" s="11" t="s">
        <v>164</v>
      </c>
      <c r="Q65" s="11" t="s">
        <v>751</v>
      </c>
      <c r="R65" s="11" t="s">
        <v>771</v>
      </c>
      <c r="S65" s="11" t="s">
        <v>303</v>
      </c>
      <c r="T65" s="11"/>
      <c r="U65" s="29" t="s">
        <v>772</v>
      </c>
    </row>
    <row r="66" spans="1:21" ht="110.4" hidden="1">
      <c r="A66" s="11" t="s">
        <v>773</v>
      </c>
      <c r="B66" s="11" t="s">
        <v>59</v>
      </c>
      <c r="C66" s="11">
        <v>9</v>
      </c>
      <c r="D66" s="11" t="s">
        <v>89</v>
      </c>
      <c r="E66" s="11" t="s">
        <v>774</v>
      </c>
      <c r="F66" s="11" t="s">
        <v>775</v>
      </c>
      <c r="G66" s="11" t="s">
        <v>776</v>
      </c>
      <c r="H66" s="11" t="s">
        <v>109</v>
      </c>
      <c r="I66" s="16">
        <v>1</v>
      </c>
      <c r="J66" s="11" t="s">
        <v>777</v>
      </c>
      <c r="K66" s="11" t="s">
        <v>598</v>
      </c>
      <c r="L66" s="11" t="s">
        <v>778</v>
      </c>
      <c r="M66" s="11" t="s">
        <v>779</v>
      </c>
      <c r="N66" s="11" t="s">
        <v>780</v>
      </c>
      <c r="O66" s="11" t="s">
        <v>781</v>
      </c>
      <c r="P66" s="11" t="s">
        <v>175</v>
      </c>
      <c r="Q66" s="11" t="s">
        <v>782</v>
      </c>
      <c r="R66" s="11" t="s">
        <v>783</v>
      </c>
      <c r="S66" s="11" t="s">
        <v>303</v>
      </c>
      <c r="T66" s="11"/>
      <c r="U66" s="29" t="s">
        <v>784</v>
      </c>
    </row>
    <row r="67" spans="1:21" ht="124.2" hidden="1">
      <c r="A67" s="11" t="s">
        <v>785</v>
      </c>
      <c r="B67" s="11" t="s">
        <v>59</v>
      </c>
      <c r="C67" s="11">
        <v>10</v>
      </c>
      <c r="D67" s="11" t="s">
        <v>89</v>
      </c>
      <c r="E67" s="11" t="s">
        <v>786</v>
      </c>
      <c r="F67" s="11" t="s">
        <v>787</v>
      </c>
      <c r="G67" s="11" t="s">
        <v>788</v>
      </c>
      <c r="H67" s="11" t="s">
        <v>93</v>
      </c>
      <c r="I67" s="16">
        <v>1.5</v>
      </c>
      <c r="J67" s="11" t="s">
        <v>777</v>
      </c>
      <c r="K67" s="11" t="s">
        <v>357</v>
      </c>
      <c r="L67" s="11" t="s">
        <v>789</v>
      </c>
      <c r="M67" s="11" t="s">
        <v>790</v>
      </c>
      <c r="N67" s="11" t="s">
        <v>791</v>
      </c>
      <c r="O67" s="11" t="s">
        <v>792</v>
      </c>
      <c r="P67" s="11" t="s">
        <v>518</v>
      </c>
      <c r="Q67" s="11" t="s">
        <v>773</v>
      </c>
      <c r="R67" s="11" t="s">
        <v>793</v>
      </c>
      <c r="S67" s="11" t="s">
        <v>303</v>
      </c>
      <c r="T67" s="11"/>
      <c r="U67" s="29" t="s">
        <v>794</v>
      </c>
    </row>
    <row r="68" spans="1:21" ht="110.4" hidden="1">
      <c r="A68" s="11" t="s">
        <v>795</v>
      </c>
      <c r="B68" s="11" t="s">
        <v>59</v>
      </c>
      <c r="C68" s="11">
        <v>11</v>
      </c>
      <c r="D68" s="11" t="s">
        <v>89</v>
      </c>
      <c r="E68" s="11" t="s">
        <v>796</v>
      </c>
      <c r="F68" s="11" t="s">
        <v>797</v>
      </c>
      <c r="G68" s="11" t="s">
        <v>798</v>
      </c>
      <c r="H68" s="11" t="s">
        <v>109</v>
      </c>
      <c r="I68" s="16">
        <v>0.75</v>
      </c>
      <c r="J68" s="11" t="s">
        <v>777</v>
      </c>
      <c r="K68" s="11" t="s">
        <v>357</v>
      </c>
      <c r="L68" s="11" t="s">
        <v>799</v>
      </c>
      <c r="M68" s="11" t="s">
        <v>800</v>
      </c>
      <c r="N68" s="11" t="s">
        <v>801</v>
      </c>
      <c r="O68" s="11" t="s">
        <v>802</v>
      </c>
      <c r="P68" s="11" t="s">
        <v>803</v>
      </c>
      <c r="Q68" s="11" t="s">
        <v>785</v>
      </c>
      <c r="R68" s="11" t="s">
        <v>804</v>
      </c>
      <c r="S68" s="11" t="s">
        <v>303</v>
      </c>
      <c r="T68" s="11"/>
      <c r="U68" s="29" t="s">
        <v>805</v>
      </c>
    </row>
    <row r="69" spans="1:21" ht="193.8" hidden="1">
      <c r="A69" s="11" t="s">
        <v>806</v>
      </c>
      <c r="B69" s="11" t="s">
        <v>59</v>
      </c>
      <c r="C69" s="11">
        <v>12</v>
      </c>
      <c r="D69" s="11" t="s">
        <v>89</v>
      </c>
      <c r="E69" s="11" t="s">
        <v>807</v>
      </c>
      <c r="F69" s="11" t="s">
        <v>808</v>
      </c>
      <c r="G69" s="11" t="s">
        <v>809</v>
      </c>
      <c r="H69" s="11" t="s">
        <v>109</v>
      </c>
      <c r="I69" s="16">
        <v>1</v>
      </c>
      <c r="J69" s="11" t="s">
        <v>777</v>
      </c>
      <c r="K69" s="11" t="s">
        <v>217</v>
      </c>
      <c r="L69" s="11" t="s">
        <v>810</v>
      </c>
      <c r="M69" s="11" t="s">
        <v>2344</v>
      </c>
      <c r="N69" s="11" t="s">
        <v>811</v>
      </c>
      <c r="O69" s="11" t="s">
        <v>812</v>
      </c>
      <c r="P69" s="11" t="s">
        <v>222</v>
      </c>
      <c r="Q69" s="11" t="s">
        <v>795</v>
      </c>
      <c r="R69" s="11" t="s">
        <v>813</v>
      </c>
      <c r="S69" s="11" t="s">
        <v>303</v>
      </c>
      <c r="T69" s="11"/>
      <c r="U69" s="29" t="s">
        <v>814</v>
      </c>
    </row>
    <row r="70" spans="1:21" ht="96.6" hidden="1">
      <c r="A70" s="11" t="s">
        <v>815</v>
      </c>
      <c r="B70" s="11" t="s">
        <v>59</v>
      </c>
      <c r="C70" s="11">
        <v>13</v>
      </c>
      <c r="D70" s="11" t="s">
        <v>89</v>
      </c>
      <c r="E70" s="11" t="s">
        <v>226</v>
      </c>
      <c r="F70" s="11" t="s">
        <v>816</v>
      </c>
      <c r="G70" s="11" t="s">
        <v>817</v>
      </c>
      <c r="H70" s="11" t="s">
        <v>93</v>
      </c>
      <c r="I70" s="16">
        <v>0.75</v>
      </c>
      <c r="J70" s="11" t="s">
        <v>2345</v>
      </c>
      <c r="K70" s="11" t="s">
        <v>818</v>
      </c>
      <c r="L70" s="11" t="s">
        <v>819</v>
      </c>
      <c r="M70" s="11" t="s">
        <v>820</v>
      </c>
      <c r="N70" s="11" t="s">
        <v>821</v>
      </c>
      <c r="O70" s="11" t="s">
        <v>822</v>
      </c>
      <c r="P70" s="11" t="s">
        <v>115</v>
      </c>
      <c r="Q70" s="11" t="s">
        <v>823</v>
      </c>
      <c r="R70" s="11" t="s">
        <v>824</v>
      </c>
      <c r="S70" s="11" t="s">
        <v>303</v>
      </c>
      <c r="T70" s="11"/>
      <c r="U70" s="29" t="s">
        <v>825</v>
      </c>
    </row>
    <row r="71" spans="1:21" ht="69" hidden="1">
      <c r="A71" s="11" t="s">
        <v>826</v>
      </c>
      <c r="B71" s="11" t="s">
        <v>59</v>
      </c>
      <c r="C71" s="11">
        <v>14</v>
      </c>
      <c r="D71" s="11" t="s">
        <v>89</v>
      </c>
      <c r="E71" s="11" t="s">
        <v>238</v>
      </c>
      <c r="F71" s="11" t="s">
        <v>827</v>
      </c>
      <c r="G71" s="11" t="s">
        <v>828</v>
      </c>
      <c r="H71" s="11" t="s">
        <v>109</v>
      </c>
      <c r="I71" s="16">
        <v>1</v>
      </c>
      <c r="J71" s="11" t="s">
        <v>241</v>
      </c>
      <c r="K71" s="11" t="s">
        <v>101</v>
      </c>
      <c r="L71" s="11" t="s">
        <v>829</v>
      </c>
      <c r="M71" s="11" t="s">
        <v>2318</v>
      </c>
      <c r="N71" s="11" t="s">
        <v>243</v>
      </c>
      <c r="O71" s="11" t="s">
        <v>830</v>
      </c>
      <c r="P71" s="11" t="s">
        <v>831</v>
      </c>
      <c r="Q71" s="11" t="s">
        <v>815</v>
      </c>
      <c r="R71" s="11" t="s">
        <v>246</v>
      </c>
      <c r="S71" s="11" t="s">
        <v>303</v>
      </c>
      <c r="T71" s="11" t="s">
        <v>832</v>
      </c>
      <c r="U71" s="29" t="s">
        <v>833</v>
      </c>
    </row>
    <row r="72" spans="1:21" ht="110.4" hidden="1">
      <c r="A72" s="11" t="s">
        <v>834</v>
      </c>
      <c r="B72" s="11" t="s">
        <v>60</v>
      </c>
      <c r="C72" s="11">
        <v>1</v>
      </c>
      <c r="D72" s="11" t="s">
        <v>89</v>
      </c>
      <c r="E72" s="11" t="s">
        <v>835</v>
      </c>
      <c r="F72" s="11" t="s">
        <v>836</v>
      </c>
      <c r="G72" s="11" t="s">
        <v>837</v>
      </c>
      <c r="H72" s="11" t="s">
        <v>109</v>
      </c>
      <c r="I72" s="16">
        <v>0.75</v>
      </c>
      <c r="J72" s="11" t="s">
        <v>755</v>
      </c>
      <c r="K72" s="11" t="s">
        <v>838</v>
      </c>
      <c r="L72" s="11" t="s">
        <v>839</v>
      </c>
      <c r="M72" s="11" t="s">
        <v>840</v>
      </c>
      <c r="N72" s="11" t="s">
        <v>841</v>
      </c>
      <c r="O72" s="11" t="s">
        <v>842</v>
      </c>
      <c r="P72" s="11" t="s">
        <v>843</v>
      </c>
      <c r="Q72" s="11" t="s">
        <v>826</v>
      </c>
      <c r="R72" s="11" t="s">
        <v>844</v>
      </c>
      <c r="S72" s="11" t="s">
        <v>303</v>
      </c>
      <c r="T72" s="11"/>
      <c r="U72" s="29" t="s">
        <v>845</v>
      </c>
    </row>
    <row r="73" spans="1:21" ht="110.4" hidden="1">
      <c r="A73" s="11" t="s">
        <v>846</v>
      </c>
      <c r="B73" s="11" t="s">
        <v>60</v>
      </c>
      <c r="C73" s="11">
        <v>2</v>
      </c>
      <c r="D73" s="11" t="s">
        <v>89</v>
      </c>
      <c r="E73" s="11" t="s">
        <v>847</v>
      </c>
      <c r="F73" s="11" t="s">
        <v>848</v>
      </c>
      <c r="G73" s="11" t="s">
        <v>849</v>
      </c>
      <c r="H73" s="11" t="s">
        <v>123</v>
      </c>
      <c r="I73" s="16">
        <v>1.5</v>
      </c>
      <c r="J73" s="11" t="s">
        <v>850</v>
      </c>
      <c r="K73" s="11" t="s">
        <v>838</v>
      </c>
      <c r="L73" s="11" t="s">
        <v>851</v>
      </c>
      <c r="M73" s="11" t="s">
        <v>852</v>
      </c>
      <c r="N73" s="11" t="s">
        <v>853</v>
      </c>
      <c r="O73" s="11" t="s">
        <v>854</v>
      </c>
      <c r="P73" s="11" t="s">
        <v>855</v>
      </c>
      <c r="Q73" s="11" t="s">
        <v>834</v>
      </c>
      <c r="R73" s="11" t="s">
        <v>856</v>
      </c>
      <c r="S73" s="11" t="s">
        <v>303</v>
      </c>
      <c r="T73" s="11"/>
      <c r="U73" s="29" t="s">
        <v>857</v>
      </c>
    </row>
    <row r="74" spans="1:21" ht="110.4" hidden="1">
      <c r="A74" s="11" t="s">
        <v>858</v>
      </c>
      <c r="B74" s="11" t="s">
        <v>60</v>
      </c>
      <c r="C74" s="11">
        <v>3</v>
      </c>
      <c r="D74" s="11" t="s">
        <v>89</v>
      </c>
      <c r="E74" s="11" t="s">
        <v>859</v>
      </c>
      <c r="F74" s="11" t="s">
        <v>860</v>
      </c>
      <c r="G74" s="11" t="s">
        <v>861</v>
      </c>
      <c r="H74" s="11" t="s">
        <v>123</v>
      </c>
      <c r="I74" s="16">
        <v>1</v>
      </c>
      <c r="J74" s="11" t="s">
        <v>850</v>
      </c>
      <c r="K74" s="11" t="s">
        <v>862</v>
      </c>
      <c r="L74" s="11" t="s">
        <v>863</v>
      </c>
      <c r="M74" s="11" t="s">
        <v>864</v>
      </c>
      <c r="N74" s="11" t="s">
        <v>865</v>
      </c>
      <c r="O74" s="11" t="s">
        <v>866</v>
      </c>
      <c r="P74" s="11" t="s">
        <v>327</v>
      </c>
      <c r="Q74" s="11" t="s">
        <v>867</v>
      </c>
      <c r="R74" s="11" t="s">
        <v>868</v>
      </c>
      <c r="S74" s="11" t="s">
        <v>303</v>
      </c>
      <c r="T74" s="11"/>
      <c r="U74" s="29" t="s">
        <v>869</v>
      </c>
    </row>
    <row r="75" spans="1:21" ht="110.4" hidden="1">
      <c r="A75" s="11" t="s">
        <v>870</v>
      </c>
      <c r="B75" s="11" t="s">
        <v>60</v>
      </c>
      <c r="C75" s="11">
        <v>4</v>
      </c>
      <c r="D75" s="11" t="s">
        <v>89</v>
      </c>
      <c r="E75" s="11" t="s">
        <v>871</v>
      </c>
      <c r="F75" s="11" t="s">
        <v>872</v>
      </c>
      <c r="G75" s="11" t="s">
        <v>873</v>
      </c>
      <c r="H75" s="11" t="s">
        <v>123</v>
      </c>
      <c r="I75" s="16">
        <v>1</v>
      </c>
      <c r="J75" s="11" t="s">
        <v>850</v>
      </c>
      <c r="K75" s="11" t="s">
        <v>874</v>
      </c>
      <c r="L75" s="11" t="s">
        <v>875</v>
      </c>
      <c r="M75" s="11" t="s">
        <v>876</v>
      </c>
      <c r="N75" s="11" t="s">
        <v>877</v>
      </c>
      <c r="O75" s="11" t="s">
        <v>878</v>
      </c>
      <c r="P75" s="11" t="s">
        <v>879</v>
      </c>
      <c r="Q75" s="11" t="s">
        <v>858</v>
      </c>
      <c r="R75" s="11" t="s">
        <v>880</v>
      </c>
      <c r="S75" s="11" t="s">
        <v>303</v>
      </c>
      <c r="T75" s="11"/>
      <c r="U75" s="29" t="s">
        <v>881</v>
      </c>
    </row>
    <row r="76" spans="1:21" ht="110.4" hidden="1">
      <c r="A76" s="11" t="s">
        <v>882</v>
      </c>
      <c r="B76" s="11" t="s">
        <v>60</v>
      </c>
      <c r="C76" s="11">
        <v>5</v>
      </c>
      <c r="D76" s="11" t="s">
        <v>89</v>
      </c>
      <c r="E76" s="11" t="s">
        <v>883</v>
      </c>
      <c r="F76" s="11" t="s">
        <v>884</v>
      </c>
      <c r="G76" s="11" t="s">
        <v>885</v>
      </c>
      <c r="H76" s="11" t="s">
        <v>123</v>
      </c>
      <c r="I76" s="16">
        <v>1</v>
      </c>
      <c r="J76" s="11" t="s">
        <v>850</v>
      </c>
      <c r="K76" s="11" t="s">
        <v>503</v>
      </c>
      <c r="L76" s="11" t="s">
        <v>886</v>
      </c>
      <c r="M76" s="11" t="s">
        <v>852</v>
      </c>
      <c r="N76" s="11" t="s">
        <v>887</v>
      </c>
      <c r="O76" s="11" t="s">
        <v>888</v>
      </c>
      <c r="P76" s="11" t="s">
        <v>855</v>
      </c>
      <c r="Q76" s="11" t="s">
        <v>846</v>
      </c>
      <c r="R76" s="11" t="s">
        <v>889</v>
      </c>
      <c r="S76" s="11" t="s">
        <v>303</v>
      </c>
      <c r="T76" s="11"/>
      <c r="U76" s="29" t="s">
        <v>890</v>
      </c>
    </row>
    <row r="77" spans="1:21" ht="110.4" hidden="1">
      <c r="A77" s="11" t="s">
        <v>891</v>
      </c>
      <c r="B77" s="11" t="s">
        <v>60</v>
      </c>
      <c r="C77" s="11">
        <v>6</v>
      </c>
      <c r="D77" s="11" t="s">
        <v>89</v>
      </c>
      <c r="E77" s="11" t="s">
        <v>892</v>
      </c>
      <c r="F77" s="11" t="s">
        <v>893</v>
      </c>
      <c r="G77" s="11" t="s">
        <v>894</v>
      </c>
      <c r="H77" s="11" t="s">
        <v>123</v>
      </c>
      <c r="I77" s="16">
        <v>1.25</v>
      </c>
      <c r="J77" s="11" t="s">
        <v>895</v>
      </c>
      <c r="K77" s="11" t="s">
        <v>491</v>
      </c>
      <c r="L77" s="11" t="s">
        <v>896</v>
      </c>
      <c r="M77" s="11" t="s">
        <v>621</v>
      </c>
      <c r="N77" s="11" t="s">
        <v>897</v>
      </c>
      <c r="O77" s="11" t="s">
        <v>898</v>
      </c>
      <c r="P77" s="11" t="s">
        <v>496</v>
      </c>
      <c r="Q77" s="11" t="s">
        <v>899</v>
      </c>
      <c r="R77" s="11" t="s">
        <v>900</v>
      </c>
      <c r="S77" s="11" t="s">
        <v>303</v>
      </c>
      <c r="T77" s="11"/>
      <c r="U77" s="29" t="s">
        <v>901</v>
      </c>
    </row>
    <row r="78" spans="1:21" ht="110.4" hidden="1">
      <c r="A78" s="11" t="s">
        <v>902</v>
      </c>
      <c r="B78" s="11" t="s">
        <v>60</v>
      </c>
      <c r="C78" s="11">
        <v>7</v>
      </c>
      <c r="D78" s="11" t="s">
        <v>89</v>
      </c>
      <c r="E78" s="11" t="s">
        <v>903</v>
      </c>
      <c r="F78" s="11" t="s">
        <v>904</v>
      </c>
      <c r="G78" s="11" t="s">
        <v>905</v>
      </c>
      <c r="H78" s="11" t="s">
        <v>109</v>
      </c>
      <c r="I78" s="16">
        <v>1</v>
      </c>
      <c r="J78" s="11" t="s">
        <v>895</v>
      </c>
      <c r="K78" s="11" t="s">
        <v>906</v>
      </c>
      <c r="L78" s="11" t="s">
        <v>907</v>
      </c>
      <c r="M78" s="11" t="s">
        <v>908</v>
      </c>
      <c r="N78" s="11" t="s">
        <v>909</v>
      </c>
      <c r="O78" s="11" t="s">
        <v>910</v>
      </c>
      <c r="P78" s="11" t="s">
        <v>164</v>
      </c>
      <c r="Q78" s="11" t="s">
        <v>891</v>
      </c>
      <c r="R78" s="11" t="s">
        <v>911</v>
      </c>
      <c r="S78" s="11" t="s">
        <v>303</v>
      </c>
      <c r="T78" s="11"/>
      <c r="U78" s="29" t="s">
        <v>912</v>
      </c>
    </row>
    <row r="79" spans="1:21" ht="96.6" hidden="1">
      <c r="A79" s="11" t="s">
        <v>913</v>
      </c>
      <c r="B79" s="11" t="s">
        <v>60</v>
      </c>
      <c r="C79" s="11">
        <v>8</v>
      </c>
      <c r="D79" s="11" t="s">
        <v>89</v>
      </c>
      <c r="E79" s="11" t="s">
        <v>914</v>
      </c>
      <c r="F79" s="11" t="s">
        <v>915</v>
      </c>
      <c r="G79" s="11" t="s">
        <v>916</v>
      </c>
      <c r="H79" s="11" t="s">
        <v>917</v>
      </c>
      <c r="I79" s="16">
        <v>1</v>
      </c>
      <c r="J79" s="11" t="s">
        <v>895</v>
      </c>
      <c r="K79" s="11" t="s">
        <v>491</v>
      </c>
      <c r="L79" s="11" t="s">
        <v>918</v>
      </c>
      <c r="M79" s="11" t="s">
        <v>919</v>
      </c>
      <c r="N79" s="11" t="s">
        <v>920</v>
      </c>
      <c r="O79" s="11" t="s">
        <v>921</v>
      </c>
      <c r="P79" s="11" t="s">
        <v>922</v>
      </c>
      <c r="Q79" s="11" t="s">
        <v>923</v>
      </c>
      <c r="R79" s="11" t="s">
        <v>924</v>
      </c>
      <c r="S79" s="11" t="s">
        <v>303</v>
      </c>
      <c r="T79" s="11"/>
      <c r="U79" s="29" t="s">
        <v>925</v>
      </c>
    </row>
    <row r="80" spans="1:21" ht="110.4" hidden="1">
      <c r="A80" t="s">
        <v>926</v>
      </c>
      <c r="B80" t="s">
        <v>60</v>
      </c>
      <c r="C80">
        <v>9</v>
      </c>
      <c r="D80" t="s">
        <v>89</v>
      </c>
      <c r="E80" t="s">
        <v>927</v>
      </c>
      <c r="F80" t="s">
        <v>928</v>
      </c>
      <c r="G80" t="s">
        <v>929</v>
      </c>
      <c r="H80" t="s">
        <v>109</v>
      </c>
      <c r="I80">
        <v>1</v>
      </c>
      <c r="J80" t="s">
        <v>895</v>
      </c>
      <c r="K80" t="s">
        <v>930</v>
      </c>
      <c r="L80" t="s">
        <v>931</v>
      </c>
      <c r="M80" t="s">
        <v>932</v>
      </c>
      <c r="N80" t="s">
        <v>933</v>
      </c>
      <c r="O80" t="s">
        <v>934</v>
      </c>
      <c r="P80" t="s">
        <v>164</v>
      </c>
      <c r="Q80" t="s">
        <v>935</v>
      </c>
      <c r="R80" t="s">
        <v>936</v>
      </c>
      <c r="S80" t="s">
        <v>303</v>
      </c>
      <c r="U80" s="29" t="s">
        <v>937</v>
      </c>
    </row>
    <row r="81" spans="1:21" ht="110.4" hidden="1">
      <c r="A81" t="s">
        <v>938</v>
      </c>
      <c r="B81" t="s">
        <v>60</v>
      </c>
      <c r="C81">
        <v>10</v>
      </c>
      <c r="D81" t="s">
        <v>89</v>
      </c>
      <c r="E81" t="s">
        <v>939</v>
      </c>
      <c r="F81" t="s">
        <v>940</v>
      </c>
      <c r="G81" t="s">
        <v>941</v>
      </c>
      <c r="H81" t="s">
        <v>109</v>
      </c>
      <c r="I81">
        <v>1.25</v>
      </c>
      <c r="J81" t="s">
        <v>942</v>
      </c>
      <c r="K81" t="s">
        <v>469</v>
      </c>
      <c r="L81" t="s">
        <v>943</v>
      </c>
      <c r="M81" t="s">
        <v>944</v>
      </c>
      <c r="N81" t="s">
        <v>945</v>
      </c>
      <c r="O81" t="s">
        <v>946</v>
      </c>
      <c r="P81" t="s">
        <v>164</v>
      </c>
      <c r="Q81" t="s">
        <v>947</v>
      </c>
      <c r="R81" t="s">
        <v>948</v>
      </c>
      <c r="S81" t="s">
        <v>303</v>
      </c>
      <c r="U81" s="29" t="s">
        <v>949</v>
      </c>
    </row>
    <row r="82" spans="1:21" ht="110.4" hidden="1">
      <c r="A82" t="s">
        <v>950</v>
      </c>
      <c r="B82" t="s">
        <v>60</v>
      </c>
      <c r="C82">
        <v>11</v>
      </c>
      <c r="D82" t="s">
        <v>89</v>
      </c>
      <c r="E82" t="s">
        <v>951</v>
      </c>
      <c r="F82" t="s">
        <v>952</v>
      </c>
      <c r="G82" t="s">
        <v>953</v>
      </c>
      <c r="H82" t="s">
        <v>93</v>
      </c>
      <c r="I82">
        <v>0.75</v>
      </c>
      <c r="J82" t="s">
        <v>942</v>
      </c>
      <c r="K82" t="s">
        <v>357</v>
      </c>
      <c r="L82" t="s">
        <v>954</v>
      </c>
      <c r="M82" t="s">
        <v>2346</v>
      </c>
      <c r="N82" t="s">
        <v>955</v>
      </c>
      <c r="O82" t="s">
        <v>956</v>
      </c>
      <c r="P82" t="s">
        <v>518</v>
      </c>
      <c r="Q82" t="s">
        <v>938</v>
      </c>
      <c r="R82" t="s">
        <v>957</v>
      </c>
      <c r="S82" t="s">
        <v>303</v>
      </c>
      <c r="U82" s="29" t="s">
        <v>958</v>
      </c>
    </row>
    <row r="83" spans="1:21" ht="110.4" hidden="1">
      <c r="A83" t="s">
        <v>959</v>
      </c>
      <c r="B83" t="s">
        <v>60</v>
      </c>
      <c r="C83">
        <v>12</v>
      </c>
      <c r="D83" t="s">
        <v>89</v>
      </c>
      <c r="E83" t="s">
        <v>960</v>
      </c>
      <c r="F83" t="s">
        <v>961</v>
      </c>
      <c r="G83" t="s">
        <v>962</v>
      </c>
      <c r="H83" t="s">
        <v>93</v>
      </c>
      <c r="I83">
        <v>1.25</v>
      </c>
      <c r="J83" t="s">
        <v>777</v>
      </c>
      <c r="K83" t="s">
        <v>206</v>
      </c>
      <c r="L83" t="s">
        <v>963</v>
      </c>
      <c r="M83" t="s">
        <v>964</v>
      </c>
      <c r="N83" t="s">
        <v>965</v>
      </c>
      <c r="O83" t="s">
        <v>966</v>
      </c>
      <c r="P83" t="s">
        <v>967</v>
      </c>
      <c r="Q83" t="s">
        <v>950</v>
      </c>
      <c r="R83" t="s">
        <v>968</v>
      </c>
      <c r="S83" t="s">
        <v>303</v>
      </c>
      <c r="U83" s="29" t="s">
        <v>969</v>
      </c>
    </row>
    <row r="84" spans="1:21" ht="110.4" hidden="1">
      <c r="A84" t="s">
        <v>970</v>
      </c>
      <c r="B84" t="s">
        <v>60</v>
      </c>
      <c r="C84">
        <v>13</v>
      </c>
      <c r="D84" t="s">
        <v>89</v>
      </c>
      <c r="E84" t="s">
        <v>971</v>
      </c>
      <c r="F84" t="s">
        <v>972</v>
      </c>
      <c r="G84" t="s">
        <v>973</v>
      </c>
      <c r="H84" t="s">
        <v>93</v>
      </c>
      <c r="I84">
        <v>1</v>
      </c>
      <c r="J84" t="s">
        <v>942</v>
      </c>
      <c r="K84" t="s">
        <v>101</v>
      </c>
      <c r="L84" t="s">
        <v>974</v>
      </c>
      <c r="M84" t="s">
        <v>975</v>
      </c>
      <c r="N84" t="s">
        <v>976</v>
      </c>
      <c r="O84" t="s">
        <v>977</v>
      </c>
      <c r="P84" t="s">
        <v>115</v>
      </c>
      <c r="Q84" t="s">
        <v>978</v>
      </c>
      <c r="R84" t="s">
        <v>979</v>
      </c>
      <c r="S84" t="s">
        <v>303</v>
      </c>
      <c r="U84" s="29" t="s">
        <v>980</v>
      </c>
    </row>
    <row r="85" spans="1:21" ht="69" hidden="1">
      <c r="A85" t="s">
        <v>981</v>
      </c>
      <c r="B85" t="s">
        <v>60</v>
      </c>
      <c r="C85">
        <v>14</v>
      </c>
      <c r="D85" t="s">
        <v>89</v>
      </c>
      <c r="E85" t="s">
        <v>238</v>
      </c>
      <c r="F85" t="s">
        <v>982</v>
      </c>
      <c r="G85" t="s">
        <v>983</v>
      </c>
      <c r="H85" t="s">
        <v>109</v>
      </c>
      <c r="I85">
        <v>1.5</v>
      </c>
      <c r="J85" t="s">
        <v>241</v>
      </c>
      <c r="K85" t="s">
        <v>101</v>
      </c>
      <c r="L85" t="s">
        <v>984</v>
      </c>
      <c r="M85" t="s">
        <v>2319</v>
      </c>
      <c r="N85" t="s">
        <v>985</v>
      </c>
      <c r="O85" t="s">
        <v>986</v>
      </c>
      <c r="P85" t="s">
        <v>987</v>
      </c>
      <c r="Q85" t="s">
        <v>970</v>
      </c>
      <c r="R85" t="s">
        <v>246</v>
      </c>
      <c r="S85" t="s">
        <v>303</v>
      </c>
      <c r="T85" t="s">
        <v>988</v>
      </c>
      <c r="U85" s="29" t="s">
        <v>989</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topLeftCell="K1" workbookViewId="0">
      <selection activeCell="M10" sqref="M10:M2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990</v>
      </c>
      <c r="B1" s="56"/>
      <c r="C1" s="56"/>
      <c r="D1" s="56"/>
      <c r="E1" s="56"/>
      <c r="F1" s="56"/>
      <c r="G1" s="56"/>
      <c r="H1" s="56"/>
      <c r="I1" s="56"/>
      <c r="J1" s="56"/>
      <c r="K1" s="56"/>
      <c r="L1" s="56"/>
      <c r="M1" s="56"/>
      <c r="N1" s="56"/>
      <c r="O1" s="56"/>
    </row>
    <row r="2" spans="1:16" ht="31.95" customHeight="1">
      <c r="A2" s="57" t="s">
        <v>991</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0.56521739130434778</v>
      </c>
      <c r="B5" s="97"/>
      <c r="D5" s="100">
        <f>COUNTIF(O10:O40,"Blocked")</f>
        <v>0</v>
      </c>
      <c r="E5" s="101"/>
      <c r="G5" s="104" t="s">
        <v>993</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2294</v>
      </c>
      <c r="M13" s="11" t="s">
        <v>140</v>
      </c>
      <c r="N13" s="11" t="s">
        <v>141</v>
      </c>
      <c r="O13" s="11" t="s">
        <v>46</v>
      </c>
      <c r="P13" s="29" t="s">
        <v>142</v>
      </c>
    </row>
    <row r="14" spans="1:16" ht="193.8">
      <c r="A14" s="11" t="s">
        <v>143</v>
      </c>
      <c r="B14" s="11">
        <v>5</v>
      </c>
      <c r="C14" s="11" t="s">
        <v>89</v>
      </c>
      <c r="D14" s="11" t="s">
        <v>144</v>
      </c>
      <c r="E14" s="11" t="s">
        <v>145</v>
      </c>
      <c r="F14" s="11" t="s">
        <v>146</v>
      </c>
      <c r="G14" s="11" t="s">
        <v>123</v>
      </c>
      <c r="H14" s="16">
        <v>1.5</v>
      </c>
      <c r="I14" s="11" t="s">
        <v>147</v>
      </c>
      <c r="J14" s="11" t="s">
        <v>148</v>
      </c>
      <c r="K14" s="11" t="s">
        <v>149</v>
      </c>
      <c r="L14" s="11" t="s">
        <v>2320</v>
      </c>
      <c r="M14" s="11" t="s">
        <v>151</v>
      </c>
      <c r="N14" s="11" t="s">
        <v>153</v>
      </c>
      <c r="O14" s="11" t="s">
        <v>46</v>
      </c>
      <c r="P14" s="29" t="s">
        <v>154</v>
      </c>
    </row>
    <row r="15" spans="1:16" ht="110.4">
      <c r="A15" s="11" t="s">
        <v>155</v>
      </c>
      <c r="B15" s="11">
        <v>6</v>
      </c>
      <c r="C15" s="11" t="s">
        <v>89</v>
      </c>
      <c r="D15" s="11" t="s">
        <v>156</v>
      </c>
      <c r="E15" s="11" t="s">
        <v>157</v>
      </c>
      <c r="F15" s="11" t="s">
        <v>158</v>
      </c>
      <c r="G15" s="11" t="s">
        <v>123</v>
      </c>
      <c r="H15" s="16">
        <v>1.25</v>
      </c>
      <c r="I15" s="11" t="s">
        <v>159</v>
      </c>
      <c r="J15" s="11" t="s">
        <v>101</v>
      </c>
      <c r="K15" s="11" t="s">
        <v>160</v>
      </c>
      <c r="L15" s="11" t="s">
        <v>161</v>
      </c>
      <c r="M15" s="11" t="s">
        <v>163</v>
      </c>
      <c r="N15" s="11" t="s">
        <v>166</v>
      </c>
      <c r="O15" s="11" t="s">
        <v>46</v>
      </c>
      <c r="P15" s="29" t="s">
        <v>167</v>
      </c>
    </row>
    <row r="16" spans="1:16" ht="193.8">
      <c r="A16" s="11" t="s">
        <v>168</v>
      </c>
      <c r="B16" s="11">
        <v>7</v>
      </c>
      <c r="C16" s="11" t="s">
        <v>89</v>
      </c>
      <c r="D16" s="11" t="s">
        <v>169</v>
      </c>
      <c r="E16" s="11" t="s">
        <v>170</v>
      </c>
      <c r="F16" s="11" t="s">
        <v>171</v>
      </c>
      <c r="G16" s="11" t="s">
        <v>123</v>
      </c>
      <c r="H16" s="16">
        <v>1</v>
      </c>
      <c r="I16" s="11" t="s">
        <v>124</v>
      </c>
      <c r="J16" s="11" t="s">
        <v>101</v>
      </c>
      <c r="K16" s="11" t="s">
        <v>172</v>
      </c>
      <c r="L16" s="11" t="s">
        <v>2321</v>
      </c>
      <c r="M16" s="11" t="s">
        <v>174</v>
      </c>
      <c r="N16" s="11" t="s">
        <v>176</v>
      </c>
      <c r="O16" s="11" t="s">
        <v>46</v>
      </c>
      <c r="P16" s="29" t="s">
        <v>177</v>
      </c>
    </row>
    <row r="17" spans="1:16" ht="110.4">
      <c r="A17" s="11" t="s">
        <v>178</v>
      </c>
      <c r="B17" s="11">
        <v>8</v>
      </c>
      <c r="C17" s="11" t="s">
        <v>89</v>
      </c>
      <c r="D17" s="11" t="s">
        <v>179</v>
      </c>
      <c r="E17" s="11" t="s">
        <v>180</v>
      </c>
      <c r="F17" s="11" t="s">
        <v>181</v>
      </c>
      <c r="G17" s="11" t="s">
        <v>123</v>
      </c>
      <c r="H17" s="16">
        <v>1</v>
      </c>
      <c r="I17" s="11" t="s">
        <v>159</v>
      </c>
      <c r="J17" s="11" t="s">
        <v>182</v>
      </c>
      <c r="K17" s="11" t="s">
        <v>183</v>
      </c>
      <c r="L17" s="11" t="s">
        <v>184</v>
      </c>
      <c r="M17" s="11" t="s">
        <v>186</v>
      </c>
      <c r="N17" s="11" t="s">
        <v>187</v>
      </c>
      <c r="O17" s="11" t="s">
        <v>46</v>
      </c>
      <c r="P17" s="29" t="s">
        <v>188</v>
      </c>
    </row>
    <row r="18" spans="1:16" ht="205.2">
      <c r="A18" s="11" t="s">
        <v>189</v>
      </c>
      <c r="B18" s="11">
        <v>9</v>
      </c>
      <c r="C18" s="11" t="s">
        <v>89</v>
      </c>
      <c r="D18" s="11" t="s">
        <v>190</v>
      </c>
      <c r="E18" s="11" t="s">
        <v>191</v>
      </c>
      <c r="F18" s="11" t="s">
        <v>192</v>
      </c>
      <c r="G18" s="11" t="s">
        <v>123</v>
      </c>
      <c r="H18" s="16">
        <v>1.25</v>
      </c>
      <c r="I18" s="11" t="s">
        <v>193</v>
      </c>
      <c r="J18" s="11" t="s">
        <v>194</v>
      </c>
      <c r="K18" s="11" t="s">
        <v>195</v>
      </c>
      <c r="L18" s="11" t="s">
        <v>2322</v>
      </c>
      <c r="M18" s="11" t="s">
        <v>197</v>
      </c>
      <c r="N18" s="11" t="s">
        <v>199</v>
      </c>
      <c r="O18" s="11" t="s">
        <v>46</v>
      </c>
      <c r="P18" s="29" t="s">
        <v>201</v>
      </c>
    </row>
    <row r="19" spans="1:16" ht="193.8">
      <c r="A19" s="11" t="s">
        <v>202</v>
      </c>
      <c r="B19" s="11">
        <v>10</v>
      </c>
      <c r="C19" s="11" t="s">
        <v>89</v>
      </c>
      <c r="D19" s="11" t="s">
        <v>203</v>
      </c>
      <c r="E19" s="11" t="s">
        <v>204</v>
      </c>
      <c r="F19" s="11" t="s">
        <v>205</v>
      </c>
      <c r="G19" s="11" t="s">
        <v>123</v>
      </c>
      <c r="H19" s="16">
        <v>1.5</v>
      </c>
      <c r="I19" s="11" t="s">
        <v>193</v>
      </c>
      <c r="J19" s="11" t="s">
        <v>206</v>
      </c>
      <c r="K19" s="11" t="s">
        <v>207</v>
      </c>
      <c r="L19" s="11" t="s">
        <v>2323</v>
      </c>
      <c r="M19" s="11" t="s">
        <v>209</v>
      </c>
      <c r="N19" s="11" t="s">
        <v>211</v>
      </c>
      <c r="O19" s="11" t="s">
        <v>46</v>
      </c>
      <c r="P19" s="29" t="s">
        <v>212</v>
      </c>
    </row>
    <row r="20" spans="1:16" ht="110.4">
      <c r="A20" s="11" t="s">
        <v>213</v>
      </c>
      <c r="B20" s="11">
        <v>11</v>
      </c>
      <c r="C20" s="11" t="s">
        <v>89</v>
      </c>
      <c r="D20" s="11" t="s">
        <v>214</v>
      </c>
      <c r="E20" s="11" t="s">
        <v>215</v>
      </c>
      <c r="F20" s="11" t="s">
        <v>216</v>
      </c>
      <c r="G20" s="11" t="s">
        <v>123</v>
      </c>
      <c r="H20" s="16">
        <v>1</v>
      </c>
      <c r="I20" s="11" t="s">
        <v>193</v>
      </c>
      <c r="J20" s="11" t="s">
        <v>217</v>
      </c>
      <c r="K20" s="11" t="s">
        <v>218</v>
      </c>
      <c r="L20" s="11" t="s">
        <v>219</v>
      </c>
      <c r="M20" s="11" t="s">
        <v>221</v>
      </c>
      <c r="N20" s="11" t="s">
        <v>223</v>
      </c>
      <c r="O20" s="11" t="s">
        <v>46</v>
      </c>
      <c r="P20" s="29" t="s">
        <v>224</v>
      </c>
    </row>
    <row r="21" spans="1:16" ht="193.8">
      <c r="A21" s="11" t="s">
        <v>225</v>
      </c>
      <c r="B21" s="11">
        <v>12</v>
      </c>
      <c r="C21" s="11" t="s">
        <v>89</v>
      </c>
      <c r="D21" s="11" t="s">
        <v>226</v>
      </c>
      <c r="E21" s="11" t="s">
        <v>227</v>
      </c>
      <c r="F21" s="11" t="s">
        <v>228</v>
      </c>
      <c r="G21" s="11" t="s">
        <v>93</v>
      </c>
      <c r="H21" s="16">
        <v>1</v>
      </c>
      <c r="I21" s="11" t="s">
        <v>2324</v>
      </c>
      <c r="J21" s="11" t="s">
        <v>229</v>
      </c>
      <c r="K21" s="11" t="s">
        <v>230</v>
      </c>
      <c r="L21" s="11" t="s">
        <v>2325</v>
      </c>
      <c r="M21" s="11" t="s">
        <v>232</v>
      </c>
      <c r="N21" s="11" t="s">
        <v>234</v>
      </c>
      <c r="O21" s="11" t="s">
        <v>46</v>
      </c>
      <c r="P21" s="29" t="s">
        <v>236</v>
      </c>
    </row>
    <row r="22" spans="1:16" ht="82.8">
      <c r="A22" t="s">
        <v>237</v>
      </c>
      <c r="B22">
        <v>13</v>
      </c>
      <c r="C22" t="s">
        <v>89</v>
      </c>
      <c r="D22" t="s">
        <v>238</v>
      </c>
      <c r="E22" t="s">
        <v>239</v>
      </c>
      <c r="F22" t="s">
        <v>240</v>
      </c>
      <c r="G22" t="s">
        <v>109</v>
      </c>
      <c r="H22">
        <v>1</v>
      </c>
      <c r="I22" t="s">
        <v>241</v>
      </c>
      <c r="J22" t="s">
        <v>101</v>
      </c>
      <c r="K22" t="s">
        <v>242</v>
      </c>
      <c r="L22" t="s">
        <v>2314</v>
      </c>
      <c r="M22" t="s">
        <v>244</v>
      </c>
      <c r="N22" t="s">
        <v>246</v>
      </c>
      <c r="O22" s="11" t="s">
        <v>46</v>
      </c>
      <c r="P22" s="29" t="s">
        <v>248</v>
      </c>
    </row>
    <row r="23" spans="1:16" ht="24" customHeight="1">
      <c r="A23" s="94"/>
      <c r="B23" s="94"/>
      <c r="C23" s="94"/>
      <c r="D23" s="94"/>
      <c r="E23" s="94"/>
      <c r="F23" s="94"/>
      <c r="G23" s="94"/>
      <c r="H23" s="95"/>
      <c r="I23" s="95"/>
      <c r="J23" s="95"/>
      <c r="K23" s="95"/>
      <c r="L23" s="95"/>
      <c r="M23" s="95"/>
      <c r="N23" s="95"/>
      <c r="O23" s="95"/>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94</v>
      </c>
      <c r="C26" s="22" t="s">
        <v>1010</v>
      </c>
      <c r="D26" s="22" t="s">
        <v>1011</v>
      </c>
      <c r="E26" s="22" t="s">
        <v>1012</v>
      </c>
      <c r="F26" s="22" t="s">
        <v>1013</v>
      </c>
      <c r="G26" s="22" t="s">
        <v>1014</v>
      </c>
    </row>
    <row r="27" spans="1:16" ht="52.05" customHeight="1">
      <c r="A27" s="34">
        <v>2</v>
      </c>
      <c r="B27" s="34" t="s">
        <v>110</v>
      </c>
      <c r="C27" s="34" t="s">
        <v>1015</v>
      </c>
      <c r="D27" s="34" t="s">
        <v>1016</v>
      </c>
      <c r="E27" s="34" t="s">
        <v>1017</v>
      </c>
      <c r="F27" s="34" t="s">
        <v>1018</v>
      </c>
      <c r="G27" s="34" t="s">
        <v>1014</v>
      </c>
    </row>
    <row r="28" spans="1:16" ht="52.05" customHeight="1">
      <c r="A28" s="22">
        <v>3</v>
      </c>
      <c r="B28" s="22" t="s">
        <v>124</v>
      </c>
      <c r="C28" s="22" t="s">
        <v>1019</v>
      </c>
      <c r="D28" s="22" t="s">
        <v>1020</v>
      </c>
      <c r="E28" s="22" t="s">
        <v>1021</v>
      </c>
      <c r="F28" s="22" t="s">
        <v>1022</v>
      </c>
      <c r="G28" s="22" t="s">
        <v>1023</v>
      </c>
    </row>
    <row r="29" spans="1:16" ht="52.05" customHeight="1">
      <c r="A29" s="34">
        <v>4</v>
      </c>
      <c r="B29" s="34" t="s">
        <v>147</v>
      </c>
      <c r="C29" s="34" t="s">
        <v>1024</v>
      </c>
      <c r="D29" s="34" t="s">
        <v>1025</v>
      </c>
      <c r="E29" s="34" t="s">
        <v>1026</v>
      </c>
      <c r="F29" s="34" t="s">
        <v>1027</v>
      </c>
      <c r="G29" s="34" t="s">
        <v>1023</v>
      </c>
    </row>
    <row r="30" spans="1:16" ht="52.05" customHeight="1">
      <c r="A30" s="22">
        <v>5</v>
      </c>
      <c r="B30" s="22" t="s">
        <v>159</v>
      </c>
      <c r="C30" s="22" t="s">
        <v>1028</v>
      </c>
      <c r="D30" s="22" t="s">
        <v>1029</v>
      </c>
      <c r="E30" s="22" t="s">
        <v>1030</v>
      </c>
      <c r="F30" s="22" t="s">
        <v>1031</v>
      </c>
      <c r="G30" s="22" t="s">
        <v>1023</v>
      </c>
    </row>
    <row r="31" spans="1:16" ht="52.05" customHeight="1">
      <c r="A31" s="34">
        <v>6</v>
      </c>
      <c r="B31" s="34" t="s">
        <v>193</v>
      </c>
      <c r="C31" s="34" t="s">
        <v>1032</v>
      </c>
      <c r="D31" s="34" t="s">
        <v>1033</v>
      </c>
      <c r="E31" s="34" t="s">
        <v>1034</v>
      </c>
      <c r="F31" s="34" t="s">
        <v>1035</v>
      </c>
      <c r="G31" s="34" t="s">
        <v>1023</v>
      </c>
    </row>
    <row r="32" spans="1:16" ht="52.05" customHeight="1">
      <c r="A32" s="35">
        <v>7</v>
      </c>
      <c r="B32" s="35" t="s">
        <v>2324</v>
      </c>
      <c r="C32" s="35" t="s">
        <v>1036</v>
      </c>
      <c r="D32" s="35" t="s">
        <v>1037</v>
      </c>
      <c r="E32" s="35" t="s">
        <v>2347</v>
      </c>
      <c r="F32" s="35" t="s">
        <v>232</v>
      </c>
      <c r="G32" s="35" t="s">
        <v>1014</v>
      </c>
    </row>
    <row r="33" spans="1:7" ht="52.05" customHeight="1">
      <c r="A33" s="35">
        <v>8</v>
      </c>
      <c r="B33" s="35" t="s">
        <v>241</v>
      </c>
      <c r="C33" s="35" t="s">
        <v>1038</v>
      </c>
      <c r="D33" s="35" t="s">
        <v>1039</v>
      </c>
      <c r="E33" s="35" t="s">
        <v>1040</v>
      </c>
      <c r="F33" s="35" t="s">
        <v>1041</v>
      </c>
      <c r="G33"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tabSelected="1" topLeftCell="A24" workbookViewId="0">
      <selection activeCell="P22" sqref="P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1043</v>
      </c>
      <c r="B1" s="56"/>
      <c r="C1" s="56"/>
      <c r="D1" s="56"/>
      <c r="E1" s="56"/>
      <c r="F1" s="56"/>
      <c r="G1" s="56"/>
      <c r="H1" s="56"/>
      <c r="I1" s="56"/>
      <c r="J1" s="56"/>
      <c r="K1" s="56"/>
      <c r="L1" s="56"/>
      <c r="M1" s="56"/>
      <c r="N1" s="56"/>
      <c r="O1" s="56"/>
    </row>
    <row r="2" spans="1:16" ht="31.95" customHeight="1">
      <c r="A2" s="57" t="s">
        <v>1044</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0.59090909090909094</v>
      </c>
      <c r="B5" s="97"/>
      <c r="D5" s="100">
        <f>COUNTIF(O10:O40,"Blocked")</f>
        <v>0</v>
      </c>
      <c r="E5" s="101"/>
      <c r="G5" s="104" t="s">
        <v>1045</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249</v>
      </c>
      <c r="B10" s="10">
        <v>1</v>
      </c>
      <c r="C10" s="10" t="s">
        <v>89</v>
      </c>
      <c r="D10" s="10" t="s">
        <v>250</v>
      </c>
      <c r="E10" s="10" t="s">
        <v>251</v>
      </c>
      <c r="F10" s="10" t="s">
        <v>252</v>
      </c>
      <c r="G10" s="10" t="s">
        <v>123</v>
      </c>
      <c r="H10" s="15">
        <v>1</v>
      </c>
      <c r="I10" s="10" t="s">
        <v>253</v>
      </c>
      <c r="J10" s="10" t="s">
        <v>254</v>
      </c>
      <c r="K10" s="10" t="s">
        <v>255</v>
      </c>
      <c r="L10" s="10" t="s">
        <v>256</v>
      </c>
      <c r="M10" s="10" t="s">
        <v>258</v>
      </c>
      <c r="N10" s="10" t="s">
        <v>259</v>
      </c>
      <c r="O10" s="10" t="s">
        <v>46</v>
      </c>
      <c r="P10" s="29" t="s">
        <v>260</v>
      </c>
    </row>
    <row r="11" spans="1:16" ht="124.2">
      <c r="A11" s="11" t="s">
        <v>261</v>
      </c>
      <c r="B11" s="11">
        <v>2</v>
      </c>
      <c r="C11" s="11" t="s">
        <v>89</v>
      </c>
      <c r="D11" s="11" t="s">
        <v>262</v>
      </c>
      <c r="E11" s="11" t="s">
        <v>263</v>
      </c>
      <c r="F11" s="11" t="s">
        <v>264</v>
      </c>
      <c r="G11" s="11" t="s">
        <v>123</v>
      </c>
      <c r="H11" s="16">
        <v>1.25</v>
      </c>
      <c r="I11" s="11" t="s">
        <v>253</v>
      </c>
      <c r="J11" s="11" t="s">
        <v>101</v>
      </c>
      <c r="K11" s="11" t="s">
        <v>265</v>
      </c>
      <c r="L11" s="11" t="s">
        <v>266</v>
      </c>
      <c r="M11" s="11" t="s">
        <v>268</v>
      </c>
      <c r="N11" s="11" t="s">
        <v>270</v>
      </c>
      <c r="O11" s="11" t="s">
        <v>46</v>
      </c>
      <c r="P11" s="29" t="s">
        <v>271</v>
      </c>
    </row>
    <row r="12" spans="1:16" ht="330.6">
      <c r="A12" s="11" t="s">
        <v>272</v>
      </c>
      <c r="B12" s="11">
        <v>3</v>
      </c>
      <c r="C12" s="11" t="s">
        <v>89</v>
      </c>
      <c r="D12" s="11" t="s">
        <v>273</v>
      </c>
      <c r="E12" s="11" t="s">
        <v>274</v>
      </c>
      <c r="F12" s="11" t="s">
        <v>275</v>
      </c>
      <c r="G12" s="11" t="s">
        <v>123</v>
      </c>
      <c r="H12" s="16">
        <v>1</v>
      </c>
      <c r="I12" s="11" t="s">
        <v>253</v>
      </c>
      <c r="J12" s="11" t="s">
        <v>101</v>
      </c>
      <c r="K12" s="11" t="s">
        <v>276</v>
      </c>
      <c r="L12" s="11" t="s">
        <v>2326</v>
      </c>
      <c r="M12" s="11" t="s">
        <v>278</v>
      </c>
      <c r="N12" s="11" t="s">
        <v>2327</v>
      </c>
      <c r="O12" s="11" t="s">
        <v>46</v>
      </c>
      <c r="P12" s="29" t="s">
        <v>280</v>
      </c>
    </row>
    <row r="13" spans="1:16" ht="330.6">
      <c r="A13" s="11" t="s">
        <v>281</v>
      </c>
      <c r="B13" s="11">
        <v>4</v>
      </c>
      <c r="C13" s="11" t="s">
        <v>89</v>
      </c>
      <c r="D13" s="11" t="s">
        <v>282</v>
      </c>
      <c r="E13" s="11" t="s">
        <v>283</v>
      </c>
      <c r="F13" s="11" t="s">
        <v>284</v>
      </c>
      <c r="G13" s="11" t="s">
        <v>123</v>
      </c>
      <c r="H13" s="16">
        <v>1.5</v>
      </c>
      <c r="I13" s="11" t="s">
        <v>253</v>
      </c>
      <c r="J13" s="11" t="s">
        <v>285</v>
      </c>
      <c r="K13" s="11" t="s">
        <v>286</v>
      </c>
      <c r="L13" s="11" t="s">
        <v>2326</v>
      </c>
      <c r="M13" s="11" t="s">
        <v>288</v>
      </c>
      <c r="N13" s="11" t="s">
        <v>290</v>
      </c>
      <c r="O13" s="11" t="s">
        <v>46</v>
      </c>
      <c r="P13" s="29" t="s">
        <v>291</v>
      </c>
    </row>
    <row r="14" spans="1:16" ht="124.2">
      <c r="A14" s="11" t="s">
        <v>292</v>
      </c>
      <c r="B14" s="11">
        <v>5</v>
      </c>
      <c r="C14" s="11" t="s">
        <v>89</v>
      </c>
      <c r="D14" s="11" t="s">
        <v>293</v>
      </c>
      <c r="E14" s="11" t="s">
        <v>294</v>
      </c>
      <c r="F14" s="11" t="s">
        <v>295</v>
      </c>
      <c r="G14" s="11" t="s">
        <v>123</v>
      </c>
      <c r="H14" s="16">
        <v>1.25</v>
      </c>
      <c r="I14" s="11" t="s">
        <v>296</v>
      </c>
      <c r="J14" s="11" t="s">
        <v>297</v>
      </c>
      <c r="K14" s="11" t="s">
        <v>298</v>
      </c>
      <c r="L14" s="11" t="s">
        <v>299</v>
      </c>
      <c r="M14" s="11" t="s">
        <v>301</v>
      </c>
      <c r="N14" s="11" t="s">
        <v>302</v>
      </c>
      <c r="O14" s="11" t="s">
        <v>46</v>
      </c>
      <c r="P14" s="29" t="s">
        <v>304</v>
      </c>
    </row>
    <row r="15" spans="1:16" ht="124.2">
      <c r="A15" s="11" t="s">
        <v>305</v>
      </c>
      <c r="B15" s="11">
        <v>6</v>
      </c>
      <c r="C15" s="11" t="s">
        <v>89</v>
      </c>
      <c r="D15" s="11" t="s">
        <v>306</v>
      </c>
      <c r="E15" s="11" t="s">
        <v>307</v>
      </c>
      <c r="F15" s="11" t="s">
        <v>308</v>
      </c>
      <c r="G15" s="11" t="s">
        <v>123</v>
      </c>
      <c r="H15" s="16">
        <v>1.5</v>
      </c>
      <c r="I15" s="11" t="s">
        <v>309</v>
      </c>
      <c r="J15" s="11" t="s">
        <v>310</v>
      </c>
      <c r="K15" s="11" t="s">
        <v>311</v>
      </c>
      <c r="L15" s="11" t="s">
        <v>312</v>
      </c>
      <c r="M15" s="11" t="s">
        <v>314</v>
      </c>
      <c r="N15" s="11" t="s">
        <v>316</v>
      </c>
      <c r="O15" s="11" t="s">
        <v>46</v>
      </c>
      <c r="P15" s="29" t="s">
        <v>317</v>
      </c>
    </row>
    <row r="16" spans="1:16" ht="110.4">
      <c r="A16" s="11" t="s">
        <v>318</v>
      </c>
      <c r="B16" s="11">
        <v>7</v>
      </c>
      <c r="C16" s="11" t="s">
        <v>89</v>
      </c>
      <c r="D16" s="11" t="s">
        <v>319</v>
      </c>
      <c r="E16" s="11" t="s">
        <v>320</v>
      </c>
      <c r="F16" s="11" t="s">
        <v>321</v>
      </c>
      <c r="G16" s="11" t="s">
        <v>123</v>
      </c>
      <c r="H16" s="16">
        <v>1</v>
      </c>
      <c r="I16" s="11" t="s">
        <v>309</v>
      </c>
      <c r="J16" s="11" t="s">
        <v>322</v>
      </c>
      <c r="K16" s="11" t="s">
        <v>323</v>
      </c>
      <c r="L16" s="11" t="s">
        <v>324</v>
      </c>
      <c r="M16" s="11" t="s">
        <v>326</v>
      </c>
      <c r="N16" s="11" t="s">
        <v>328</v>
      </c>
      <c r="O16" s="11" t="s">
        <v>46</v>
      </c>
      <c r="P16" s="29" t="s">
        <v>329</v>
      </c>
    </row>
    <row r="17" spans="1:16" ht="110.4">
      <c r="A17" s="11" t="s">
        <v>330</v>
      </c>
      <c r="B17" s="11">
        <v>8</v>
      </c>
      <c r="C17" s="11" t="s">
        <v>89</v>
      </c>
      <c r="D17" s="11" t="s">
        <v>331</v>
      </c>
      <c r="E17" s="11" t="s">
        <v>332</v>
      </c>
      <c r="F17" s="11" t="s">
        <v>333</v>
      </c>
      <c r="G17" s="11" t="s">
        <v>123</v>
      </c>
      <c r="H17" s="16">
        <v>1</v>
      </c>
      <c r="I17" s="11" t="s">
        <v>253</v>
      </c>
      <c r="J17" s="11" t="s">
        <v>334</v>
      </c>
      <c r="K17" s="11" t="s">
        <v>335</v>
      </c>
      <c r="L17" s="11" t="s">
        <v>336</v>
      </c>
      <c r="M17" s="11" t="s">
        <v>338</v>
      </c>
      <c r="N17" s="11" t="s">
        <v>339</v>
      </c>
      <c r="O17" s="11" t="s">
        <v>46</v>
      </c>
      <c r="P17" s="29" t="s">
        <v>340</v>
      </c>
    </row>
    <row r="18" spans="1:16" ht="205.2">
      <c r="A18" s="11" t="s">
        <v>341</v>
      </c>
      <c r="B18" s="11">
        <v>9</v>
      </c>
      <c r="C18" s="11" t="s">
        <v>89</v>
      </c>
      <c r="D18" s="11" t="s">
        <v>342</v>
      </c>
      <c r="E18" s="11" t="s">
        <v>343</v>
      </c>
      <c r="F18" s="11" t="s">
        <v>344</v>
      </c>
      <c r="G18" s="11" t="s">
        <v>109</v>
      </c>
      <c r="H18" s="16">
        <v>1</v>
      </c>
      <c r="I18" s="11" t="s">
        <v>345</v>
      </c>
      <c r="J18" s="11" t="s">
        <v>346</v>
      </c>
      <c r="K18" s="11" t="s">
        <v>347</v>
      </c>
      <c r="L18" s="11" t="s">
        <v>2328</v>
      </c>
      <c r="M18" s="11" t="s">
        <v>349</v>
      </c>
      <c r="N18" s="11" t="s">
        <v>352</v>
      </c>
      <c r="O18" s="11" t="s">
        <v>46</v>
      </c>
      <c r="P18" s="29" t="s">
        <v>353</v>
      </c>
    </row>
    <row r="19" spans="1:16" ht="205.2">
      <c r="A19" s="11" t="s">
        <v>354</v>
      </c>
      <c r="B19" s="11">
        <v>10</v>
      </c>
      <c r="C19" s="11" t="s">
        <v>89</v>
      </c>
      <c r="D19" s="11" t="s">
        <v>203</v>
      </c>
      <c r="E19" s="11" t="s">
        <v>355</v>
      </c>
      <c r="F19" s="11" t="s">
        <v>356</v>
      </c>
      <c r="G19" s="11" t="s">
        <v>109</v>
      </c>
      <c r="H19" s="16">
        <v>1</v>
      </c>
      <c r="I19" s="11" t="s">
        <v>345</v>
      </c>
      <c r="J19" s="11" t="s">
        <v>357</v>
      </c>
      <c r="K19" s="11" t="s">
        <v>358</v>
      </c>
      <c r="L19" s="11" t="s">
        <v>2329</v>
      </c>
      <c r="M19" s="11" t="s">
        <v>360</v>
      </c>
      <c r="N19" s="11" t="s">
        <v>362</v>
      </c>
      <c r="O19" s="11" t="s">
        <v>46</v>
      </c>
      <c r="P19" s="29" t="s">
        <v>363</v>
      </c>
    </row>
    <row r="20" spans="1:16" ht="124.2">
      <c r="A20" s="11" t="s">
        <v>364</v>
      </c>
      <c r="B20" s="11">
        <v>11</v>
      </c>
      <c r="C20" s="11" t="s">
        <v>365</v>
      </c>
      <c r="D20" s="11" t="s">
        <v>366</v>
      </c>
      <c r="E20" s="11" t="s">
        <v>367</v>
      </c>
      <c r="F20" s="11" t="s">
        <v>368</v>
      </c>
      <c r="G20" s="11" t="s">
        <v>93</v>
      </c>
      <c r="H20" s="16">
        <v>0.75</v>
      </c>
      <c r="I20" s="11" t="s">
        <v>369</v>
      </c>
      <c r="J20" s="11" t="s">
        <v>101</v>
      </c>
      <c r="K20" s="11" t="s">
        <v>370</v>
      </c>
      <c r="L20" s="11" t="s">
        <v>2330</v>
      </c>
      <c r="M20" s="11" t="s">
        <v>372</v>
      </c>
      <c r="N20" s="11" t="s">
        <v>374</v>
      </c>
      <c r="O20" s="11" t="s">
        <v>46</v>
      </c>
      <c r="P20" s="29" t="s">
        <v>375</v>
      </c>
    </row>
    <row r="21" spans="1:16" ht="193.8">
      <c r="A21" s="11" t="s">
        <v>376</v>
      </c>
      <c r="B21" s="11">
        <v>12</v>
      </c>
      <c r="C21" s="11" t="s">
        <v>89</v>
      </c>
      <c r="D21" s="11" t="s">
        <v>226</v>
      </c>
      <c r="E21" s="11" t="s">
        <v>377</v>
      </c>
      <c r="F21" s="11" t="s">
        <v>378</v>
      </c>
      <c r="G21" s="11" t="s">
        <v>93</v>
      </c>
      <c r="H21" s="16">
        <v>0.75</v>
      </c>
      <c r="I21" s="11" t="s">
        <v>2331</v>
      </c>
      <c r="J21" s="11" t="s">
        <v>379</v>
      </c>
      <c r="K21" s="11" t="s">
        <v>380</v>
      </c>
      <c r="L21" s="11" t="s">
        <v>2332</v>
      </c>
      <c r="M21" s="11" t="s">
        <v>382</v>
      </c>
      <c r="N21" s="11" t="s">
        <v>384</v>
      </c>
      <c r="O21" s="11" t="s">
        <v>46</v>
      </c>
      <c r="P21" s="29" t="s">
        <v>385</v>
      </c>
    </row>
    <row r="22" spans="1:16" ht="82.8">
      <c r="A22" t="s">
        <v>386</v>
      </c>
      <c r="B22">
        <v>13</v>
      </c>
      <c r="C22" t="s">
        <v>89</v>
      </c>
      <c r="D22" t="s">
        <v>238</v>
      </c>
      <c r="E22" t="s">
        <v>387</v>
      </c>
      <c r="F22" t="s">
        <v>388</v>
      </c>
      <c r="G22" t="s">
        <v>109</v>
      </c>
      <c r="H22">
        <v>1</v>
      </c>
      <c r="I22" t="s">
        <v>241</v>
      </c>
      <c r="J22" t="s">
        <v>101</v>
      </c>
      <c r="K22" t="s">
        <v>389</v>
      </c>
      <c r="L22" t="s">
        <v>2315</v>
      </c>
      <c r="M22" t="s">
        <v>390</v>
      </c>
      <c r="N22" t="s">
        <v>246</v>
      </c>
      <c r="O22" s="11" t="s">
        <v>46</v>
      </c>
      <c r="P22" s="29" t="s">
        <v>392</v>
      </c>
    </row>
    <row r="23" spans="1:16" ht="24" customHeight="1">
      <c r="A23" s="94"/>
      <c r="B23" s="94"/>
      <c r="C23" s="94"/>
      <c r="D23" s="94"/>
      <c r="E23" s="94"/>
      <c r="F23" s="94"/>
      <c r="G23" s="94"/>
      <c r="H23" s="95"/>
      <c r="I23" s="95"/>
      <c r="J23" s="95"/>
      <c r="K23" s="95"/>
      <c r="L23" s="95"/>
      <c r="M23" s="95"/>
      <c r="N23" s="95"/>
      <c r="O23" s="95"/>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253</v>
      </c>
      <c r="C26" s="22" t="s">
        <v>1046</v>
      </c>
      <c r="D26" s="22" t="s">
        <v>1047</v>
      </c>
      <c r="E26" s="22" t="s">
        <v>1048</v>
      </c>
      <c r="F26" s="22" t="s">
        <v>1049</v>
      </c>
      <c r="G26" s="22" t="s">
        <v>1023</v>
      </c>
    </row>
    <row r="27" spans="1:16" ht="52.05" customHeight="1">
      <c r="A27" s="34">
        <v>2</v>
      </c>
      <c r="B27" s="34" t="s">
        <v>296</v>
      </c>
      <c r="C27" s="34" t="s">
        <v>1050</v>
      </c>
      <c r="D27" s="34" t="s">
        <v>1051</v>
      </c>
      <c r="E27" s="34" t="s">
        <v>1052</v>
      </c>
      <c r="F27" s="34" t="s">
        <v>1053</v>
      </c>
      <c r="G27" s="34" t="s">
        <v>1023</v>
      </c>
    </row>
    <row r="28" spans="1:16" ht="52.05" customHeight="1">
      <c r="A28" s="22">
        <v>3</v>
      </c>
      <c r="B28" s="22" t="s">
        <v>309</v>
      </c>
      <c r="C28" s="22" t="s">
        <v>1054</v>
      </c>
      <c r="D28" s="22" t="s">
        <v>1055</v>
      </c>
      <c r="E28" s="22" t="s">
        <v>1056</v>
      </c>
      <c r="F28" s="22" t="s">
        <v>1057</v>
      </c>
      <c r="G28" s="22" t="s">
        <v>1023</v>
      </c>
    </row>
    <row r="29" spans="1:16" ht="52.05" customHeight="1">
      <c r="A29" s="34">
        <v>4</v>
      </c>
      <c r="B29" s="34" t="s">
        <v>345</v>
      </c>
      <c r="C29" s="34" t="s">
        <v>1058</v>
      </c>
      <c r="D29" s="34" t="s">
        <v>1059</v>
      </c>
      <c r="E29" s="34" t="s">
        <v>1060</v>
      </c>
      <c r="F29" s="34" t="s">
        <v>1061</v>
      </c>
      <c r="G29" s="34" t="s">
        <v>1023</v>
      </c>
    </row>
    <row r="30" spans="1:16" ht="52.05" customHeight="1">
      <c r="A30" s="22">
        <v>5</v>
      </c>
      <c r="B30" s="22" t="s">
        <v>369</v>
      </c>
      <c r="C30" s="22" t="s">
        <v>1062</v>
      </c>
      <c r="D30" s="22" t="s">
        <v>1063</v>
      </c>
      <c r="E30" s="22" t="s">
        <v>1064</v>
      </c>
      <c r="F30" s="22" t="s">
        <v>2348</v>
      </c>
      <c r="G30" s="22" t="s">
        <v>1065</v>
      </c>
    </row>
    <row r="31" spans="1:16" ht="52.05" customHeight="1">
      <c r="A31" s="35">
        <v>6</v>
      </c>
      <c r="B31" s="35" t="s">
        <v>2331</v>
      </c>
      <c r="C31" s="35" t="s">
        <v>1036</v>
      </c>
      <c r="D31" s="35" t="s">
        <v>1037</v>
      </c>
      <c r="E31" s="35" t="s">
        <v>2349</v>
      </c>
      <c r="F31" s="35" t="s">
        <v>382</v>
      </c>
      <c r="G31" s="35" t="s">
        <v>1014</v>
      </c>
    </row>
    <row r="32" spans="1:16" ht="52.05" customHeight="1">
      <c r="A32" s="35">
        <v>7</v>
      </c>
      <c r="B32" s="35" t="s">
        <v>241</v>
      </c>
      <c r="C32" s="35" t="s">
        <v>1066</v>
      </c>
      <c r="D32" s="35" t="s">
        <v>1039</v>
      </c>
      <c r="E32" s="35" t="s">
        <v>1040</v>
      </c>
      <c r="F32" s="35" t="s">
        <v>1067</v>
      </c>
      <c r="G32"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1068</v>
      </c>
      <c r="B1" s="56"/>
      <c r="C1" s="56"/>
      <c r="D1" s="56"/>
      <c r="E1" s="56"/>
      <c r="F1" s="56"/>
      <c r="G1" s="56"/>
      <c r="H1" s="56"/>
      <c r="I1" s="56"/>
      <c r="J1" s="56"/>
      <c r="K1" s="56"/>
      <c r="L1" s="56"/>
      <c r="M1" s="56"/>
      <c r="N1" s="56"/>
      <c r="O1" s="56"/>
    </row>
    <row r="2" spans="1:16" ht="31.95" customHeight="1">
      <c r="A2" s="57" t="s">
        <v>1069</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v>
      </c>
      <c r="B5" s="97"/>
      <c r="D5" s="100">
        <f>COUNTIF(O10:O40,"Blocked")</f>
        <v>0</v>
      </c>
      <c r="E5" s="101"/>
      <c r="G5" s="104" t="s">
        <v>1070</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393</v>
      </c>
      <c r="B10" s="10">
        <v>1</v>
      </c>
      <c r="C10" s="10" t="s">
        <v>89</v>
      </c>
      <c r="D10" s="10" t="s">
        <v>394</v>
      </c>
      <c r="E10" s="10" t="s">
        <v>395</v>
      </c>
      <c r="F10" s="10" t="s">
        <v>396</v>
      </c>
      <c r="G10" s="10" t="s">
        <v>123</v>
      </c>
      <c r="H10" s="15">
        <v>1</v>
      </c>
      <c r="I10" s="10" t="s">
        <v>397</v>
      </c>
      <c r="J10" s="10" t="s">
        <v>398</v>
      </c>
      <c r="K10" s="10" t="s">
        <v>399</v>
      </c>
      <c r="L10" s="10" t="s">
        <v>400</v>
      </c>
      <c r="M10" s="10" t="s">
        <v>402</v>
      </c>
      <c r="N10" s="10" t="s">
        <v>404</v>
      </c>
      <c r="O10" s="10" t="s">
        <v>303</v>
      </c>
      <c r="P10" s="29" t="s">
        <v>405</v>
      </c>
    </row>
    <row r="11" spans="1:16" ht="110.4">
      <c r="A11" s="11" t="s">
        <v>406</v>
      </c>
      <c r="B11" s="11">
        <v>2</v>
      </c>
      <c r="C11" s="11" t="s">
        <v>89</v>
      </c>
      <c r="D11" s="11" t="s">
        <v>407</v>
      </c>
      <c r="E11" s="11" t="s">
        <v>408</v>
      </c>
      <c r="F11" s="11" t="s">
        <v>409</v>
      </c>
      <c r="G11" s="11" t="s">
        <v>123</v>
      </c>
      <c r="H11" s="16">
        <v>1.25</v>
      </c>
      <c r="I11" s="11" t="s">
        <v>397</v>
      </c>
      <c r="J11" s="11" t="s">
        <v>410</v>
      </c>
      <c r="K11" s="11" t="s">
        <v>411</v>
      </c>
      <c r="L11" s="11" t="s">
        <v>412</v>
      </c>
      <c r="M11" s="11" t="s">
        <v>414</v>
      </c>
      <c r="N11" s="11" t="s">
        <v>416</v>
      </c>
      <c r="O11" s="11" t="s">
        <v>303</v>
      </c>
      <c r="P11" s="29" t="s">
        <v>417</v>
      </c>
    </row>
    <row r="12" spans="1:16" ht="110.4">
      <c r="A12" s="11" t="s">
        <v>418</v>
      </c>
      <c r="B12" s="11">
        <v>3</v>
      </c>
      <c r="C12" s="11" t="s">
        <v>89</v>
      </c>
      <c r="D12" s="11" t="s">
        <v>419</v>
      </c>
      <c r="E12" s="11" t="s">
        <v>420</v>
      </c>
      <c r="F12" s="11" t="s">
        <v>421</v>
      </c>
      <c r="G12" s="11" t="s">
        <v>123</v>
      </c>
      <c r="H12" s="16">
        <v>0.75</v>
      </c>
      <c r="I12" s="11" t="s">
        <v>397</v>
      </c>
      <c r="J12" s="11" t="s">
        <v>101</v>
      </c>
      <c r="K12" s="11" t="s">
        <v>422</v>
      </c>
      <c r="L12" s="11" t="s">
        <v>423</v>
      </c>
      <c r="M12" s="11" t="s">
        <v>425</v>
      </c>
      <c r="N12" s="11" t="s">
        <v>427</v>
      </c>
      <c r="O12" s="11" t="s">
        <v>303</v>
      </c>
      <c r="P12" s="29" t="s">
        <v>428</v>
      </c>
    </row>
    <row r="13" spans="1:16" ht="110.4">
      <c r="A13" s="11" t="s">
        <v>429</v>
      </c>
      <c r="B13" s="11">
        <v>4</v>
      </c>
      <c r="C13" s="11" t="s">
        <v>89</v>
      </c>
      <c r="D13" s="11" t="s">
        <v>430</v>
      </c>
      <c r="E13" s="11" t="s">
        <v>431</v>
      </c>
      <c r="F13" s="11" t="s">
        <v>432</v>
      </c>
      <c r="G13" s="11" t="s">
        <v>123</v>
      </c>
      <c r="H13" s="16">
        <v>1.5</v>
      </c>
      <c r="I13" s="11" t="s">
        <v>397</v>
      </c>
      <c r="J13" s="11" t="s">
        <v>433</v>
      </c>
      <c r="K13" s="11" t="s">
        <v>434</v>
      </c>
      <c r="L13" s="11" t="s">
        <v>435</v>
      </c>
      <c r="M13" s="11" t="s">
        <v>437</v>
      </c>
      <c r="N13" s="11" t="s">
        <v>439</v>
      </c>
      <c r="O13" s="11" t="s">
        <v>303</v>
      </c>
      <c r="P13" s="29" t="s">
        <v>440</v>
      </c>
    </row>
    <row r="14" spans="1:16" ht="110.4">
      <c r="A14" s="11" t="s">
        <v>441</v>
      </c>
      <c r="B14" s="11">
        <v>5</v>
      </c>
      <c r="C14" s="11" t="s">
        <v>89</v>
      </c>
      <c r="D14" s="11" t="s">
        <v>442</v>
      </c>
      <c r="E14" s="11" t="s">
        <v>443</v>
      </c>
      <c r="F14" s="11" t="s">
        <v>444</v>
      </c>
      <c r="G14" s="11" t="s">
        <v>123</v>
      </c>
      <c r="H14" s="16">
        <v>1</v>
      </c>
      <c r="I14" s="11" t="s">
        <v>445</v>
      </c>
      <c r="J14" s="11" t="s">
        <v>446</v>
      </c>
      <c r="K14" s="11" t="s">
        <v>447</v>
      </c>
      <c r="L14" s="11" t="s">
        <v>448</v>
      </c>
      <c r="M14" s="11" t="s">
        <v>450</v>
      </c>
      <c r="N14" s="11" t="s">
        <v>451</v>
      </c>
      <c r="O14" s="11" t="s">
        <v>303</v>
      </c>
      <c r="P14" s="29" t="s">
        <v>452</v>
      </c>
    </row>
    <row r="15" spans="1:16" ht="110.4">
      <c r="A15" s="11" t="s">
        <v>453</v>
      </c>
      <c r="B15" s="11">
        <v>6</v>
      </c>
      <c r="C15" s="11" t="s">
        <v>89</v>
      </c>
      <c r="D15" s="11" t="s">
        <v>454</v>
      </c>
      <c r="E15" s="11" t="s">
        <v>455</v>
      </c>
      <c r="F15" s="11" t="s">
        <v>456</v>
      </c>
      <c r="G15" s="11" t="s">
        <v>93</v>
      </c>
      <c r="H15" s="16">
        <v>1.25</v>
      </c>
      <c r="I15" s="11" t="s">
        <v>457</v>
      </c>
      <c r="J15" s="11" t="s">
        <v>458</v>
      </c>
      <c r="K15" s="11" t="s">
        <v>459</v>
      </c>
      <c r="L15" s="11" t="s">
        <v>460</v>
      </c>
      <c r="M15" s="11" t="s">
        <v>462</v>
      </c>
      <c r="N15" s="11" t="s">
        <v>463</v>
      </c>
      <c r="O15" s="11" t="s">
        <v>303</v>
      </c>
      <c r="P15" s="29" t="s">
        <v>464</v>
      </c>
    </row>
    <row r="16" spans="1:16" ht="110.4">
      <c r="A16" s="11" t="s">
        <v>465</v>
      </c>
      <c r="B16" s="11">
        <v>7</v>
      </c>
      <c r="C16" s="11" t="s">
        <v>89</v>
      </c>
      <c r="D16" s="11" t="s">
        <v>466</v>
      </c>
      <c r="E16" s="11" t="s">
        <v>467</v>
      </c>
      <c r="F16" s="11" t="s">
        <v>468</v>
      </c>
      <c r="G16" s="11" t="s">
        <v>123</v>
      </c>
      <c r="H16" s="16">
        <v>1.5</v>
      </c>
      <c r="I16" s="11" t="s">
        <v>457</v>
      </c>
      <c r="J16" s="11" t="s">
        <v>469</v>
      </c>
      <c r="K16" s="11" t="s">
        <v>470</v>
      </c>
      <c r="L16" s="11" t="s">
        <v>2295</v>
      </c>
      <c r="M16" s="11" t="s">
        <v>472</v>
      </c>
      <c r="N16" s="11" t="s">
        <v>474</v>
      </c>
      <c r="O16" s="11" t="s">
        <v>303</v>
      </c>
      <c r="P16" s="29" t="s">
        <v>475</v>
      </c>
    </row>
    <row r="17" spans="1:16" ht="110.4">
      <c r="A17" s="11" t="s">
        <v>476</v>
      </c>
      <c r="B17" s="11">
        <v>8</v>
      </c>
      <c r="C17" s="11" t="s">
        <v>89</v>
      </c>
      <c r="D17" s="11" t="s">
        <v>477</v>
      </c>
      <c r="E17" s="11" t="s">
        <v>478</v>
      </c>
      <c r="F17" s="11" t="s">
        <v>479</v>
      </c>
      <c r="G17" s="11" t="s">
        <v>123</v>
      </c>
      <c r="H17" s="16">
        <v>1</v>
      </c>
      <c r="I17" s="11" t="s">
        <v>445</v>
      </c>
      <c r="J17" s="11" t="s">
        <v>334</v>
      </c>
      <c r="K17" s="11" t="s">
        <v>480</v>
      </c>
      <c r="L17" s="11" t="s">
        <v>481</v>
      </c>
      <c r="M17" s="11" t="s">
        <v>483</v>
      </c>
      <c r="N17" s="11" t="s">
        <v>484</v>
      </c>
      <c r="O17" s="11" t="s">
        <v>303</v>
      </c>
      <c r="P17" s="29" t="s">
        <v>485</v>
      </c>
    </row>
    <row r="18" spans="1:16" ht="110.4">
      <c r="A18" s="11" t="s">
        <v>486</v>
      </c>
      <c r="B18" s="11">
        <v>9</v>
      </c>
      <c r="C18" s="11" t="s">
        <v>89</v>
      </c>
      <c r="D18" s="11" t="s">
        <v>487</v>
      </c>
      <c r="E18" s="11" t="s">
        <v>488</v>
      </c>
      <c r="F18" s="11" t="s">
        <v>489</v>
      </c>
      <c r="G18" s="11" t="s">
        <v>123</v>
      </c>
      <c r="H18" s="16">
        <v>0.75</v>
      </c>
      <c r="I18" s="11" t="s">
        <v>490</v>
      </c>
      <c r="J18" s="11" t="s">
        <v>491</v>
      </c>
      <c r="K18" s="11" t="s">
        <v>492</v>
      </c>
      <c r="L18" s="11" t="s">
        <v>493</v>
      </c>
      <c r="M18" s="11" t="s">
        <v>495</v>
      </c>
      <c r="N18" s="11" t="s">
        <v>497</v>
      </c>
      <c r="O18" s="11" t="s">
        <v>303</v>
      </c>
      <c r="P18" s="29" t="s">
        <v>498</v>
      </c>
    </row>
    <row r="19" spans="1:16" ht="110.4">
      <c r="A19" s="11" t="s">
        <v>499</v>
      </c>
      <c r="B19" s="11">
        <v>10</v>
      </c>
      <c r="C19" s="11" t="s">
        <v>89</v>
      </c>
      <c r="D19" s="11" t="s">
        <v>500</v>
      </c>
      <c r="E19" s="11" t="s">
        <v>501</v>
      </c>
      <c r="F19" s="11" t="s">
        <v>502</v>
      </c>
      <c r="G19" s="11" t="s">
        <v>109</v>
      </c>
      <c r="H19" s="16">
        <v>0.75</v>
      </c>
      <c r="I19" s="11" t="s">
        <v>457</v>
      </c>
      <c r="J19" s="11" t="s">
        <v>503</v>
      </c>
      <c r="K19" s="11" t="s">
        <v>504</v>
      </c>
      <c r="L19" s="11" t="s">
        <v>505</v>
      </c>
      <c r="M19" s="11" t="s">
        <v>507</v>
      </c>
      <c r="N19" s="11" t="s">
        <v>508</v>
      </c>
      <c r="O19" s="11" t="s">
        <v>303</v>
      </c>
      <c r="P19" s="29" t="s">
        <v>509</v>
      </c>
    </row>
    <row r="20" spans="1:16" ht="193.8">
      <c r="A20" s="11" t="s">
        <v>510</v>
      </c>
      <c r="B20" s="11">
        <v>11</v>
      </c>
      <c r="C20" s="11" t="s">
        <v>89</v>
      </c>
      <c r="D20" s="11" t="s">
        <v>511</v>
      </c>
      <c r="E20" s="11" t="s">
        <v>512</v>
      </c>
      <c r="F20" s="11" t="s">
        <v>513</v>
      </c>
      <c r="G20" s="11" t="s">
        <v>109</v>
      </c>
      <c r="H20" s="16">
        <v>1</v>
      </c>
      <c r="I20" s="11" t="s">
        <v>514</v>
      </c>
      <c r="J20" s="11" t="s">
        <v>101</v>
      </c>
      <c r="K20" s="11" t="s">
        <v>515</v>
      </c>
      <c r="L20" s="11" t="s">
        <v>2333</v>
      </c>
      <c r="M20" s="11" t="s">
        <v>517</v>
      </c>
      <c r="N20" s="11" t="s">
        <v>519</v>
      </c>
      <c r="O20" s="11" t="s">
        <v>303</v>
      </c>
      <c r="P20" s="29" t="s">
        <v>520</v>
      </c>
    </row>
    <row r="21" spans="1:16" ht="193.8">
      <c r="A21" s="11" t="s">
        <v>521</v>
      </c>
      <c r="B21" s="11">
        <v>12</v>
      </c>
      <c r="C21" s="11" t="s">
        <v>89</v>
      </c>
      <c r="D21" s="11" t="s">
        <v>226</v>
      </c>
      <c r="E21" s="11" t="s">
        <v>522</v>
      </c>
      <c r="F21" s="11" t="s">
        <v>523</v>
      </c>
      <c r="G21" s="11" t="s">
        <v>93</v>
      </c>
      <c r="H21" s="16">
        <v>0.75</v>
      </c>
      <c r="I21" s="11" t="s">
        <v>2334</v>
      </c>
      <c r="J21" s="11" t="s">
        <v>524</v>
      </c>
      <c r="K21" s="11" t="s">
        <v>525</v>
      </c>
      <c r="L21" s="11" t="s">
        <v>2335</v>
      </c>
      <c r="M21" s="11" t="s">
        <v>527</v>
      </c>
      <c r="N21" s="11" t="s">
        <v>529</v>
      </c>
      <c r="O21" s="11" t="s">
        <v>303</v>
      </c>
      <c r="P21" s="29" t="s">
        <v>530</v>
      </c>
    </row>
    <row r="22" spans="1:16" ht="82.8">
      <c r="A22" t="s">
        <v>531</v>
      </c>
      <c r="B22">
        <v>13</v>
      </c>
      <c r="C22" t="s">
        <v>89</v>
      </c>
      <c r="D22" t="s">
        <v>238</v>
      </c>
      <c r="E22" t="s">
        <v>532</v>
      </c>
      <c r="F22" t="s">
        <v>533</v>
      </c>
      <c r="G22" t="s">
        <v>109</v>
      </c>
      <c r="H22">
        <v>1</v>
      </c>
      <c r="I22" t="s">
        <v>241</v>
      </c>
      <c r="J22" t="s">
        <v>101</v>
      </c>
      <c r="K22" t="s">
        <v>534</v>
      </c>
      <c r="L22" t="s">
        <v>2316</v>
      </c>
      <c r="M22" t="s">
        <v>535</v>
      </c>
      <c r="N22" t="s">
        <v>246</v>
      </c>
      <c r="O22" t="s">
        <v>303</v>
      </c>
      <c r="P22" s="29" t="s">
        <v>538</v>
      </c>
    </row>
    <row r="23" spans="1:16" ht="24" customHeight="1">
      <c r="A23" s="94"/>
      <c r="B23" s="94"/>
      <c r="C23" s="94"/>
      <c r="D23" s="94"/>
      <c r="E23" s="94"/>
      <c r="F23" s="94"/>
      <c r="G23" s="94"/>
      <c r="H23" s="95"/>
      <c r="I23" s="95"/>
      <c r="J23" s="95"/>
      <c r="K23" s="95"/>
      <c r="L23" s="95"/>
      <c r="M23" s="95"/>
      <c r="N23" s="95"/>
      <c r="O23" s="95"/>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397</v>
      </c>
      <c r="C26" s="22" t="s">
        <v>1071</v>
      </c>
      <c r="D26" s="22" t="s">
        <v>1072</v>
      </c>
      <c r="E26" s="22" t="s">
        <v>1073</v>
      </c>
      <c r="F26" s="22" t="s">
        <v>1074</v>
      </c>
      <c r="G26" s="22" t="s">
        <v>1023</v>
      </c>
    </row>
    <row r="27" spans="1:16" ht="52.05" customHeight="1">
      <c r="A27" s="34">
        <v>2</v>
      </c>
      <c r="B27" s="34" t="s">
        <v>457</v>
      </c>
      <c r="C27" s="34" t="s">
        <v>1075</v>
      </c>
      <c r="D27" s="34" t="s">
        <v>1076</v>
      </c>
      <c r="E27" s="34" t="s">
        <v>1077</v>
      </c>
      <c r="F27" s="34" t="s">
        <v>1078</v>
      </c>
      <c r="G27" s="34" t="s">
        <v>1023</v>
      </c>
    </row>
    <row r="28" spans="1:16" ht="52.05" customHeight="1">
      <c r="A28" s="22">
        <v>3</v>
      </c>
      <c r="B28" s="22" t="s">
        <v>445</v>
      </c>
      <c r="C28" s="22" t="s">
        <v>1079</v>
      </c>
      <c r="D28" s="22" t="s">
        <v>1080</v>
      </c>
      <c r="E28" s="22" t="s">
        <v>1081</v>
      </c>
      <c r="F28" s="22" t="s">
        <v>1082</v>
      </c>
      <c r="G28" s="22" t="s">
        <v>1023</v>
      </c>
    </row>
    <row r="29" spans="1:16" ht="52.05" customHeight="1">
      <c r="A29" s="34">
        <v>4</v>
      </c>
      <c r="B29" s="34" t="s">
        <v>514</v>
      </c>
      <c r="C29" s="34" t="s">
        <v>1083</v>
      </c>
      <c r="D29" s="34" t="s">
        <v>1084</v>
      </c>
      <c r="E29" s="34" t="s">
        <v>1085</v>
      </c>
      <c r="F29" s="34" t="s">
        <v>1086</v>
      </c>
      <c r="G29" s="34" t="s">
        <v>1023</v>
      </c>
    </row>
    <row r="30" spans="1:16" ht="52.05" customHeight="1">
      <c r="A30" s="35">
        <v>5</v>
      </c>
      <c r="B30" s="35" t="s">
        <v>2334</v>
      </c>
      <c r="C30" s="35" t="s">
        <v>1036</v>
      </c>
      <c r="D30" s="35" t="s">
        <v>1037</v>
      </c>
      <c r="E30" s="35" t="s">
        <v>2350</v>
      </c>
      <c r="F30" s="35" t="s">
        <v>527</v>
      </c>
      <c r="G30" s="35" t="s">
        <v>1014</v>
      </c>
    </row>
    <row r="31" spans="1:16" ht="52.05" customHeight="1">
      <c r="A31" s="35">
        <v>6</v>
      </c>
      <c r="B31" s="35" t="s">
        <v>241</v>
      </c>
      <c r="C31" s="35" t="s">
        <v>1087</v>
      </c>
      <c r="D31" s="35" t="s">
        <v>1039</v>
      </c>
      <c r="E31" s="35" t="s">
        <v>1040</v>
      </c>
      <c r="F31" s="35" t="s">
        <v>1088</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1"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1089</v>
      </c>
      <c r="B1" s="56"/>
      <c r="C1" s="56"/>
      <c r="D1" s="56"/>
      <c r="E1" s="56"/>
      <c r="F1" s="56"/>
      <c r="G1" s="56"/>
      <c r="H1" s="56"/>
      <c r="I1" s="56"/>
      <c r="J1" s="56"/>
      <c r="K1" s="56"/>
      <c r="L1" s="56"/>
      <c r="M1" s="56"/>
      <c r="N1" s="56"/>
      <c r="O1" s="56"/>
    </row>
    <row r="2" spans="1:16" ht="31.95" customHeight="1">
      <c r="A2" s="57" t="s">
        <v>1090</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v>
      </c>
      <c r="B5" s="97"/>
      <c r="D5" s="100">
        <f>COUNTIF(O10:O40,"Blocked")</f>
        <v>0</v>
      </c>
      <c r="E5" s="101"/>
      <c r="G5" s="104" t="s">
        <v>1091</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539</v>
      </c>
      <c r="B10" s="10">
        <v>1</v>
      </c>
      <c r="C10" s="10" t="s">
        <v>89</v>
      </c>
      <c r="D10" s="10" t="s">
        <v>540</v>
      </c>
      <c r="E10" s="10" t="s">
        <v>541</v>
      </c>
      <c r="F10" s="10" t="s">
        <v>542</v>
      </c>
      <c r="G10" s="10" t="s">
        <v>123</v>
      </c>
      <c r="H10" s="15">
        <v>1.5</v>
      </c>
      <c r="I10" s="10" t="s">
        <v>543</v>
      </c>
      <c r="J10" s="10" t="s">
        <v>334</v>
      </c>
      <c r="K10" s="10" t="s">
        <v>544</v>
      </c>
      <c r="L10" s="10" t="s">
        <v>545</v>
      </c>
      <c r="M10" s="10" t="s">
        <v>547</v>
      </c>
      <c r="N10" s="10" t="s">
        <v>549</v>
      </c>
      <c r="O10" s="10" t="s">
        <v>303</v>
      </c>
      <c r="P10" s="29" t="s">
        <v>550</v>
      </c>
    </row>
    <row r="11" spans="1:16" ht="110.4">
      <c r="A11" s="11" t="s">
        <v>551</v>
      </c>
      <c r="B11" s="11">
        <v>2</v>
      </c>
      <c r="C11" s="11" t="s">
        <v>89</v>
      </c>
      <c r="D11" s="11" t="s">
        <v>331</v>
      </c>
      <c r="E11" s="11" t="s">
        <v>552</v>
      </c>
      <c r="F11" s="11" t="s">
        <v>553</v>
      </c>
      <c r="G11" s="11" t="s">
        <v>123</v>
      </c>
      <c r="H11" s="16">
        <v>1</v>
      </c>
      <c r="I11" s="11" t="s">
        <v>543</v>
      </c>
      <c r="J11" s="11" t="s">
        <v>334</v>
      </c>
      <c r="K11" s="11" t="s">
        <v>554</v>
      </c>
      <c r="L11" s="11" t="s">
        <v>555</v>
      </c>
      <c r="M11" s="11" t="s">
        <v>557</v>
      </c>
      <c r="N11" s="11" t="s">
        <v>558</v>
      </c>
      <c r="O11" s="11" t="s">
        <v>303</v>
      </c>
      <c r="P11" s="29" t="s">
        <v>559</v>
      </c>
    </row>
    <row r="12" spans="1:16" ht="110.4">
      <c r="A12" s="11" t="s">
        <v>560</v>
      </c>
      <c r="B12" s="11">
        <v>3</v>
      </c>
      <c r="C12" s="11" t="s">
        <v>89</v>
      </c>
      <c r="D12" s="11" t="s">
        <v>561</v>
      </c>
      <c r="E12" s="11" t="s">
        <v>562</v>
      </c>
      <c r="F12" s="11" t="s">
        <v>563</v>
      </c>
      <c r="G12" s="11" t="s">
        <v>123</v>
      </c>
      <c r="H12" s="16">
        <v>1.25</v>
      </c>
      <c r="I12" s="11" t="s">
        <v>564</v>
      </c>
      <c r="J12" s="11" t="s">
        <v>524</v>
      </c>
      <c r="K12" s="11" t="s">
        <v>565</v>
      </c>
      <c r="L12" s="11" t="s">
        <v>566</v>
      </c>
      <c r="M12" s="11" t="s">
        <v>568</v>
      </c>
      <c r="N12" s="11" t="s">
        <v>570</v>
      </c>
      <c r="O12" s="11" t="s">
        <v>303</v>
      </c>
      <c r="P12" s="29" t="s">
        <v>571</v>
      </c>
    </row>
    <row r="13" spans="1:16" ht="110.4">
      <c r="A13" s="11" t="s">
        <v>572</v>
      </c>
      <c r="B13" s="11">
        <v>4</v>
      </c>
      <c r="C13" s="11" t="s">
        <v>89</v>
      </c>
      <c r="D13" s="11" t="s">
        <v>573</v>
      </c>
      <c r="E13" s="11" t="s">
        <v>574</v>
      </c>
      <c r="F13" s="11" t="s">
        <v>575</v>
      </c>
      <c r="G13" s="11" t="s">
        <v>123</v>
      </c>
      <c r="H13" s="16">
        <v>0.75</v>
      </c>
      <c r="I13" s="11" t="s">
        <v>564</v>
      </c>
      <c r="J13" s="11" t="s">
        <v>101</v>
      </c>
      <c r="K13" s="11" t="s">
        <v>576</v>
      </c>
      <c r="L13" s="11" t="s">
        <v>577</v>
      </c>
      <c r="M13" s="11" t="s">
        <v>579</v>
      </c>
      <c r="N13" s="11" t="s">
        <v>580</v>
      </c>
      <c r="O13" s="11" t="s">
        <v>303</v>
      </c>
      <c r="P13" s="29" t="s">
        <v>581</v>
      </c>
    </row>
    <row r="14" spans="1:16" ht="110.4">
      <c r="A14" s="11" t="s">
        <v>582</v>
      </c>
      <c r="B14" s="11">
        <v>5</v>
      </c>
      <c r="C14" s="11" t="s">
        <v>89</v>
      </c>
      <c r="D14" s="11" t="s">
        <v>583</v>
      </c>
      <c r="E14" s="11" t="s">
        <v>584</v>
      </c>
      <c r="F14" s="11" t="s">
        <v>585</v>
      </c>
      <c r="G14" s="11" t="s">
        <v>123</v>
      </c>
      <c r="H14" s="16">
        <v>1.25</v>
      </c>
      <c r="I14" s="11" t="s">
        <v>564</v>
      </c>
      <c r="J14" s="11" t="s">
        <v>524</v>
      </c>
      <c r="K14" s="11" t="s">
        <v>586</v>
      </c>
      <c r="L14" s="11" t="s">
        <v>587</v>
      </c>
      <c r="M14" s="11" t="s">
        <v>589</v>
      </c>
      <c r="N14" s="11" t="s">
        <v>592</v>
      </c>
      <c r="O14" s="11" t="s">
        <v>303</v>
      </c>
      <c r="P14" s="29" t="s">
        <v>593</v>
      </c>
    </row>
    <row r="15" spans="1:16" ht="110.4">
      <c r="A15" s="11" t="s">
        <v>594</v>
      </c>
      <c r="B15" s="11">
        <v>6</v>
      </c>
      <c r="C15" s="11" t="s">
        <v>89</v>
      </c>
      <c r="D15" s="11" t="s">
        <v>595</v>
      </c>
      <c r="E15" s="11" t="s">
        <v>596</v>
      </c>
      <c r="F15" s="11" t="s">
        <v>597</v>
      </c>
      <c r="G15" s="11" t="s">
        <v>123</v>
      </c>
      <c r="H15" s="16">
        <v>1</v>
      </c>
      <c r="I15" s="11" t="s">
        <v>564</v>
      </c>
      <c r="J15" s="11" t="s">
        <v>598</v>
      </c>
      <c r="K15" s="11" t="s">
        <v>599</v>
      </c>
      <c r="L15" s="11" t="s">
        <v>600</v>
      </c>
      <c r="M15" s="11" t="s">
        <v>602</v>
      </c>
      <c r="N15" s="11" t="s">
        <v>603</v>
      </c>
      <c r="O15" s="11" t="s">
        <v>303</v>
      </c>
      <c r="P15" s="29" t="s">
        <v>604</v>
      </c>
    </row>
    <row r="16" spans="1:16" ht="110.4">
      <c r="A16" s="11" t="s">
        <v>605</v>
      </c>
      <c r="B16" s="11">
        <v>7</v>
      </c>
      <c r="C16" s="11" t="s">
        <v>89</v>
      </c>
      <c r="D16" s="11" t="s">
        <v>606</v>
      </c>
      <c r="E16" s="11" t="s">
        <v>607</v>
      </c>
      <c r="F16" s="11" t="s">
        <v>608</v>
      </c>
      <c r="G16" s="11" t="s">
        <v>123</v>
      </c>
      <c r="H16" s="16">
        <v>0.75</v>
      </c>
      <c r="I16" s="11" t="s">
        <v>564</v>
      </c>
      <c r="J16" s="11" t="s">
        <v>609</v>
      </c>
      <c r="K16" s="11" t="s">
        <v>610</v>
      </c>
      <c r="L16" s="11" t="s">
        <v>611</v>
      </c>
      <c r="M16" s="11" t="s">
        <v>613</v>
      </c>
      <c r="N16" s="11" t="s">
        <v>614</v>
      </c>
      <c r="O16" s="11" t="s">
        <v>303</v>
      </c>
      <c r="P16" s="29" t="s">
        <v>615</v>
      </c>
    </row>
    <row r="17" spans="1:16" ht="110.4">
      <c r="A17" s="11" t="s">
        <v>616</v>
      </c>
      <c r="B17" s="11">
        <v>8</v>
      </c>
      <c r="C17" s="11" t="s">
        <v>89</v>
      </c>
      <c r="D17" s="11" t="s">
        <v>617</v>
      </c>
      <c r="E17" s="11" t="s">
        <v>618</v>
      </c>
      <c r="F17" s="11" t="s">
        <v>619</v>
      </c>
      <c r="G17" s="11" t="s">
        <v>123</v>
      </c>
      <c r="H17" s="16">
        <v>1</v>
      </c>
      <c r="I17" s="11" t="s">
        <v>490</v>
      </c>
      <c r="J17" s="11" t="s">
        <v>491</v>
      </c>
      <c r="K17" s="11" t="s">
        <v>620</v>
      </c>
      <c r="L17" s="11" t="s">
        <v>621</v>
      </c>
      <c r="M17" s="11" t="s">
        <v>623</v>
      </c>
      <c r="N17" s="11" t="s">
        <v>625</v>
      </c>
      <c r="O17" s="11" t="s">
        <v>303</v>
      </c>
      <c r="P17" s="29" t="s">
        <v>626</v>
      </c>
    </row>
    <row r="18" spans="1:16" ht="110.4">
      <c r="A18" s="11" t="s">
        <v>627</v>
      </c>
      <c r="B18" s="11">
        <v>9</v>
      </c>
      <c r="C18" s="11" t="s">
        <v>89</v>
      </c>
      <c r="D18" s="11" t="s">
        <v>628</v>
      </c>
      <c r="E18" s="11" t="s">
        <v>629</v>
      </c>
      <c r="F18" s="11" t="s">
        <v>630</v>
      </c>
      <c r="G18" s="11" t="s">
        <v>123</v>
      </c>
      <c r="H18" s="16">
        <v>1</v>
      </c>
      <c r="I18" s="11" t="s">
        <v>564</v>
      </c>
      <c r="J18" s="11" t="s">
        <v>101</v>
      </c>
      <c r="K18" s="11" t="s">
        <v>631</v>
      </c>
      <c r="L18" s="11" t="s">
        <v>632</v>
      </c>
      <c r="M18" s="11" t="s">
        <v>634</v>
      </c>
      <c r="N18" s="11" t="s">
        <v>637</v>
      </c>
      <c r="O18" s="11" t="s">
        <v>303</v>
      </c>
      <c r="P18" s="29" t="s">
        <v>638</v>
      </c>
    </row>
    <row r="19" spans="1:16" ht="110.4">
      <c r="A19" s="11" t="s">
        <v>639</v>
      </c>
      <c r="B19" s="11">
        <v>10</v>
      </c>
      <c r="C19" s="11" t="s">
        <v>365</v>
      </c>
      <c r="D19" s="11" t="s">
        <v>640</v>
      </c>
      <c r="E19" s="11" t="s">
        <v>641</v>
      </c>
      <c r="F19" s="11" t="s">
        <v>642</v>
      </c>
      <c r="G19" s="11" t="s">
        <v>123</v>
      </c>
      <c r="H19" s="16">
        <v>0.75</v>
      </c>
      <c r="I19" s="11" t="s">
        <v>543</v>
      </c>
      <c r="J19" s="11" t="s">
        <v>598</v>
      </c>
      <c r="K19" s="11" t="s">
        <v>643</v>
      </c>
      <c r="L19" s="11" t="s">
        <v>644</v>
      </c>
      <c r="M19" s="11" t="s">
        <v>646</v>
      </c>
      <c r="N19" s="11" t="s">
        <v>649</v>
      </c>
      <c r="O19" s="11" t="s">
        <v>303</v>
      </c>
      <c r="P19" s="29" t="s">
        <v>650</v>
      </c>
    </row>
    <row r="20" spans="1:16" ht="193.8">
      <c r="A20" s="11" t="s">
        <v>651</v>
      </c>
      <c r="B20" s="11">
        <v>11</v>
      </c>
      <c r="C20" s="11" t="s">
        <v>89</v>
      </c>
      <c r="D20" s="11" t="s">
        <v>652</v>
      </c>
      <c r="E20" s="11" t="s">
        <v>653</v>
      </c>
      <c r="F20" s="11" t="s">
        <v>654</v>
      </c>
      <c r="G20" s="11" t="s">
        <v>109</v>
      </c>
      <c r="H20" s="16">
        <v>1</v>
      </c>
      <c r="I20" s="11" t="s">
        <v>655</v>
      </c>
      <c r="J20" s="11" t="s">
        <v>101</v>
      </c>
      <c r="K20" s="11" t="s">
        <v>656</v>
      </c>
      <c r="L20" s="11" t="s">
        <v>2336</v>
      </c>
      <c r="M20" s="11" t="s">
        <v>658</v>
      </c>
      <c r="N20" s="11" t="s">
        <v>660</v>
      </c>
      <c r="O20" s="11" t="s">
        <v>303</v>
      </c>
      <c r="P20" s="29" t="s">
        <v>661</v>
      </c>
    </row>
    <row r="21" spans="1:16" ht="193.8">
      <c r="A21" s="11" t="s">
        <v>662</v>
      </c>
      <c r="B21" s="11">
        <v>12</v>
      </c>
      <c r="C21" s="11" t="s">
        <v>89</v>
      </c>
      <c r="D21" s="11" t="s">
        <v>226</v>
      </c>
      <c r="E21" s="11" t="s">
        <v>663</v>
      </c>
      <c r="F21" s="11" t="s">
        <v>664</v>
      </c>
      <c r="G21" s="11" t="s">
        <v>93</v>
      </c>
      <c r="H21" s="16">
        <v>0.75</v>
      </c>
      <c r="I21" s="11" t="s">
        <v>2337</v>
      </c>
      <c r="J21" s="11" t="s">
        <v>665</v>
      </c>
      <c r="K21" s="11" t="s">
        <v>666</v>
      </c>
      <c r="L21" s="11" t="s">
        <v>2338</v>
      </c>
      <c r="M21" s="11" t="s">
        <v>668</v>
      </c>
      <c r="N21" s="11" t="s">
        <v>670</v>
      </c>
      <c r="O21" s="11" t="s">
        <v>303</v>
      </c>
      <c r="P21" s="29" t="s">
        <v>671</v>
      </c>
    </row>
    <row r="22" spans="1:16" ht="82.8">
      <c r="A22" t="s">
        <v>672</v>
      </c>
      <c r="B22">
        <v>13</v>
      </c>
      <c r="C22" t="s">
        <v>89</v>
      </c>
      <c r="D22" t="s">
        <v>238</v>
      </c>
      <c r="E22" t="s">
        <v>673</v>
      </c>
      <c r="F22" t="s">
        <v>674</v>
      </c>
      <c r="G22" t="s">
        <v>109</v>
      </c>
      <c r="H22">
        <v>1</v>
      </c>
      <c r="I22" t="s">
        <v>241</v>
      </c>
      <c r="J22" t="s">
        <v>101</v>
      </c>
      <c r="K22" t="s">
        <v>675</v>
      </c>
      <c r="L22" t="s">
        <v>2317</v>
      </c>
      <c r="M22" t="s">
        <v>676</v>
      </c>
      <c r="N22" t="s">
        <v>246</v>
      </c>
      <c r="O22" t="s">
        <v>303</v>
      </c>
      <c r="P22" s="29" t="s">
        <v>679</v>
      </c>
    </row>
    <row r="23" spans="1:16" ht="24" customHeight="1">
      <c r="A23" s="94"/>
      <c r="B23" s="94"/>
      <c r="C23" s="94"/>
      <c r="D23" s="94"/>
      <c r="E23" s="94"/>
      <c r="F23" s="94"/>
      <c r="G23" s="94"/>
      <c r="H23" s="95"/>
      <c r="I23" s="95"/>
      <c r="J23" s="95"/>
      <c r="K23" s="95"/>
      <c r="L23" s="95"/>
      <c r="M23" s="95"/>
      <c r="N23" s="95"/>
      <c r="O23" s="95"/>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543</v>
      </c>
      <c r="C26" s="22" t="s">
        <v>1092</v>
      </c>
      <c r="D26" s="22" t="s">
        <v>1093</v>
      </c>
      <c r="E26" s="22" t="s">
        <v>1094</v>
      </c>
      <c r="F26" s="22" t="s">
        <v>1095</v>
      </c>
      <c r="G26" s="22" t="s">
        <v>1023</v>
      </c>
    </row>
    <row r="27" spans="1:16" ht="52.05" customHeight="1">
      <c r="A27" s="34">
        <v>2</v>
      </c>
      <c r="B27" s="34" t="s">
        <v>564</v>
      </c>
      <c r="C27" s="34" t="s">
        <v>1096</v>
      </c>
      <c r="D27" s="34" t="s">
        <v>1097</v>
      </c>
      <c r="E27" s="34" t="s">
        <v>1098</v>
      </c>
      <c r="F27" s="34" t="s">
        <v>1099</v>
      </c>
      <c r="G27" s="34" t="s">
        <v>1023</v>
      </c>
    </row>
    <row r="28" spans="1:16" ht="52.05" customHeight="1">
      <c r="A28" s="22">
        <v>3</v>
      </c>
      <c r="B28" s="22" t="s">
        <v>490</v>
      </c>
      <c r="C28" s="22" t="s">
        <v>1100</v>
      </c>
      <c r="D28" s="22" t="s">
        <v>1101</v>
      </c>
      <c r="E28" s="22" t="s">
        <v>1102</v>
      </c>
      <c r="F28" s="22" t="s">
        <v>1103</v>
      </c>
      <c r="G28" s="22" t="s">
        <v>1023</v>
      </c>
    </row>
    <row r="29" spans="1:16" ht="52.05" customHeight="1">
      <c r="A29" s="34">
        <v>4</v>
      </c>
      <c r="B29" s="34" t="s">
        <v>655</v>
      </c>
      <c r="C29" s="34" t="s">
        <v>1104</v>
      </c>
      <c r="D29" s="34" t="s">
        <v>1105</v>
      </c>
      <c r="E29" s="34" t="s">
        <v>1106</v>
      </c>
      <c r="F29" s="34" t="s">
        <v>1107</v>
      </c>
      <c r="G29" s="34" t="s">
        <v>1023</v>
      </c>
    </row>
    <row r="30" spans="1:16" ht="52.05" customHeight="1">
      <c r="A30" s="35">
        <v>5</v>
      </c>
      <c r="B30" s="35" t="s">
        <v>2337</v>
      </c>
      <c r="C30" s="35" t="s">
        <v>1036</v>
      </c>
      <c r="D30" s="35" t="s">
        <v>1037</v>
      </c>
      <c r="E30" s="35" t="s">
        <v>2351</v>
      </c>
      <c r="F30" s="35" t="s">
        <v>668</v>
      </c>
      <c r="G30" s="35" t="s">
        <v>1014</v>
      </c>
    </row>
    <row r="31" spans="1:16" ht="52.05" customHeight="1">
      <c r="A31" s="35">
        <v>6</v>
      </c>
      <c r="B31" s="35" t="s">
        <v>241</v>
      </c>
      <c r="C31" s="35" t="s">
        <v>1108</v>
      </c>
      <c r="D31" s="35" t="s">
        <v>1039</v>
      </c>
      <c r="E31" s="35" t="s">
        <v>1040</v>
      </c>
      <c r="F31" s="35" t="s">
        <v>1109</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1"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1110</v>
      </c>
      <c r="B1" s="56"/>
      <c r="C1" s="56"/>
      <c r="D1" s="56"/>
      <c r="E1" s="56"/>
      <c r="F1" s="56"/>
      <c r="G1" s="56"/>
      <c r="H1" s="56"/>
      <c r="I1" s="56"/>
      <c r="J1" s="56"/>
      <c r="K1" s="56"/>
      <c r="L1" s="56"/>
      <c r="M1" s="56"/>
      <c r="N1" s="56"/>
      <c r="O1" s="56"/>
    </row>
    <row r="2" spans="1:16" ht="31.95" customHeight="1">
      <c r="A2" s="57" t="s">
        <v>1111</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v>
      </c>
      <c r="B5" s="97"/>
      <c r="D5" s="100">
        <f>COUNTIF(O10:O40,"Blocked")</f>
        <v>0</v>
      </c>
      <c r="E5" s="101"/>
      <c r="G5" s="104" t="s">
        <v>1112</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680</v>
      </c>
      <c r="B10" s="10">
        <v>1</v>
      </c>
      <c r="C10" s="10" t="s">
        <v>89</v>
      </c>
      <c r="D10" s="10" t="s">
        <v>681</v>
      </c>
      <c r="E10" s="10" t="s">
        <v>682</v>
      </c>
      <c r="F10" s="10" t="s">
        <v>683</v>
      </c>
      <c r="G10" s="10" t="s">
        <v>93</v>
      </c>
      <c r="H10" s="15">
        <v>1</v>
      </c>
      <c r="I10" s="10" t="s">
        <v>684</v>
      </c>
      <c r="J10" s="10" t="s">
        <v>685</v>
      </c>
      <c r="K10" s="10" t="s">
        <v>686</v>
      </c>
      <c r="L10" s="10" t="s">
        <v>687</v>
      </c>
      <c r="M10" s="10" t="s">
        <v>689</v>
      </c>
      <c r="N10" s="10" t="s">
        <v>690</v>
      </c>
      <c r="O10" s="10" t="s">
        <v>303</v>
      </c>
      <c r="P10" s="29" t="s">
        <v>691</v>
      </c>
    </row>
    <row r="11" spans="1:16" ht="193.8">
      <c r="A11" s="11" t="s">
        <v>692</v>
      </c>
      <c r="B11" s="11">
        <v>2</v>
      </c>
      <c r="C11" s="11" t="s">
        <v>89</v>
      </c>
      <c r="D11" s="11" t="s">
        <v>693</v>
      </c>
      <c r="E11" s="11" t="s">
        <v>694</v>
      </c>
      <c r="F11" s="11" t="s">
        <v>695</v>
      </c>
      <c r="G11" s="11" t="s">
        <v>123</v>
      </c>
      <c r="H11" s="16">
        <v>1.25</v>
      </c>
      <c r="I11" s="11" t="s">
        <v>696</v>
      </c>
      <c r="J11" s="11" t="s">
        <v>194</v>
      </c>
      <c r="K11" s="11" t="s">
        <v>697</v>
      </c>
      <c r="L11" s="11" t="s">
        <v>2339</v>
      </c>
      <c r="M11" s="11" t="s">
        <v>699</v>
      </c>
      <c r="N11" s="11" t="s">
        <v>700</v>
      </c>
      <c r="O11" s="11" t="s">
        <v>303</v>
      </c>
      <c r="P11" s="29" t="s">
        <v>701</v>
      </c>
    </row>
    <row r="12" spans="1:16" ht="193.8">
      <c r="A12" s="11" t="s">
        <v>702</v>
      </c>
      <c r="B12" s="11">
        <v>3</v>
      </c>
      <c r="C12" s="11" t="s">
        <v>89</v>
      </c>
      <c r="D12" s="11" t="s">
        <v>703</v>
      </c>
      <c r="E12" s="11" t="s">
        <v>704</v>
      </c>
      <c r="F12" s="11" t="s">
        <v>705</v>
      </c>
      <c r="G12" s="11" t="s">
        <v>123</v>
      </c>
      <c r="H12" s="16">
        <v>1.25</v>
      </c>
      <c r="I12" s="11" t="s">
        <v>696</v>
      </c>
      <c r="J12" s="11" t="s">
        <v>706</v>
      </c>
      <c r="K12" s="11" t="s">
        <v>707</v>
      </c>
      <c r="L12" s="11" t="s">
        <v>2340</v>
      </c>
      <c r="M12" s="11" t="s">
        <v>709</v>
      </c>
      <c r="N12" s="11" t="s">
        <v>712</v>
      </c>
      <c r="O12" s="11" t="s">
        <v>303</v>
      </c>
      <c r="P12" s="29" t="s">
        <v>713</v>
      </c>
    </row>
    <row r="13" spans="1:16" ht="193.8">
      <c r="A13" s="11" t="s">
        <v>714</v>
      </c>
      <c r="B13" s="11">
        <v>4</v>
      </c>
      <c r="C13" s="11" t="s">
        <v>89</v>
      </c>
      <c r="D13" s="11" t="s">
        <v>715</v>
      </c>
      <c r="E13" s="11" t="s">
        <v>716</v>
      </c>
      <c r="F13" s="11" t="s">
        <v>717</v>
      </c>
      <c r="G13" s="11" t="s">
        <v>123</v>
      </c>
      <c r="H13" s="16">
        <v>1.25</v>
      </c>
      <c r="I13" s="11" t="s">
        <v>696</v>
      </c>
      <c r="J13" s="11" t="s">
        <v>718</v>
      </c>
      <c r="K13" s="11" t="s">
        <v>719</v>
      </c>
      <c r="L13" s="11" t="s">
        <v>2341</v>
      </c>
      <c r="M13" s="11" t="s">
        <v>721</v>
      </c>
      <c r="N13" s="11" t="s">
        <v>723</v>
      </c>
      <c r="O13" s="11" t="s">
        <v>303</v>
      </c>
      <c r="P13" s="29" t="s">
        <v>724</v>
      </c>
    </row>
    <row r="14" spans="1:16" ht="110.4">
      <c r="A14" s="11" t="s">
        <v>725</v>
      </c>
      <c r="B14" s="11">
        <v>5</v>
      </c>
      <c r="C14" s="11" t="s">
        <v>89</v>
      </c>
      <c r="D14" s="11" t="s">
        <v>726</v>
      </c>
      <c r="E14" s="11" t="s">
        <v>727</v>
      </c>
      <c r="F14" s="11" t="s">
        <v>728</v>
      </c>
      <c r="G14" s="11" t="s">
        <v>123</v>
      </c>
      <c r="H14" s="16">
        <v>1.5</v>
      </c>
      <c r="I14" s="11" t="s">
        <v>696</v>
      </c>
      <c r="J14" s="11" t="s">
        <v>729</v>
      </c>
      <c r="K14" s="11" t="s">
        <v>730</v>
      </c>
      <c r="L14" s="11" t="s">
        <v>731</v>
      </c>
      <c r="M14" s="11" t="s">
        <v>733</v>
      </c>
      <c r="N14" s="11" t="s">
        <v>736</v>
      </c>
      <c r="O14" s="11" t="s">
        <v>303</v>
      </c>
      <c r="P14" s="29" t="s">
        <v>737</v>
      </c>
    </row>
    <row r="15" spans="1:16" ht="193.8">
      <c r="A15" s="11" t="s">
        <v>738</v>
      </c>
      <c r="B15" s="11">
        <v>6</v>
      </c>
      <c r="C15" s="11" t="s">
        <v>89</v>
      </c>
      <c r="D15" s="11" t="s">
        <v>739</v>
      </c>
      <c r="E15" s="11" t="s">
        <v>740</v>
      </c>
      <c r="F15" s="11" t="s">
        <v>741</v>
      </c>
      <c r="G15" s="11" t="s">
        <v>123</v>
      </c>
      <c r="H15" s="16">
        <v>1</v>
      </c>
      <c r="I15" s="11" t="s">
        <v>742</v>
      </c>
      <c r="J15" s="11" t="s">
        <v>743</v>
      </c>
      <c r="K15" s="11" t="s">
        <v>744</v>
      </c>
      <c r="L15" s="11" t="s">
        <v>2342</v>
      </c>
      <c r="M15" s="11" t="s">
        <v>746</v>
      </c>
      <c r="N15" s="11" t="s">
        <v>749</v>
      </c>
      <c r="O15" s="11" t="s">
        <v>303</v>
      </c>
      <c r="P15" s="29" t="s">
        <v>750</v>
      </c>
    </row>
    <row r="16" spans="1:16" ht="124.2">
      <c r="A16" s="11" t="s">
        <v>751</v>
      </c>
      <c r="B16" s="11">
        <v>7</v>
      </c>
      <c r="C16" s="11" t="s">
        <v>89</v>
      </c>
      <c r="D16" s="11" t="s">
        <v>752</v>
      </c>
      <c r="E16" s="11" t="s">
        <v>753</v>
      </c>
      <c r="F16" s="11" t="s">
        <v>754</v>
      </c>
      <c r="G16" s="11" t="s">
        <v>123</v>
      </c>
      <c r="H16" s="16">
        <v>1.5</v>
      </c>
      <c r="I16" s="11" t="s">
        <v>755</v>
      </c>
      <c r="J16" s="11" t="s">
        <v>756</v>
      </c>
      <c r="K16" s="11" t="s">
        <v>757</v>
      </c>
      <c r="L16" s="11" t="s">
        <v>758</v>
      </c>
      <c r="M16" s="11" t="s">
        <v>760</v>
      </c>
      <c r="N16" s="11" t="s">
        <v>762</v>
      </c>
      <c r="O16" s="11" t="s">
        <v>303</v>
      </c>
      <c r="P16" s="29" t="s">
        <v>763</v>
      </c>
    </row>
    <row r="17" spans="1:16" ht="193.8">
      <c r="A17" s="11" t="s">
        <v>764</v>
      </c>
      <c r="B17" s="11">
        <v>8</v>
      </c>
      <c r="C17" s="11" t="s">
        <v>89</v>
      </c>
      <c r="D17" s="11" t="s">
        <v>765</v>
      </c>
      <c r="E17" s="11" t="s">
        <v>766</v>
      </c>
      <c r="F17" s="11" t="s">
        <v>767</v>
      </c>
      <c r="G17" s="11" t="s">
        <v>123</v>
      </c>
      <c r="H17" s="16">
        <v>1</v>
      </c>
      <c r="I17" s="11" t="s">
        <v>755</v>
      </c>
      <c r="J17" s="11" t="s">
        <v>101</v>
      </c>
      <c r="K17" s="11" t="s">
        <v>768</v>
      </c>
      <c r="L17" s="11" t="s">
        <v>2343</v>
      </c>
      <c r="M17" s="11" t="s">
        <v>770</v>
      </c>
      <c r="N17" s="11" t="s">
        <v>771</v>
      </c>
      <c r="O17" s="11" t="s">
        <v>303</v>
      </c>
      <c r="P17" s="29" t="s">
        <v>772</v>
      </c>
    </row>
    <row r="18" spans="1:16" ht="110.4">
      <c r="A18" s="11" t="s">
        <v>773</v>
      </c>
      <c r="B18" s="11">
        <v>9</v>
      </c>
      <c r="C18" s="11" t="s">
        <v>89</v>
      </c>
      <c r="D18" s="11" t="s">
        <v>774</v>
      </c>
      <c r="E18" s="11" t="s">
        <v>775</v>
      </c>
      <c r="F18" s="11" t="s">
        <v>776</v>
      </c>
      <c r="G18" s="11" t="s">
        <v>109</v>
      </c>
      <c r="H18" s="16">
        <v>1</v>
      </c>
      <c r="I18" s="11" t="s">
        <v>777</v>
      </c>
      <c r="J18" s="11" t="s">
        <v>598</v>
      </c>
      <c r="K18" s="11" t="s">
        <v>778</v>
      </c>
      <c r="L18" s="11" t="s">
        <v>779</v>
      </c>
      <c r="M18" s="11" t="s">
        <v>781</v>
      </c>
      <c r="N18" s="11" t="s">
        <v>783</v>
      </c>
      <c r="O18" s="11" t="s">
        <v>303</v>
      </c>
      <c r="P18" s="29" t="s">
        <v>784</v>
      </c>
    </row>
    <row r="19" spans="1:16" ht="124.2">
      <c r="A19" s="11" t="s">
        <v>785</v>
      </c>
      <c r="B19" s="11">
        <v>10</v>
      </c>
      <c r="C19" s="11" t="s">
        <v>89</v>
      </c>
      <c r="D19" s="11" t="s">
        <v>786</v>
      </c>
      <c r="E19" s="11" t="s">
        <v>787</v>
      </c>
      <c r="F19" s="11" t="s">
        <v>788</v>
      </c>
      <c r="G19" s="11" t="s">
        <v>93</v>
      </c>
      <c r="H19" s="16">
        <v>1.5</v>
      </c>
      <c r="I19" s="11" t="s">
        <v>777</v>
      </c>
      <c r="J19" s="11" t="s">
        <v>357</v>
      </c>
      <c r="K19" s="11" t="s">
        <v>789</v>
      </c>
      <c r="L19" s="11" t="s">
        <v>790</v>
      </c>
      <c r="M19" s="11" t="s">
        <v>792</v>
      </c>
      <c r="N19" s="11" t="s">
        <v>793</v>
      </c>
      <c r="O19" s="11" t="s">
        <v>303</v>
      </c>
      <c r="P19" s="29" t="s">
        <v>794</v>
      </c>
    </row>
    <row r="20" spans="1:16" ht="110.4">
      <c r="A20" s="11" t="s">
        <v>795</v>
      </c>
      <c r="B20" s="11">
        <v>11</v>
      </c>
      <c r="C20" s="11" t="s">
        <v>89</v>
      </c>
      <c r="D20" s="11" t="s">
        <v>796</v>
      </c>
      <c r="E20" s="11" t="s">
        <v>797</v>
      </c>
      <c r="F20" s="11" t="s">
        <v>798</v>
      </c>
      <c r="G20" s="11" t="s">
        <v>109</v>
      </c>
      <c r="H20" s="16">
        <v>0.75</v>
      </c>
      <c r="I20" s="11" t="s">
        <v>777</v>
      </c>
      <c r="J20" s="11" t="s">
        <v>357</v>
      </c>
      <c r="K20" s="11" t="s">
        <v>799</v>
      </c>
      <c r="L20" s="11" t="s">
        <v>800</v>
      </c>
      <c r="M20" s="11" t="s">
        <v>802</v>
      </c>
      <c r="N20" s="11" t="s">
        <v>804</v>
      </c>
      <c r="O20" s="11" t="s">
        <v>303</v>
      </c>
      <c r="P20" s="29" t="s">
        <v>805</v>
      </c>
    </row>
    <row r="21" spans="1:16" ht="193.8">
      <c r="A21" s="11" t="s">
        <v>806</v>
      </c>
      <c r="B21" s="11">
        <v>12</v>
      </c>
      <c r="C21" s="11" t="s">
        <v>89</v>
      </c>
      <c r="D21" s="11" t="s">
        <v>807</v>
      </c>
      <c r="E21" s="11" t="s">
        <v>808</v>
      </c>
      <c r="F21" s="11" t="s">
        <v>809</v>
      </c>
      <c r="G21" s="11" t="s">
        <v>109</v>
      </c>
      <c r="H21" s="16">
        <v>1</v>
      </c>
      <c r="I21" s="11" t="s">
        <v>777</v>
      </c>
      <c r="J21" s="11" t="s">
        <v>217</v>
      </c>
      <c r="K21" s="11" t="s">
        <v>810</v>
      </c>
      <c r="L21" s="11" t="s">
        <v>2344</v>
      </c>
      <c r="M21" s="11" t="s">
        <v>812</v>
      </c>
      <c r="N21" s="11" t="s">
        <v>813</v>
      </c>
      <c r="O21" s="11" t="s">
        <v>303</v>
      </c>
      <c r="P21" s="29" t="s">
        <v>814</v>
      </c>
    </row>
    <row r="22" spans="1:16" ht="110.4">
      <c r="A22" s="11" t="s">
        <v>815</v>
      </c>
      <c r="B22" s="11">
        <v>13</v>
      </c>
      <c r="C22" s="11" t="s">
        <v>89</v>
      </c>
      <c r="D22" s="11" t="s">
        <v>226</v>
      </c>
      <c r="E22" s="11" t="s">
        <v>816</v>
      </c>
      <c r="F22" s="11" t="s">
        <v>817</v>
      </c>
      <c r="G22" s="11" t="s">
        <v>93</v>
      </c>
      <c r="H22" s="16">
        <v>0.75</v>
      </c>
      <c r="I22" s="11" t="s">
        <v>2345</v>
      </c>
      <c r="J22" s="11" t="s">
        <v>818</v>
      </c>
      <c r="K22" s="11" t="s">
        <v>819</v>
      </c>
      <c r="L22" s="11" t="s">
        <v>820</v>
      </c>
      <c r="M22" s="11" t="s">
        <v>822</v>
      </c>
      <c r="N22" s="11" t="s">
        <v>824</v>
      </c>
      <c r="O22" s="11" t="s">
        <v>303</v>
      </c>
      <c r="P22" s="29" t="s">
        <v>825</v>
      </c>
    </row>
    <row r="23" spans="1:16" ht="24" customHeight="1">
      <c r="A23" s="24" t="s">
        <v>826</v>
      </c>
      <c r="B23" s="24">
        <v>14</v>
      </c>
      <c r="C23" s="24" t="s">
        <v>89</v>
      </c>
      <c r="D23" s="24" t="s">
        <v>238</v>
      </c>
      <c r="E23" s="24" t="s">
        <v>827</v>
      </c>
      <c r="F23" s="24" t="s">
        <v>828</v>
      </c>
      <c r="G23" s="24" t="s">
        <v>109</v>
      </c>
      <c r="H23">
        <v>1</v>
      </c>
      <c r="I23" t="s">
        <v>241</v>
      </c>
      <c r="J23" t="s">
        <v>101</v>
      </c>
      <c r="K23" t="s">
        <v>829</v>
      </c>
      <c r="L23" t="s">
        <v>2318</v>
      </c>
      <c r="M23" t="s">
        <v>830</v>
      </c>
      <c r="N23" t="s">
        <v>246</v>
      </c>
      <c r="O23" t="s">
        <v>303</v>
      </c>
      <c r="P23" s="29" t="s">
        <v>833</v>
      </c>
    </row>
    <row r="24" spans="1:16" ht="34.049999999999997" customHeight="1">
      <c r="A24" s="110"/>
      <c r="B24" s="110"/>
      <c r="C24" s="110"/>
      <c r="D24" s="110"/>
      <c r="E24" s="110"/>
      <c r="F24" s="110"/>
      <c r="G24" s="110"/>
      <c r="H24" s="95"/>
      <c r="I24" s="95"/>
      <c r="J24" s="95"/>
      <c r="K24" s="95"/>
      <c r="L24" s="95"/>
      <c r="M24" s="95"/>
      <c r="N24" s="95"/>
      <c r="O24" s="95"/>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684</v>
      </c>
      <c r="C27" s="34" t="s">
        <v>1113</v>
      </c>
      <c r="D27" s="34" t="s">
        <v>1114</v>
      </c>
      <c r="E27" s="34" t="s">
        <v>1115</v>
      </c>
      <c r="F27" s="34" t="s">
        <v>1116</v>
      </c>
      <c r="G27" s="34" t="s">
        <v>1014</v>
      </c>
    </row>
    <row r="28" spans="1:16" ht="52.05" customHeight="1">
      <c r="A28" s="22">
        <v>2</v>
      </c>
      <c r="B28" s="22" t="s">
        <v>696</v>
      </c>
      <c r="C28" s="22" t="s">
        <v>1117</v>
      </c>
      <c r="D28" s="22" t="s">
        <v>1118</v>
      </c>
      <c r="E28" s="22" t="s">
        <v>1119</v>
      </c>
      <c r="F28" s="22" t="s">
        <v>1120</v>
      </c>
      <c r="G28" s="22" t="s">
        <v>1023</v>
      </c>
    </row>
    <row r="29" spans="1:16" ht="52.05" customHeight="1">
      <c r="A29" s="34">
        <v>3</v>
      </c>
      <c r="B29" s="34" t="s">
        <v>755</v>
      </c>
      <c r="C29" s="34" t="s">
        <v>1121</v>
      </c>
      <c r="D29" s="34" t="s">
        <v>1122</v>
      </c>
      <c r="E29" s="34" t="s">
        <v>1123</v>
      </c>
      <c r="F29" s="34" t="s">
        <v>1124</v>
      </c>
      <c r="G29" s="34" t="s">
        <v>1023</v>
      </c>
    </row>
    <row r="30" spans="1:16" ht="52.05" customHeight="1">
      <c r="A30" s="22">
        <v>4</v>
      </c>
      <c r="B30" s="22" t="s">
        <v>742</v>
      </c>
      <c r="C30" s="22" t="s">
        <v>1125</v>
      </c>
      <c r="D30" s="22" t="s">
        <v>1126</v>
      </c>
      <c r="E30" s="22" t="s">
        <v>1127</v>
      </c>
      <c r="F30" s="22" t="s">
        <v>1128</v>
      </c>
      <c r="G30" s="22" t="s">
        <v>1023</v>
      </c>
    </row>
    <row r="31" spans="1:16" ht="52.05" customHeight="1">
      <c r="A31" s="35">
        <v>5</v>
      </c>
      <c r="B31" s="35" t="s">
        <v>777</v>
      </c>
      <c r="C31" s="35" t="s">
        <v>1129</v>
      </c>
      <c r="D31" s="35" t="s">
        <v>1130</v>
      </c>
      <c r="E31" s="35" t="s">
        <v>1131</v>
      </c>
      <c r="F31" s="35" t="s">
        <v>1132</v>
      </c>
      <c r="G31" s="35" t="s">
        <v>1023</v>
      </c>
    </row>
    <row r="32" spans="1:16" ht="52.05" customHeight="1">
      <c r="A32" s="35">
        <v>6</v>
      </c>
      <c r="B32" s="35" t="s">
        <v>2345</v>
      </c>
      <c r="C32" s="35" t="s">
        <v>1036</v>
      </c>
      <c r="D32" s="35" t="s">
        <v>1037</v>
      </c>
      <c r="E32" s="35" t="s">
        <v>2352</v>
      </c>
      <c r="F32" s="35" t="s">
        <v>822</v>
      </c>
      <c r="G32" s="35" t="s">
        <v>1014</v>
      </c>
    </row>
    <row r="33" spans="1:7" ht="52.05" customHeight="1">
      <c r="A33" s="35">
        <v>7</v>
      </c>
      <c r="B33" s="35" t="s">
        <v>241</v>
      </c>
      <c r="C33" s="35" t="s">
        <v>1133</v>
      </c>
      <c r="D33" s="35" t="s">
        <v>1039</v>
      </c>
      <c r="E33" s="35" t="s">
        <v>1040</v>
      </c>
      <c r="F33" s="35" t="s">
        <v>1134</v>
      </c>
      <c r="G33"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6" t="s">
        <v>1135</v>
      </c>
      <c r="B1" s="56"/>
      <c r="C1" s="56"/>
      <c r="D1" s="56"/>
      <c r="E1" s="56"/>
      <c r="F1" s="56"/>
      <c r="G1" s="56"/>
      <c r="H1" s="56"/>
      <c r="I1" s="56"/>
      <c r="J1" s="56"/>
      <c r="K1" s="56"/>
      <c r="L1" s="56"/>
      <c r="M1" s="56"/>
      <c r="N1" s="56"/>
      <c r="O1" s="56"/>
    </row>
    <row r="2" spans="1:16" ht="31.95" customHeight="1">
      <c r="A2" s="57" t="s">
        <v>1136</v>
      </c>
      <c r="B2" s="57"/>
      <c r="C2" s="57"/>
      <c r="D2" s="57"/>
      <c r="E2" s="57"/>
      <c r="F2" s="57"/>
      <c r="G2" s="57"/>
      <c r="H2" s="57"/>
      <c r="I2" s="57"/>
      <c r="J2" s="57"/>
      <c r="K2" s="57"/>
      <c r="L2" s="57"/>
      <c r="M2" s="57"/>
      <c r="N2" s="57"/>
      <c r="O2" s="57"/>
    </row>
    <row r="4" spans="1:16" ht="28.05" customHeight="1">
      <c r="A4" s="58" t="s">
        <v>55</v>
      </c>
      <c r="B4" s="60"/>
      <c r="D4" s="58" t="s">
        <v>48</v>
      </c>
      <c r="E4" s="60"/>
      <c r="G4" s="58" t="s">
        <v>992</v>
      </c>
      <c r="H4" s="59"/>
      <c r="I4" s="59"/>
      <c r="J4" s="59"/>
      <c r="K4" s="59"/>
      <c r="L4" s="59"/>
      <c r="M4" s="59"/>
      <c r="N4" s="59"/>
      <c r="O4" s="60"/>
    </row>
    <row r="5" spans="1:16">
      <c r="A5" s="96">
        <f>IF(COUNTA(O10:O40)=0,0,COUNTIF(O10:O40,"Done")/COUNTA(A10:A40))</f>
        <v>0</v>
      </c>
      <c r="B5" s="97"/>
      <c r="D5" s="100">
        <f>COUNTIF(O10:O40,"Blocked")</f>
        <v>0</v>
      </c>
      <c r="E5" s="101"/>
      <c r="G5" s="104" t="s">
        <v>1137</v>
      </c>
      <c r="H5" s="105"/>
      <c r="I5" s="105"/>
      <c r="J5" s="105"/>
      <c r="K5" s="105"/>
      <c r="L5" s="105"/>
      <c r="M5" s="105"/>
      <c r="N5" s="105"/>
      <c r="O5" s="106"/>
    </row>
    <row r="6" spans="1:16">
      <c r="A6" s="98"/>
      <c r="B6" s="99"/>
      <c r="D6" s="102"/>
      <c r="E6" s="103"/>
      <c r="G6" s="107"/>
      <c r="H6" s="108"/>
      <c r="I6" s="108"/>
      <c r="J6" s="108"/>
      <c r="K6" s="108"/>
      <c r="L6" s="108"/>
      <c r="M6" s="108"/>
      <c r="N6" s="108"/>
      <c r="O6" s="109"/>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834</v>
      </c>
      <c r="B10" s="10">
        <v>1</v>
      </c>
      <c r="C10" s="10" t="s">
        <v>89</v>
      </c>
      <c r="D10" s="10" t="s">
        <v>835</v>
      </c>
      <c r="E10" s="10" t="s">
        <v>836</v>
      </c>
      <c r="F10" s="10" t="s">
        <v>837</v>
      </c>
      <c r="G10" s="10" t="s">
        <v>109</v>
      </c>
      <c r="H10" s="15">
        <v>0.75</v>
      </c>
      <c r="I10" s="10" t="s">
        <v>755</v>
      </c>
      <c r="J10" s="10" t="s">
        <v>838</v>
      </c>
      <c r="K10" s="10" t="s">
        <v>839</v>
      </c>
      <c r="L10" s="10" t="s">
        <v>840</v>
      </c>
      <c r="M10" s="10" t="s">
        <v>842</v>
      </c>
      <c r="N10" s="10" t="s">
        <v>844</v>
      </c>
      <c r="O10" s="10" t="s">
        <v>303</v>
      </c>
      <c r="P10" s="29" t="s">
        <v>845</v>
      </c>
    </row>
    <row r="11" spans="1:16" ht="124.2">
      <c r="A11" s="11" t="s">
        <v>846</v>
      </c>
      <c r="B11" s="11">
        <v>2</v>
      </c>
      <c r="C11" s="11" t="s">
        <v>89</v>
      </c>
      <c r="D11" s="11" t="s">
        <v>847</v>
      </c>
      <c r="E11" s="11" t="s">
        <v>848</v>
      </c>
      <c r="F11" s="11" t="s">
        <v>849</v>
      </c>
      <c r="G11" s="11" t="s">
        <v>123</v>
      </c>
      <c r="H11" s="16">
        <v>1.5</v>
      </c>
      <c r="I11" s="11" t="s">
        <v>850</v>
      </c>
      <c r="J11" s="11" t="s">
        <v>838</v>
      </c>
      <c r="K11" s="11" t="s">
        <v>851</v>
      </c>
      <c r="L11" s="11" t="s">
        <v>852</v>
      </c>
      <c r="M11" s="11" t="s">
        <v>854</v>
      </c>
      <c r="N11" s="11" t="s">
        <v>856</v>
      </c>
      <c r="O11" s="11" t="s">
        <v>303</v>
      </c>
      <c r="P11" s="29" t="s">
        <v>857</v>
      </c>
    </row>
    <row r="12" spans="1:16" ht="110.4">
      <c r="A12" s="11" t="s">
        <v>858</v>
      </c>
      <c r="B12" s="11">
        <v>3</v>
      </c>
      <c r="C12" s="11" t="s">
        <v>89</v>
      </c>
      <c r="D12" s="11" t="s">
        <v>859</v>
      </c>
      <c r="E12" s="11" t="s">
        <v>860</v>
      </c>
      <c r="F12" s="11" t="s">
        <v>861</v>
      </c>
      <c r="G12" s="11" t="s">
        <v>123</v>
      </c>
      <c r="H12" s="16">
        <v>1</v>
      </c>
      <c r="I12" s="11" t="s">
        <v>850</v>
      </c>
      <c r="J12" s="11" t="s">
        <v>862</v>
      </c>
      <c r="K12" s="11" t="s">
        <v>863</v>
      </c>
      <c r="L12" s="11" t="s">
        <v>864</v>
      </c>
      <c r="M12" s="11" t="s">
        <v>866</v>
      </c>
      <c r="N12" s="11" t="s">
        <v>868</v>
      </c>
      <c r="O12" s="11" t="s">
        <v>303</v>
      </c>
      <c r="P12" s="29" t="s">
        <v>869</v>
      </c>
    </row>
    <row r="13" spans="1:16" ht="110.4">
      <c r="A13" s="11" t="s">
        <v>870</v>
      </c>
      <c r="B13" s="11">
        <v>4</v>
      </c>
      <c r="C13" s="11" t="s">
        <v>89</v>
      </c>
      <c r="D13" s="11" t="s">
        <v>871</v>
      </c>
      <c r="E13" s="11" t="s">
        <v>872</v>
      </c>
      <c r="F13" s="11" t="s">
        <v>873</v>
      </c>
      <c r="G13" s="11" t="s">
        <v>123</v>
      </c>
      <c r="H13" s="16">
        <v>1</v>
      </c>
      <c r="I13" s="11" t="s">
        <v>850</v>
      </c>
      <c r="J13" s="11" t="s">
        <v>874</v>
      </c>
      <c r="K13" s="11" t="s">
        <v>875</v>
      </c>
      <c r="L13" s="11" t="s">
        <v>876</v>
      </c>
      <c r="M13" s="11" t="s">
        <v>878</v>
      </c>
      <c r="N13" s="11" t="s">
        <v>880</v>
      </c>
      <c r="O13" s="11" t="s">
        <v>303</v>
      </c>
      <c r="P13" s="29" t="s">
        <v>881</v>
      </c>
    </row>
    <row r="14" spans="1:16" ht="110.4">
      <c r="A14" s="11" t="s">
        <v>882</v>
      </c>
      <c r="B14" s="11">
        <v>5</v>
      </c>
      <c r="C14" s="11" t="s">
        <v>89</v>
      </c>
      <c r="D14" s="11" t="s">
        <v>883</v>
      </c>
      <c r="E14" s="11" t="s">
        <v>884</v>
      </c>
      <c r="F14" s="11" t="s">
        <v>885</v>
      </c>
      <c r="G14" s="11" t="s">
        <v>123</v>
      </c>
      <c r="H14" s="16">
        <v>1</v>
      </c>
      <c r="I14" s="11" t="s">
        <v>850</v>
      </c>
      <c r="J14" s="11" t="s">
        <v>503</v>
      </c>
      <c r="K14" s="11" t="s">
        <v>886</v>
      </c>
      <c r="L14" s="11" t="s">
        <v>852</v>
      </c>
      <c r="M14" s="11" t="s">
        <v>888</v>
      </c>
      <c r="N14" s="11" t="s">
        <v>889</v>
      </c>
      <c r="O14" s="11" t="s">
        <v>303</v>
      </c>
      <c r="P14" s="29" t="s">
        <v>890</v>
      </c>
    </row>
    <row r="15" spans="1:16" ht="124.2">
      <c r="A15" s="11" t="s">
        <v>891</v>
      </c>
      <c r="B15" s="11">
        <v>6</v>
      </c>
      <c r="C15" s="11" t="s">
        <v>89</v>
      </c>
      <c r="D15" s="11" t="s">
        <v>892</v>
      </c>
      <c r="E15" s="11" t="s">
        <v>893</v>
      </c>
      <c r="F15" s="11" t="s">
        <v>894</v>
      </c>
      <c r="G15" s="11" t="s">
        <v>123</v>
      </c>
      <c r="H15" s="16">
        <v>1.25</v>
      </c>
      <c r="I15" s="11" t="s">
        <v>895</v>
      </c>
      <c r="J15" s="11" t="s">
        <v>491</v>
      </c>
      <c r="K15" s="11" t="s">
        <v>896</v>
      </c>
      <c r="L15" s="11" t="s">
        <v>621</v>
      </c>
      <c r="M15" s="11" t="s">
        <v>898</v>
      </c>
      <c r="N15" s="11" t="s">
        <v>900</v>
      </c>
      <c r="O15" s="11" t="s">
        <v>303</v>
      </c>
      <c r="P15" s="29" t="s">
        <v>901</v>
      </c>
    </row>
    <row r="16" spans="1:16" ht="110.4">
      <c r="A16" s="11" t="s">
        <v>902</v>
      </c>
      <c r="B16" s="11">
        <v>7</v>
      </c>
      <c r="C16" s="11" t="s">
        <v>89</v>
      </c>
      <c r="D16" s="11" t="s">
        <v>903</v>
      </c>
      <c r="E16" s="11" t="s">
        <v>904</v>
      </c>
      <c r="F16" s="11" t="s">
        <v>905</v>
      </c>
      <c r="G16" s="11" t="s">
        <v>109</v>
      </c>
      <c r="H16" s="16">
        <v>1</v>
      </c>
      <c r="I16" s="11" t="s">
        <v>895</v>
      </c>
      <c r="J16" s="11" t="s">
        <v>906</v>
      </c>
      <c r="K16" s="11" t="s">
        <v>907</v>
      </c>
      <c r="L16" s="11" t="s">
        <v>908</v>
      </c>
      <c r="M16" s="11" t="s">
        <v>910</v>
      </c>
      <c r="N16" s="11" t="s">
        <v>911</v>
      </c>
      <c r="O16" s="11" t="s">
        <v>303</v>
      </c>
      <c r="P16" s="29" t="s">
        <v>912</v>
      </c>
    </row>
    <row r="17" spans="1:16" ht="110.4">
      <c r="A17" s="11" t="s">
        <v>913</v>
      </c>
      <c r="B17" s="11">
        <v>8</v>
      </c>
      <c r="C17" s="11" t="s">
        <v>89</v>
      </c>
      <c r="D17" s="11" t="s">
        <v>914</v>
      </c>
      <c r="E17" s="11" t="s">
        <v>915</v>
      </c>
      <c r="F17" s="11" t="s">
        <v>916</v>
      </c>
      <c r="G17" s="11" t="s">
        <v>917</v>
      </c>
      <c r="H17" s="16">
        <v>1</v>
      </c>
      <c r="I17" s="11" t="s">
        <v>895</v>
      </c>
      <c r="J17" s="11" t="s">
        <v>491</v>
      </c>
      <c r="K17" s="11" t="s">
        <v>918</v>
      </c>
      <c r="L17" s="11" t="s">
        <v>919</v>
      </c>
      <c r="M17" s="11" t="s">
        <v>921</v>
      </c>
      <c r="N17" s="11" t="s">
        <v>924</v>
      </c>
      <c r="O17" s="11" t="s">
        <v>303</v>
      </c>
      <c r="P17" s="29" t="s">
        <v>925</v>
      </c>
    </row>
    <row r="18" spans="1:16" ht="110.4">
      <c r="A18" s="11" t="s">
        <v>926</v>
      </c>
      <c r="B18" s="11">
        <v>9</v>
      </c>
      <c r="C18" s="11" t="s">
        <v>89</v>
      </c>
      <c r="D18" s="11" t="s">
        <v>927</v>
      </c>
      <c r="E18" s="11" t="s">
        <v>928</v>
      </c>
      <c r="F18" s="11" t="s">
        <v>929</v>
      </c>
      <c r="G18" s="11" t="s">
        <v>109</v>
      </c>
      <c r="H18" s="16">
        <v>1</v>
      </c>
      <c r="I18" s="11" t="s">
        <v>895</v>
      </c>
      <c r="J18" s="11" t="s">
        <v>930</v>
      </c>
      <c r="K18" s="11" t="s">
        <v>931</v>
      </c>
      <c r="L18" s="11" t="s">
        <v>932</v>
      </c>
      <c r="M18" s="11" t="s">
        <v>934</v>
      </c>
      <c r="N18" s="11" t="s">
        <v>936</v>
      </c>
      <c r="O18" s="11" t="s">
        <v>303</v>
      </c>
      <c r="P18" s="29" t="s">
        <v>937</v>
      </c>
    </row>
    <row r="19" spans="1:16" ht="124.2">
      <c r="A19" s="11" t="s">
        <v>938</v>
      </c>
      <c r="B19" s="11">
        <v>10</v>
      </c>
      <c r="C19" s="11" t="s">
        <v>89</v>
      </c>
      <c r="D19" s="11" t="s">
        <v>939</v>
      </c>
      <c r="E19" s="11" t="s">
        <v>940</v>
      </c>
      <c r="F19" s="11" t="s">
        <v>941</v>
      </c>
      <c r="G19" s="11" t="s">
        <v>109</v>
      </c>
      <c r="H19" s="16">
        <v>1.25</v>
      </c>
      <c r="I19" s="11" t="s">
        <v>942</v>
      </c>
      <c r="J19" s="11" t="s">
        <v>469</v>
      </c>
      <c r="K19" s="11" t="s">
        <v>943</v>
      </c>
      <c r="L19" s="11" t="s">
        <v>944</v>
      </c>
      <c r="M19" s="11" t="s">
        <v>946</v>
      </c>
      <c r="N19" s="11" t="s">
        <v>948</v>
      </c>
      <c r="O19" s="11" t="s">
        <v>303</v>
      </c>
      <c r="P19" s="29" t="s">
        <v>949</v>
      </c>
    </row>
    <row r="20" spans="1:16" ht="193.8">
      <c r="A20" s="11" t="s">
        <v>950</v>
      </c>
      <c r="B20" s="11">
        <v>11</v>
      </c>
      <c r="C20" s="11" t="s">
        <v>89</v>
      </c>
      <c r="D20" s="11" t="s">
        <v>951</v>
      </c>
      <c r="E20" s="11" t="s">
        <v>952</v>
      </c>
      <c r="F20" s="11" t="s">
        <v>953</v>
      </c>
      <c r="G20" s="11" t="s">
        <v>93</v>
      </c>
      <c r="H20" s="16">
        <v>0.75</v>
      </c>
      <c r="I20" s="11" t="s">
        <v>942</v>
      </c>
      <c r="J20" s="11" t="s">
        <v>357</v>
      </c>
      <c r="K20" s="11" t="s">
        <v>954</v>
      </c>
      <c r="L20" s="11" t="s">
        <v>2346</v>
      </c>
      <c r="M20" s="11" t="s">
        <v>956</v>
      </c>
      <c r="N20" s="11" t="s">
        <v>957</v>
      </c>
      <c r="O20" s="11" t="s">
        <v>303</v>
      </c>
      <c r="P20" s="29" t="s">
        <v>958</v>
      </c>
    </row>
    <row r="21" spans="1:16" ht="110.4">
      <c r="A21" s="11" t="s">
        <v>959</v>
      </c>
      <c r="B21" s="11">
        <v>12</v>
      </c>
      <c r="C21" s="11" t="s">
        <v>89</v>
      </c>
      <c r="D21" s="11" t="s">
        <v>960</v>
      </c>
      <c r="E21" s="11" t="s">
        <v>961</v>
      </c>
      <c r="F21" s="11" t="s">
        <v>962</v>
      </c>
      <c r="G21" s="11" t="s">
        <v>93</v>
      </c>
      <c r="H21" s="16">
        <v>1.25</v>
      </c>
      <c r="I21" s="11" t="s">
        <v>777</v>
      </c>
      <c r="J21" s="11" t="s">
        <v>206</v>
      </c>
      <c r="K21" s="11" t="s">
        <v>963</v>
      </c>
      <c r="L21" s="11" t="s">
        <v>964</v>
      </c>
      <c r="M21" s="11" t="s">
        <v>966</v>
      </c>
      <c r="N21" s="11" t="s">
        <v>968</v>
      </c>
      <c r="O21" s="11" t="s">
        <v>303</v>
      </c>
      <c r="P21" s="29" t="s">
        <v>969</v>
      </c>
    </row>
    <row r="22" spans="1:16" ht="124.2">
      <c r="A22" s="11" t="s">
        <v>970</v>
      </c>
      <c r="B22" s="11">
        <v>13</v>
      </c>
      <c r="C22" s="11" t="s">
        <v>89</v>
      </c>
      <c r="D22" s="11" t="s">
        <v>971</v>
      </c>
      <c r="E22" s="11" t="s">
        <v>972</v>
      </c>
      <c r="F22" s="11" t="s">
        <v>973</v>
      </c>
      <c r="G22" s="11" t="s">
        <v>93</v>
      </c>
      <c r="H22" s="16">
        <v>1</v>
      </c>
      <c r="I22" s="11" t="s">
        <v>942</v>
      </c>
      <c r="J22" s="11" t="s">
        <v>101</v>
      </c>
      <c r="K22" s="11" t="s">
        <v>974</v>
      </c>
      <c r="L22" s="11" t="s">
        <v>975</v>
      </c>
      <c r="M22" s="11" t="s">
        <v>977</v>
      </c>
      <c r="N22" s="11" t="s">
        <v>979</v>
      </c>
      <c r="O22" s="11" t="s">
        <v>303</v>
      </c>
      <c r="P22" s="29" t="s">
        <v>980</v>
      </c>
    </row>
    <row r="23" spans="1:16" ht="24" customHeight="1">
      <c r="A23" s="24" t="s">
        <v>981</v>
      </c>
      <c r="B23" s="24">
        <v>14</v>
      </c>
      <c r="C23" s="24" t="s">
        <v>89</v>
      </c>
      <c r="D23" s="24" t="s">
        <v>238</v>
      </c>
      <c r="E23" s="24" t="s">
        <v>982</v>
      </c>
      <c r="F23" s="24" t="s">
        <v>983</v>
      </c>
      <c r="G23" s="24" t="s">
        <v>109</v>
      </c>
      <c r="H23">
        <v>1.5</v>
      </c>
      <c r="I23" t="s">
        <v>241</v>
      </c>
      <c r="J23" t="s">
        <v>101</v>
      </c>
      <c r="K23" t="s">
        <v>984</v>
      </c>
      <c r="L23" t="s">
        <v>2319</v>
      </c>
      <c r="M23" t="s">
        <v>986</v>
      </c>
      <c r="N23" t="s">
        <v>246</v>
      </c>
      <c r="O23" t="s">
        <v>303</v>
      </c>
      <c r="P23" s="29" t="s">
        <v>989</v>
      </c>
    </row>
    <row r="24" spans="1:16" ht="34.049999999999997" customHeight="1">
      <c r="A24" s="110"/>
      <c r="B24" s="110"/>
      <c r="C24" s="110"/>
      <c r="D24" s="110"/>
      <c r="E24" s="110"/>
      <c r="F24" s="110"/>
      <c r="G24" s="110"/>
      <c r="H24" s="95"/>
      <c r="I24" s="95"/>
      <c r="J24" s="95"/>
      <c r="K24" s="95"/>
      <c r="L24" s="95"/>
      <c r="M24" s="95"/>
      <c r="N24" s="95"/>
      <c r="O24" s="95"/>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850</v>
      </c>
      <c r="C27" s="34" t="s">
        <v>1138</v>
      </c>
      <c r="D27" s="34" t="s">
        <v>1139</v>
      </c>
      <c r="E27" s="34" t="s">
        <v>1140</v>
      </c>
      <c r="F27" s="34" t="s">
        <v>1141</v>
      </c>
      <c r="G27" s="34" t="s">
        <v>1023</v>
      </c>
    </row>
    <row r="28" spans="1:16" ht="52.05" customHeight="1">
      <c r="A28" s="35">
        <v>2</v>
      </c>
      <c r="B28" s="35" t="s">
        <v>895</v>
      </c>
      <c r="C28" s="35" t="s">
        <v>1142</v>
      </c>
      <c r="D28" s="35" t="s">
        <v>1143</v>
      </c>
      <c r="E28" s="35" t="s">
        <v>1144</v>
      </c>
      <c r="F28" s="35" t="s">
        <v>1145</v>
      </c>
      <c r="G28" s="35" t="s">
        <v>1023</v>
      </c>
    </row>
    <row r="29" spans="1:16" ht="52.05" customHeight="1">
      <c r="A29" s="35">
        <v>3</v>
      </c>
      <c r="B29" s="35" t="s">
        <v>942</v>
      </c>
      <c r="C29" s="35" t="s">
        <v>1146</v>
      </c>
      <c r="D29" s="35" t="s">
        <v>1147</v>
      </c>
      <c r="E29" s="35" t="s">
        <v>1148</v>
      </c>
      <c r="F29" s="35" t="s">
        <v>1149</v>
      </c>
      <c r="G29" s="35" t="s">
        <v>1023</v>
      </c>
    </row>
    <row r="30" spans="1:16" ht="52.05" customHeight="1">
      <c r="A30" s="35">
        <v>4</v>
      </c>
      <c r="B30" s="35" t="s">
        <v>241</v>
      </c>
      <c r="C30" s="35" t="s">
        <v>1150</v>
      </c>
      <c r="D30" s="35" t="s">
        <v>1039</v>
      </c>
      <c r="E30" s="35" t="s">
        <v>1040</v>
      </c>
      <c r="F30" s="35" t="s">
        <v>1151</v>
      </c>
      <c r="G30"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56" t="s">
        <v>1152</v>
      </c>
      <c r="B1" s="56"/>
      <c r="C1" s="56"/>
      <c r="D1" s="56"/>
      <c r="E1" s="56"/>
      <c r="F1" s="56"/>
      <c r="G1" s="56"/>
      <c r="H1" s="56"/>
    </row>
    <row r="2" spans="1:8" ht="31.95" customHeight="1">
      <c r="A2" s="57" t="s">
        <v>1153</v>
      </c>
      <c r="B2" s="57"/>
      <c r="C2" s="57"/>
      <c r="D2" s="57"/>
      <c r="E2" s="57"/>
      <c r="F2" s="57"/>
      <c r="G2" s="57"/>
      <c r="H2" s="57"/>
    </row>
    <row r="4" spans="1:8" ht="46.05" customHeight="1">
      <c r="A4" s="111" t="s">
        <v>1154</v>
      </c>
      <c r="B4" s="112"/>
      <c r="C4" s="112"/>
      <c r="D4" s="112"/>
      <c r="E4" s="112"/>
      <c r="F4" s="112"/>
      <c r="G4" s="112"/>
      <c r="H4" s="113"/>
    </row>
    <row r="6" spans="1:8" ht="28.05" customHeight="1">
      <c r="A6" s="1" t="s">
        <v>1155</v>
      </c>
      <c r="B6" s="2" t="s">
        <v>1156</v>
      </c>
      <c r="C6" s="2" t="s">
        <v>1157</v>
      </c>
      <c r="D6" s="2" t="s">
        <v>1158</v>
      </c>
      <c r="E6" s="2" t="s">
        <v>1159</v>
      </c>
      <c r="F6" s="2" t="s">
        <v>1160</v>
      </c>
      <c r="G6" s="2" t="s">
        <v>1161</v>
      </c>
      <c r="H6" s="3" t="s">
        <v>1162</v>
      </c>
    </row>
    <row r="7" spans="1:8">
      <c r="A7" s="10" t="s">
        <v>1163</v>
      </c>
      <c r="B7" s="10" t="s">
        <v>1164</v>
      </c>
      <c r="C7" s="10" t="s">
        <v>1165</v>
      </c>
      <c r="D7" s="10" t="s">
        <v>1166</v>
      </c>
      <c r="E7" s="10" t="s">
        <v>1167</v>
      </c>
      <c r="F7" s="10" t="s">
        <v>1168</v>
      </c>
      <c r="G7" s="10" t="s">
        <v>1169</v>
      </c>
      <c r="H7" s="10" t="s">
        <v>1170</v>
      </c>
    </row>
    <row r="8" spans="1:8" ht="22.8">
      <c r="A8" s="11" t="s">
        <v>1163</v>
      </c>
      <c r="B8" s="11" t="s">
        <v>1171</v>
      </c>
      <c r="C8" s="11" t="s">
        <v>1172</v>
      </c>
      <c r="D8" s="11" t="s">
        <v>1173</v>
      </c>
      <c r="E8" s="11" t="s">
        <v>37</v>
      </c>
      <c r="F8" s="11" t="s">
        <v>426</v>
      </c>
      <c r="G8" s="11" t="s">
        <v>1174</v>
      </c>
      <c r="H8" s="11" t="s">
        <v>1175</v>
      </c>
    </row>
    <row r="9" spans="1:8">
      <c r="A9" s="11" t="s">
        <v>1163</v>
      </c>
      <c r="B9" s="11" t="s">
        <v>1176</v>
      </c>
      <c r="C9" s="11" t="s">
        <v>1177</v>
      </c>
      <c r="D9" s="11" t="s">
        <v>1178</v>
      </c>
      <c r="E9" s="11" t="s">
        <v>37</v>
      </c>
      <c r="F9" s="11" t="s">
        <v>152</v>
      </c>
      <c r="G9" s="11" t="s">
        <v>1179</v>
      </c>
      <c r="H9" s="11" t="s">
        <v>1180</v>
      </c>
    </row>
    <row r="10" spans="1:8" ht="22.8">
      <c r="A10" s="11" t="s">
        <v>1163</v>
      </c>
      <c r="B10" s="11" t="s">
        <v>1181</v>
      </c>
      <c r="C10" s="11" t="s">
        <v>1182</v>
      </c>
      <c r="D10" s="11" t="s">
        <v>1183</v>
      </c>
      <c r="E10" s="11" t="s">
        <v>37</v>
      </c>
      <c r="F10" s="11" t="s">
        <v>279</v>
      </c>
      <c r="G10" s="11" t="s">
        <v>1184</v>
      </c>
      <c r="H10" s="11" t="s">
        <v>1185</v>
      </c>
    </row>
    <row r="11" spans="1:8">
      <c r="A11" s="11" t="s">
        <v>1163</v>
      </c>
      <c r="B11" s="11" t="s">
        <v>1186</v>
      </c>
      <c r="C11" s="11" t="s">
        <v>1187</v>
      </c>
      <c r="D11" s="11" t="s">
        <v>1188</v>
      </c>
      <c r="E11" s="11" t="s">
        <v>59</v>
      </c>
      <c r="F11" s="11" t="s">
        <v>279</v>
      </c>
      <c r="G11" s="11" t="s">
        <v>1189</v>
      </c>
      <c r="H11" s="11" t="s">
        <v>1190</v>
      </c>
    </row>
    <row r="12" spans="1:8">
      <c r="A12" s="11" t="s">
        <v>1191</v>
      </c>
      <c r="B12" s="11" t="s">
        <v>1192</v>
      </c>
      <c r="C12" s="11" t="s">
        <v>1193</v>
      </c>
      <c r="D12" s="11" t="s">
        <v>1194</v>
      </c>
      <c r="E12" s="11" t="s">
        <v>58</v>
      </c>
      <c r="F12" s="11" t="s">
        <v>548</v>
      </c>
      <c r="G12" s="11" t="s">
        <v>1195</v>
      </c>
      <c r="H12" s="11" t="s">
        <v>1196</v>
      </c>
    </row>
    <row r="13" spans="1:8">
      <c r="A13" s="11" t="s">
        <v>1191</v>
      </c>
      <c r="B13" s="11" t="s">
        <v>1197</v>
      </c>
      <c r="C13" s="11" t="s">
        <v>1198</v>
      </c>
      <c r="D13" s="11" t="s">
        <v>1199</v>
      </c>
      <c r="E13" s="11" t="s">
        <v>1200</v>
      </c>
      <c r="F13" s="11" t="s">
        <v>327</v>
      </c>
      <c r="G13" s="11" t="s">
        <v>1201</v>
      </c>
      <c r="H13" s="11" t="s">
        <v>1202</v>
      </c>
    </row>
    <row r="14" spans="1:8" ht="22.8">
      <c r="A14" s="11" t="s">
        <v>1191</v>
      </c>
      <c r="B14" s="11" t="s">
        <v>1203</v>
      </c>
      <c r="C14" s="11" t="s">
        <v>1204</v>
      </c>
      <c r="D14" s="11" t="s">
        <v>1205</v>
      </c>
      <c r="E14" s="11" t="s">
        <v>1206</v>
      </c>
      <c r="F14" s="11" t="s">
        <v>269</v>
      </c>
      <c r="G14" s="11" t="s">
        <v>1207</v>
      </c>
      <c r="H14" s="11" t="s">
        <v>1208</v>
      </c>
    </row>
    <row r="15" spans="1:8">
      <c r="A15" s="11" t="s">
        <v>1191</v>
      </c>
      <c r="B15" s="11" t="s">
        <v>1209</v>
      </c>
      <c r="C15" s="11" t="s">
        <v>1210</v>
      </c>
      <c r="D15" s="11" t="s">
        <v>1211</v>
      </c>
      <c r="E15" s="11" t="s">
        <v>57</v>
      </c>
      <c r="F15" s="11" t="s">
        <v>415</v>
      </c>
      <c r="G15" s="11" t="s">
        <v>1212</v>
      </c>
      <c r="H15" s="11" t="s">
        <v>1213</v>
      </c>
    </row>
    <row r="16" spans="1:8" ht="22.8">
      <c r="A16" s="11" t="s">
        <v>1191</v>
      </c>
      <c r="B16" s="11" t="s">
        <v>1214</v>
      </c>
      <c r="C16" s="11" t="s">
        <v>1215</v>
      </c>
      <c r="D16" s="11" t="s">
        <v>1216</v>
      </c>
      <c r="E16" s="11" t="s">
        <v>57</v>
      </c>
      <c r="F16" s="11" t="s">
        <v>426</v>
      </c>
      <c r="G16" s="11" t="s">
        <v>1217</v>
      </c>
      <c r="H16" s="11" t="s">
        <v>1218</v>
      </c>
    </row>
    <row r="17" spans="1:8">
      <c r="A17" s="11" t="s">
        <v>1219</v>
      </c>
      <c r="B17" s="11" t="s">
        <v>1220</v>
      </c>
      <c r="C17" s="11" t="s">
        <v>1221</v>
      </c>
      <c r="D17" s="11" t="s">
        <v>1222</v>
      </c>
      <c r="E17" s="11" t="s">
        <v>58</v>
      </c>
      <c r="F17" s="11" t="s">
        <v>569</v>
      </c>
      <c r="G17" s="11" t="s">
        <v>1223</v>
      </c>
      <c r="H17" s="11" t="s">
        <v>1224</v>
      </c>
    </row>
    <row r="18" spans="1:8">
      <c r="A18" s="11" t="s">
        <v>1219</v>
      </c>
      <c r="B18" s="11" t="s">
        <v>1225</v>
      </c>
      <c r="C18" s="11" t="s">
        <v>1226</v>
      </c>
      <c r="D18" s="11" t="s">
        <v>1227</v>
      </c>
      <c r="E18" s="11" t="s">
        <v>58</v>
      </c>
      <c r="F18" s="11" t="s">
        <v>590</v>
      </c>
      <c r="G18" s="11" t="s">
        <v>1228</v>
      </c>
      <c r="H18" s="11" t="s">
        <v>1229</v>
      </c>
    </row>
    <row r="19" spans="1:8">
      <c r="A19" s="11" t="s">
        <v>1230</v>
      </c>
      <c r="B19" s="11" t="s">
        <v>1231</v>
      </c>
      <c r="C19" s="11" t="s">
        <v>1232</v>
      </c>
      <c r="D19" s="11" t="s">
        <v>1233</v>
      </c>
      <c r="E19" s="11" t="s">
        <v>60</v>
      </c>
      <c r="F19" s="11" t="s">
        <v>855</v>
      </c>
      <c r="G19" s="11" t="s">
        <v>1234</v>
      </c>
      <c r="H19" s="11" t="s">
        <v>1235</v>
      </c>
    </row>
    <row r="20" spans="1:8">
      <c r="A20" s="11" t="s">
        <v>1236</v>
      </c>
      <c r="B20" s="11" t="s">
        <v>1237</v>
      </c>
      <c r="C20" s="11" t="s">
        <v>1238</v>
      </c>
      <c r="D20" s="11" t="s">
        <v>1239</v>
      </c>
      <c r="E20" s="11" t="s">
        <v>1240</v>
      </c>
      <c r="F20" s="11" t="s">
        <v>1168</v>
      </c>
      <c r="G20" s="11" t="s">
        <v>1241</v>
      </c>
      <c r="H20" s="11" t="s">
        <v>1242</v>
      </c>
    </row>
    <row r="21" spans="1:8" ht="22.8">
      <c r="A21" s="11" t="s">
        <v>1243</v>
      </c>
      <c r="B21" s="11" t="s">
        <v>1244</v>
      </c>
      <c r="C21" s="11" t="s">
        <v>1245</v>
      </c>
      <c r="D21" s="11" t="s">
        <v>1246</v>
      </c>
      <c r="E21" s="11" t="s">
        <v>1247</v>
      </c>
      <c r="F21" s="11" t="s">
        <v>1248</v>
      </c>
      <c r="G21" s="11" t="s">
        <v>1249</v>
      </c>
      <c r="H21" s="11" t="s">
        <v>1250</v>
      </c>
    </row>
    <row r="22" spans="1:8">
      <c r="A22" s="11" t="s">
        <v>1251</v>
      </c>
      <c r="B22" s="11" t="s">
        <v>1252</v>
      </c>
      <c r="C22" s="11" t="s">
        <v>1253</v>
      </c>
      <c r="D22" s="11" t="s">
        <v>1254</v>
      </c>
      <c r="E22" s="11" t="s">
        <v>1255</v>
      </c>
      <c r="F22" s="11" t="s">
        <v>496</v>
      </c>
      <c r="G22" s="11" t="s">
        <v>1256</v>
      </c>
      <c r="H22" s="11" t="s">
        <v>1257</v>
      </c>
    </row>
    <row r="23" spans="1:8" ht="22.8">
      <c r="A23" s="11" t="s">
        <v>1251</v>
      </c>
      <c r="B23" s="11" t="s">
        <v>1258</v>
      </c>
      <c r="C23" s="11" t="s">
        <v>1259</v>
      </c>
      <c r="D23" s="11" t="s">
        <v>1260</v>
      </c>
      <c r="E23" s="11" t="s">
        <v>60</v>
      </c>
      <c r="F23" s="11" t="s">
        <v>1261</v>
      </c>
      <c r="G23" s="11" t="s">
        <v>1262</v>
      </c>
      <c r="H23" s="11" t="s">
        <v>1263</v>
      </c>
    </row>
    <row r="24" spans="1:8">
      <c r="A24" s="11" t="s">
        <v>1264</v>
      </c>
      <c r="B24" s="11" t="s">
        <v>1265</v>
      </c>
      <c r="C24" s="11" t="s">
        <v>1266</v>
      </c>
      <c r="D24" s="11" t="s">
        <v>1267</v>
      </c>
      <c r="E24" s="11" t="s">
        <v>1268</v>
      </c>
      <c r="F24" s="11" t="s">
        <v>1269</v>
      </c>
      <c r="G24" s="11" t="s">
        <v>1270</v>
      </c>
      <c r="H24" s="11" t="s">
        <v>1271</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90"/>
  <sheetViews>
    <sheetView showGridLines="0" topLeftCell="A18" workbookViewId="0">
      <selection activeCell="N19" sqref="N19"/>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114" t="s">
        <v>1272</v>
      </c>
      <c r="B1" s="114"/>
      <c r="C1" s="114"/>
      <c r="D1" s="114"/>
      <c r="E1" s="114"/>
      <c r="F1" s="114"/>
      <c r="G1" s="114"/>
      <c r="H1" s="114"/>
      <c r="I1" s="114"/>
      <c r="J1" s="114"/>
      <c r="K1" s="51"/>
      <c r="L1" s="51"/>
      <c r="M1" s="54"/>
      <c r="N1" s="54"/>
    </row>
    <row r="2" spans="1:14">
      <c r="A2" s="115" t="s">
        <v>1273</v>
      </c>
      <c r="B2" s="115"/>
      <c r="C2" s="115"/>
      <c r="D2" s="115"/>
      <c r="E2" s="115"/>
      <c r="F2" s="115"/>
      <c r="G2" s="115"/>
      <c r="H2" s="115"/>
      <c r="I2" s="115"/>
      <c r="J2" s="115"/>
      <c r="K2" s="52"/>
      <c r="L2" s="52"/>
      <c r="M2" s="55"/>
      <c r="N2" s="55"/>
    </row>
    <row r="3" spans="1:14">
      <c r="M3" s="22"/>
      <c r="N3" s="22"/>
    </row>
    <row r="5" spans="1:14">
      <c r="A5" s="53" t="s">
        <v>76</v>
      </c>
      <c r="B5" s="53" t="s">
        <v>53</v>
      </c>
      <c r="C5" s="53" t="s">
        <v>1005</v>
      </c>
      <c r="D5" s="53" t="s">
        <v>1006</v>
      </c>
      <c r="E5" s="53" t="s">
        <v>1007</v>
      </c>
      <c r="F5" s="53" t="s">
        <v>1008</v>
      </c>
      <c r="G5" s="53" t="s">
        <v>1274</v>
      </c>
      <c r="H5" s="53" t="s">
        <v>1275</v>
      </c>
      <c r="I5" s="53" t="s">
        <v>1276</v>
      </c>
      <c r="J5" s="53" t="s">
        <v>1277</v>
      </c>
      <c r="K5" s="53" t="s">
        <v>1278</v>
      </c>
      <c r="L5" s="53" t="s">
        <v>1279</v>
      </c>
      <c r="M5" s="53" t="s">
        <v>1280</v>
      </c>
      <c r="N5" s="53" t="s">
        <v>1281</v>
      </c>
    </row>
    <row r="6" spans="1:14" ht="125.4">
      <c r="A6" s="23" t="s">
        <v>2353</v>
      </c>
      <c r="B6" s="23" t="s">
        <v>1685</v>
      </c>
      <c r="C6" s="23" t="s">
        <v>2354</v>
      </c>
      <c r="D6" s="23" t="s">
        <v>2355</v>
      </c>
      <c r="E6" s="23" t="s">
        <v>2356</v>
      </c>
      <c r="F6" s="23" t="s">
        <v>2357</v>
      </c>
      <c r="G6" s="23" t="s">
        <v>2358</v>
      </c>
      <c r="H6" s="23" t="s">
        <v>2359</v>
      </c>
      <c r="I6" s="23" t="s">
        <v>2360</v>
      </c>
      <c r="J6" s="23" t="s">
        <v>2361</v>
      </c>
      <c r="K6" s="23" t="s">
        <v>1685</v>
      </c>
      <c r="L6" s="23" t="s">
        <v>2362</v>
      </c>
      <c r="M6" s="23" t="s">
        <v>2362</v>
      </c>
      <c r="N6" s="22" t="s">
        <v>2362</v>
      </c>
    </row>
    <row r="7" spans="1:14" ht="262.2">
      <c r="A7" s="22" t="s">
        <v>2363</v>
      </c>
      <c r="B7" s="22" t="s">
        <v>1685</v>
      </c>
      <c r="C7" s="22" t="s">
        <v>2364</v>
      </c>
      <c r="D7" s="22" t="s">
        <v>2365</v>
      </c>
      <c r="E7" s="22" t="s">
        <v>2366</v>
      </c>
      <c r="F7" s="22" t="s">
        <v>2367</v>
      </c>
      <c r="G7" s="22" t="s">
        <v>2368</v>
      </c>
      <c r="H7" s="22" t="s">
        <v>2359</v>
      </c>
      <c r="I7" s="22" t="s">
        <v>2360</v>
      </c>
      <c r="J7" s="22" t="s">
        <v>2361</v>
      </c>
      <c r="K7" s="22" t="s">
        <v>2369</v>
      </c>
      <c r="L7" s="22" t="s">
        <v>2362</v>
      </c>
      <c r="M7" s="22" t="s">
        <v>2362</v>
      </c>
      <c r="N7" s="55" t="s">
        <v>2362</v>
      </c>
    </row>
    <row r="8" spans="1:14" ht="228">
      <c r="A8" s="23" t="s">
        <v>2220</v>
      </c>
      <c r="B8" s="23" t="s">
        <v>1685</v>
      </c>
      <c r="C8" s="23" t="s">
        <v>2370</v>
      </c>
      <c r="D8" s="23" t="s">
        <v>2371</v>
      </c>
      <c r="E8" s="23" t="s">
        <v>2372</v>
      </c>
      <c r="F8" s="23" t="s">
        <v>2373</v>
      </c>
      <c r="G8" s="23" t="s">
        <v>2374</v>
      </c>
      <c r="H8" s="23" t="s">
        <v>2359</v>
      </c>
      <c r="I8" s="23" t="s">
        <v>2360</v>
      </c>
      <c r="J8" s="23" t="s">
        <v>2361</v>
      </c>
      <c r="K8" s="23" t="s">
        <v>1685</v>
      </c>
      <c r="L8" s="23" t="s">
        <v>2362</v>
      </c>
      <c r="M8" s="23" t="s">
        <v>2362</v>
      </c>
      <c r="N8" s="22" t="s">
        <v>2362</v>
      </c>
    </row>
    <row r="9" spans="1:14" ht="409.6">
      <c r="A9" s="22" t="s">
        <v>94</v>
      </c>
      <c r="B9" s="22" t="s">
        <v>56</v>
      </c>
      <c r="C9" s="22" t="s">
        <v>1010</v>
      </c>
      <c r="D9" s="22" t="s">
        <v>1011</v>
      </c>
      <c r="E9" s="22" t="s">
        <v>1012</v>
      </c>
      <c r="F9" s="22" t="s">
        <v>2375</v>
      </c>
      <c r="G9" s="22" t="s">
        <v>2376</v>
      </c>
      <c r="H9" s="22" t="s">
        <v>2377</v>
      </c>
      <c r="I9" s="22" t="s">
        <v>2378</v>
      </c>
      <c r="J9" s="22" t="s">
        <v>2379</v>
      </c>
      <c r="K9" s="22" t="s">
        <v>88</v>
      </c>
      <c r="L9" s="22" t="s">
        <v>2380</v>
      </c>
      <c r="M9" s="22" t="s">
        <v>2381</v>
      </c>
      <c r="N9" s="55" t="s">
        <v>2382</v>
      </c>
    </row>
    <row r="10" spans="1:14" ht="409.6">
      <c r="A10" s="23" t="s">
        <v>110</v>
      </c>
      <c r="B10" s="23" t="s">
        <v>56</v>
      </c>
      <c r="C10" s="23" t="s">
        <v>1015</v>
      </c>
      <c r="D10" s="23" t="s">
        <v>1016</v>
      </c>
      <c r="E10" s="23" t="s">
        <v>1017</v>
      </c>
      <c r="F10" s="23" t="s">
        <v>2375</v>
      </c>
      <c r="G10" s="23" t="s">
        <v>2383</v>
      </c>
      <c r="H10" s="23" t="s">
        <v>2377</v>
      </c>
      <c r="I10" s="23" t="s">
        <v>2384</v>
      </c>
      <c r="J10" s="23" t="s">
        <v>2379</v>
      </c>
      <c r="K10" s="23" t="s">
        <v>105</v>
      </c>
      <c r="L10" s="23" t="s">
        <v>2385</v>
      </c>
      <c r="M10" s="23" t="s">
        <v>2386</v>
      </c>
      <c r="N10" s="22" t="s">
        <v>2387</v>
      </c>
    </row>
    <row r="11" spans="1:14" ht="409.6">
      <c r="A11" s="22" t="s">
        <v>124</v>
      </c>
      <c r="B11" s="22" t="s">
        <v>56</v>
      </c>
      <c r="C11" s="22" t="s">
        <v>1019</v>
      </c>
      <c r="D11" s="22" t="s">
        <v>1020</v>
      </c>
      <c r="E11" s="22" t="s">
        <v>1021</v>
      </c>
      <c r="F11" s="22" t="s">
        <v>2388</v>
      </c>
      <c r="G11" s="22" t="s">
        <v>2389</v>
      </c>
      <c r="H11" s="22" t="s">
        <v>2390</v>
      </c>
      <c r="I11" s="22" t="s">
        <v>2391</v>
      </c>
      <c r="J11" s="22" t="s">
        <v>2379</v>
      </c>
      <c r="K11" s="22" t="s">
        <v>2392</v>
      </c>
      <c r="L11" s="22" t="s">
        <v>2393</v>
      </c>
      <c r="M11" s="22" t="s">
        <v>2296</v>
      </c>
      <c r="N11" s="55" t="s">
        <v>2394</v>
      </c>
    </row>
    <row r="12" spans="1:14" ht="409.6">
      <c r="A12" s="23" t="s">
        <v>147</v>
      </c>
      <c r="B12" s="23" t="s">
        <v>56</v>
      </c>
      <c r="C12" s="23" t="s">
        <v>1024</v>
      </c>
      <c r="D12" s="23" t="s">
        <v>1025</v>
      </c>
      <c r="E12" s="23" t="s">
        <v>1026</v>
      </c>
      <c r="F12" s="23" t="s">
        <v>2388</v>
      </c>
      <c r="G12" s="23" t="s">
        <v>2395</v>
      </c>
      <c r="H12" s="23" t="s">
        <v>2390</v>
      </c>
      <c r="I12" s="23" t="s">
        <v>2396</v>
      </c>
      <c r="J12" s="23" t="s">
        <v>2379</v>
      </c>
      <c r="K12" s="23" t="s">
        <v>143</v>
      </c>
      <c r="L12" s="23" t="s">
        <v>2397</v>
      </c>
      <c r="M12" s="23" t="s">
        <v>2297</v>
      </c>
      <c r="N12" s="22" t="s">
        <v>2398</v>
      </c>
    </row>
    <row r="13" spans="1:14" ht="409.6">
      <c r="A13" s="22" t="s">
        <v>159</v>
      </c>
      <c r="B13" s="22" t="s">
        <v>56</v>
      </c>
      <c r="C13" s="22" t="s">
        <v>1028</v>
      </c>
      <c r="D13" s="22" t="s">
        <v>1029</v>
      </c>
      <c r="E13" s="22" t="s">
        <v>1030</v>
      </c>
      <c r="F13" s="22" t="s">
        <v>2388</v>
      </c>
      <c r="G13" s="22" t="s">
        <v>2399</v>
      </c>
      <c r="H13" s="22" t="s">
        <v>2390</v>
      </c>
      <c r="I13" s="22" t="s">
        <v>2400</v>
      </c>
      <c r="J13" s="22" t="s">
        <v>2379</v>
      </c>
      <c r="K13" s="22" t="s">
        <v>2401</v>
      </c>
      <c r="L13" s="22" t="s">
        <v>2402</v>
      </c>
      <c r="M13" s="22" t="s">
        <v>2298</v>
      </c>
      <c r="N13" s="55" t="s">
        <v>2403</v>
      </c>
    </row>
    <row r="14" spans="1:14" ht="409.6">
      <c r="A14" s="23" t="s">
        <v>193</v>
      </c>
      <c r="B14" s="23" t="s">
        <v>56</v>
      </c>
      <c r="C14" s="23" t="s">
        <v>1032</v>
      </c>
      <c r="D14" s="23" t="s">
        <v>1033</v>
      </c>
      <c r="E14" s="23" t="s">
        <v>1034</v>
      </c>
      <c r="F14" s="23" t="s">
        <v>2388</v>
      </c>
      <c r="G14" s="23" t="s">
        <v>2404</v>
      </c>
      <c r="H14" s="23" t="s">
        <v>2390</v>
      </c>
      <c r="I14" s="23" t="s">
        <v>2405</v>
      </c>
      <c r="J14" s="23" t="s">
        <v>2379</v>
      </c>
      <c r="K14" s="23" t="s">
        <v>2406</v>
      </c>
      <c r="L14" s="23" t="s">
        <v>2407</v>
      </c>
      <c r="M14" s="23" t="s">
        <v>2299</v>
      </c>
      <c r="N14" s="22" t="s">
        <v>2408</v>
      </c>
    </row>
    <row r="15" spans="1:14" ht="409.6">
      <c r="A15" s="22" t="s">
        <v>253</v>
      </c>
      <c r="B15" s="22" t="s">
        <v>37</v>
      </c>
      <c r="C15" s="22" t="s">
        <v>2409</v>
      </c>
      <c r="D15" s="22" t="s">
        <v>2410</v>
      </c>
      <c r="E15" s="22" t="s">
        <v>2411</v>
      </c>
      <c r="F15" s="22" t="s">
        <v>2388</v>
      </c>
      <c r="G15" s="22" t="s">
        <v>2412</v>
      </c>
      <c r="H15" s="22" t="s">
        <v>2390</v>
      </c>
      <c r="I15" s="22" t="s">
        <v>2413</v>
      </c>
      <c r="J15" s="22" t="s">
        <v>2379</v>
      </c>
      <c r="K15" s="22" t="s">
        <v>2414</v>
      </c>
      <c r="L15" s="22" t="s">
        <v>2415</v>
      </c>
      <c r="M15" s="22" t="s">
        <v>2416</v>
      </c>
      <c r="N15" s="55" t="s">
        <v>2417</v>
      </c>
    </row>
    <row r="16" spans="1:14" ht="409.6">
      <c r="A16" s="23" t="s">
        <v>296</v>
      </c>
      <c r="B16" s="23" t="s">
        <v>37</v>
      </c>
      <c r="C16" s="23" t="s">
        <v>1050</v>
      </c>
      <c r="D16" s="23" t="s">
        <v>1051</v>
      </c>
      <c r="E16" s="23" t="s">
        <v>1052</v>
      </c>
      <c r="F16" s="23" t="s">
        <v>2388</v>
      </c>
      <c r="G16" s="23" t="s">
        <v>2418</v>
      </c>
      <c r="H16" s="23" t="s">
        <v>2390</v>
      </c>
      <c r="I16" s="23" t="s">
        <v>2419</v>
      </c>
      <c r="J16" s="23" t="s">
        <v>2379</v>
      </c>
      <c r="K16" s="23" t="s">
        <v>292</v>
      </c>
      <c r="L16" s="23" t="s">
        <v>2420</v>
      </c>
      <c r="M16" s="23" t="s">
        <v>2421</v>
      </c>
      <c r="N16" s="22" t="s">
        <v>2422</v>
      </c>
    </row>
    <row r="17" spans="1:14" ht="409.6">
      <c r="A17" s="22" t="s">
        <v>309</v>
      </c>
      <c r="B17" s="22" t="s">
        <v>37</v>
      </c>
      <c r="C17" s="22" t="s">
        <v>1054</v>
      </c>
      <c r="D17" s="22" t="s">
        <v>1055</v>
      </c>
      <c r="E17" s="22" t="s">
        <v>1056</v>
      </c>
      <c r="F17" s="22" t="s">
        <v>2388</v>
      </c>
      <c r="G17" s="22" t="s">
        <v>2423</v>
      </c>
      <c r="H17" s="22" t="s">
        <v>2390</v>
      </c>
      <c r="I17" s="22" t="s">
        <v>2424</v>
      </c>
      <c r="J17" s="22" t="s">
        <v>2379</v>
      </c>
      <c r="K17" s="22" t="s">
        <v>2425</v>
      </c>
      <c r="L17" s="22" t="s">
        <v>2426</v>
      </c>
      <c r="M17" s="22" t="s">
        <v>2427</v>
      </c>
      <c r="N17" s="55" t="s">
        <v>2428</v>
      </c>
    </row>
    <row r="18" spans="1:14" ht="409.6">
      <c r="A18" s="23" t="s">
        <v>345</v>
      </c>
      <c r="B18" s="23" t="s">
        <v>37</v>
      </c>
      <c r="C18" s="23" t="s">
        <v>2429</v>
      </c>
      <c r="D18" s="23" t="s">
        <v>2430</v>
      </c>
      <c r="E18" s="23" t="s">
        <v>2431</v>
      </c>
      <c r="F18" s="23" t="s">
        <v>2388</v>
      </c>
      <c r="G18" s="23" t="s">
        <v>2432</v>
      </c>
      <c r="H18" s="23" t="s">
        <v>2390</v>
      </c>
      <c r="I18" s="23" t="s">
        <v>2433</v>
      </c>
      <c r="J18" s="23" t="s">
        <v>2379</v>
      </c>
      <c r="K18" s="23" t="s">
        <v>2434</v>
      </c>
      <c r="L18" s="23" t="s">
        <v>2847</v>
      </c>
      <c r="M18" s="23" t="s">
        <v>2435</v>
      </c>
      <c r="N18" s="22" t="s">
        <v>2436</v>
      </c>
    </row>
    <row r="19" spans="1:14" ht="409.6">
      <c r="A19" s="22" t="s">
        <v>369</v>
      </c>
      <c r="B19" s="22" t="s">
        <v>37</v>
      </c>
      <c r="C19" s="22" t="s">
        <v>1062</v>
      </c>
      <c r="D19" s="22" t="s">
        <v>1063</v>
      </c>
      <c r="E19" s="22" t="s">
        <v>1064</v>
      </c>
      <c r="F19" s="22" t="s">
        <v>2437</v>
      </c>
      <c r="G19" s="22" t="s">
        <v>2438</v>
      </c>
      <c r="H19" s="22" t="s">
        <v>2439</v>
      </c>
      <c r="I19" s="22" t="s">
        <v>2440</v>
      </c>
      <c r="J19" s="22" t="s">
        <v>2441</v>
      </c>
      <c r="K19" s="22" t="s">
        <v>364</v>
      </c>
      <c r="L19" s="22" t="s">
        <v>2582</v>
      </c>
      <c r="M19" s="22" t="s">
        <v>2442</v>
      </c>
      <c r="N19" s="55" t="s">
        <v>2312</v>
      </c>
    </row>
    <row r="20" spans="1:14" ht="409.6">
      <c r="A20" s="23" t="s">
        <v>397</v>
      </c>
      <c r="B20" s="23" t="s">
        <v>57</v>
      </c>
      <c r="C20" s="23" t="s">
        <v>1071</v>
      </c>
      <c r="D20" s="23" t="s">
        <v>1072</v>
      </c>
      <c r="E20" s="23" t="s">
        <v>1073</v>
      </c>
      <c r="F20" s="23" t="s">
        <v>2388</v>
      </c>
      <c r="G20" s="23" t="s">
        <v>2443</v>
      </c>
      <c r="H20" s="23" t="s">
        <v>2390</v>
      </c>
      <c r="I20" s="23" t="s">
        <v>2444</v>
      </c>
      <c r="J20" s="23" t="s">
        <v>2379</v>
      </c>
      <c r="K20" s="23" t="s">
        <v>2445</v>
      </c>
      <c r="L20" s="23"/>
      <c r="M20" s="23" t="s">
        <v>2300</v>
      </c>
      <c r="N20" s="22" t="s">
        <v>2446</v>
      </c>
    </row>
    <row r="21" spans="1:14" ht="409.6">
      <c r="A21" s="22" t="s">
        <v>457</v>
      </c>
      <c r="B21" s="22" t="s">
        <v>57</v>
      </c>
      <c r="C21" s="22" t="s">
        <v>1075</v>
      </c>
      <c r="D21" s="22" t="s">
        <v>1076</v>
      </c>
      <c r="E21" s="22" t="s">
        <v>1077</v>
      </c>
      <c r="F21" s="22" t="s">
        <v>2388</v>
      </c>
      <c r="G21" s="22" t="s">
        <v>2447</v>
      </c>
      <c r="H21" s="22" t="s">
        <v>2390</v>
      </c>
      <c r="I21" s="22" t="s">
        <v>2448</v>
      </c>
      <c r="J21" s="22" t="s">
        <v>2379</v>
      </c>
      <c r="K21" s="22" t="s">
        <v>2449</v>
      </c>
      <c r="L21" s="22" t="s">
        <v>2583</v>
      </c>
      <c r="M21" s="22" t="s">
        <v>2301</v>
      </c>
      <c r="N21" s="55" t="s">
        <v>2450</v>
      </c>
    </row>
    <row r="22" spans="1:14" ht="409.6">
      <c r="A22" s="23" t="s">
        <v>445</v>
      </c>
      <c r="B22" s="23" t="s">
        <v>57</v>
      </c>
      <c r="C22" s="23" t="s">
        <v>1079</v>
      </c>
      <c r="D22" s="23" t="s">
        <v>1080</v>
      </c>
      <c r="E22" s="23" t="s">
        <v>1081</v>
      </c>
      <c r="F22" s="23" t="s">
        <v>2388</v>
      </c>
      <c r="G22" s="23" t="s">
        <v>2451</v>
      </c>
      <c r="H22" s="23" t="s">
        <v>2390</v>
      </c>
      <c r="I22" s="23" t="s">
        <v>2452</v>
      </c>
      <c r="J22" s="23" t="s">
        <v>2379</v>
      </c>
      <c r="K22" s="23" t="s">
        <v>2453</v>
      </c>
      <c r="L22" s="23" t="s">
        <v>2584</v>
      </c>
      <c r="M22" s="23" t="s">
        <v>2454</v>
      </c>
      <c r="N22" s="22" t="s">
        <v>2455</v>
      </c>
    </row>
    <row r="23" spans="1:14" ht="409.6">
      <c r="A23" s="22" t="s">
        <v>514</v>
      </c>
      <c r="B23" s="22" t="s">
        <v>57</v>
      </c>
      <c r="C23" s="22" t="s">
        <v>1083</v>
      </c>
      <c r="D23" s="22" t="s">
        <v>1084</v>
      </c>
      <c r="E23" s="22" t="s">
        <v>1085</v>
      </c>
      <c r="F23" s="22" t="s">
        <v>2388</v>
      </c>
      <c r="G23" s="22" t="s">
        <v>2456</v>
      </c>
      <c r="H23" s="22" t="s">
        <v>2390</v>
      </c>
      <c r="I23" s="22" t="s">
        <v>2457</v>
      </c>
      <c r="J23" s="22" t="s">
        <v>2379</v>
      </c>
      <c r="K23" s="22" t="s">
        <v>510</v>
      </c>
      <c r="L23" s="22"/>
      <c r="M23" s="22" t="s">
        <v>2458</v>
      </c>
      <c r="N23" s="55" t="s">
        <v>2459</v>
      </c>
    </row>
    <row r="24" spans="1:14" ht="409.6">
      <c r="A24" s="23" t="s">
        <v>543</v>
      </c>
      <c r="B24" s="23" t="s">
        <v>58</v>
      </c>
      <c r="C24" s="23" t="s">
        <v>1092</v>
      </c>
      <c r="D24" s="23" t="s">
        <v>1093</v>
      </c>
      <c r="E24" s="23" t="s">
        <v>1094</v>
      </c>
      <c r="F24" s="23" t="s">
        <v>2388</v>
      </c>
      <c r="G24" s="23" t="s">
        <v>2460</v>
      </c>
      <c r="H24" s="23" t="s">
        <v>2390</v>
      </c>
      <c r="I24" s="23" t="s">
        <v>2461</v>
      </c>
      <c r="J24" s="23" t="s">
        <v>2379</v>
      </c>
      <c r="K24" s="23" t="s">
        <v>2462</v>
      </c>
      <c r="L24" s="23" t="s">
        <v>2585</v>
      </c>
      <c r="M24" s="23" t="s">
        <v>2302</v>
      </c>
      <c r="N24" s="22" t="s">
        <v>2463</v>
      </c>
    </row>
    <row r="25" spans="1:14" ht="409.6">
      <c r="A25" s="22" t="s">
        <v>564</v>
      </c>
      <c r="B25" s="22" t="s">
        <v>58</v>
      </c>
      <c r="C25" s="22" t="s">
        <v>1096</v>
      </c>
      <c r="D25" s="22" t="s">
        <v>1097</v>
      </c>
      <c r="E25" s="22" t="s">
        <v>1098</v>
      </c>
      <c r="F25" s="22" t="s">
        <v>2388</v>
      </c>
      <c r="G25" s="22" t="s">
        <v>2464</v>
      </c>
      <c r="H25" s="22" t="s">
        <v>2390</v>
      </c>
      <c r="I25" s="22" t="s">
        <v>2465</v>
      </c>
      <c r="J25" s="22" t="s">
        <v>2379</v>
      </c>
      <c r="K25" s="22" t="s">
        <v>2466</v>
      </c>
      <c r="L25" s="22"/>
      <c r="M25" s="22" t="s">
        <v>2303</v>
      </c>
      <c r="N25" s="55" t="s">
        <v>2467</v>
      </c>
    </row>
    <row r="26" spans="1:14" ht="409.6">
      <c r="A26" s="23" t="s">
        <v>490</v>
      </c>
      <c r="B26" s="23" t="s">
        <v>58</v>
      </c>
      <c r="C26" s="23" t="s">
        <v>1100</v>
      </c>
      <c r="D26" s="23" t="s">
        <v>1101</v>
      </c>
      <c r="E26" s="23" t="s">
        <v>1102</v>
      </c>
      <c r="F26" s="23" t="s">
        <v>2388</v>
      </c>
      <c r="G26" s="23" t="s">
        <v>2468</v>
      </c>
      <c r="H26" s="23" t="s">
        <v>2390</v>
      </c>
      <c r="I26" s="23" t="s">
        <v>2469</v>
      </c>
      <c r="J26" s="23" t="s">
        <v>2379</v>
      </c>
      <c r="K26" s="23" t="s">
        <v>2470</v>
      </c>
      <c r="L26" s="23" t="s">
        <v>2586</v>
      </c>
      <c r="M26" s="23" t="s">
        <v>2304</v>
      </c>
      <c r="N26" s="22" t="s">
        <v>2471</v>
      </c>
    </row>
    <row r="27" spans="1:14" ht="409.6">
      <c r="A27" s="22" t="s">
        <v>655</v>
      </c>
      <c r="B27" s="22" t="s">
        <v>58</v>
      </c>
      <c r="C27" s="22" t="s">
        <v>1104</v>
      </c>
      <c r="D27" s="22" t="s">
        <v>1105</v>
      </c>
      <c r="E27" s="22" t="s">
        <v>1106</v>
      </c>
      <c r="F27" s="22" t="s">
        <v>2388</v>
      </c>
      <c r="G27" s="22" t="s">
        <v>2472</v>
      </c>
      <c r="H27" s="22" t="s">
        <v>2390</v>
      </c>
      <c r="I27" s="22" t="s">
        <v>2473</v>
      </c>
      <c r="J27" s="22" t="s">
        <v>2379</v>
      </c>
      <c r="K27" s="22" t="s">
        <v>651</v>
      </c>
      <c r="L27" s="22" t="s">
        <v>2587</v>
      </c>
      <c r="M27" s="22" t="s">
        <v>2474</v>
      </c>
      <c r="N27" s="55" t="s">
        <v>2475</v>
      </c>
    </row>
    <row r="28" spans="1:14" ht="409.6">
      <c r="A28" s="23" t="s">
        <v>684</v>
      </c>
      <c r="B28" s="23" t="s">
        <v>59</v>
      </c>
      <c r="C28" s="23" t="s">
        <v>1113</v>
      </c>
      <c r="D28" s="23" t="s">
        <v>1114</v>
      </c>
      <c r="E28" s="23" t="s">
        <v>1115</v>
      </c>
      <c r="F28" s="23" t="s">
        <v>2375</v>
      </c>
      <c r="G28" s="23" t="s">
        <v>2476</v>
      </c>
      <c r="H28" s="23" t="s">
        <v>2377</v>
      </c>
      <c r="I28" s="23" t="s">
        <v>2477</v>
      </c>
      <c r="J28" s="23" t="s">
        <v>2379</v>
      </c>
      <c r="K28" s="23" t="s">
        <v>680</v>
      </c>
      <c r="L28" s="23" t="s">
        <v>2588</v>
      </c>
      <c r="M28" s="23" t="s">
        <v>2478</v>
      </c>
      <c r="N28" s="22" t="s">
        <v>2479</v>
      </c>
    </row>
    <row r="29" spans="1:14" ht="409.6">
      <c r="A29" s="22" t="s">
        <v>696</v>
      </c>
      <c r="B29" s="22" t="s">
        <v>59</v>
      </c>
      <c r="C29" s="22" t="s">
        <v>1117</v>
      </c>
      <c r="D29" s="22" t="s">
        <v>1118</v>
      </c>
      <c r="E29" s="22" t="s">
        <v>1119</v>
      </c>
      <c r="F29" s="22" t="s">
        <v>2388</v>
      </c>
      <c r="G29" s="22" t="s">
        <v>2480</v>
      </c>
      <c r="H29" s="22" t="s">
        <v>2390</v>
      </c>
      <c r="I29" s="22" t="s">
        <v>2481</v>
      </c>
      <c r="J29" s="22" t="s">
        <v>2379</v>
      </c>
      <c r="K29" s="22" t="s">
        <v>2482</v>
      </c>
      <c r="L29" s="22" t="s">
        <v>2589</v>
      </c>
      <c r="M29" s="22" t="s">
        <v>2305</v>
      </c>
      <c r="N29" s="55" t="s">
        <v>2483</v>
      </c>
    </row>
    <row r="30" spans="1:14" ht="409.6">
      <c r="A30" s="23" t="s">
        <v>755</v>
      </c>
      <c r="B30" s="23" t="s">
        <v>59</v>
      </c>
      <c r="C30" s="23" t="s">
        <v>1121</v>
      </c>
      <c r="D30" s="23" t="s">
        <v>1122</v>
      </c>
      <c r="E30" s="23" t="s">
        <v>1123</v>
      </c>
      <c r="F30" s="23" t="s">
        <v>2388</v>
      </c>
      <c r="G30" s="23" t="s">
        <v>2484</v>
      </c>
      <c r="H30" s="23" t="s">
        <v>2390</v>
      </c>
      <c r="I30" s="23" t="s">
        <v>2485</v>
      </c>
      <c r="J30" s="23" t="s">
        <v>2379</v>
      </c>
      <c r="K30" s="23" t="s">
        <v>2486</v>
      </c>
      <c r="L30" s="23" t="s">
        <v>2590</v>
      </c>
      <c r="M30" s="23" t="s">
        <v>2306</v>
      </c>
      <c r="N30" s="22" t="s">
        <v>2487</v>
      </c>
    </row>
    <row r="31" spans="1:14" ht="409.6">
      <c r="A31" s="22" t="s">
        <v>742</v>
      </c>
      <c r="B31" s="22" t="s">
        <v>59</v>
      </c>
      <c r="C31" s="22" t="s">
        <v>1125</v>
      </c>
      <c r="D31" s="22" t="s">
        <v>1126</v>
      </c>
      <c r="E31" s="22" t="s">
        <v>1127</v>
      </c>
      <c r="F31" s="22" t="s">
        <v>2388</v>
      </c>
      <c r="G31" s="22" t="s">
        <v>2488</v>
      </c>
      <c r="H31" s="22" t="s">
        <v>2390</v>
      </c>
      <c r="I31" s="22" t="s">
        <v>2489</v>
      </c>
      <c r="J31" s="22" t="s">
        <v>2379</v>
      </c>
      <c r="K31" s="22" t="s">
        <v>738</v>
      </c>
      <c r="L31" s="22" t="s">
        <v>2591</v>
      </c>
      <c r="M31" s="22" t="s">
        <v>2490</v>
      </c>
      <c r="N31" s="55" t="s">
        <v>2491</v>
      </c>
    </row>
    <row r="32" spans="1:14" ht="409.6">
      <c r="A32" s="23" t="s">
        <v>777</v>
      </c>
      <c r="B32" s="23" t="s">
        <v>59</v>
      </c>
      <c r="C32" s="23" t="s">
        <v>1129</v>
      </c>
      <c r="D32" s="23" t="s">
        <v>1130</v>
      </c>
      <c r="E32" s="23" t="s">
        <v>1131</v>
      </c>
      <c r="F32" s="23" t="s">
        <v>2388</v>
      </c>
      <c r="G32" s="23" t="s">
        <v>2492</v>
      </c>
      <c r="H32" s="23" t="s">
        <v>2390</v>
      </c>
      <c r="I32" s="23" t="s">
        <v>2493</v>
      </c>
      <c r="J32" s="23" t="s">
        <v>2379</v>
      </c>
      <c r="K32" s="23" t="s">
        <v>2494</v>
      </c>
      <c r="L32" s="23" t="e" cm="1">
        <f t="array" ref="L32">- HEAD matches origin/main.</f>
        <v>#NAME?</v>
      </c>
      <c r="M32" s="23" t="s">
        <v>2307</v>
      </c>
      <c r="N32" s="22" t="s">
        <v>2495</v>
      </c>
    </row>
    <row r="33" spans="1:14" ht="409.6">
      <c r="A33" s="22" t="s">
        <v>850</v>
      </c>
      <c r="B33" s="22" t="s">
        <v>60</v>
      </c>
      <c r="C33" s="22" t="s">
        <v>1138</v>
      </c>
      <c r="D33" s="22" t="s">
        <v>1139</v>
      </c>
      <c r="E33" s="22" t="s">
        <v>1140</v>
      </c>
      <c r="F33" s="22" t="s">
        <v>2388</v>
      </c>
      <c r="G33" s="22" t="s">
        <v>2496</v>
      </c>
      <c r="H33" s="22" t="s">
        <v>2390</v>
      </c>
      <c r="I33" s="22" t="s">
        <v>2497</v>
      </c>
      <c r="J33" s="22" t="s">
        <v>2379</v>
      </c>
      <c r="K33" s="22" t="s">
        <v>2498</v>
      </c>
      <c r="L33" s="22" t="e" cm="1">
        <f t="array" ref="L33">- Working tree is clean.</f>
        <v>#NAME?</v>
      </c>
      <c r="M33" s="22" t="s">
        <v>2308</v>
      </c>
      <c r="N33" s="55" t="s">
        <v>2499</v>
      </c>
    </row>
    <row r="34" spans="1:14" ht="409.6">
      <c r="A34" s="23" t="s">
        <v>895</v>
      </c>
      <c r="B34" s="23" t="s">
        <v>60</v>
      </c>
      <c r="C34" s="23" t="s">
        <v>1142</v>
      </c>
      <c r="D34" s="23" t="s">
        <v>1143</v>
      </c>
      <c r="E34" s="23" t="s">
        <v>1144</v>
      </c>
      <c r="F34" s="23" t="s">
        <v>2388</v>
      </c>
      <c r="G34" s="23" t="s">
        <v>2500</v>
      </c>
      <c r="H34" s="23" t="s">
        <v>2390</v>
      </c>
      <c r="I34" s="23" t="s">
        <v>2501</v>
      </c>
      <c r="J34" s="23" t="s">
        <v>2379</v>
      </c>
      <c r="K34" s="23" t="s">
        <v>2502</v>
      </c>
      <c r="L34" s="23" t="e" cm="1">
        <f t="array" ref="L34">- Corresponding Excel lock file is absent.</f>
        <v>#NAME?</v>
      </c>
      <c r="M34" s="23" t="s">
        <v>2503</v>
      </c>
      <c r="N34" s="22" t="s">
        <v>2504</v>
      </c>
    </row>
    <row r="35" spans="1:14" ht="409.6">
      <c r="A35" s="22" t="s">
        <v>942</v>
      </c>
      <c r="B35" s="22" t="s">
        <v>60</v>
      </c>
      <c r="C35" s="22" t="s">
        <v>1146</v>
      </c>
      <c r="D35" s="22" t="s">
        <v>1147</v>
      </c>
      <c r="E35" s="22" t="s">
        <v>1148</v>
      </c>
      <c r="F35" s="22" t="s">
        <v>2388</v>
      </c>
      <c r="G35" s="22" t="s">
        <v>2505</v>
      </c>
      <c r="H35" s="22" t="s">
        <v>2390</v>
      </c>
      <c r="I35" s="22" t="s">
        <v>2506</v>
      </c>
      <c r="J35" s="22" t="s">
        <v>2379</v>
      </c>
      <c r="K35" s="22" t="s">
        <v>2507</v>
      </c>
      <c r="L35" s="22" t="s">
        <v>2592</v>
      </c>
      <c r="M35" s="22" t="s">
        <v>2309</v>
      </c>
      <c r="N35" s="55" t="s">
        <v>2508</v>
      </c>
    </row>
    <row r="36" spans="1:14" ht="409.6">
      <c r="A36" s="23" t="s">
        <v>2324</v>
      </c>
      <c r="B36" s="23" t="s">
        <v>56</v>
      </c>
      <c r="C36" s="23" t="s">
        <v>2509</v>
      </c>
      <c r="D36" s="23" t="s">
        <v>2510</v>
      </c>
      <c r="E36" s="23" t="s">
        <v>2511</v>
      </c>
      <c r="F36" s="23" t="s">
        <v>2512</v>
      </c>
      <c r="G36" s="23" t="s">
        <v>2513</v>
      </c>
      <c r="H36" s="23" t="s">
        <v>2377</v>
      </c>
      <c r="I36" s="23" t="s">
        <v>2514</v>
      </c>
      <c r="J36" s="23" t="s">
        <v>2379</v>
      </c>
      <c r="K36" s="23" t="s">
        <v>225</v>
      </c>
      <c r="L36" s="23" t="s">
        <v>2593</v>
      </c>
      <c r="M36" s="23" t="s">
        <v>2515</v>
      </c>
      <c r="N36" s="22" t="s">
        <v>2516</v>
      </c>
    </row>
    <row r="37" spans="1:14" ht="409.6">
      <c r="A37" s="23" t="s">
        <v>2331</v>
      </c>
      <c r="B37" s="23" t="s">
        <v>37</v>
      </c>
      <c r="C37" s="23" t="s">
        <v>2517</v>
      </c>
      <c r="D37" s="23" t="s">
        <v>2518</v>
      </c>
      <c r="E37" s="23" t="s">
        <v>2519</v>
      </c>
      <c r="F37" s="23" t="s">
        <v>2512</v>
      </c>
      <c r="G37" s="23" t="s">
        <v>2520</v>
      </c>
      <c r="H37" s="23" t="s">
        <v>2377</v>
      </c>
      <c r="I37" s="23" t="s">
        <v>2521</v>
      </c>
      <c r="J37" s="23" t="s">
        <v>2379</v>
      </c>
      <c r="K37" s="23" t="s">
        <v>376</v>
      </c>
      <c r="L37" s="23" t="s">
        <v>2594</v>
      </c>
      <c r="M37" s="23" t="s">
        <v>2522</v>
      </c>
      <c r="N37" s="22" t="s">
        <v>2523</v>
      </c>
    </row>
    <row r="38" spans="1:14" ht="409.6">
      <c r="A38" s="23" t="s">
        <v>2334</v>
      </c>
      <c r="B38" s="23" t="s">
        <v>57</v>
      </c>
      <c r="C38" s="23" t="s">
        <v>2524</v>
      </c>
      <c r="D38" s="23" t="s">
        <v>2525</v>
      </c>
      <c r="E38" s="23" t="s">
        <v>2526</v>
      </c>
      <c r="F38" s="23" t="s">
        <v>2512</v>
      </c>
      <c r="G38" s="23" t="s">
        <v>2527</v>
      </c>
      <c r="H38" s="23" t="s">
        <v>2377</v>
      </c>
      <c r="I38" s="23" t="s">
        <v>2528</v>
      </c>
      <c r="J38" s="23" t="s">
        <v>2379</v>
      </c>
      <c r="K38" s="23" t="s">
        <v>521</v>
      </c>
      <c r="L38" s="23" t="s">
        <v>2595</v>
      </c>
      <c r="M38" s="23" t="s">
        <v>2529</v>
      </c>
      <c r="N38" s="22" t="s">
        <v>2530</v>
      </c>
    </row>
    <row r="39" spans="1:14" ht="409.6">
      <c r="A39" s="23" t="s">
        <v>2337</v>
      </c>
      <c r="B39" s="23" t="s">
        <v>58</v>
      </c>
      <c r="C39" s="23" t="s">
        <v>2531</v>
      </c>
      <c r="D39" s="23" t="s">
        <v>2532</v>
      </c>
      <c r="E39" s="23" t="s">
        <v>2533</v>
      </c>
      <c r="F39" s="23" t="s">
        <v>2512</v>
      </c>
      <c r="G39" s="23" t="s">
        <v>2534</v>
      </c>
      <c r="H39" s="23" t="s">
        <v>2377</v>
      </c>
      <c r="I39" s="23" t="s">
        <v>2535</v>
      </c>
      <c r="J39" s="23" t="s">
        <v>2379</v>
      </c>
      <c r="K39" s="23" t="s">
        <v>662</v>
      </c>
      <c r="L39" s="23"/>
      <c r="M39" s="23" t="s">
        <v>2536</v>
      </c>
      <c r="N39" s="22" t="s">
        <v>2537</v>
      </c>
    </row>
    <row r="40" spans="1:14" ht="409.6">
      <c r="A40" s="23" t="s">
        <v>2345</v>
      </c>
      <c r="B40" s="23" t="s">
        <v>59</v>
      </c>
      <c r="C40" s="23" t="s">
        <v>2538</v>
      </c>
      <c r="D40" s="23" t="s">
        <v>2539</v>
      </c>
      <c r="E40" s="23" t="s">
        <v>2540</v>
      </c>
      <c r="F40" s="23" t="s">
        <v>2512</v>
      </c>
      <c r="G40" s="23" t="s">
        <v>2541</v>
      </c>
      <c r="H40" s="23" t="s">
        <v>2377</v>
      </c>
      <c r="I40" s="23" t="s">
        <v>2542</v>
      </c>
      <c r="J40" s="23" t="s">
        <v>2379</v>
      </c>
      <c r="K40" s="23" t="s">
        <v>815</v>
      </c>
      <c r="L40" s="23" t="s">
        <v>2596</v>
      </c>
      <c r="M40" s="23" t="s">
        <v>2543</v>
      </c>
      <c r="N40" s="22" t="s">
        <v>2544</v>
      </c>
    </row>
    <row r="41" spans="1:14" ht="409.6">
      <c r="A41" s="22" t="s">
        <v>2545</v>
      </c>
      <c r="B41" s="22" t="s">
        <v>1567</v>
      </c>
      <c r="C41" s="22" t="s">
        <v>2546</v>
      </c>
      <c r="D41" s="22" t="s">
        <v>2547</v>
      </c>
      <c r="E41" s="22" t="s">
        <v>2548</v>
      </c>
      <c r="F41" s="22" t="s">
        <v>2388</v>
      </c>
      <c r="G41" s="22" t="s">
        <v>2549</v>
      </c>
      <c r="H41" s="22" t="s">
        <v>2390</v>
      </c>
      <c r="I41" s="22" t="s">
        <v>2550</v>
      </c>
      <c r="J41" s="22" t="s">
        <v>2379</v>
      </c>
      <c r="K41" s="22" t="s">
        <v>1567</v>
      </c>
      <c r="L41" s="22"/>
      <c r="M41" s="22" t="s">
        <v>2551</v>
      </c>
      <c r="N41" s="55" t="s">
        <v>2552</v>
      </c>
    </row>
    <row r="42" spans="1:14" ht="409.6">
      <c r="A42" s="23" t="s">
        <v>2553</v>
      </c>
      <c r="B42" s="23" t="s">
        <v>1567</v>
      </c>
      <c r="C42" s="23" t="s">
        <v>2554</v>
      </c>
      <c r="D42" s="23" t="s">
        <v>2555</v>
      </c>
      <c r="E42" s="23" t="s">
        <v>2556</v>
      </c>
      <c r="F42" s="23" t="s">
        <v>2388</v>
      </c>
      <c r="G42" s="23" t="s">
        <v>2557</v>
      </c>
      <c r="H42" s="23" t="s">
        <v>2390</v>
      </c>
      <c r="I42" s="23" t="s">
        <v>2558</v>
      </c>
      <c r="J42" s="23" t="s">
        <v>2379</v>
      </c>
      <c r="K42" s="23" t="s">
        <v>1567</v>
      </c>
      <c r="L42" s="23" t="s">
        <v>2597</v>
      </c>
      <c r="M42" s="23" t="s">
        <v>2559</v>
      </c>
      <c r="N42" s="22" t="s">
        <v>2560</v>
      </c>
    </row>
    <row r="43" spans="1:14" ht="409.6" customHeight="1">
      <c r="A43" s="27" t="s">
        <v>2561</v>
      </c>
      <c r="B43" s="27" t="s">
        <v>56</v>
      </c>
      <c r="C43" s="27" t="s">
        <v>2562</v>
      </c>
      <c r="D43" s="27" t="s">
        <v>2563</v>
      </c>
      <c r="E43" s="27" t="s">
        <v>2564</v>
      </c>
      <c r="F43" s="27" t="s">
        <v>2437</v>
      </c>
      <c r="G43" s="28" t="s">
        <v>2565</v>
      </c>
      <c r="H43" s="27" t="s">
        <v>2377</v>
      </c>
      <c r="I43" s="27" t="s">
        <v>2566</v>
      </c>
      <c r="J43" s="27" t="s">
        <v>2379</v>
      </c>
      <c r="K43" s="27" t="s">
        <v>2567</v>
      </c>
      <c r="M43" s="27" t="s">
        <v>2568</v>
      </c>
      <c r="N43" s="55" t="s">
        <v>2569</v>
      </c>
    </row>
    <row r="44" spans="1:14" ht="319.95" customHeight="1">
      <c r="A44" s="27" t="s">
        <v>241</v>
      </c>
      <c r="B44" s="27" t="s">
        <v>2570</v>
      </c>
      <c r="C44" s="27" t="s">
        <v>2571</v>
      </c>
      <c r="D44" s="27" t="s">
        <v>2572</v>
      </c>
      <c r="E44" s="27" t="s">
        <v>2573</v>
      </c>
      <c r="F44" s="27" t="s">
        <v>2574</v>
      </c>
      <c r="G44" s="27" t="s">
        <v>2575</v>
      </c>
      <c r="H44" s="27" t="s">
        <v>2310</v>
      </c>
      <c r="I44" s="27" t="s">
        <v>2576</v>
      </c>
      <c r="J44" s="27" t="s">
        <v>2441</v>
      </c>
      <c r="K44" s="27" t="s">
        <v>2577</v>
      </c>
      <c r="L44" s="27" t="s">
        <v>2598</v>
      </c>
      <c r="M44" s="27" t="s">
        <v>2311</v>
      </c>
      <c r="N44" s="22" t="s">
        <v>2313</v>
      </c>
    </row>
    <row r="45" spans="1:14">
      <c r="L45" s="27" t="e" cm="1">
        <f t="array" ref="L45">- docker/local-retrieval-runner.Dockerfile</f>
        <v>#NAME?</v>
      </c>
    </row>
    <row r="46" spans="1:14">
      <c r="L46" s="27" t="e" cm="1">
        <f t="array" ref="L46">- docker/local-retrieval-runner.Dockerfile.dockerignore</f>
        <v>#NAME?</v>
      </c>
    </row>
    <row r="47" spans="1:14">
      <c r="L47" s="27" t="e" cm="1">
        <f t="array" ref="L47">- docker/local-retrieval-runner.requirements.txt</f>
        <v>#NAME?</v>
      </c>
    </row>
    <row r="48" spans="1:14">
      <c r="L48" s="27" t="e" cm="1">
        <f t="array" ref="L48">- src/enterprise_ai_platform/retrieval/service.py</f>
        <v>#NAME?</v>
      </c>
    </row>
    <row r="49" spans="12:12">
      <c r="L49" s="27" t="e" cm="1">
        <f t="array" ref="L49">- tools/verify_w2_004_local.py</f>
        <v>#NAME?</v>
      </c>
    </row>
    <row r="50" spans="12:12">
      <c r="L50" s="27" t="e" cm="1">
        <f t="array" ref="L50">- tests/unit/test_retrieval_service.py</f>
        <v>#NAME?</v>
      </c>
    </row>
    <row r="51" spans="12:12">
      <c r="L51" s="27" t="e" cm="1">
        <f t="array" ref="L51">- tests/unit/test_verify_w2_004_local.py</f>
        <v>#NAME?</v>
      </c>
    </row>
    <row r="52" spans="12:12">
      <c r="L52" s="27" t="e" cm="1">
        <f t="array" ref="L52">- tests/contract/test_retrieval_service.py</f>
        <v>#NAME?</v>
      </c>
    </row>
    <row r="53" spans="12:12">
      <c r="L53" s="27" t="e" cm="1">
        <f t="array" ref="L53">- tests/feature/test_local_retrieval.py</f>
        <v>#NAME?</v>
      </c>
    </row>
    <row r="54" spans="12:12">
      <c r="L54" s="27" t="e" cm="1">
        <f t="array" ref="L54">- tests/security/test_w2_004_retrieval_security.py</f>
        <v>#NAME?</v>
      </c>
    </row>
    <row r="55" spans="12:12">
      <c r="L55" s="27" t="e" cm="1">
        <f t="array" ref="L55">- tests/rollback/test_w2_004_local_rollback.py</f>
        <v>#NAME?</v>
      </c>
    </row>
    <row r="56" spans="12:12">
      <c r="L56" s="27" t="e" cm="1">
        <f t="array" ref="L56">- tests/teardown/test_w2_004_retrieval_cleanliness.py</f>
        <v>#NAME?</v>
      </c>
    </row>
    <row r="58" spans="12:12">
      <c r="L58" s="27" t="s">
        <v>2599</v>
      </c>
    </row>
    <row r="60" spans="12:12">
      <c r="L60" s="27" t="e" cm="1">
        <f t="array" ref="L60">- Makefile</f>
        <v>#NAME?</v>
      </c>
    </row>
    <row r="61" spans="12:12">
      <c r="L61" s="27" t="e" cm="1">
        <f t="array" ref="L61">- src/enterprise_ai_platform/retrieval/__init__.py</f>
        <v>#NAME?</v>
      </c>
    </row>
    <row r="62" spans="12:12">
      <c r="L62" s="27" t="e" cm="1">
        <f t="array" ref="L62">- feature-matrix.yaml</f>
        <v>#NAME?</v>
      </c>
    </row>
    <row r="63" spans="12:12">
      <c r="L63" s="27" t="e" cm="1">
        <f t="array" ref="L63">- tools/platformctl/validate.py</f>
        <v>#NAME?</v>
      </c>
    </row>
    <row r="64" spans="12:12">
      <c r="L64" s="27" t="e" cm="1">
        <f t="array" ref="L64">- tests/feature/test_feature_matrix.py</f>
        <v>#NAME?</v>
      </c>
    </row>
    <row r="65" spans="12:12">
      <c r="L65" s="27" t="e" cm="1">
        <f t="array" ref="L65">- tests/feature/test_w2_003_ingestion_contract.py</f>
        <v>#NAME?</v>
      </c>
    </row>
    <row r="66" spans="12:12">
      <c r="L66" s="27" t="e" cm="1">
        <f t="array" ref="L66">- tests/unit/test_platformctl.py</f>
        <v>#NAME?</v>
      </c>
    </row>
    <row r="68" spans="12:12">
      <c r="L68" s="27" t="s">
        <v>2600</v>
      </c>
    </row>
    <row r="70" spans="12:12">
      <c r="L70" s="27" t="s">
        <v>2601</v>
      </c>
    </row>
    <row r="72" spans="12:12">
      <c r="L72" s="27" t="s">
        <v>2602</v>
      </c>
    </row>
    <row r="73" spans="12:12">
      <c r="L73" s="27" t="s">
        <v>2603</v>
      </c>
    </row>
    <row r="75" spans="12:12">
      <c r="L75" s="27" t="s">
        <v>2604</v>
      </c>
    </row>
    <row r="77" spans="12:12">
      <c r="L77" s="27" t="e" cm="1">
        <f t="array" ref="L77">- Service: local_retrieval_runner</f>
        <v>#NAME?</v>
      </c>
    </row>
    <row r="78" spans="12:12">
      <c r="L78" s="27" t="e" cm="1">
        <f t="array" ref="L78">- Profile: local-retrieval</f>
        <v>#NAME?</v>
      </c>
    </row>
    <row r="79" spans="12:12">
      <c r="L79" s="27" t="s">
        <v>2605</v>
      </c>
    </row>
    <row r="80" spans="12:12">
      <c r="L80" s="27" t="e" cm="1">
        <f t="array" ref="L80">- Logical network: qdrant_internal</f>
        <v>#NAME?</v>
      </c>
    </row>
    <row r="81" spans="12:12">
      <c r="L81" s="27" t="s">
        <v>2606</v>
      </c>
    </row>
    <row r="82" spans="12:12">
      <c r="L82" s="27" t="e" cm="1">
        <f t="array" ref="L82">- Collection: w2_004_local_retrieval</f>
        <v>#NAME?</v>
      </c>
    </row>
    <row r="83" spans="12:12">
      <c r="L83" s="27" t="e" cm="1">
        <f t="array" ref="L83">- Platform: linux/AMD64</f>
        <v>#NAME?</v>
      </c>
    </row>
    <row r="84" spans="12:12">
      <c r="L84" s="27" t="s">
        <v>2607</v>
      </c>
    </row>
    <row r="85" spans="12:12">
      <c r="L85" s="27" t="s">
        <v>2608</v>
      </c>
    </row>
    <row r="86" spans="12:12">
      <c r="L86" s="27" t="s">
        <v>2609</v>
      </c>
    </row>
    <row r="87" spans="12:12">
      <c r="L87" s="27" t="e" cm="1">
        <f t="array" ref="L87">- Runtime user: 10001:10001</f>
        <v>#NAME?</v>
      </c>
    </row>
    <row r="88" spans="12:12">
      <c r="L88" s="27" t="e" cm="1">
        <f t="array" ref="L88">- Root filesystem: read-only</f>
        <v>#NAME?</v>
      </c>
    </row>
    <row r="89" spans="12:12">
      <c r="L89" s="27" t="s">
        <v>2610</v>
      </c>
    </row>
    <row r="90" spans="12:12">
      <c r="L90" s="27" t="s">
        <v>2611</v>
      </c>
    </row>
    <row r="91" spans="12:12">
      <c r="L91" s="27" t="s">
        <v>2612</v>
      </c>
    </row>
    <row r="92" spans="12:12">
      <c r="L92" s="27" t="e" cm="1">
        <f t="array" ref="L92">- Persistent runner storage: none</f>
        <v>#NAME?</v>
      </c>
    </row>
    <row r="93" spans="12:12">
      <c r="L93" s="27" t="e" cm="1">
        <f t="array" ref="L93">- Host ports: none</f>
        <v>#NAME?</v>
      </c>
    </row>
    <row r="94" spans="12:12">
      <c r="L94" s="27" t="e" cm="1">
        <f t="array" ref="L94">- Host networking: prohibited</f>
        <v>#NAME?</v>
      </c>
    </row>
    <row r="95" spans="12:12">
      <c r="L95" s="27" t="e" cm="1">
        <f t="array" ref="L95">- docker socket: prohibited</f>
        <v>#NAME?</v>
      </c>
    </row>
    <row r="96" spans="12:12">
      <c r="L96" s="27" t="s">
        <v>2613</v>
      </c>
    </row>
    <row r="97" spans="12:12">
      <c r="L97" s="27" t="e" cm="1">
        <f t="array" ref="L97">- Runtime external network: prohibited</f>
        <v>#NAME?</v>
      </c>
    </row>
    <row r="99" spans="12:12">
      <c r="L99" s="27" t="s">
        <v>2614</v>
      </c>
    </row>
    <row r="100" spans="12:12">
      <c r="L100" s="27" t="s">
        <v>2615</v>
      </c>
    </row>
    <row r="101" spans="12:12">
      <c r="L101" s="27" t="s">
        <v>2616</v>
      </c>
    </row>
    <row r="103" spans="12:12">
      <c r="L103" s="27" t="s">
        <v>2617</v>
      </c>
    </row>
    <row r="105" spans="12:12">
      <c r="L105" s="27" t="s">
        <v>2618</v>
      </c>
    </row>
    <row r="107" spans="12:12">
      <c r="L107" s="27" t="s">
        <v>2619</v>
      </c>
    </row>
    <row r="109" spans="12:12">
      <c r="L109" s="27" t="s">
        <v>2620</v>
      </c>
    </row>
    <row r="111" spans="12:12">
      <c r="L111" s="27" t="e" cm="1">
        <f t="array" ref="L111">- configs/pii-policy.yaml</f>
        <v>#NAME?</v>
      </c>
    </row>
    <row r="112" spans="12:12">
      <c r="L112" s="27" t="e" cm="1">
        <f t="array" ref="L112">- configs/eval/W2-starter.jsonl</f>
        <v>#NAME?</v>
      </c>
    </row>
    <row r="113" spans="12:12">
      <c r="L113" s="27" t="e" cm="1">
        <f t="array" ref="L113">- data/sample/corpus-manifest.json</f>
        <v>#NAME?</v>
      </c>
    </row>
    <row r="114" spans="12:12">
      <c r="L114" s="27" t="e" cm="1">
        <f t="array" ref="L114">- data/sample/approved/source-of-truth-_FV(_FV(V1,"1"),"md")</f>
        <v>#NAME?</v>
      </c>
    </row>
    <row r="115" spans="12:12">
      <c r="L115" s="27" t="e" cm="1">
        <f t="array" ref="L115">- data/sample/approved/coaching-blueprint.md</f>
        <v>#NAME?</v>
      </c>
    </row>
    <row r="116" spans="12:12">
      <c r="L116" s="27" t="e" cm="1">
        <f t="array" ref="L116">- data/sample/restricted-fixtures/restricted-test.txt</f>
        <v>#NAME?</v>
      </c>
    </row>
    <row r="118" spans="12:12">
      <c r="L118" s="27" t="s">
        <v>2621</v>
      </c>
    </row>
    <row r="119" spans="12:12">
      <c r="L119" s="27" t="s">
        <v>2622</v>
      </c>
    </row>
    <row r="121" spans="12:12">
      <c r="L121" s="27" t="s">
        <v>2623</v>
      </c>
    </row>
    <row r="123" spans="12:12">
      <c r="L123" s="27" t="s">
        <v>2624</v>
      </c>
    </row>
    <row r="124" spans="12:12">
      <c r="L124" s="27" t="s">
        <v>2625</v>
      </c>
    </row>
    <row r="126" spans="12:12">
      <c r="L126" s="27" t="s">
        <v>2626</v>
      </c>
    </row>
    <row r="128" spans="12:12">
      <c r="L128" s="27" t="s">
        <v>2627</v>
      </c>
    </row>
    <row r="130" spans="12:12">
      <c r="L130" s="27" t="s">
        <v>2628</v>
      </c>
    </row>
    <row r="132" spans="12:12">
      <c r="L132" s="27" t="s">
        <v>2629</v>
      </c>
    </row>
    <row r="134" spans="12:12">
      <c r="L134" s="27" t="s">
        <v>2630</v>
      </c>
    </row>
    <row r="136" spans="12:12">
      <c r="L136" s="27" t="s">
        <v>2631</v>
      </c>
    </row>
    <row r="137" spans="12:12">
      <c r="L137" s="27" t="s">
        <v>2632</v>
      </c>
    </row>
    <row r="139" spans="12:12">
      <c r="L139" s="27" t="s">
        <v>2633</v>
      </c>
    </row>
    <row r="141" spans="12:12">
      <c r="L141" s="27" t="s">
        <v>2634</v>
      </c>
    </row>
    <row r="142" spans="12:12">
      <c r="L142" s="27" t="s">
        <v>2635</v>
      </c>
    </row>
    <row r="143" spans="12:12">
      <c r="L143" s="27" t="s">
        <v>2636</v>
      </c>
    </row>
    <row r="145" spans="12:12">
      <c r="L145" s="27" t="s">
        <v>2637</v>
      </c>
    </row>
    <row r="147" spans="12:12">
      <c r="L147" s="27" t="s">
        <v>2638</v>
      </c>
    </row>
    <row r="148" spans="12:12">
      <c r="L148" s="27" t="s">
        <v>2639</v>
      </c>
    </row>
    <row r="149" spans="12:12">
      <c r="L149" s="27" t="s">
        <v>2640</v>
      </c>
    </row>
    <row r="150" spans="12:12">
      <c r="L150" s="27" t="s">
        <v>2641</v>
      </c>
    </row>
    <row r="152" spans="12:12">
      <c r="L152" s="27" t="s">
        <v>2642</v>
      </c>
    </row>
    <row r="154" spans="12:12">
      <c r="L154" s="27" t="s">
        <v>2643</v>
      </c>
    </row>
    <row r="156" spans="12:12">
      <c r="L156" s="27" t="s">
        <v>2644</v>
      </c>
    </row>
    <row r="157" spans="12:12">
      <c r="L157" s="27" t="s">
        <v>2645</v>
      </c>
    </row>
    <row r="158" spans="12:12">
      <c r="L158" s="27" t="s">
        <v>2646</v>
      </c>
    </row>
    <row r="159" spans="12:12">
      <c r="L159" s="27" t="s">
        <v>2647</v>
      </c>
    </row>
    <row r="160" spans="12:12">
      <c r="L160" s="27" t="s">
        <v>2648</v>
      </c>
    </row>
    <row r="161" spans="12:12">
      <c r="L161" s="27" t="s">
        <v>2649</v>
      </c>
    </row>
    <row r="162" spans="12:12">
      <c r="L162" s="27" t="s">
        <v>2650</v>
      </c>
    </row>
    <row r="163" spans="12:12">
      <c r="L163" s="27" t="s">
        <v>2651</v>
      </c>
    </row>
    <row r="164" spans="12:12">
      <c r="L164" s="27" t="s">
        <v>2652</v>
      </c>
    </row>
    <row r="165" spans="12:12">
      <c r="L165" s="27" t="s">
        <v>2653</v>
      </c>
    </row>
    <row r="166" spans="12:12">
      <c r="L166" s="27" t="s">
        <v>2654</v>
      </c>
    </row>
    <row r="168" spans="12:12">
      <c r="L168" s="27" t="s">
        <v>2655</v>
      </c>
    </row>
    <row r="169" spans="12:12">
      <c r="L169" s="27" t="s">
        <v>2656</v>
      </c>
    </row>
    <row r="170" spans="12:12">
      <c r="L170" s="27" t="s">
        <v>2657</v>
      </c>
    </row>
    <row r="172" spans="12:12">
      <c r="L172" s="27" t="s">
        <v>2658</v>
      </c>
    </row>
    <row r="173" spans="12:12">
      <c r="L173" s="27" t="s">
        <v>2659</v>
      </c>
    </row>
    <row r="175" spans="12:12">
      <c r="L175" s="27" t="s">
        <v>2660</v>
      </c>
    </row>
    <row r="177" spans="12:12">
      <c r="L177" s="27" t="s">
        <v>2661</v>
      </c>
    </row>
    <row r="178" spans="12:12">
      <c r="L178" s="27" t="s">
        <v>2662</v>
      </c>
    </row>
    <row r="180" spans="12:12">
      <c r="L180" s="27" t="e" cm="1">
        <f t="array" ref="L180">- Embedder</f>
        <v>#NAME?</v>
      </c>
    </row>
    <row r="181" spans="12:12">
      <c r="L181" s="27" t="e" cm="1">
        <f t="array" ref="L181">- EmbeddingContract</f>
        <v>#NAME?</v>
      </c>
    </row>
    <row r="182" spans="12:12">
      <c r="L182" s="27" t="e" cm="1">
        <f t="array" ref="L182">- assert_embedding_contract</f>
        <v>#NAME?</v>
      </c>
    </row>
    <row r="183" spans="12:12">
      <c r="L183" s="27" t="e" cm="1">
        <f t="array" ref="L183">- VectorStore</f>
        <v>#NAME?</v>
      </c>
    </row>
    <row r="184" spans="12:12">
      <c r="L184" s="27" t="e" cm="1">
        <f t="array" ref="L184">- CollectionSpec</f>
        <v>#NAME?</v>
      </c>
    </row>
    <row r="185" spans="12:12">
      <c r="L185" s="27" t="e" cm="1">
        <f t="array" ref="L185">- Query</f>
        <v>#NAME?</v>
      </c>
    </row>
    <row r="186" spans="12:12">
      <c r="L186" s="27" t="e" cm="1">
        <f t="array" ref="L186">- AuthContext</f>
        <v>#NAME?</v>
      </c>
    </row>
    <row r="187" spans="12:12">
      <c r="L187" s="27" t="e" cm="1">
        <f t="array" ref="L187">- RetrievedChunk</f>
        <v>#NAME?</v>
      </c>
    </row>
    <row r="188" spans="12:12">
      <c r="L188" s="27" t="e" cm="1">
        <f t="array" ref="L188">- require_active_context</f>
        <v>#NAME?</v>
      </c>
    </row>
    <row r="189" spans="12:12">
      <c r="L189" s="27" t="e" cm="1">
        <f t="array" ref="L189">- build_retrieval_policy</f>
        <v>#NAME?</v>
      </c>
    </row>
    <row r="191" spans="12:12">
      <c r="L191" s="27" t="s">
        <v>2663</v>
      </c>
    </row>
    <row r="193" spans="12:12">
      <c r="L193" s="27" t="s">
        <v>2664</v>
      </c>
    </row>
    <row r="194" spans="12:12">
      <c r="L194" s="27" t="s">
        <v>2665</v>
      </c>
    </row>
    <row r="195" spans="12:12">
      <c r="L195" s="27" t="s">
        <v>2666</v>
      </c>
    </row>
    <row r="196" spans="12:12">
      <c r="L196" s="27" t="s">
        <v>2667</v>
      </c>
    </row>
    <row r="197" spans="12:12">
      <c r="L197" s="27" t="s">
        <v>2668</v>
      </c>
    </row>
    <row r="198" spans="12:12">
      <c r="L198" s="27" t="s">
        <v>2669</v>
      </c>
    </row>
    <row r="199" spans="12:12">
      <c r="L199" s="27" t="s">
        <v>2670</v>
      </c>
    </row>
    <row r="200" spans="12:12">
      <c r="L200" s="27" t="s">
        <v>2671</v>
      </c>
    </row>
    <row r="201" spans="12:12">
      <c r="L201" s="27" t="s">
        <v>2672</v>
      </c>
    </row>
    <row r="202" spans="12:12">
      <c r="L202" s="27" t="s">
        <v>2673</v>
      </c>
    </row>
    <row r="203" spans="12:12">
      <c r="L203" s="27" t="s">
        <v>2674</v>
      </c>
    </row>
    <row r="204" spans="12:12">
      <c r="L204" s="27" t="s">
        <v>2675</v>
      </c>
    </row>
    <row r="205" spans="12:12">
      <c r="L205" s="27" t="s">
        <v>2676</v>
      </c>
    </row>
    <row r="207" spans="12:12">
      <c r="L207" s="27" t="s">
        <v>2677</v>
      </c>
    </row>
    <row r="208" spans="12:12">
      <c r="L208" s="27" t="s">
        <v>2678</v>
      </c>
    </row>
    <row r="210" spans="12:12">
      <c r="L210" s="27" t="s">
        <v>2679</v>
      </c>
    </row>
    <row r="212" spans="12:12">
      <c r="L212" s="27" t="s">
        <v>2680</v>
      </c>
    </row>
    <row r="214" spans="12:12">
      <c r="L214" s="27" t="e" cm="1">
        <f t="array" ref="L214">- SentenceTransformerEmbedder</f>
        <v>#NAME?</v>
      </c>
    </row>
    <row r="215" spans="12:12">
      <c r="L215" s="27" t="e" cm="1">
        <f t="array" ref="L215">- MiniLmTokenizer</f>
        <v>#NAME?</v>
      </c>
    </row>
    <row r="216" spans="12:12">
      <c r="L216" s="27" t="e" cm="1">
        <f t="array" ref="L216">- SyntheticPiiAnalyzer</f>
        <v>#NAME?</v>
      </c>
    </row>
    <row r="217" spans="12:12">
      <c r="L217" s="27" t="e" cm="1">
        <f t="array" ref="L217">- IngestionPipeline</f>
        <v>#NAME?</v>
      </c>
    </row>
    <row r="218" spans="12:12">
      <c r="L218" s="27" t="e" cm="1">
        <f t="array" ref="L218">- QdrantVectorStore</f>
        <v>#NAME?</v>
      </c>
    </row>
    <row r="219" spans="12:12">
      <c r="L219" s="27" t="e" cm="1">
        <f t="array" ref="L219">- RetrievalService</f>
        <v>#NAME?</v>
      </c>
    </row>
    <row r="220" spans="12:12">
      <c r="L220" s="27" t="s">
        <v>2681</v>
      </c>
    </row>
    <row r="221" spans="12:12">
      <c r="L221" s="27" t="e" cm="1">
        <f t="array" ref="L221">- CPU-only execution</f>
        <v>#NAME?</v>
      </c>
    </row>
    <row r="222" spans="12:12">
      <c r="L222" s="27" t="e" cm="1">
        <f t="array" ref="L222">- HF_HUB_OFFLINE=1</f>
        <v>#NAME?</v>
      </c>
    </row>
    <row r="223" spans="12:12">
      <c r="L223" s="27" t="e" cm="1">
        <f t="array" ref="L223">- TRANSFORMERS_OFFLINE=1</f>
        <v>#NAME?</v>
      </c>
    </row>
    <row r="224" spans="12:12">
      <c r="L224" s="27" t="e" cm="1">
        <f t="array" ref="L224">- HF_HUB_DISABLE_TELEMETRY=1</f>
        <v>#NAME?</v>
      </c>
    </row>
    <row r="225" spans="12:12">
      <c r="L225" s="27" t="e" cm="1">
        <f t="array" ref="L225">- CUDA_VISIBLE_DEVICES=-1</f>
        <v>#NAME?</v>
      </c>
    </row>
    <row r="226" spans="12:12">
      <c r="L226" s="27" t="e" cm="1">
        <f t="array" ref="L226">- no token</f>
        <v>#NAME?</v>
      </c>
    </row>
    <row r="227" spans="12:12">
      <c r="L227" s="27" t="s">
        <v>2682</v>
      </c>
    </row>
    <row r="228" spans="12:12">
      <c r="L228" s="27" t="e" cm="1">
        <f t="array" ref="L228">- no Runtime download</f>
        <v>#NAME?</v>
      </c>
    </row>
    <row r="230" spans="12:12">
      <c r="L230" s="27" t="s">
        <v>2683</v>
      </c>
    </row>
    <row r="231" spans="12:12">
      <c r="L231" s="27" t="s">
        <v>2684</v>
      </c>
    </row>
    <row r="232" spans="12:12">
      <c r="L232" s="27" t="s">
        <v>2685</v>
      </c>
    </row>
    <row r="234" spans="12:12">
      <c r="L234" s="27" t="s">
        <v>2686</v>
      </c>
    </row>
    <row r="236" spans="12:12">
      <c r="L236" s="27" t="s">
        <v>2687</v>
      </c>
    </row>
    <row r="237" spans="12:12">
      <c r="L237" s="27" t="s">
        <v>2688</v>
      </c>
    </row>
    <row r="238" spans="12:12">
      <c r="L238" s="27" t="s">
        <v>2689</v>
      </c>
    </row>
    <row r="239" spans="12:12">
      <c r="L239" s="27" t="s">
        <v>2690</v>
      </c>
    </row>
    <row r="240" spans="12:12">
      <c r="L240" s="27" t="s">
        <v>2691</v>
      </c>
    </row>
    <row r="241" spans="12:12">
      <c r="L241" s="27" t="s">
        <v>2692</v>
      </c>
    </row>
    <row r="242" spans="12:12">
      <c r="L242" s="27" t="s">
        <v>2693</v>
      </c>
    </row>
    <row r="243" spans="12:12">
      <c r="L243" s="27" t="s">
        <v>2694</v>
      </c>
    </row>
    <row r="244" spans="12:12">
      <c r="L244" s="27" t="s">
        <v>2695</v>
      </c>
    </row>
    <row r="245" spans="12:12">
      <c r="L245" s="27" t="s">
        <v>2696</v>
      </c>
    </row>
    <row r="246" spans="12:12">
      <c r="L246" s="27" t="s">
        <v>2697</v>
      </c>
    </row>
    <row r="247" spans="12:12">
      <c r="L247" s="27" t="s">
        <v>2698</v>
      </c>
    </row>
    <row r="248" spans="12:12">
      <c r="L248" s="27" t="s">
        <v>2699</v>
      </c>
    </row>
    <row r="249" spans="12:12">
      <c r="L249" s="27" t="s">
        <v>2700</v>
      </c>
    </row>
    <row r="250" spans="12:12">
      <c r="L250" s="27" t="s">
        <v>2701</v>
      </c>
    </row>
    <row r="251" spans="12:12">
      <c r="L251" s="27" t="s">
        <v>2702</v>
      </c>
    </row>
    <row r="252" spans="12:12">
      <c r="L252" s="27" t="s">
        <v>2703</v>
      </c>
    </row>
    <row r="253" spans="12:12">
      <c r="L253" s="27" t="s">
        <v>2704</v>
      </c>
    </row>
    <row r="254" spans="12:12">
      <c r="L254" s="27" t="s">
        <v>2705</v>
      </c>
    </row>
    <row r="255" spans="12:12">
      <c r="L255" s="27" t="s">
        <v>2706</v>
      </c>
    </row>
    <row r="257" spans="12:12">
      <c r="L257" s="27" t="s">
        <v>2707</v>
      </c>
    </row>
    <row r="258" spans="12:12">
      <c r="L258" s="27" t="s">
        <v>2708</v>
      </c>
    </row>
    <row r="260" spans="12:12">
      <c r="L260" s="27" t="s">
        <v>2709</v>
      </c>
    </row>
    <row r="262" spans="12:12">
      <c r="L262" s="27" t="s">
        <v>2710</v>
      </c>
    </row>
    <row r="264" spans="12:12">
      <c r="L264" s="27" t="s">
        <v>2711</v>
      </c>
    </row>
    <row r="266" spans="12:12">
      <c r="L266" s="27" t="s">
        <v>2712</v>
      </c>
    </row>
    <row r="267" spans="12:12">
      <c r="L267" s="27" t="s">
        <v>2713</v>
      </c>
    </row>
    <row r="268" spans="12:12">
      <c r="L268" s="27" t="s">
        <v>2714</v>
      </c>
    </row>
    <row r="269" spans="12:12">
      <c r="L269" s="27" t="s">
        <v>2715</v>
      </c>
    </row>
    <row r="270" spans="12:12">
      <c r="L270" s="27" t="e" cm="1">
        <f t="array" ref="L270">- Return a visible expected nonzero test result.</f>
        <v>#NAME?</v>
      </c>
    </row>
    <row r="271" spans="12:12">
      <c r="L271" s="27" t="e" cm="1">
        <f t="array" ref="L271">- Prove that The regression is detected.</f>
        <v>#NAME?</v>
      </c>
    </row>
    <row r="272" spans="12:12">
      <c r="L272" s="27" t="s">
        <v>2716</v>
      </c>
    </row>
    <row r="274" spans="12:12">
      <c r="L274" s="27" t="s">
        <v>2717</v>
      </c>
    </row>
    <row r="276" spans="12:12">
      <c r="L276" s="27" t="s">
        <v>2718</v>
      </c>
    </row>
    <row r="278" spans="12:12">
      <c r="L278" s="27" t="e" cm="1">
        <f t="array" ref="L278">- Qdrant health.</f>
        <v>#NAME?</v>
      </c>
    </row>
    <row r="279" spans="12:12">
      <c r="L279" s="27" t="s">
        <v>2719</v>
      </c>
    </row>
    <row r="280" spans="12:12">
      <c r="L280" s="27" t="s">
        <v>2720</v>
      </c>
    </row>
    <row r="281" spans="12:12">
      <c r="L281" s="27" t="s">
        <v>2721</v>
      </c>
    </row>
    <row r="282" spans="12:12">
      <c r="L282" s="27" t="s">
        <v>2722</v>
      </c>
    </row>
    <row r="283" spans="12:12">
      <c r="L283" s="27" t="e" cm="1">
        <f t="array" ref="L283">- Quarantine absence.</f>
        <v>#NAME?</v>
      </c>
    </row>
    <row r="285" spans="12:12">
      <c r="L285" s="27" t="s">
        <v>2723</v>
      </c>
    </row>
    <row r="287" spans="12:12">
      <c r="L287" s="27" t="s">
        <v>2724</v>
      </c>
    </row>
    <row r="289" spans="12:12">
      <c r="L289" s="27" t="s">
        <v>2725</v>
      </c>
    </row>
    <row r="291" spans="12:12">
      <c r="L291" s="27" t="s">
        <v>2726</v>
      </c>
    </row>
    <row r="293" spans="12:12">
      <c r="L293" s="27" t="s">
        <v>2727</v>
      </c>
    </row>
    <row r="294" spans="12:12">
      <c r="L294" s="27" t="s">
        <v>2728</v>
      </c>
    </row>
    <row r="296" spans="12:12">
      <c r="L296" s="27" t="s">
        <v>2729</v>
      </c>
    </row>
    <row r="298" spans="12:12">
      <c r="L298" s="27" t="s">
        <v>2730</v>
      </c>
    </row>
    <row r="300" spans="12:12">
      <c r="L300" s="27" t="s">
        <v>2731</v>
      </c>
    </row>
    <row r="302" spans="12:12">
      <c r="L302" s="27" t="e" cm="1">
        <f t="array" ref="L302">- local-retrieval-config</f>
        <v>#NAME?</v>
      </c>
    </row>
    <row r="303" spans="12:12">
      <c r="L303" s="27" t="e" cm="1">
        <f t="array" ref="L303">- local-retrieval-build</f>
        <v>#NAME?</v>
      </c>
    </row>
    <row r="304" spans="12:12">
      <c r="L304" s="27" t="e" cm="1">
        <f t="array" ref="L304">- local-retrieval-inspect</f>
        <v>#NAME?</v>
      </c>
    </row>
    <row r="305" spans="12:12">
      <c r="L305" s="27" t="e" cm="1">
        <f t="array" ref="L305">- local-retrieval-up</f>
        <v>#NAME?</v>
      </c>
    </row>
    <row r="306" spans="12:12">
      <c r="L306" s="27" t="e" cm="1">
        <f t="array" ref="L306">- local-retrieval-ingest</f>
        <v>#NAME?</v>
      </c>
    </row>
    <row r="307" spans="12:12">
      <c r="L307" s="27" t="e" cm="1">
        <f t="array" ref="L307">- local-retrieval-Query</f>
        <v>#NAME?</v>
      </c>
    </row>
    <row r="308" spans="12:12">
      <c r="L308" s="27" t="e" cm="1">
        <f t="array" ref="L308">- local-retrieval-regression</f>
        <v>#NAME?</v>
      </c>
    </row>
    <row r="309" spans="12:12">
      <c r="L309" s="27" t="e" cm="1">
        <f t="array" ref="L309">- rollback-local</f>
        <v>#NAME?</v>
      </c>
    </row>
    <row r="310" spans="12:12">
      <c r="L310" s="27" t="e" cm="1">
        <f t="array" ref="L310">- local-retrieval-remove</f>
        <v>#NAME?</v>
      </c>
    </row>
    <row r="311" spans="12:12">
      <c r="L311" s="27" t="e" cm="1">
        <f t="array" ref="L311">- stop-local</f>
        <v>#NAME?</v>
      </c>
    </row>
    <row r="312" spans="12:12">
      <c r="L312" s="27" t="e" cm="1">
        <f t="array" ref="L312">- destroy-local</f>
        <v>#NAME?</v>
      </c>
    </row>
    <row r="313" spans="12:12">
      <c r="L313" s="27" t="e" cm="1">
        <f t="array" ref="L313">- verify-_xleta.CLEAN-local</f>
        <v>#NAME?</v>
      </c>
    </row>
    <row r="315" spans="12:12">
      <c r="L315" s="27" t="s">
        <v>2732</v>
      </c>
    </row>
    <row r="316" spans="12:12">
      <c r="L316" s="27" t="s">
        <v>2733</v>
      </c>
    </row>
    <row r="318" spans="12:12">
      <c r="L318" s="27" t="s">
        <v>2734</v>
      </c>
    </row>
    <row r="319" spans="12:12">
      <c r="L319" s="27" t="s">
        <v>2735</v>
      </c>
    </row>
    <row r="321" spans="12:12">
      <c r="L321" s="27" t="s">
        <v>2736</v>
      </c>
    </row>
    <row r="323" spans="12:12">
      <c r="L323" s="27" t="s">
        <v>2737</v>
      </c>
    </row>
    <row r="325" spans="12:12">
      <c r="L325" s="27" t="s">
        <v>2738</v>
      </c>
    </row>
    <row r="327" spans="12:12">
      <c r="L327" s="27" t="e" cm="1">
        <f t="array" ref="L327">- Be read-only.</f>
        <v>#NAME?</v>
      </c>
    </row>
    <row r="328" spans="12:12">
      <c r="L328" s="27" t="s">
        <v>2739</v>
      </c>
    </row>
    <row r="329" spans="12:12">
      <c r="L329" s="27" t="s">
        <v>2740</v>
      </c>
    </row>
    <row r="330" spans="12:12">
      <c r="L330" s="27" t="s">
        <v>2741</v>
      </c>
    </row>
    <row r="331" spans="12:12">
      <c r="L331" s="27" t="s">
        <v>2742</v>
      </c>
    </row>
    <row r="332" spans="12:12">
      <c r="L332" s="27" t="e" cm="1">
        <f t="array" ref="L332">- inspect The local runner image.</f>
        <v>#NAME?</v>
      </c>
    </row>
    <row r="333" spans="12:12">
      <c r="L333" s="27" t="e" cm="1">
        <f t="array" ref="L333">- inspect W2-4-related processes without outputting complete command lines.</f>
        <v>#NAME?</v>
      </c>
    </row>
    <row r="334" spans="12:12">
      <c r="L334" s="27" t="s">
        <v>2743</v>
      </c>
    </row>
    <row r="335" spans="12:12">
      <c r="L335" s="27" t="s">
        <v>2744</v>
      </c>
    </row>
    <row r="336" spans="12:12">
      <c r="L336" s="27" t="s">
        <v>2745</v>
      </c>
    </row>
    <row r="337" spans="12:12">
      <c r="L337" s="27" t="s">
        <v>2746</v>
      </c>
    </row>
    <row r="338" spans="12:12">
      <c r="L338" s="27" t="s">
        <v>2747</v>
      </c>
    </row>
    <row r="339" spans="12:12">
      <c r="L339" s="27" t="s">
        <v>2748</v>
      </c>
    </row>
    <row r="340" spans="12:12">
      <c r="L340" s="27" t="e" cm="1">
        <f t="array" ref="L340">- Emit redacted structured JSON suitable for later owner evidence.</f>
        <v>#NAME?</v>
      </c>
    </row>
    <row r="341" spans="12:12">
      <c r="L341" s="27" t="s">
        <v>2749</v>
      </c>
    </row>
    <row r="343" spans="12:12">
      <c r="L343" s="27" t="s">
        <v>2750</v>
      </c>
    </row>
    <row r="345" spans="12:12">
      <c r="L345" s="27" t="s">
        <v>2751</v>
      </c>
    </row>
    <row r="347" spans="12:12">
      <c r="L347" s="27" t="s">
        <v>2752</v>
      </c>
    </row>
    <row r="349" spans="12:12">
      <c r="L349" s="27" t="s">
        <v>2753</v>
      </c>
    </row>
    <row r="351" spans="12:12">
      <c r="L351" s="27" t="s">
        <v>2754</v>
      </c>
    </row>
    <row r="352" spans="12:12">
      <c r="L352" s="27" t="s">
        <v>2755</v>
      </c>
    </row>
    <row r="354" spans="12:12">
      <c r="L354" s="27" t="s">
        <v>2756</v>
      </c>
    </row>
    <row r="356" spans="12:12">
      <c r="L356" s="27">
        <f>- W2-9</f>
        <v>-9</v>
      </c>
    </row>
    <row r="357" spans="12:12">
      <c r="L357" s="27">
        <f>- W2-10</f>
        <v>-10</v>
      </c>
    </row>
    <row r="359" spans="12:12">
      <c r="L359" s="27" t="s">
        <v>2757</v>
      </c>
    </row>
    <row r="361" spans="12:12">
      <c r="L361" s="27" t="s">
        <v>2758</v>
      </c>
    </row>
    <row r="363" spans="12:12">
      <c r="L363" s="27" t="s">
        <v>2759</v>
      </c>
    </row>
    <row r="364" spans="12:12">
      <c r="L364" s="27" t="s">
        <v>2760</v>
      </c>
    </row>
    <row r="365" spans="12:12">
      <c r="L365" s="27" t="s">
        <v>2761</v>
      </c>
    </row>
    <row r="366" spans="12:12">
      <c r="L366" s="27" t="s">
        <v>2762</v>
      </c>
    </row>
    <row r="367" spans="12:12">
      <c r="L367" s="27" t="s">
        <v>2763</v>
      </c>
    </row>
    <row r="368" spans="12:12">
      <c r="L368" s="27" t="s">
        <v>2764</v>
      </c>
    </row>
    <row r="369" spans="12:12">
      <c r="L369" s="27" t="s">
        <v>2765</v>
      </c>
    </row>
    <row r="370" spans="12:12">
      <c r="L370" s="27" t="s">
        <v>2766</v>
      </c>
    </row>
    <row r="371" spans="12:12">
      <c r="L371" s="27" t="s">
        <v>2767</v>
      </c>
    </row>
    <row r="372" spans="12:12">
      <c r="L372" s="27" t="s">
        <v>2768</v>
      </c>
    </row>
    <row r="373" spans="12:12">
      <c r="L373" s="27" t="s">
        <v>2769</v>
      </c>
    </row>
    <row r="374" spans="12:12">
      <c r="L374" s="27" t="s">
        <v>2770</v>
      </c>
    </row>
    <row r="375" spans="12:12">
      <c r="L375" s="27" t="s">
        <v>2771</v>
      </c>
    </row>
    <row r="376" spans="12:12">
      <c r="L376" s="27" t="s">
        <v>2772</v>
      </c>
    </row>
    <row r="378" spans="12:12">
      <c r="L378" s="27" t="s">
        <v>2773</v>
      </c>
    </row>
    <row r="379" spans="12:12">
      <c r="L379" s="27" t="s">
        <v>2774</v>
      </c>
    </row>
    <row r="381" spans="12:12">
      <c r="L381" s="27" t="s">
        <v>2775</v>
      </c>
    </row>
    <row r="382" spans="12:12">
      <c r="L382" s="27" t="s">
        <v>2776</v>
      </c>
    </row>
    <row r="384" spans="12:12">
      <c r="L384" s="27" t="s">
        <v>2777</v>
      </c>
    </row>
    <row r="385" spans="12:12">
      <c r="L385" s="27" t="s">
        <v>2778</v>
      </c>
    </row>
    <row r="386" spans="12:12">
      <c r="L386" s="27" t="s">
        <v>2779</v>
      </c>
    </row>
    <row r="387" spans="12:12">
      <c r="L387" s="27" t="s">
        <v>2780</v>
      </c>
    </row>
    <row r="389" spans="12:12">
      <c r="L389" s="27" t="s">
        <v>2781</v>
      </c>
    </row>
    <row r="390" spans="12:12">
      <c r="L390" s="27" t="s">
        <v>2782</v>
      </c>
    </row>
    <row r="392" spans="12:12">
      <c r="L392" s="27" t="s">
        <v>2783</v>
      </c>
    </row>
    <row r="394" spans="12:12">
      <c r="L394" s="27" t="s">
        <v>2784</v>
      </c>
    </row>
    <row r="396" spans="12:12">
      <c r="L396" s="27" t="s">
        <v>2785</v>
      </c>
    </row>
    <row r="397" spans="12:12">
      <c r="L397" s="27" t="e" cm="1">
        <f t="array" ref="L397">- Authorization rejection before Query embedding.</f>
        <v>#NAME?</v>
      </c>
    </row>
    <row r="398" spans="12:12">
      <c r="L398" s="27" t="e" cm="1">
        <f t="array" ref="L398">- Successful provider-neutral fake retrieval.</f>
        <v>#NAME?</v>
      </c>
    </row>
    <row r="399" spans="12:12">
      <c r="L399" s="27" t="s">
        <v>2786</v>
      </c>
    </row>
    <row r="400" spans="12:12">
      <c r="L400" s="27" t="s">
        <v>2787</v>
      </c>
    </row>
    <row r="401" spans="12:12">
      <c r="L401" s="27" t="s">
        <v>2788</v>
      </c>
    </row>
    <row r="402" spans="12:12">
      <c r="L402" s="27" t="s">
        <v>2789</v>
      </c>
    </row>
    <row r="403" spans="12:12">
      <c r="L403" s="27" t="e" cm="1">
        <f t="array" ref="L403">- Internal-only Compose networking.</f>
        <v>#NAME?</v>
      </c>
    </row>
    <row r="404" spans="12:12">
      <c r="L404" s="27" t="s">
        <v>2790</v>
      </c>
    </row>
    <row r="405" spans="12:12">
      <c r="L405" s="27" t="s">
        <v>2791</v>
      </c>
    </row>
    <row r="406" spans="12:12">
      <c r="L406" s="27" t="s">
        <v>2792</v>
      </c>
    </row>
    <row r="407" spans="12:12">
      <c r="L407" s="27" t="s">
        <v>2793</v>
      </c>
    </row>
    <row r="408" spans="12:12">
      <c r="L408" s="27" t="e" cm="1">
        <f t="array" ref="L408">- runner health dependency.</f>
        <v>#NAME?</v>
      </c>
    </row>
    <row r="409" spans="12:12">
      <c r="L409" s="27" t="e" cm="1">
        <f t="array" ref="L409">- Initial Collection-absence fail-closed behavior.</f>
        <v>#NAME?</v>
      </c>
    </row>
    <row r="410" spans="12:12">
      <c r="L410" s="27" t="e" cm="1">
        <f t="array" ref="L410">- Idempotent real ingestion.</f>
        <v>#NAME?</v>
      </c>
    </row>
    <row r="411" spans="12:12">
      <c r="L411" s="27" t="s">
        <v>2721</v>
      </c>
    </row>
    <row r="412" spans="12:12">
      <c r="L412" s="27" t="e" cm="1">
        <f t="array" ref="L412">- Q5 retrieval-only treatment.</f>
        <v>#NAME?</v>
      </c>
    </row>
    <row r="413" spans="12:12">
      <c r="L413" s="27" t="s">
        <v>2794</v>
      </c>
    </row>
    <row r="414" spans="12:12">
      <c r="L414" s="27" t="e" cm="1">
        <f t="array" ref="L414">- Quarantine absence.</f>
        <v>#NAME?</v>
      </c>
    </row>
    <row r="415" spans="12:12">
      <c r="L415" s="27" t="e" cm="1">
        <f t="array" ref="L415">- Deliberate regression detection.</f>
        <v>#NAME?</v>
      </c>
    </row>
    <row r="416" spans="12:12">
      <c r="L416" s="27" t="e" cm="1">
        <f t="array" ref="L416">- Non-mutating rollback.</f>
        <v>#NAME?</v>
      </c>
    </row>
    <row r="417" spans="12:12">
      <c r="L417" s="27" t="s">
        <v>2795</v>
      </c>
    </row>
    <row r="418" spans="12:12">
      <c r="L418" s="27" t="e" cm="1">
        <f t="array" ref="L418">- read-only cleanliness verifier behavior.</f>
        <v>#NAME?</v>
      </c>
    </row>
    <row r="419" spans="12:12">
      <c r="L419" s="27" t="s">
        <v>2796</v>
      </c>
    </row>
    <row r="420" spans="12:12">
      <c r="L420" s="27" t="s">
        <v>2797</v>
      </c>
    </row>
    <row r="422" spans="12:12">
      <c r="L422" s="27" t="s">
        <v>2798</v>
      </c>
    </row>
    <row r="423" spans="12:12">
      <c r="L423" s="27" t="s">
        <v>2799</v>
      </c>
    </row>
    <row r="425" spans="12:12">
      <c r="L425" s="27" t="s">
        <v>2800</v>
      </c>
    </row>
    <row r="427" spans="12:12">
      <c r="L427" s="27" t="s">
        <v>2801</v>
      </c>
    </row>
    <row r="429" spans="12:12">
      <c r="L429" s="27" t="s">
        <v>2802</v>
      </c>
    </row>
    <row r="431" spans="12:12">
      <c r="L431" s="27" t="s">
        <v>2803</v>
      </c>
    </row>
    <row r="433" spans="12:12">
      <c r="L433" s="27" t="s">
        <v>2804</v>
      </c>
    </row>
    <row r="434" spans="12:12">
      <c r="L434" s="27" t="s">
        <v>2805</v>
      </c>
    </row>
    <row r="435" spans="12:12">
      <c r="L435" s="27" t="s">
        <v>2806</v>
      </c>
    </row>
    <row r="436" spans="12:12">
      <c r="L436" s="27" t="s">
        <v>2807</v>
      </c>
    </row>
    <row r="437" spans="12:12">
      <c r="L437" s="27" t="s">
        <v>2808</v>
      </c>
    </row>
    <row r="438" spans="12:12">
      <c r="L438" s="27" t="s">
        <v>2809</v>
      </c>
    </row>
    <row r="439" spans="12:12">
      <c r="L439" s="27" t="s">
        <v>2810</v>
      </c>
    </row>
    <row r="440" spans="12:12">
      <c r="L440" s="27" t="s">
        <v>2811</v>
      </c>
    </row>
    <row r="441" spans="12:12">
      <c r="L441" s="27" t="s">
        <v>2812</v>
      </c>
    </row>
    <row r="442" spans="12:12">
      <c r="L442" s="27" t="s">
        <v>2813</v>
      </c>
    </row>
    <row r="443" spans="12:12">
      <c r="L443" s="27" t="s">
        <v>2814</v>
      </c>
    </row>
    <row r="444" spans="12:12">
      <c r="L444" s="27" t="s">
        <v>2815</v>
      </c>
    </row>
    <row r="445" spans="12:12">
      <c r="L445" s="27" t="s">
        <v>2816</v>
      </c>
    </row>
    <row r="446" spans="12:12">
      <c r="L446" s="27" t="s">
        <v>2817</v>
      </c>
    </row>
    <row r="447" spans="12:12">
      <c r="L447" s="27" t="s">
        <v>2818</v>
      </c>
    </row>
    <row r="448" spans="12:12">
      <c r="L448" s="27" t="s">
        <v>2819</v>
      </c>
    </row>
    <row r="449" spans="12:12">
      <c r="L449" s="27" t="s">
        <v>2820</v>
      </c>
    </row>
    <row r="450" spans="12:12">
      <c r="L450" s="27" t="s">
        <v>2821</v>
      </c>
    </row>
    <row r="451" spans="12:12">
      <c r="L451" s="27" t="s">
        <v>2822</v>
      </c>
    </row>
    <row r="452" spans="12:12">
      <c r="L452" s="27" t="e" cm="1">
        <f t="array" ref="L452">- Modify any unlisted path.</f>
        <v>#NAME?</v>
      </c>
    </row>
    <row r="454" spans="12:12">
      <c r="L454" s="27" t="s">
        <v>2823</v>
      </c>
    </row>
    <row r="456" spans="12:12">
      <c r="L456" s="27" t="e" cm="1">
        <f t="array" ref="L456">- docs/test-evidence/W2-9-retrieval.json</f>
        <v>#NAME?</v>
      </c>
    </row>
    <row r="457" spans="12:12">
      <c r="L457" s="27" t="e" cm="1">
        <f t="array" ref="L457">- docs/rollback-records/W2-local.md</f>
        <v>#NAME?</v>
      </c>
    </row>
    <row r="458" spans="12:12">
      <c r="L458" s="27" t="e" cm="1">
        <f t="array" ref="L458">- docs/resource-cleanliness/W2-local.json</f>
        <v>#NAME?</v>
      </c>
    </row>
    <row r="459" spans="12:12">
      <c r="L459" s="27" t="e" cm="1">
        <f t="array" ref="L459">- docs/ADR/ADR-3-vector-stores.md</f>
        <v>#NAME?</v>
      </c>
    </row>
    <row r="460" spans="12:12">
      <c r="L460" s="27" t="e" cm="1">
        <f t="array" ref="L460">- docs/ADR/ADR-6-authorization.md</f>
        <v>#NAME?</v>
      </c>
    </row>
    <row r="462" spans="12:12">
      <c r="L462" s="27" t="s">
        <v>2824</v>
      </c>
    </row>
    <row r="464" spans="12:12">
      <c r="L464" s="27" t="s">
        <v>2825</v>
      </c>
    </row>
    <row r="466" spans="12:12">
      <c r="L466" s="27" t="s">
        <v>2826</v>
      </c>
    </row>
    <row r="468" spans="12:12">
      <c r="L468" s="27" t="s">
        <v>2827</v>
      </c>
    </row>
    <row r="469" spans="12:12">
      <c r="L469" s="27" t="s">
        <v>2828</v>
      </c>
    </row>
    <row r="470" spans="12:12">
      <c r="L470" s="27" t="s">
        <v>2829</v>
      </c>
    </row>
    <row r="471" spans="12:12">
      <c r="L471" s="27" t="s">
        <v>2830</v>
      </c>
    </row>
    <row r="472" spans="12:12">
      <c r="L472" s="27" t="s">
        <v>2831</v>
      </c>
    </row>
    <row r="473" spans="12:12">
      <c r="L473" s="27" t="s">
        <v>2832</v>
      </c>
    </row>
    <row r="474" spans="12:12">
      <c r="L474" s="27" t="s">
        <v>2833</v>
      </c>
    </row>
    <row r="475" spans="12:12">
      <c r="L475" s="27" t="s">
        <v>2834</v>
      </c>
    </row>
    <row r="476" spans="12:12">
      <c r="L476" s="27" t="s">
        <v>2835</v>
      </c>
    </row>
    <row r="477" spans="12:12">
      <c r="L477" s="27" t="s">
        <v>2836</v>
      </c>
    </row>
    <row r="478" spans="12:12">
      <c r="L478" s="27" t="s">
        <v>2837</v>
      </c>
    </row>
    <row r="479" spans="12:12">
      <c r="L479" s="27" t="s">
        <v>2838</v>
      </c>
    </row>
    <row r="480" spans="12:12">
      <c r="L480" s="27" t="s">
        <v>2839</v>
      </c>
    </row>
    <row r="481" spans="12:12">
      <c r="L481" s="27" t="s">
        <v>2840</v>
      </c>
    </row>
    <row r="482" spans="12:12">
      <c r="L482" s="27" t="s">
        <v>2841</v>
      </c>
    </row>
    <row r="483" spans="12:12">
      <c r="L483" s="27" t="s">
        <v>2842</v>
      </c>
    </row>
    <row r="484" spans="12:12">
      <c r="L484" s="27" t="s">
        <v>2843</v>
      </c>
    </row>
    <row r="486" spans="12:12">
      <c r="L486" s="27" t="s">
        <v>2844</v>
      </c>
    </row>
    <row r="488" spans="12:12">
      <c r="L488" s="27" t="s">
        <v>2845</v>
      </c>
    </row>
    <row r="490" spans="12:12">
      <c r="L490" s="27" t="s">
        <v>2846</v>
      </c>
    </row>
  </sheetData>
  <mergeCells count="2">
    <mergeCell ref="A1:J1"/>
    <mergeCell ref="A2:J2"/>
  </mergeCells>
  <conditionalFormatting sqref="J6:J490">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490"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workbookViewId="0">
      <selection sqref="A1:L1"/>
    </sheetView>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56" t="s">
        <v>1282</v>
      </c>
      <c r="B1" s="56"/>
      <c r="C1" s="56"/>
      <c r="D1" s="56"/>
      <c r="E1" s="56"/>
      <c r="F1" s="56"/>
      <c r="G1" s="56"/>
      <c r="H1" s="56"/>
      <c r="I1" s="56"/>
      <c r="J1" s="56"/>
      <c r="K1" s="56"/>
      <c r="L1" s="56"/>
    </row>
    <row r="2" spans="1:12" ht="31.95" customHeight="1">
      <c r="A2" s="57" t="s">
        <v>1283</v>
      </c>
      <c r="B2" s="57"/>
      <c r="C2" s="57"/>
      <c r="D2" s="57"/>
      <c r="E2" s="57"/>
      <c r="F2" s="57"/>
      <c r="G2" s="57"/>
      <c r="H2" s="57"/>
      <c r="I2" s="57"/>
      <c r="J2" s="57"/>
      <c r="K2" s="57"/>
      <c r="L2" s="57"/>
    </row>
    <row r="5" spans="1:12" ht="28.05" customHeight="1">
      <c r="A5" s="1" t="s">
        <v>1284</v>
      </c>
      <c r="B5" s="2" t="s">
        <v>53</v>
      </c>
      <c r="C5" s="2" t="s">
        <v>1285</v>
      </c>
      <c r="D5" s="2" t="s">
        <v>90</v>
      </c>
      <c r="E5" s="2" t="s">
        <v>1286</v>
      </c>
      <c r="F5" s="2" t="s">
        <v>80</v>
      </c>
      <c r="G5" s="2" t="s">
        <v>81</v>
      </c>
      <c r="H5" s="2" t="s">
        <v>85</v>
      </c>
      <c r="I5" s="2" t="s">
        <v>1287</v>
      </c>
      <c r="J5" s="2" t="s">
        <v>1288</v>
      </c>
      <c r="K5" s="2" t="s">
        <v>1289</v>
      </c>
      <c r="L5" s="3" t="s">
        <v>1290</v>
      </c>
    </row>
    <row r="6" spans="1:12" ht="45.6">
      <c r="A6" s="10" t="s">
        <v>1291</v>
      </c>
      <c r="B6" s="10" t="s">
        <v>56</v>
      </c>
      <c r="C6" s="10" t="s">
        <v>1292</v>
      </c>
      <c r="D6" s="10" t="s">
        <v>1293</v>
      </c>
      <c r="E6" s="10" t="s">
        <v>1294</v>
      </c>
      <c r="F6" s="10" t="s">
        <v>1295</v>
      </c>
      <c r="G6" s="10" t="s">
        <v>151</v>
      </c>
      <c r="H6" s="10" t="s">
        <v>1296</v>
      </c>
      <c r="I6" s="17">
        <v>46252</v>
      </c>
      <c r="J6" s="10" t="s">
        <v>1297</v>
      </c>
      <c r="K6" s="10" t="s">
        <v>1298</v>
      </c>
      <c r="L6" s="10" t="s">
        <v>1299</v>
      </c>
    </row>
    <row r="7" spans="1:12" ht="45.6">
      <c r="A7" s="11" t="s">
        <v>1300</v>
      </c>
      <c r="B7" s="11" t="s">
        <v>56</v>
      </c>
      <c r="C7" s="11" t="s">
        <v>1005</v>
      </c>
      <c r="D7" s="11" t="s">
        <v>1301</v>
      </c>
      <c r="E7" s="11" t="s">
        <v>2294</v>
      </c>
      <c r="F7" s="11" t="s">
        <v>1302</v>
      </c>
      <c r="G7" s="11" t="s">
        <v>140</v>
      </c>
      <c r="H7" s="11" t="s">
        <v>1296</v>
      </c>
      <c r="I7" s="18">
        <v>46252</v>
      </c>
      <c r="J7" s="11" t="s">
        <v>1303</v>
      </c>
      <c r="K7" s="11" t="s">
        <v>1298</v>
      </c>
      <c r="L7" s="11" t="s">
        <v>1299</v>
      </c>
    </row>
    <row r="8" spans="1:12" ht="57">
      <c r="A8" s="11" t="s">
        <v>1304</v>
      </c>
      <c r="B8" s="11" t="s">
        <v>56</v>
      </c>
      <c r="C8" s="11" t="s">
        <v>1305</v>
      </c>
      <c r="D8" s="11" t="s">
        <v>1306</v>
      </c>
      <c r="E8" s="11" t="s">
        <v>184</v>
      </c>
      <c r="F8" s="11" t="s">
        <v>1307</v>
      </c>
      <c r="G8" s="11" t="s">
        <v>186</v>
      </c>
      <c r="H8" s="11" t="s">
        <v>1296</v>
      </c>
      <c r="I8" s="18">
        <v>46252</v>
      </c>
      <c r="J8" s="11" t="s">
        <v>1308</v>
      </c>
      <c r="K8" s="11" t="s">
        <v>1309</v>
      </c>
      <c r="L8" s="11" t="s">
        <v>1299</v>
      </c>
    </row>
    <row r="9" spans="1:12" ht="45.6">
      <c r="A9" s="11" t="s">
        <v>1310</v>
      </c>
      <c r="B9" s="11" t="s">
        <v>56</v>
      </c>
      <c r="C9" s="11" t="s">
        <v>1311</v>
      </c>
      <c r="D9" s="11" t="s">
        <v>1312</v>
      </c>
      <c r="E9" s="11" t="s">
        <v>219</v>
      </c>
      <c r="F9" s="11" t="s">
        <v>1313</v>
      </c>
      <c r="G9" s="11" t="s">
        <v>221</v>
      </c>
      <c r="H9" s="11" t="s">
        <v>1296</v>
      </c>
      <c r="I9" s="18">
        <v>46252</v>
      </c>
      <c r="J9" s="11" t="s">
        <v>1314</v>
      </c>
      <c r="K9" s="11" t="s">
        <v>1315</v>
      </c>
      <c r="L9" s="11" t="s">
        <v>1299</v>
      </c>
    </row>
    <row r="10" spans="1:12">
      <c r="A10" s="11" t="s">
        <v>1316</v>
      </c>
      <c r="B10" s="11" t="s">
        <v>37</v>
      </c>
      <c r="C10" s="11" t="s">
        <v>1292</v>
      </c>
      <c r="D10" s="11" t="s">
        <v>1317</v>
      </c>
      <c r="E10" s="11" t="s">
        <v>256</v>
      </c>
      <c r="F10" s="11" t="s">
        <v>1318</v>
      </c>
      <c r="G10" s="11" t="s">
        <v>1319</v>
      </c>
      <c r="H10" s="11" t="s">
        <v>1320</v>
      </c>
      <c r="I10" s="18"/>
      <c r="J10" s="11"/>
      <c r="K10" s="11"/>
      <c r="L10" s="11"/>
    </row>
    <row r="11" spans="1:12">
      <c r="A11" s="11" t="s">
        <v>1321</v>
      </c>
      <c r="B11" s="11" t="s">
        <v>37</v>
      </c>
      <c r="C11" s="11" t="s">
        <v>1322</v>
      </c>
      <c r="D11" s="11" t="s">
        <v>1323</v>
      </c>
      <c r="E11" s="11" t="s">
        <v>1324</v>
      </c>
      <c r="F11" s="11" t="s">
        <v>1325</v>
      </c>
      <c r="G11" s="11" t="s">
        <v>1326</v>
      </c>
      <c r="H11" s="11" t="s">
        <v>1320</v>
      </c>
      <c r="I11" s="18"/>
      <c r="J11" s="11"/>
      <c r="K11" s="11"/>
      <c r="L11" s="11"/>
    </row>
    <row r="12" spans="1:12">
      <c r="A12" s="11" t="s">
        <v>1327</v>
      </c>
      <c r="B12" s="11" t="s">
        <v>37</v>
      </c>
      <c r="C12" s="11" t="s">
        <v>1292</v>
      </c>
      <c r="D12" s="11" t="s">
        <v>1328</v>
      </c>
      <c r="E12" s="11" t="s">
        <v>299</v>
      </c>
      <c r="F12" s="11" t="s">
        <v>1329</v>
      </c>
      <c r="G12" s="11" t="s">
        <v>1330</v>
      </c>
      <c r="H12" s="11" t="s">
        <v>1320</v>
      </c>
      <c r="I12" s="18"/>
      <c r="J12" s="11"/>
      <c r="K12" s="11"/>
      <c r="L12" s="11"/>
    </row>
    <row r="13" spans="1:12" ht="22.8">
      <c r="A13" s="11" t="s">
        <v>1331</v>
      </c>
      <c r="B13" s="11" t="s">
        <v>37</v>
      </c>
      <c r="C13" s="11" t="s">
        <v>1305</v>
      </c>
      <c r="D13" s="11" t="s">
        <v>1332</v>
      </c>
      <c r="E13" s="11" t="s">
        <v>1333</v>
      </c>
      <c r="F13" s="11" t="s">
        <v>1334</v>
      </c>
      <c r="G13" s="11" t="s">
        <v>1335</v>
      </c>
      <c r="H13" s="11" t="s">
        <v>1320</v>
      </c>
      <c r="I13" s="18"/>
      <c r="J13" s="11"/>
      <c r="K13" s="11"/>
      <c r="L13" s="11"/>
    </row>
    <row r="14" spans="1:12">
      <c r="A14" s="11" t="s">
        <v>1336</v>
      </c>
      <c r="B14" s="11" t="s">
        <v>37</v>
      </c>
      <c r="C14" s="11" t="s">
        <v>1005</v>
      </c>
      <c r="D14" s="11" t="s">
        <v>1337</v>
      </c>
      <c r="E14" s="11" t="s">
        <v>1338</v>
      </c>
      <c r="F14" s="11" t="s">
        <v>1339</v>
      </c>
      <c r="G14" s="11" t="s">
        <v>1340</v>
      </c>
      <c r="H14" s="11" t="s">
        <v>1320</v>
      </c>
      <c r="I14" s="18"/>
      <c r="J14" s="11"/>
      <c r="K14" s="11"/>
      <c r="L14" s="11"/>
    </row>
    <row r="15" spans="1:12" ht="171">
      <c r="A15" s="11" t="s">
        <v>1341</v>
      </c>
      <c r="B15" s="11" t="s">
        <v>37</v>
      </c>
      <c r="C15" s="11" t="s">
        <v>1311</v>
      </c>
      <c r="D15" s="11" t="s">
        <v>1342</v>
      </c>
      <c r="E15" s="11" t="s">
        <v>2578</v>
      </c>
      <c r="F15" s="11" t="s">
        <v>1343</v>
      </c>
      <c r="G15" s="11" t="s">
        <v>1344</v>
      </c>
      <c r="H15" s="11" t="s">
        <v>1320</v>
      </c>
      <c r="I15" s="18"/>
      <c r="J15" s="11"/>
      <c r="K15" s="11"/>
      <c r="L15" s="11"/>
    </row>
    <row r="16" spans="1:12">
      <c r="A16" s="11" t="s">
        <v>1345</v>
      </c>
      <c r="B16" s="11" t="s">
        <v>57</v>
      </c>
      <c r="C16" s="11" t="s">
        <v>1292</v>
      </c>
      <c r="D16" s="11" t="s">
        <v>1346</v>
      </c>
      <c r="E16" s="11" t="s">
        <v>435</v>
      </c>
      <c r="F16" s="11" t="s">
        <v>1347</v>
      </c>
      <c r="G16" s="11" t="s">
        <v>1348</v>
      </c>
      <c r="H16" s="11" t="s">
        <v>1320</v>
      </c>
      <c r="I16" s="18"/>
      <c r="J16" s="11"/>
      <c r="K16" s="11"/>
      <c r="L16" s="11"/>
    </row>
    <row r="17" spans="1:12">
      <c r="A17" s="11" t="s">
        <v>1349</v>
      </c>
      <c r="B17" s="11" t="s">
        <v>57</v>
      </c>
      <c r="C17" s="11" t="s">
        <v>1305</v>
      </c>
      <c r="D17" s="11" t="s">
        <v>1350</v>
      </c>
      <c r="E17" s="11" t="s">
        <v>481</v>
      </c>
      <c r="F17" s="11" t="s">
        <v>1351</v>
      </c>
      <c r="G17" s="11" t="s">
        <v>1352</v>
      </c>
      <c r="H17" s="11" t="s">
        <v>1320</v>
      </c>
      <c r="I17" s="18"/>
      <c r="J17" s="11"/>
      <c r="K17" s="11"/>
      <c r="L17" s="11"/>
    </row>
    <row r="18" spans="1:12">
      <c r="A18" s="11" t="s">
        <v>1353</v>
      </c>
      <c r="B18" s="11" t="s">
        <v>57</v>
      </c>
      <c r="C18" s="11" t="s">
        <v>1354</v>
      </c>
      <c r="D18" s="11" t="s">
        <v>1355</v>
      </c>
      <c r="E18" s="11" t="s">
        <v>505</v>
      </c>
      <c r="F18" s="11" t="s">
        <v>1356</v>
      </c>
      <c r="G18" s="11" t="s">
        <v>472</v>
      </c>
      <c r="H18" s="11" t="s">
        <v>1320</v>
      </c>
      <c r="I18" s="18"/>
      <c r="J18" s="11"/>
      <c r="K18" s="11"/>
      <c r="L18" s="11"/>
    </row>
    <row r="19" spans="1:12" ht="171">
      <c r="A19" s="11" t="s">
        <v>1357</v>
      </c>
      <c r="B19" s="11" t="s">
        <v>57</v>
      </c>
      <c r="C19" s="11" t="s">
        <v>1358</v>
      </c>
      <c r="D19" s="11" t="s">
        <v>1359</v>
      </c>
      <c r="E19" s="11" t="s">
        <v>2333</v>
      </c>
      <c r="F19" s="11" t="s">
        <v>1360</v>
      </c>
      <c r="G19" s="11" t="s">
        <v>517</v>
      </c>
      <c r="H19" s="11" t="s">
        <v>1320</v>
      </c>
      <c r="I19" s="18"/>
      <c r="J19" s="11"/>
      <c r="K19" s="11"/>
      <c r="L19" s="11"/>
    </row>
    <row r="20" spans="1:12">
      <c r="A20" s="11" t="s">
        <v>1361</v>
      </c>
      <c r="B20" s="11" t="s">
        <v>58</v>
      </c>
      <c r="C20" s="11" t="s">
        <v>1292</v>
      </c>
      <c r="D20" s="11" t="s">
        <v>1362</v>
      </c>
      <c r="E20" s="11" t="s">
        <v>545</v>
      </c>
      <c r="F20" s="11" t="s">
        <v>1363</v>
      </c>
      <c r="G20" s="11" t="s">
        <v>1364</v>
      </c>
      <c r="H20" s="11" t="s">
        <v>1320</v>
      </c>
      <c r="I20" s="18"/>
      <c r="J20" s="11"/>
      <c r="K20" s="11"/>
      <c r="L20" s="11"/>
    </row>
    <row r="21" spans="1:12">
      <c r="A21" s="11" t="s">
        <v>1365</v>
      </c>
      <c r="B21" s="11" t="s">
        <v>58</v>
      </c>
      <c r="C21" s="11" t="s">
        <v>1305</v>
      </c>
      <c r="D21" s="11" t="s">
        <v>1366</v>
      </c>
      <c r="E21" s="11" t="s">
        <v>587</v>
      </c>
      <c r="F21" s="11" t="s">
        <v>1367</v>
      </c>
      <c r="G21" s="11" t="s">
        <v>1368</v>
      </c>
      <c r="H21" s="11" t="s">
        <v>1320</v>
      </c>
      <c r="I21" s="18"/>
      <c r="J21" s="11"/>
      <c r="K21" s="11"/>
      <c r="L21" s="11"/>
    </row>
    <row r="22" spans="1:12">
      <c r="A22" s="11" t="s">
        <v>1369</v>
      </c>
      <c r="B22" s="11" t="s">
        <v>58</v>
      </c>
      <c r="C22" s="11" t="s">
        <v>1005</v>
      </c>
      <c r="D22" s="11" t="s">
        <v>1370</v>
      </c>
      <c r="E22" s="11" t="s">
        <v>1371</v>
      </c>
      <c r="F22" s="11" t="s">
        <v>1372</v>
      </c>
      <c r="G22" s="11" t="s">
        <v>1373</v>
      </c>
      <c r="H22" s="11" t="s">
        <v>1320</v>
      </c>
      <c r="I22" s="18"/>
      <c r="J22" s="11"/>
      <c r="K22" s="11"/>
      <c r="L22" s="11"/>
    </row>
    <row r="23" spans="1:12" ht="22.8">
      <c r="A23" s="11" t="s">
        <v>1374</v>
      </c>
      <c r="B23" s="11" t="s">
        <v>58</v>
      </c>
      <c r="C23" s="11" t="s">
        <v>617</v>
      </c>
      <c r="D23" s="11" t="s">
        <v>1375</v>
      </c>
      <c r="E23" s="11" t="s">
        <v>1376</v>
      </c>
      <c r="F23" s="11" t="s">
        <v>1377</v>
      </c>
      <c r="G23" s="11" t="s">
        <v>1378</v>
      </c>
      <c r="H23" s="11" t="s">
        <v>1320</v>
      </c>
      <c r="I23" s="18"/>
      <c r="J23" s="11"/>
      <c r="K23" s="11"/>
      <c r="L23" s="11"/>
    </row>
    <row r="24" spans="1:12" ht="171">
      <c r="A24" s="11" t="s">
        <v>1379</v>
      </c>
      <c r="B24" s="11" t="s">
        <v>58</v>
      </c>
      <c r="C24" s="11" t="s">
        <v>1358</v>
      </c>
      <c r="D24" s="11" t="s">
        <v>1380</v>
      </c>
      <c r="E24" s="11" t="s">
        <v>2336</v>
      </c>
      <c r="F24" s="11" t="s">
        <v>1381</v>
      </c>
      <c r="G24" s="11" t="s">
        <v>658</v>
      </c>
      <c r="H24" s="11" t="s">
        <v>1320</v>
      </c>
      <c r="I24" s="18"/>
      <c r="J24" s="11"/>
      <c r="K24" s="11"/>
      <c r="L24" s="11"/>
    </row>
    <row r="25" spans="1:12" ht="171">
      <c r="A25" s="11" t="s">
        <v>1382</v>
      </c>
      <c r="B25" s="11" t="s">
        <v>59</v>
      </c>
      <c r="C25" s="11" t="s">
        <v>1383</v>
      </c>
      <c r="D25" s="11" t="s">
        <v>1384</v>
      </c>
      <c r="E25" s="11" t="s">
        <v>2579</v>
      </c>
      <c r="F25" s="11" t="s">
        <v>1385</v>
      </c>
      <c r="G25" s="11" t="s">
        <v>1386</v>
      </c>
      <c r="H25" s="11" t="s">
        <v>1320</v>
      </c>
      <c r="I25" s="18"/>
      <c r="J25" s="11"/>
      <c r="K25" s="11"/>
      <c r="L25" s="11"/>
    </row>
    <row r="26" spans="1:12" ht="182.4">
      <c r="A26" s="11" t="s">
        <v>1387</v>
      </c>
      <c r="B26" s="11" t="s">
        <v>59</v>
      </c>
      <c r="C26" s="11" t="s">
        <v>1388</v>
      </c>
      <c r="D26" s="11" t="s">
        <v>1389</v>
      </c>
      <c r="E26" s="11" t="s">
        <v>2580</v>
      </c>
      <c r="F26" s="11" t="s">
        <v>1390</v>
      </c>
      <c r="G26" s="11" t="s">
        <v>1391</v>
      </c>
      <c r="H26" s="11" t="s">
        <v>1320</v>
      </c>
      <c r="I26" s="18"/>
      <c r="J26" s="11"/>
      <c r="K26" s="11"/>
      <c r="L26" s="11"/>
    </row>
    <row r="27" spans="1:12">
      <c r="A27" s="11" t="s">
        <v>1392</v>
      </c>
      <c r="B27" s="11" t="s">
        <v>59</v>
      </c>
      <c r="C27" s="11" t="s">
        <v>1383</v>
      </c>
      <c r="D27" s="11" t="s">
        <v>1393</v>
      </c>
      <c r="E27" s="11" t="s">
        <v>779</v>
      </c>
      <c r="F27" s="11" t="s">
        <v>1394</v>
      </c>
      <c r="G27" s="11" t="s">
        <v>781</v>
      </c>
      <c r="H27" s="11" t="s">
        <v>1320</v>
      </c>
      <c r="I27" s="18"/>
      <c r="J27" s="11"/>
      <c r="K27" s="11"/>
      <c r="L27" s="11"/>
    </row>
    <row r="28" spans="1:12" ht="171">
      <c r="A28" s="11" t="s">
        <v>1395</v>
      </c>
      <c r="B28" s="11" t="s">
        <v>59</v>
      </c>
      <c r="C28" s="11" t="s">
        <v>765</v>
      </c>
      <c r="D28" s="11" t="s">
        <v>1396</v>
      </c>
      <c r="E28" s="11" t="s">
        <v>2581</v>
      </c>
      <c r="F28" s="11" t="s">
        <v>1397</v>
      </c>
      <c r="G28" s="11" t="s">
        <v>1398</v>
      </c>
      <c r="H28" s="11" t="s">
        <v>1320</v>
      </c>
      <c r="I28" s="18"/>
      <c r="J28" s="11"/>
      <c r="K28" s="11"/>
      <c r="L28" s="11"/>
    </row>
    <row r="29" spans="1:12">
      <c r="A29" s="11" t="s">
        <v>1399</v>
      </c>
      <c r="B29" s="11" t="s">
        <v>59</v>
      </c>
      <c r="C29" s="11" t="s">
        <v>1400</v>
      </c>
      <c r="D29" s="11" t="s">
        <v>1401</v>
      </c>
      <c r="E29" s="11" t="s">
        <v>1402</v>
      </c>
      <c r="F29" s="11" t="s">
        <v>1403</v>
      </c>
      <c r="G29" s="11" t="s">
        <v>1404</v>
      </c>
      <c r="H29" s="11" t="s">
        <v>1320</v>
      </c>
      <c r="I29" s="18"/>
      <c r="J29" s="11"/>
      <c r="K29" s="11"/>
      <c r="L29" s="11"/>
    </row>
    <row r="30" spans="1:12" ht="22.8">
      <c r="A30" s="11" t="s">
        <v>1405</v>
      </c>
      <c r="B30" s="11" t="s">
        <v>59</v>
      </c>
      <c r="C30" s="11" t="s">
        <v>1311</v>
      </c>
      <c r="D30" s="11" t="s">
        <v>1406</v>
      </c>
      <c r="E30" s="11" t="s">
        <v>964</v>
      </c>
      <c r="F30" s="11" t="s">
        <v>1407</v>
      </c>
      <c r="G30" s="11" t="s">
        <v>812</v>
      </c>
      <c r="H30" s="11" t="s">
        <v>1320</v>
      </c>
      <c r="I30" s="18"/>
      <c r="J30" s="11"/>
      <c r="K30" s="11"/>
      <c r="L30" s="11"/>
    </row>
    <row r="31" spans="1:12">
      <c r="A31" s="11" t="s">
        <v>1408</v>
      </c>
      <c r="B31" s="11" t="s">
        <v>60</v>
      </c>
      <c r="C31" s="11" t="s">
        <v>847</v>
      </c>
      <c r="D31" s="11" t="s">
        <v>1409</v>
      </c>
      <c r="E31" s="11" t="s">
        <v>852</v>
      </c>
      <c r="F31" s="11" t="s">
        <v>1410</v>
      </c>
      <c r="G31" s="11" t="s">
        <v>1411</v>
      </c>
      <c r="H31" s="11" t="s">
        <v>1320</v>
      </c>
      <c r="I31" s="18"/>
      <c r="J31" s="11"/>
      <c r="K31" s="11"/>
      <c r="L31" s="11"/>
    </row>
    <row r="32" spans="1:12">
      <c r="A32" s="11" t="s">
        <v>1412</v>
      </c>
      <c r="B32" s="11" t="s">
        <v>60</v>
      </c>
      <c r="C32" s="11" t="s">
        <v>1400</v>
      </c>
      <c r="D32" s="11" t="s">
        <v>1413</v>
      </c>
      <c r="E32" s="11" t="s">
        <v>1414</v>
      </c>
      <c r="F32" s="11" t="s">
        <v>1415</v>
      </c>
      <c r="G32" s="11" t="s">
        <v>1416</v>
      </c>
      <c r="H32" s="11" t="s">
        <v>1320</v>
      </c>
      <c r="I32" s="18"/>
      <c r="J32" s="11"/>
      <c r="K32" s="11"/>
      <c r="L32" s="11"/>
    </row>
    <row r="33" spans="1:12">
      <c r="A33" s="11" t="s">
        <v>1417</v>
      </c>
      <c r="B33" s="11" t="s">
        <v>60</v>
      </c>
      <c r="C33" s="11" t="s">
        <v>1418</v>
      </c>
      <c r="D33" s="11" t="s">
        <v>1419</v>
      </c>
      <c r="E33" s="11" t="s">
        <v>908</v>
      </c>
      <c r="F33" s="11" t="s">
        <v>1420</v>
      </c>
      <c r="G33" s="11" t="s">
        <v>1421</v>
      </c>
      <c r="H33" s="11" t="s">
        <v>1320</v>
      </c>
      <c r="I33" s="18"/>
      <c r="J33" s="11"/>
      <c r="K33" s="11"/>
      <c r="L33" s="11"/>
    </row>
    <row r="34" spans="1:12">
      <c r="A34" s="11" t="s">
        <v>1422</v>
      </c>
      <c r="B34" s="11" t="s">
        <v>60</v>
      </c>
      <c r="C34" s="11" t="s">
        <v>1423</v>
      </c>
      <c r="D34" s="11" t="s">
        <v>1424</v>
      </c>
      <c r="E34" s="11" t="s">
        <v>932</v>
      </c>
      <c r="F34" s="11" t="s">
        <v>1425</v>
      </c>
      <c r="G34" s="11" t="s">
        <v>1426</v>
      </c>
      <c r="H34" s="11" t="s">
        <v>1320</v>
      </c>
      <c r="I34" s="18"/>
      <c r="J34" s="11"/>
      <c r="K34" s="11"/>
      <c r="L34" s="11"/>
    </row>
    <row r="35" spans="1:12">
      <c r="A35" s="11" t="s">
        <v>1427</v>
      </c>
      <c r="B35" s="11" t="s">
        <v>60</v>
      </c>
      <c r="C35" s="11" t="s">
        <v>1354</v>
      </c>
      <c r="D35" s="11" t="s">
        <v>1428</v>
      </c>
      <c r="E35" s="11" t="s">
        <v>944</v>
      </c>
      <c r="F35" s="11" t="s">
        <v>1429</v>
      </c>
      <c r="G35" s="11" t="s">
        <v>946</v>
      </c>
      <c r="H35" s="11" t="s">
        <v>1320</v>
      </c>
      <c r="I35" s="18"/>
      <c r="J35" s="11"/>
      <c r="K35" s="11"/>
      <c r="L35" s="11"/>
    </row>
    <row r="36" spans="1:12" ht="171">
      <c r="A36" s="11" t="s">
        <v>1430</v>
      </c>
      <c r="B36" s="11" t="s">
        <v>60</v>
      </c>
      <c r="C36" s="11" t="s">
        <v>1358</v>
      </c>
      <c r="D36" s="11" t="s">
        <v>1431</v>
      </c>
      <c r="E36" s="11" t="s">
        <v>2346</v>
      </c>
      <c r="F36" s="11" t="s">
        <v>1432</v>
      </c>
      <c r="G36" s="11" t="s">
        <v>956</v>
      </c>
      <c r="H36" s="11" t="s">
        <v>1320</v>
      </c>
      <c r="I36" s="18"/>
      <c r="J36" s="11"/>
      <c r="K36" s="11"/>
      <c r="L36" s="11"/>
    </row>
    <row r="37" spans="1:12" ht="22.8">
      <c r="A37" s="11" t="s">
        <v>1433</v>
      </c>
      <c r="B37" s="11" t="s">
        <v>60</v>
      </c>
      <c r="C37" s="11" t="s">
        <v>1311</v>
      </c>
      <c r="D37" s="11" t="s">
        <v>1434</v>
      </c>
      <c r="E37" s="11" t="s">
        <v>964</v>
      </c>
      <c r="F37" s="11" t="s">
        <v>1435</v>
      </c>
      <c r="G37" s="11" t="s">
        <v>966</v>
      </c>
      <c r="H37" s="11" t="s">
        <v>1320</v>
      </c>
      <c r="I37" s="18"/>
      <c r="J37" s="11"/>
      <c r="K37" s="11"/>
      <c r="L37" s="11"/>
    </row>
    <row r="38" spans="1:12" ht="42" customHeight="1">
      <c r="A38" s="23" t="s">
        <v>1436</v>
      </c>
      <c r="B38" s="23" t="s">
        <v>56</v>
      </c>
      <c r="C38" s="23" t="s">
        <v>1437</v>
      </c>
      <c r="D38" s="23" t="s">
        <v>1438</v>
      </c>
      <c r="E38" s="23" t="s">
        <v>1439</v>
      </c>
      <c r="F38" s="23" t="s">
        <v>1440</v>
      </c>
      <c r="G38" s="23" t="s">
        <v>99</v>
      </c>
      <c r="H38" s="23" t="s">
        <v>1296</v>
      </c>
      <c r="I38" s="25">
        <v>46252</v>
      </c>
      <c r="J38" s="23" t="s">
        <v>1441</v>
      </c>
      <c r="K38" s="23" t="s">
        <v>1442</v>
      </c>
      <c r="L38" s="23" t="s">
        <v>1299</v>
      </c>
    </row>
    <row r="39" spans="1:12" ht="42" customHeight="1">
      <c r="A39" s="22" t="s">
        <v>1443</v>
      </c>
      <c r="B39" s="22" t="s">
        <v>56</v>
      </c>
      <c r="C39" s="22" t="s">
        <v>106</v>
      </c>
      <c r="D39" s="22" t="s">
        <v>1444</v>
      </c>
      <c r="E39" s="22" t="s">
        <v>112</v>
      </c>
      <c r="F39" s="22" t="s">
        <v>1445</v>
      </c>
      <c r="G39" s="22" t="s">
        <v>114</v>
      </c>
      <c r="H39" s="22" t="s">
        <v>1296</v>
      </c>
      <c r="I39" s="26">
        <v>46252</v>
      </c>
      <c r="J39" s="22" t="s">
        <v>1446</v>
      </c>
      <c r="K39" s="22" t="s">
        <v>1447</v>
      </c>
      <c r="L39" s="22" t="s">
        <v>1299</v>
      </c>
    </row>
  </sheetData>
  <mergeCells count="2">
    <mergeCell ref="A1:L1"/>
    <mergeCell ref="A2:L2"/>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56" t="s">
        <v>1448</v>
      </c>
      <c r="B1" s="56"/>
      <c r="C1" s="56"/>
      <c r="D1" s="56"/>
      <c r="E1" s="56"/>
      <c r="F1" s="56"/>
      <c r="G1" s="56"/>
      <c r="H1" s="56"/>
      <c r="I1" s="56"/>
      <c r="J1" s="56"/>
      <c r="K1" s="56"/>
    </row>
    <row r="2" spans="1:11" ht="31.95" customHeight="1">
      <c r="A2" s="57" t="s">
        <v>1449</v>
      </c>
      <c r="B2" s="57"/>
      <c r="C2" s="57"/>
      <c r="D2" s="57"/>
      <c r="E2" s="57"/>
      <c r="F2" s="57"/>
      <c r="G2" s="57"/>
      <c r="H2" s="57"/>
      <c r="I2" s="57"/>
      <c r="J2" s="57"/>
      <c r="K2" s="57"/>
    </row>
    <row r="5" spans="1:11" ht="28.05" customHeight="1">
      <c r="A5" s="1" t="s">
        <v>82</v>
      </c>
      <c r="B5" s="2" t="s">
        <v>1450</v>
      </c>
      <c r="C5" s="2" t="s">
        <v>85</v>
      </c>
      <c r="D5" s="2" t="s">
        <v>1451</v>
      </c>
      <c r="E5" s="2" t="s">
        <v>1452</v>
      </c>
      <c r="F5" s="2" t="s">
        <v>1453</v>
      </c>
      <c r="G5" s="2" t="s">
        <v>1454</v>
      </c>
      <c r="H5" s="2" t="s">
        <v>1455</v>
      </c>
      <c r="I5" s="2" t="s">
        <v>34</v>
      </c>
      <c r="J5" s="2" t="s">
        <v>1456</v>
      </c>
      <c r="K5" s="3" t="s">
        <v>1457</v>
      </c>
    </row>
    <row r="6" spans="1:11" ht="22.8">
      <c r="A6" s="10" t="s">
        <v>100</v>
      </c>
      <c r="B6" s="10" t="s">
        <v>1458</v>
      </c>
      <c r="C6" s="10" t="s">
        <v>1459</v>
      </c>
      <c r="D6" s="10" t="s">
        <v>56</v>
      </c>
      <c r="E6" s="10" t="s">
        <v>1460</v>
      </c>
      <c r="F6" s="10" t="s">
        <v>1461</v>
      </c>
      <c r="G6" s="10" t="s">
        <v>1462</v>
      </c>
      <c r="H6" s="10" t="s">
        <v>1463</v>
      </c>
      <c r="I6" s="10" t="s">
        <v>93</v>
      </c>
      <c r="J6" s="10" t="s">
        <v>1464</v>
      </c>
      <c r="K6" s="10"/>
    </row>
    <row r="7" spans="1:11" ht="22.8">
      <c r="A7" s="11" t="s">
        <v>152</v>
      </c>
      <c r="B7" s="11" t="s">
        <v>1465</v>
      </c>
      <c r="C7" s="11" t="s">
        <v>1459</v>
      </c>
      <c r="D7" s="11" t="s">
        <v>56</v>
      </c>
      <c r="E7" s="11" t="s">
        <v>1466</v>
      </c>
      <c r="F7" s="11" t="s">
        <v>1467</v>
      </c>
      <c r="G7" s="11" t="s">
        <v>1468</v>
      </c>
      <c r="H7" s="11" t="s">
        <v>1469</v>
      </c>
      <c r="I7" s="11" t="s">
        <v>93</v>
      </c>
      <c r="J7" s="11" t="s">
        <v>1470</v>
      </c>
      <c r="K7" s="11"/>
    </row>
    <row r="8" spans="1:11" ht="22.8">
      <c r="A8" s="11" t="s">
        <v>279</v>
      </c>
      <c r="B8" s="11" t="s">
        <v>1471</v>
      </c>
      <c r="C8" s="11" t="s">
        <v>1459</v>
      </c>
      <c r="D8" s="11" t="s">
        <v>37</v>
      </c>
      <c r="E8" s="11" t="s">
        <v>1472</v>
      </c>
      <c r="F8" s="11" t="s">
        <v>1473</v>
      </c>
      <c r="G8" s="11" t="s">
        <v>1474</v>
      </c>
      <c r="H8" s="11" t="s">
        <v>1475</v>
      </c>
      <c r="I8" s="11" t="s">
        <v>93</v>
      </c>
      <c r="J8" s="11" t="s">
        <v>1476</v>
      </c>
      <c r="K8" s="11"/>
    </row>
    <row r="9" spans="1:11" ht="22.8">
      <c r="A9" s="11" t="s">
        <v>415</v>
      </c>
      <c r="B9" s="11" t="s">
        <v>1477</v>
      </c>
      <c r="C9" s="11" t="s">
        <v>1459</v>
      </c>
      <c r="D9" s="11" t="s">
        <v>57</v>
      </c>
      <c r="E9" s="11" t="s">
        <v>1478</v>
      </c>
      <c r="F9" s="11" t="s">
        <v>1479</v>
      </c>
      <c r="G9" s="11" t="s">
        <v>1480</v>
      </c>
      <c r="H9" s="11" t="s">
        <v>1481</v>
      </c>
      <c r="I9" s="11" t="s">
        <v>93</v>
      </c>
      <c r="J9" s="11" t="s">
        <v>1482</v>
      </c>
      <c r="K9" s="11"/>
    </row>
    <row r="10" spans="1:11" ht="22.8">
      <c r="A10" s="11" t="s">
        <v>569</v>
      </c>
      <c r="B10" s="11" t="s">
        <v>1483</v>
      </c>
      <c r="C10" s="11" t="s">
        <v>1459</v>
      </c>
      <c r="D10" s="11" t="s">
        <v>58</v>
      </c>
      <c r="E10" s="11" t="s">
        <v>1484</v>
      </c>
      <c r="F10" s="11" t="s">
        <v>1485</v>
      </c>
      <c r="G10" s="11" t="s">
        <v>1486</v>
      </c>
      <c r="H10" s="11" t="s">
        <v>1487</v>
      </c>
      <c r="I10" s="11" t="s">
        <v>93</v>
      </c>
      <c r="J10" s="11" t="s">
        <v>1488</v>
      </c>
      <c r="K10" s="11"/>
    </row>
    <row r="11" spans="1:11" ht="22.8">
      <c r="A11" s="11" t="s">
        <v>327</v>
      </c>
      <c r="B11" s="11" t="s">
        <v>1489</v>
      </c>
      <c r="C11" s="11" t="s">
        <v>1459</v>
      </c>
      <c r="D11" s="11" t="s">
        <v>37</v>
      </c>
      <c r="E11" s="11" t="s">
        <v>1490</v>
      </c>
      <c r="F11" s="11" t="s">
        <v>1491</v>
      </c>
      <c r="G11" s="11" t="s">
        <v>1492</v>
      </c>
      <c r="H11" s="11" t="s">
        <v>1493</v>
      </c>
      <c r="I11" s="11" t="s">
        <v>93</v>
      </c>
      <c r="J11" s="11" t="s">
        <v>1494</v>
      </c>
      <c r="K11" s="11"/>
    </row>
    <row r="12" spans="1:11" ht="22.8">
      <c r="A12" s="11" t="s">
        <v>548</v>
      </c>
      <c r="B12" s="11" t="s">
        <v>1495</v>
      </c>
      <c r="C12" s="11" t="s">
        <v>1459</v>
      </c>
      <c r="D12" s="11" t="s">
        <v>58</v>
      </c>
      <c r="E12" s="11" t="s">
        <v>1496</v>
      </c>
      <c r="F12" s="11" t="s">
        <v>1497</v>
      </c>
      <c r="G12" s="11" t="s">
        <v>1498</v>
      </c>
      <c r="H12" s="11" t="s">
        <v>1499</v>
      </c>
      <c r="I12" s="11" t="s">
        <v>93</v>
      </c>
      <c r="J12" s="11" t="s">
        <v>1500</v>
      </c>
      <c r="K12" s="11"/>
    </row>
    <row r="13" spans="1:11" ht="22.8">
      <c r="A13" s="11" t="s">
        <v>496</v>
      </c>
      <c r="B13" s="11" t="s">
        <v>1501</v>
      </c>
      <c r="C13" s="11" t="s">
        <v>1459</v>
      </c>
      <c r="D13" s="11" t="s">
        <v>57</v>
      </c>
      <c r="E13" s="11" t="s">
        <v>1502</v>
      </c>
      <c r="F13" s="11" t="s">
        <v>1503</v>
      </c>
      <c r="G13" s="11" t="s">
        <v>1504</v>
      </c>
      <c r="H13" s="11" t="s">
        <v>1505</v>
      </c>
      <c r="I13" s="11" t="s">
        <v>93</v>
      </c>
      <c r="J13" s="11" t="s">
        <v>1506</v>
      </c>
      <c r="K13" s="11"/>
    </row>
    <row r="14" spans="1:11" ht="22.8">
      <c r="A14" s="11" t="s">
        <v>198</v>
      </c>
      <c r="B14" s="11" t="s">
        <v>1507</v>
      </c>
      <c r="C14" s="11" t="s">
        <v>1459</v>
      </c>
      <c r="D14" s="11" t="s">
        <v>56</v>
      </c>
      <c r="E14" s="11" t="s">
        <v>1508</v>
      </c>
      <c r="F14" s="11" t="s">
        <v>1509</v>
      </c>
      <c r="G14" s="11" t="s">
        <v>1510</v>
      </c>
      <c r="H14" s="11" t="s">
        <v>1511</v>
      </c>
      <c r="I14" s="11" t="s">
        <v>93</v>
      </c>
      <c r="J14" s="11" t="s">
        <v>1512</v>
      </c>
      <c r="K14" s="11"/>
    </row>
    <row r="15" spans="1:11" ht="22.8">
      <c r="A15" s="11" t="s">
        <v>1513</v>
      </c>
      <c r="B15" s="11" t="s">
        <v>1514</v>
      </c>
      <c r="C15" s="11" t="s">
        <v>1459</v>
      </c>
      <c r="D15" s="11" t="s">
        <v>56</v>
      </c>
      <c r="E15" s="11" t="s">
        <v>1515</v>
      </c>
      <c r="F15" s="11" t="s">
        <v>1516</v>
      </c>
      <c r="G15" s="11" t="s">
        <v>1517</v>
      </c>
      <c r="H15" s="11" t="s">
        <v>1518</v>
      </c>
      <c r="I15" s="11" t="s">
        <v>93</v>
      </c>
      <c r="J15" s="11" t="s">
        <v>1519</v>
      </c>
      <c r="K15" s="11"/>
    </row>
    <row r="16" spans="1:11" ht="22.8">
      <c r="A16" s="11" t="s">
        <v>1520</v>
      </c>
      <c r="B16" s="11" t="s">
        <v>1521</v>
      </c>
      <c r="C16" s="11" t="s">
        <v>1459</v>
      </c>
      <c r="D16" s="11" t="s">
        <v>56</v>
      </c>
      <c r="E16" s="11" t="s">
        <v>1522</v>
      </c>
      <c r="F16" s="11" t="s">
        <v>1523</v>
      </c>
      <c r="G16" s="11" t="s">
        <v>1524</v>
      </c>
      <c r="H16" s="11" t="s">
        <v>1525</v>
      </c>
      <c r="I16" s="11" t="s">
        <v>93</v>
      </c>
      <c r="J16" s="11" t="s">
        <v>1526</v>
      </c>
      <c r="K16" s="11"/>
    </row>
    <row r="17" spans="1:11" ht="22.8">
      <c r="A17" s="11" t="s">
        <v>518</v>
      </c>
      <c r="B17" s="11" t="s">
        <v>1527</v>
      </c>
      <c r="C17" s="11" t="s">
        <v>1459</v>
      </c>
      <c r="D17" s="11" t="s">
        <v>56</v>
      </c>
      <c r="E17" s="11" t="s">
        <v>1528</v>
      </c>
      <c r="F17" s="11" t="s">
        <v>1529</v>
      </c>
      <c r="G17" s="11" t="s">
        <v>1530</v>
      </c>
      <c r="H17" s="11" t="s">
        <v>1531</v>
      </c>
      <c r="I17" s="11" t="s">
        <v>93</v>
      </c>
      <c r="J17" s="11" t="s">
        <v>1532</v>
      </c>
      <c r="K17" s="11"/>
    </row>
    <row r="18" spans="1:11" ht="22.8">
      <c r="A18" s="11" t="s">
        <v>1533</v>
      </c>
      <c r="B18" s="11" t="s">
        <v>1534</v>
      </c>
      <c r="C18" s="11" t="s">
        <v>1459</v>
      </c>
      <c r="D18" s="11" t="s">
        <v>56</v>
      </c>
      <c r="E18" s="11" t="s">
        <v>1535</v>
      </c>
      <c r="F18" s="11" t="s">
        <v>1536</v>
      </c>
      <c r="G18" s="11" t="s">
        <v>1537</v>
      </c>
      <c r="H18" s="11" t="s">
        <v>1538</v>
      </c>
      <c r="I18" s="11" t="s">
        <v>93</v>
      </c>
      <c r="J18" s="11" t="s">
        <v>1539</v>
      </c>
      <c r="K18" s="11"/>
    </row>
    <row r="19" spans="1:11" ht="22.8">
      <c r="A19" s="11" t="s">
        <v>1540</v>
      </c>
      <c r="B19" s="11" t="s">
        <v>1541</v>
      </c>
      <c r="C19" s="11" t="s">
        <v>1459</v>
      </c>
      <c r="D19" s="11" t="s">
        <v>56</v>
      </c>
      <c r="E19" s="11" t="s">
        <v>1542</v>
      </c>
      <c r="F19" s="11" t="s">
        <v>1543</v>
      </c>
      <c r="G19" s="11" t="s">
        <v>1544</v>
      </c>
      <c r="H19" s="11" t="s">
        <v>1545</v>
      </c>
      <c r="I19" s="11" t="s">
        <v>93</v>
      </c>
      <c r="J19" s="11" t="s">
        <v>1546</v>
      </c>
      <c r="K19" s="11"/>
    </row>
    <row r="20" spans="1:11">
      <c r="A20" s="11" t="s">
        <v>855</v>
      </c>
      <c r="B20" s="11" t="s">
        <v>1547</v>
      </c>
      <c r="C20" s="11" t="s">
        <v>1459</v>
      </c>
      <c r="D20" s="11" t="s">
        <v>60</v>
      </c>
      <c r="E20" s="11" t="s">
        <v>1548</v>
      </c>
      <c r="F20" s="11" t="s">
        <v>1549</v>
      </c>
      <c r="G20" s="11" t="s">
        <v>1550</v>
      </c>
      <c r="H20" s="11" t="s">
        <v>1551</v>
      </c>
      <c r="I20" s="11" t="s">
        <v>93</v>
      </c>
      <c r="J20" s="11" t="s">
        <v>1552</v>
      </c>
      <c r="K20" s="11"/>
    </row>
    <row r="21" spans="1:11">
      <c r="A21" s="11" t="s">
        <v>115</v>
      </c>
      <c r="B21" s="11" t="s">
        <v>1553</v>
      </c>
      <c r="C21" s="11" t="s">
        <v>1459</v>
      </c>
      <c r="D21" s="11" t="s">
        <v>56</v>
      </c>
      <c r="E21" s="11" t="s">
        <v>1554</v>
      </c>
      <c r="F21" s="11" t="s">
        <v>1555</v>
      </c>
      <c r="G21" s="11" t="s">
        <v>1556</v>
      </c>
      <c r="H21" s="11" t="s">
        <v>1557</v>
      </c>
      <c r="I21" s="11" t="s">
        <v>93</v>
      </c>
      <c r="J21" s="11" t="s">
        <v>1558</v>
      </c>
      <c r="K21" s="11"/>
    </row>
    <row r="22" spans="1:11" ht="22.8">
      <c r="A22" s="11" t="s">
        <v>164</v>
      </c>
      <c r="B22" s="11" t="s">
        <v>1559</v>
      </c>
      <c r="C22" s="11" t="s">
        <v>1459</v>
      </c>
      <c r="D22" s="11" t="s">
        <v>56</v>
      </c>
      <c r="E22" s="11" t="s">
        <v>1560</v>
      </c>
      <c r="F22" s="11" t="s">
        <v>1561</v>
      </c>
      <c r="G22" s="11" t="s">
        <v>1562</v>
      </c>
      <c r="H22" s="11" t="s">
        <v>1563</v>
      </c>
      <c r="I22" s="11" t="s">
        <v>93</v>
      </c>
      <c r="J22" s="11" t="s">
        <v>1564</v>
      </c>
      <c r="K22" s="11"/>
    </row>
    <row r="23" spans="1:11" ht="22.8">
      <c r="A23" s="11" t="s">
        <v>1565</v>
      </c>
      <c r="B23" s="11" t="s">
        <v>1566</v>
      </c>
      <c r="C23" s="11" t="s">
        <v>1459</v>
      </c>
      <c r="D23" s="11" t="s">
        <v>1567</v>
      </c>
      <c r="E23" s="11" t="s">
        <v>1568</v>
      </c>
      <c r="F23" s="11" t="s">
        <v>1569</v>
      </c>
      <c r="G23" s="11" t="s">
        <v>1570</v>
      </c>
      <c r="H23" s="11" t="s">
        <v>1571</v>
      </c>
      <c r="I23" s="11" t="s">
        <v>93</v>
      </c>
      <c r="J23" s="11" t="s">
        <v>1572</v>
      </c>
      <c r="K23" s="11"/>
    </row>
  </sheetData>
  <mergeCells count="2">
    <mergeCell ref="A1:K1"/>
    <mergeCell ref="A2:K2"/>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topLeftCell="A15" workbookViewId="0">
      <selection activeCell="F30" sqref="F30"/>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56" t="s">
        <v>1573</v>
      </c>
      <c r="B1" s="56"/>
      <c r="C1" s="56"/>
      <c r="D1" s="56"/>
      <c r="E1" s="56"/>
      <c r="F1" s="56"/>
      <c r="G1" s="56"/>
      <c r="H1" s="56"/>
      <c r="I1" s="56"/>
      <c r="J1" s="56"/>
    </row>
    <row r="2" spans="1:10" ht="31.95" customHeight="1">
      <c r="A2" s="57" t="s">
        <v>1574</v>
      </c>
      <c r="B2" s="57"/>
      <c r="C2" s="57"/>
      <c r="D2" s="57"/>
      <c r="E2" s="57"/>
      <c r="F2" s="57"/>
      <c r="G2" s="57"/>
      <c r="H2" s="57"/>
      <c r="I2" s="57"/>
      <c r="J2" s="57"/>
    </row>
    <row r="5" spans="1:10" ht="28.05" customHeight="1">
      <c r="A5" s="1" t="s">
        <v>1575</v>
      </c>
      <c r="B5" s="2" t="s">
        <v>1576</v>
      </c>
      <c r="C5" s="2" t="s">
        <v>1577</v>
      </c>
      <c r="D5" s="2" t="s">
        <v>1578</v>
      </c>
      <c r="E5" s="2" t="s">
        <v>1579</v>
      </c>
      <c r="F5" s="2" t="s">
        <v>85</v>
      </c>
      <c r="G5" s="2" t="s">
        <v>34</v>
      </c>
      <c r="H5" s="2" t="s">
        <v>1580</v>
      </c>
      <c r="I5" s="2" t="s">
        <v>1581</v>
      </c>
      <c r="J5" s="3" t="s">
        <v>1582</v>
      </c>
    </row>
    <row r="6" spans="1:10" ht="68.400000000000006">
      <c r="A6" s="10" t="s">
        <v>1583</v>
      </c>
      <c r="B6" s="10" t="s">
        <v>1584</v>
      </c>
      <c r="C6" s="19" t="s">
        <v>1585</v>
      </c>
      <c r="D6" s="10" t="s">
        <v>56</v>
      </c>
      <c r="E6" s="10" t="s">
        <v>1586</v>
      </c>
      <c r="F6" s="10" t="s">
        <v>46</v>
      </c>
      <c r="G6" s="10" t="s">
        <v>35</v>
      </c>
      <c r="H6" s="10" t="s">
        <v>99</v>
      </c>
      <c r="I6" s="19" t="s">
        <v>1587</v>
      </c>
      <c r="J6" s="17">
        <v>46257</v>
      </c>
    </row>
    <row r="7" spans="1:10" ht="68.400000000000006">
      <c r="A7" s="11" t="s">
        <v>1588</v>
      </c>
      <c r="B7" s="11" t="s">
        <v>1589</v>
      </c>
      <c r="C7" s="20" t="s">
        <v>1590</v>
      </c>
      <c r="D7" s="11" t="s">
        <v>56</v>
      </c>
      <c r="E7" s="11" t="s">
        <v>1586</v>
      </c>
      <c r="F7" s="11" t="s">
        <v>46</v>
      </c>
      <c r="G7" s="11" t="s">
        <v>35</v>
      </c>
      <c r="H7" s="11" t="s">
        <v>99</v>
      </c>
      <c r="I7" s="20" t="s">
        <v>1591</v>
      </c>
      <c r="J7" s="18">
        <v>46252</v>
      </c>
    </row>
    <row r="8" spans="1:10">
      <c r="A8" s="11" t="s">
        <v>1592</v>
      </c>
      <c r="B8" s="11" t="s">
        <v>106</v>
      </c>
      <c r="C8" s="20" t="s">
        <v>1593</v>
      </c>
      <c r="D8" s="11" t="s">
        <v>37</v>
      </c>
      <c r="E8" s="11" t="s">
        <v>1586</v>
      </c>
      <c r="F8" s="11" t="s">
        <v>46</v>
      </c>
      <c r="G8" s="11" t="s">
        <v>93</v>
      </c>
      <c r="H8" s="11" t="s">
        <v>1594</v>
      </c>
      <c r="I8" s="20"/>
      <c r="J8" s="18"/>
    </row>
    <row r="9" spans="1:10">
      <c r="A9" s="11" t="s">
        <v>322</v>
      </c>
      <c r="B9" s="11" t="s">
        <v>319</v>
      </c>
      <c r="C9" s="20" t="s">
        <v>1595</v>
      </c>
      <c r="D9" s="11" t="s">
        <v>37</v>
      </c>
      <c r="E9" s="11" t="s">
        <v>1586</v>
      </c>
      <c r="F9" s="11" t="s">
        <v>46</v>
      </c>
      <c r="G9" s="11" t="s">
        <v>93</v>
      </c>
      <c r="H9" s="11" t="s">
        <v>1596</v>
      </c>
      <c r="I9" s="20"/>
      <c r="J9" s="18"/>
    </row>
    <row r="10" spans="1:10">
      <c r="A10" s="11" t="s">
        <v>469</v>
      </c>
      <c r="B10" s="11" t="s">
        <v>1354</v>
      </c>
      <c r="C10" s="20" t="s">
        <v>1597</v>
      </c>
      <c r="D10" s="11" t="s">
        <v>57</v>
      </c>
      <c r="E10" s="11" t="s">
        <v>1586</v>
      </c>
      <c r="F10" s="11" t="s">
        <v>2848</v>
      </c>
      <c r="G10" s="11" t="s">
        <v>93</v>
      </c>
      <c r="H10" s="11" t="s">
        <v>1598</v>
      </c>
      <c r="I10" s="20"/>
      <c r="J10" s="18"/>
    </row>
    <row r="11" spans="1:10">
      <c r="A11" s="11" t="s">
        <v>1599</v>
      </c>
      <c r="B11" s="11" t="s">
        <v>1600</v>
      </c>
      <c r="C11" s="20" t="s">
        <v>1601</v>
      </c>
      <c r="D11" s="11" t="s">
        <v>59</v>
      </c>
      <c r="E11" s="11" t="s">
        <v>1586</v>
      </c>
      <c r="F11" s="11" t="s">
        <v>303</v>
      </c>
      <c r="G11" s="11" t="s">
        <v>93</v>
      </c>
      <c r="H11" s="11" t="s">
        <v>1602</v>
      </c>
      <c r="I11" s="20"/>
      <c r="J11" s="18"/>
    </row>
    <row r="12" spans="1:10" ht="68.400000000000006">
      <c r="A12" s="11" t="s">
        <v>1603</v>
      </c>
      <c r="B12" s="11" t="s">
        <v>1600</v>
      </c>
      <c r="C12" s="20" t="s">
        <v>1604</v>
      </c>
      <c r="D12" s="11" t="s">
        <v>56</v>
      </c>
      <c r="E12" s="11" t="s">
        <v>1586</v>
      </c>
      <c r="F12" s="11" t="s">
        <v>46</v>
      </c>
      <c r="G12" s="11" t="s">
        <v>35</v>
      </c>
      <c r="H12" s="11" t="s">
        <v>1605</v>
      </c>
      <c r="I12" s="20" t="s">
        <v>1606</v>
      </c>
      <c r="J12" s="18">
        <v>46252</v>
      </c>
    </row>
    <row r="13" spans="1:10" ht="22.8">
      <c r="A13" s="11" t="s">
        <v>1607</v>
      </c>
      <c r="B13" s="11" t="s">
        <v>1608</v>
      </c>
      <c r="C13" s="20" t="s">
        <v>1609</v>
      </c>
      <c r="D13" s="11" t="s">
        <v>59</v>
      </c>
      <c r="E13" s="11" t="s">
        <v>1586</v>
      </c>
      <c r="F13" s="11" t="s">
        <v>303</v>
      </c>
      <c r="G13" s="11" t="s">
        <v>93</v>
      </c>
      <c r="H13" s="11" t="s">
        <v>1610</v>
      </c>
      <c r="I13" s="20"/>
      <c r="J13" s="18"/>
    </row>
    <row r="14" spans="1:10" ht="91.2">
      <c r="A14" s="11" t="s">
        <v>125</v>
      </c>
      <c r="B14" s="11" t="s">
        <v>106</v>
      </c>
      <c r="C14" s="20" t="s">
        <v>1611</v>
      </c>
      <c r="D14" s="11" t="s">
        <v>56</v>
      </c>
      <c r="E14" s="11" t="s">
        <v>1586</v>
      </c>
      <c r="F14" s="11" t="s">
        <v>46</v>
      </c>
      <c r="G14" s="11" t="s">
        <v>35</v>
      </c>
      <c r="H14" s="11" t="s">
        <v>1612</v>
      </c>
      <c r="I14" s="20" t="s">
        <v>1613</v>
      </c>
      <c r="J14" s="18">
        <v>46252</v>
      </c>
    </row>
    <row r="15" spans="1:10">
      <c r="A15" s="11" t="s">
        <v>1614</v>
      </c>
      <c r="B15" s="11" t="s">
        <v>1305</v>
      </c>
      <c r="C15" s="20" t="s">
        <v>1615</v>
      </c>
      <c r="D15" s="11" t="s">
        <v>59</v>
      </c>
      <c r="E15" s="11" t="s">
        <v>1586</v>
      </c>
      <c r="F15" s="11" t="s">
        <v>303</v>
      </c>
      <c r="G15" s="11" t="s">
        <v>93</v>
      </c>
      <c r="H15" s="11" t="s">
        <v>1610</v>
      </c>
      <c r="I15" s="20"/>
      <c r="J15" s="18"/>
    </row>
    <row r="16" spans="1:10">
      <c r="A16" s="11" t="s">
        <v>756</v>
      </c>
      <c r="B16" s="11" t="s">
        <v>752</v>
      </c>
      <c r="C16" s="20" t="s">
        <v>1616</v>
      </c>
      <c r="D16" s="11" t="s">
        <v>59</v>
      </c>
      <c r="E16" s="11" t="s">
        <v>1586</v>
      </c>
      <c r="F16" s="11" t="s">
        <v>303</v>
      </c>
      <c r="G16" s="11" t="s">
        <v>93</v>
      </c>
      <c r="H16" s="11" t="s">
        <v>1617</v>
      </c>
      <c r="I16" s="20"/>
      <c r="J16" s="18"/>
    </row>
    <row r="17" spans="1:10">
      <c r="A17" s="11" t="s">
        <v>398</v>
      </c>
      <c r="B17" s="11" t="s">
        <v>1618</v>
      </c>
      <c r="C17" s="20" t="s">
        <v>1619</v>
      </c>
      <c r="D17" s="11" t="s">
        <v>57</v>
      </c>
      <c r="E17" s="11" t="s">
        <v>1586</v>
      </c>
      <c r="F17" s="11" t="s">
        <v>2848</v>
      </c>
      <c r="G17" s="11" t="s">
        <v>93</v>
      </c>
      <c r="H17" s="11" t="s">
        <v>1620</v>
      </c>
      <c r="I17" s="20"/>
      <c r="J17" s="18"/>
    </row>
    <row r="18" spans="1:10">
      <c r="A18" s="11" t="s">
        <v>297</v>
      </c>
      <c r="B18" s="11" t="s">
        <v>1618</v>
      </c>
      <c r="C18" s="20" t="s">
        <v>1621</v>
      </c>
      <c r="D18" s="11" t="s">
        <v>37</v>
      </c>
      <c r="E18" s="11" t="s">
        <v>1586</v>
      </c>
      <c r="F18" s="11" t="s">
        <v>46</v>
      </c>
      <c r="G18" s="11" t="s">
        <v>93</v>
      </c>
      <c r="H18" s="11" t="s">
        <v>1052</v>
      </c>
      <c r="I18" s="20"/>
      <c r="J18" s="18"/>
    </row>
    <row r="19" spans="1:10">
      <c r="A19" s="11" t="s">
        <v>334</v>
      </c>
      <c r="B19" s="11" t="s">
        <v>1400</v>
      </c>
      <c r="C19" s="20" t="s">
        <v>1622</v>
      </c>
      <c r="D19" s="11" t="s">
        <v>37</v>
      </c>
      <c r="E19" s="11" t="s">
        <v>1586</v>
      </c>
      <c r="F19" s="11" t="s">
        <v>46</v>
      </c>
      <c r="G19" s="11" t="s">
        <v>93</v>
      </c>
      <c r="H19" s="11" t="s">
        <v>1623</v>
      </c>
      <c r="I19" s="20"/>
      <c r="J19" s="18"/>
    </row>
    <row r="20" spans="1:10" ht="79.8">
      <c r="A20" s="11" t="s">
        <v>182</v>
      </c>
      <c r="B20" s="11" t="s">
        <v>179</v>
      </c>
      <c r="C20" s="20" t="s">
        <v>1624</v>
      </c>
      <c r="D20" s="11" t="s">
        <v>56</v>
      </c>
      <c r="E20" s="11" t="s">
        <v>1625</v>
      </c>
      <c r="F20" s="11" t="s">
        <v>46</v>
      </c>
      <c r="G20" s="11" t="s">
        <v>35</v>
      </c>
      <c r="H20" s="11" t="s">
        <v>1626</v>
      </c>
      <c r="I20" s="20" t="s">
        <v>1627</v>
      </c>
      <c r="J20" s="18">
        <v>46252</v>
      </c>
    </row>
    <row r="21" spans="1:10" ht="22.8">
      <c r="A21" s="11" t="s">
        <v>524</v>
      </c>
      <c r="B21" s="11" t="s">
        <v>1628</v>
      </c>
      <c r="C21" s="20" t="s">
        <v>1629</v>
      </c>
      <c r="D21" s="11" t="s">
        <v>58</v>
      </c>
      <c r="E21" s="11" t="s">
        <v>1586</v>
      </c>
      <c r="F21" s="11" t="s">
        <v>303</v>
      </c>
      <c r="G21" s="11" t="s">
        <v>93</v>
      </c>
      <c r="H21" s="11" t="s">
        <v>1630</v>
      </c>
      <c r="I21" s="20"/>
      <c r="J21" s="18"/>
    </row>
    <row r="22" spans="1:10">
      <c r="A22" s="11" t="s">
        <v>491</v>
      </c>
      <c r="B22" s="11" t="s">
        <v>1631</v>
      </c>
      <c r="C22" s="20" t="s">
        <v>1632</v>
      </c>
      <c r="D22" s="11" t="s">
        <v>60</v>
      </c>
      <c r="E22" s="11" t="s">
        <v>1586</v>
      </c>
      <c r="F22" s="11" t="s">
        <v>303</v>
      </c>
      <c r="G22" s="11" t="s">
        <v>93</v>
      </c>
      <c r="H22" s="11" t="s">
        <v>1633</v>
      </c>
      <c r="I22" s="20"/>
      <c r="J22" s="18"/>
    </row>
    <row r="23" spans="1:10">
      <c r="A23" s="11" t="s">
        <v>503</v>
      </c>
      <c r="B23" s="11" t="s">
        <v>1418</v>
      </c>
      <c r="C23" s="20" t="s">
        <v>1634</v>
      </c>
      <c r="D23" s="11" t="s">
        <v>60</v>
      </c>
      <c r="E23" s="11" t="s">
        <v>1586</v>
      </c>
      <c r="F23" s="11" t="s">
        <v>303</v>
      </c>
      <c r="G23" s="11" t="s">
        <v>93</v>
      </c>
      <c r="H23" s="11" t="s">
        <v>910</v>
      </c>
      <c r="I23" s="20"/>
      <c r="J23" s="18"/>
    </row>
    <row r="24" spans="1:10" ht="22.8">
      <c r="A24" s="11" t="s">
        <v>598</v>
      </c>
      <c r="B24" s="11" t="s">
        <v>1635</v>
      </c>
      <c r="C24" s="20" t="s">
        <v>1636</v>
      </c>
      <c r="D24" s="11" t="s">
        <v>58</v>
      </c>
      <c r="E24" s="11" t="s">
        <v>1586</v>
      </c>
      <c r="F24" s="11" t="s">
        <v>303</v>
      </c>
      <c r="G24" s="11" t="s">
        <v>93</v>
      </c>
      <c r="H24" s="11" t="s">
        <v>1637</v>
      </c>
      <c r="I24" s="20"/>
      <c r="J24" s="18"/>
    </row>
    <row r="25" spans="1:10" ht="22.8">
      <c r="A25" s="11" t="s">
        <v>838</v>
      </c>
      <c r="B25" s="11" t="s">
        <v>847</v>
      </c>
      <c r="C25" s="20" t="s">
        <v>1638</v>
      </c>
      <c r="D25" s="11" t="s">
        <v>60</v>
      </c>
      <c r="E25" s="11" t="s">
        <v>1586</v>
      </c>
      <c r="F25" s="11" t="s">
        <v>303</v>
      </c>
      <c r="G25" s="11" t="s">
        <v>93</v>
      </c>
      <c r="H25" s="11" t="s">
        <v>1639</v>
      </c>
      <c r="I25" s="20"/>
      <c r="J25" s="18"/>
    </row>
    <row r="26" spans="1:10">
      <c r="A26" s="11" t="s">
        <v>609</v>
      </c>
      <c r="B26" s="11" t="s">
        <v>106</v>
      </c>
      <c r="C26" s="20" t="s">
        <v>1640</v>
      </c>
      <c r="D26" s="11" t="s">
        <v>58</v>
      </c>
      <c r="E26" s="11" t="s">
        <v>1625</v>
      </c>
      <c r="F26" s="11" t="s">
        <v>303</v>
      </c>
      <c r="G26" s="11" t="s">
        <v>93</v>
      </c>
      <c r="H26" s="11" t="s">
        <v>1641</v>
      </c>
      <c r="I26" s="20"/>
      <c r="J26" s="18"/>
    </row>
    <row r="27" spans="1:10" ht="22.8">
      <c r="A27" s="11" t="s">
        <v>930</v>
      </c>
      <c r="B27" s="11" t="s">
        <v>1423</v>
      </c>
      <c r="C27" s="20" t="s">
        <v>1642</v>
      </c>
      <c r="D27" s="11" t="s">
        <v>60</v>
      </c>
      <c r="E27" s="11" t="s">
        <v>1625</v>
      </c>
      <c r="F27" s="11" t="s">
        <v>303</v>
      </c>
      <c r="G27" s="11" t="s">
        <v>93</v>
      </c>
      <c r="H27" s="11" t="s">
        <v>1643</v>
      </c>
      <c r="I27" s="20"/>
      <c r="J27" s="18"/>
    </row>
    <row r="28" spans="1:10" ht="68.400000000000006">
      <c r="A28" s="11" t="s">
        <v>357</v>
      </c>
      <c r="B28" s="11" t="s">
        <v>1644</v>
      </c>
      <c r="C28" s="20" t="s">
        <v>1645</v>
      </c>
      <c r="D28" s="11" t="s">
        <v>56</v>
      </c>
      <c r="E28" s="11" t="s">
        <v>1586</v>
      </c>
      <c r="F28" s="11" t="s">
        <v>46</v>
      </c>
      <c r="G28" s="11" t="s">
        <v>35</v>
      </c>
      <c r="H28" s="11" t="s">
        <v>1646</v>
      </c>
      <c r="I28" s="20" t="s">
        <v>1647</v>
      </c>
      <c r="J28" s="18">
        <v>46252</v>
      </c>
    </row>
    <row r="29" spans="1:10" ht="22.8">
      <c r="A29" s="11" t="s">
        <v>1648</v>
      </c>
      <c r="B29" s="11" t="s">
        <v>319</v>
      </c>
      <c r="C29" s="20" t="s">
        <v>1649</v>
      </c>
      <c r="D29" s="11" t="s">
        <v>59</v>
      </c>
      <c r="E29" s="11" t="s">
        <v>1586</v>
      </c>
      <c r="F29" s="11" t="s">
        <v>303</v>
      </c>
      <c r="G29" s="11" t="s">
        <v>93</v>
      </c>
      <c r="H29" s="11" t="s">
        <v>1650</v>
      </c>
      <c r="I29" s="20"/>
      <c r="J29" s="18"/>
    </row>
    <row r="30" spans="1:10" ht="22.8">
      <c r="A30" s="11" t="s">
        <v>433</v>
      </c>
      <c r="B30" s="11" t="s">
        <v>1651</v>
      </c>
      <c r="C30" s="20" t="s">
        <v>1652</v>
      </c>
      <c r="D30" s="11" t="s">
        <v>57</v>
      </c>
      <c r="E30" s="11" t="s">
        <v>1625</v>
      </c>
      <c r="F30" s="11" t="s">
        <v>2848</v>
      </c>
      <c r="G30" s="11" t="s">
        <v>93</v>
      </c>
      <c r="H30" s="11" t="s">
        <v>1653</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56" t="s">
        <v>1654</v>
      </c>
      <c r="B1" s="56"/>
      <c r="C1" s="56"/>
      <c r="D1" s="56"/>
      <c r="E1" s="56"/>
      <c r="F1" s="56"/>
      <c r="G1" s="56"/>
      <c r="H1" s="56"/>
      <c r="I1" s="56"/>
    </row>
    <row r="2" spans="1:9">
      <c r="A2" s="57" t="s">
        <v>1655</v>
      </c>
      <c r="B2" s="57"/>
      <c r="C2" s="57"/>
      <c r="D2" s="57"/>
      <c r="E2" s="57"/>
      <c r="F2" s="57"/>
      <c r="G2" s="57"/>
      <c r="H2" s="57"/>
      <c r="I2" s="57"/>
    </row>
    <row r="4" spans="1:9">
      <c r="A4" s="58" t="s">
        <v>1656</v>
      </c>
      <c r="B4" s="59"/>
      <c r="C4" s="59"/>
      <c r="D4" s="59"/>
      <c r="E4" s="59"/>
      <c r="F4" s="59"/>
      <c r="G4" s="59"/>
      <c r="H4" s="59"/>
      <c r="I4" s="60"/>
    </row>
    <row r="5" spans="1:9" ht="26.4">
      <c r="A5" s="1" t="s">
        <v>1657</v>
      </c>
      <c r="B5" s="2" t="s">
        <v>1658</v>
      </c>
      <c r="C5" s="2" t="s">
        <v>1659</v>
      </c>
      <c r="D5" s="3" t="s">
        <v>1660</v>
      </c>
      <c r="F5" s="1" t="s">
        <v>1661</v>
      </c>
      <c r="G5" s="2" t="s">
        <v>1662</v>
      </c>
      <c r="H5" s="2" t="s">
        <v>1663</v>
      </c>
      <c r="I5" s="3" t="s">
        <v>1664</v>
      </c>
    </row>
    <row r="6" spans="1:9" ht="91.2">
      <c r="A6" s="10" t="s">
        <v>652</v>
      </c>
      <c r="B6" s="10" t="s">
        <v>1665</v>
      </c>
      <c r="C6" s="10" t="s">
        <v>1666</v>
      </c>
      <c r="D6" s="10" t="s">
        <v>1667</v>
      </c>
      <c r="F6" s="10" t="s">
        <v>1668</v>
      </c>
      <c r="G6" s="10" t="s">
        <v>1669</v>
      </c>
      <c r="H6" s="10" t="s">
        <v>1670</v>
      </c>
      <c r="I6" s="10" t="s">
        <v>1671</v>
      </c>
    </row>
    <row r="7" spans="1:9" ht="125.4">
      <c r="A7" s="11" t="s">
        <v>1672</v>
      </c>
      <c r="B7" s="11" t="s">
        <v>1673</v>
      </c>
      <c r="C7" s="11" t="s">
        <v>1674</v>
      </c>
      <c r="D7" s="11" t="s">
        <v>1675</v>
      </c>
      <c r="F7" s="11" t="s">
        <v>1676</v>
      </c>
      <c r="G7" s="11" t="s">
        <v>1677</v>
      </c>
      <c r="H7" s="11" t="s">
        <v>1678</v>
      </c>
      <c r="I7" s="11" t="s">
        <v>1679</v>
      </c>
    </row>
    <row r="8" spans="1:9" ht="79.8">
      <c r="A8" s="11" t="s">
        <v>1680</v>
      </c>
      <c r="B8" s="11" t="s">
        <v>1681</v>
      </c>
      <c r="C8" s="11" t="s">
        <v>1682</v>
      </c>
      <c r="D8" s="11" t="s">
        <v>1683</v>
      </c>
      <c r="F8" s="11" t="s">
        <v>1684</v>
      </c>
      <c r="G8" s="11" t="s">
        <v>1685</v>
      </c>
      <c r="H8" s="11" t="s">
        <v>1686</v>
      </c>
      <c r="I8" s="11" t="s">
        <v>1687</v>
      </c>
    </row>
    <row r="11" spans="1:9">
      <c r="A11" s="1" t="s">
        <v>1004</v>
      </c>
      <c r="B11" s="2" t="s">
        <v>994</v>
      </c>
      <c r="C11" s="2" t="s">
        <v>1688</v>
      </c>
      <c r="D11" s="2" t="s">
        <v>1689</v>
      </c>
      <c r="E11" s="3" t="s">
        <v>1690</v>
      </c>
    </row>
    <row r="12" spans="1:9" ht="22.8">
      <c r="A12" s="10">
        <v>1</v>
      </c>
      <c r="B12" s="10" t="s">
        <v>1691</v>
      </c>
      <c r="C12" s="10" t="s">
        <v>1685</v>
      </c>
      <c r="D12" s="10" t="s">
        <v>1692</v>
      </c>
      <c r="E12" s="10" t="s">
        <v>1693</v>
      </c>
    </row>
    <row r="13" spans="1:9">
      <c r="A13" s="11">
        <v>2</v>
      </c>
      <c r="B13" s="11" t="s">
        <v>1694</v>
      </c>
      <c r="C13" s="11" t="s">
        <v>1695</v>
      </c>
      <c r="D13" s="11" t="s">
        <v>1696</v>
      </c>
      <c r="E13" s="11" t="s">
        <v>1697</v>
      </c>
    </row>
    <row r="14" spans="1:9">
      <c r="A14" s="11">
        <v>3</v>
      </c>
      <c r="B14" s="11" t="s">
        <v>1698</v>
      </c>
      <c r="C14" s="11" t="s">
        <v>652</v>
      </c>
      <c r="D14" s="11" t="s">
        <v>1699</v>
      </c>
      <c r="E14" s="11" t="s">
        <v>1700</v>
      </c>
    </row>
    <row r="15" spans="1:9" ht="22.8">
      <c r="A15" s="11">
        <v>4</v>
      </c>
      <c r="B15" s="11" t="s">
        <v>1701</v>
      </c>
      <c r="C15" s="11" t="s">
        <v>1672</v>
      </c>
      <c r="D15" s="11" t="s">
        <v>1702</v>
      </c>
      <c r="E15" s="11" t="s">
        <v>1703</v>
      </c>
    </row>
    <row r="16" spans="1:9" ht="22.8">
      <c r="A16" s="11">
        <v>5</v>
      </c>
      <c r="B16" s="11" t="s">
        <v>1704</v>
      </c>
      <c r="C16" s="11" t="s">
        <v>1311</v>
      </c>
      <c r="D16" s="11" t="s">
        <v>1705</v>
      </c>
      <c r="E16" s="11" t="s">
        <v>1706</v>
      </c>
    </row>
    <row r="17" spans="1:9" ht="22.8">
      <c r="A17" s="11">
        <v>6</v>
      </c>
      <c r="B17" s="11" t="s">
        <v>1707</v>
      </c>
      <c r="C17" s="11" t="s">
        <v>1311</v>
      </c>
      <c r="D17" s="11" t="s">
        <v>1708</v>
      </c>
      <c r="E17" s="11" t="s">
        <v>1709</v>
      </c>
    </row>
    <row r="18" spans="1:9" ht="22.8">
      <c r="A18" s="11">
        <v>7</v>
      </c>
      <c r="B18" s="11" t="s">
        <v>1710</v>
      </c>
      <c r="C18" s="11" t="s">
        <v>1311</v>
      </c>
      <c r="D18" s="11" t="s">
        <v>1711</v>
      </c>
      <c r="E18" s="11" t="s">
        <v>1712</v>
      </c>
    </row>
    <row r="19" spans="1:9" ht="22.8">
      <c r="A19" s="11">
        <v>8</v>
      </c>
      <c r="B19" s="11" t="s">
        <v>1713</v>
      </c>
      <c r="C19" s="11" t="s">
        <v>1311</v>
      </c>
      <c r="D19" s="11" t="s">
        <v>1714</v>
      </c>
      <c r="E19" s="11" t="s">
        <v>1715</v>
      </c>
    </row>
    <row r="20" spans="1:9">
      <c r="A20" s="11">
        <v>9</v>
      </c>
      <c r="B20" s="11" t="s">
        <v>1716</v>
      </c>
      <c r="C20" s="11" t="s">
        <v>1311</v>
      </c>
      <c r="D20" s="11" t="s">
        <v>1717</v>
      </c>
      <c r="E20" s="11" t="s">
        <v>1718</v>
      </c>
    </row>
    <row r="21" spans="1:9" ht="22.8">
      <c r="A21" s="11">
        <v>10</v>
      </c>
      <c r="B21" s="11" t="s">
        <v>1719</v>
      </c>
      <c r="C21" s="11" t="s">
        <v>1311</v>
      </c>
      <c r="D21" s="11" t="s">
        <v>1720</v>
      </c>
      <c r="E21" s="11" t="s">
        <v>1721</v>
      </c>
    </row>
    <row r="22" spans="1:9" ht="22.8">
      <c r="A22" s="11">
        <v>11</v>
      </c>
      <c r="B22" s="11" t="s">
        <v>1722</v>
      </c>
      <c r="C22" s="11" t="s">
        <v>1311</v>
      </c>
      <c r="D22" s="11" t="s">
        <v>1723</v>
      </c>
      <c r="E22" s="11" t="s">
        <v>1724</v>
      </c>
    </row>
    <row r="23" spans="1:9">
      <c r="A23" s="11">
        <v>12</v>
      </c>
      <c r="B23" s="11" t="s">
        <v>1725</v>
      </c>
      <c r="C23" s="11" t="s">
        <v>1311</v>
      </c>
      <c r="D23" s="11" t="s">
        <v>1726</v>
      </c>
      <c r="E23" s="11" t="s">
        <v>1727</v>
      </c>
    </row>
    <row r="24" spans="1:9" ht="22.8">
      <c r="A24" s="11">
        <v>13</v>
      </c>
      <c r="B24" s="11" t="s">
        <v>1728</v>
      </c>
      <c r="C24" s="11" t="s">
        <v>1311</v>
      </c>
      <c r="D24" s="11" t="s">
        <v>1729</v>
      </c>
      <c r="E24" s="11" t="s">
        <v>1730</v>
      </c>
    </row>
    <row r="25" spans="1:9">
      <c r="A25" s="11">
        <v>14</v>
      </c>
      <c r="B25" s="11" t="s">
        <v>1731</v>
      </c>
      <c r="C25" s="11" t="s">
        <v>1311</v>
      </c>
      <c r="D25" s="11" t="s">
        <v>1732</v>
      </c>
      <c r="E25" s="11" t="s">
        <v>1733</v>
      </c>
    </row>
    <row r="26" spans="1:9">
      <c r="A26" s="11">
        <v>15</v>
      </c>
      <c r="B26" s="11" t="s">
        <v>1734</v>
      </c>
      <c r="C26" s="11" t="s">
        <v>1311</v>
      </c>
      <c r="D26" s="11" t="s">
        <v>1735</v>
      </c>
      <c r="E26" s="11" t="s">
        <v>1736</v>
      </c>
    </row>
    <row r="27" spans="1:9" ht="22.8">
      <c r="A27" s="11">
        <v>16</v>
      </c>
      <c r="B27" s="11" t="s">
        <v>1737</v>
      </c>
      <c r="C27" s="11" t="s">
        <v>1685</v>
      </c>
      <c r="D27" s="11" t="s">
        <v>1738</v>
      </c>
      <c r="E27" s="11" t="s">
        <v>1739</v>
      </c>
    </row>
    <row r="29" spans="1:9">
      <c r="A29" s="116" t="s">
        <v>1740</v>
      </c>
      <c r="B29" s="117"/>
      <c r="C29" s="117"/>
      <c r="D29" s="117"/>
      <c r="E29" s="117"/>
      <c r="F29" s="117"/>
      <c r="G29" s="117"/>
      <c r="H29" s="117"/>
      <c r="I29" s="118"/>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56" t="s">
        <v>1741</v>
      </c>
      <c r="B1" s="56"/>
      <c r="C1" s="56"/>
      <c r="D1" s="56"/>
      <c r="E1" s="56"/>
      <c r="F1" s="56"/>
      <c r="G1" s="56"/>
    </row>
    <row r="2" spans="1:7" ht="31.95" customHeight="1">
      <c r="A2" s="57" t="s">
        <v>1742</v>
      </c>
      <c r="B2" s="57"/>
      <c r="C2" s="57"/>
      <c r="D2" s="57"/>
      <c r="E2" s="57"/>
      <c r="F2" s="57"/>
      <c r="G2" s="57"/>
    </row>
    <row r="5" spans="1:7" ht="28.05" customHeight="1">
      <c r="A5" s="1" t="s">
        <v>1576</v>
      </c>
      <c r="B5" s="2" t="s">
        <v>1743</v>
      </c>
      <c r="C5" s="2" t="s">
        <v>71</v>
      </c>
      <c r="D5" s="2" t="s">
        <v>1744</v>
      </c>
      <c r="E5" s="2" t="s">
        <v>1745</v>
      </c>
      <c r="F5" s="2" t="s">
        <v>1746</v>
      </c>
      <c r="G5" s="3" t="s">
        <v>1747</v>
      </c>
    </row>
    <row r="6" spans="1:7">
      <c r="A6" s="10" t="s">
        <v>1748</v>
      </c>
      <c r="B6" s="10" t="s">
        <v>1749</v>
      </c>
      <c r="C6" s="10" t="s">
        <v>1750</v>
      </c>
      <c r="D6" s="10" t="s">
        <v>1567</v>
      </c>
      <c r="E6" s="10" t="s">
        <v>1751</v>
      </c>
      <c r="F6" s="10" t="s">
        <v>1752</v>
      </c>
      <c r="G6" s="10" t="s">
        <v>1753</v>
      </c>
    </row>
    <row r="7" spans="1:7">
      <c r="A7" s="11" t="s">
        <v>1748</v>
      </c>
      <c r="B7" s="11" t="s">
        <v>1754</v>
      </c>
      <c r="C7" s="11" t="s">
        <v>1750</v>
      </c>
      <c r="D7" s="11" t="s">
        <v>1755</v>
      </c>
      <c r="E7" s="11" t="s">
        <v>1756</v>
      </c>
      <c r="F7" s="11" t="s">
        <v>1757</v>
      </c>
      <c r="G7" s="11" t="s">
        <v>1758</v>
      </c>
    </row>
    <row r="8" spans="1:7">
      <c r="A8" s="11" t="s">
        <v>1748</v>
      </c>
      <c r="B8" s="11" t="s">
        <v>1759</v>
      </c>
      <c r="C8" s="11" t="s">
        <v>1750</v>
      </c>
      <c r="D8" s="11" t="s">
        <v>1755</v>
      </c>
      <c r="E8" s="11" t="s">
        <v>1760</v>
      </c>
      <c r="F8" s="11" t="s">
        <v>1761</v>
      </c>
      <c r="G8" s="11" t="s">
        <v>1762</v>
      </c>
    </row>
    <row r="9" spans="1:7">
      <c r="A9" s="11" t="s">
        <v>1748</v>
      </c>
      <c r="B9" s="11" t="s">
        <v>1763</v>
      </c>
      <c r="C9" s="11" t="s">
        <v>1750</v>
      </c>
      <c r="D9" s="11" t="s">
        <v>1755</v>
      </c>
      <c r="E9" s="11" t="s">
        <v>1764</v>
      </c>
      <c r="F9" s="11" t="s">
        <v>1765</v>
      </c>
      <c r="G9" s="11" t="s">
        <v>1766</v>
      </c>
    </row>
    <row r="10" spans="1:7">
      <c r="A10" s="11" t="s">
        <v>1748</v>
      </c>
      <c r="B10" s="11" t="s">
        <v>1767</v>
      </c>
      <c r="C10" s="11" t="s">
        <v>1750</v>
      </c>
      <c r="D10" s="11" t="s">
        <v>1755</v>
      </c>
      <c r="E10" s="11" t="s">
        <v>1768</v>
      </c>
      <c r="F10" s="11" t="s">
        <v>1769</v>
      </c>
      <c r="G10" s="11" t="s">
        <v>1770</v>
      </c>
    </row>
    <row r="11" spans="1:7">
      <c r="A11" s="11" t="s">
        <v>1771</v>
      </c>
      <c r="B11" s="11" t="s">
        <v>1772</v>
      </c>
      <c r="C11" s="11" t="s">
        <v>89</v>
      </c>
      <c r="D11" s="11" t="s">
        <v>1773</v>
      </c>
      <c r="E11" s="11" t="s">
        <v>1774</v>
      </c>
      <c r="F11" s="11" t="s">
        <v>1775</v>
      </c>
      <c r="G11" s="11" t="s">
        <v>1776</v>
      </c>
    </row>
    <row r="12" spans="1:7">
      <c r="A12" s="11" t="s">
        <v>1771</v>
      </c>
      <c r="B12" s="11" t="s">
        <v>1777</v>
      </c>
      <c r="C12" s="11" t="s">
        <v>89</v>
      </c>
      <c r="D12" s="11" t="s">
        <v>58</v>
      </c>
      <c r="E12" s="11" t="s">
        <v>1778</v>
      </c>
      <c r="F12" s="11" t="s">
        <v>1779</v>
      </c>
      <c r="G12" s="11" t="s">
        <v>1780</v>
      </c>
    </row>
    <row r="13" spans="1:7">
      <c r="A13" s="11" t="s">
        <v>1781</v>
      </c>
      <c r="B13" s="11" t="s">
        <v>1782</v>
      </c>
      <c r="C13" s="11" t="s">
        <v>1750</v>
      </c>
      <c r="D13" s="11" t="s">
        <v>1567</v>
      </c>
      <c r="E13" s="11" t="s">
        <v>1783</v>
      </c>
      <c r="F13" s="11" t="s">
        <v>1784</v>
      </c>
      <c r="G13" s="11" t="s">
        <v>1785</v>
      </c>
    </row>
    <row r="14" spans="1:7">
      <c r="A14" s="11" t="s">
        <v>1781</v>
      </c>
      <c r="B14" s="11" t="s">
        <v>1786</v>
      </c>
      <c r="C14" s="11" t="s">
        <v>1750</v>
      </c>
      <c r="D14" s="11" t="s">
        <v>1567</v>
      </c>
      <c r="E14" s="11" t="s">
        <v>1787</v>
      </c>
      <c r="F14" s="11" t="s">
        <v>1788</v>
      </c>
      <c r="G14" s="11" t="s">
        <v>1789</v>
      </c>
    </row>
    <row r="15" spans="1:7">
      <c r="A15" s="11" t="s">
        <v>1781</v>
      </c>
      <c r="B15" s="11" t="s">
        <v>1790</v>
      </c>
      <c r="C15" s="11" t="s">
        <v>1750</v>
      </c>
      <c r="D15" s="11" t="s">
        <v>1791</v>
      </c>
      <c r="E15" s="11" t="s">
        <v>1792</v>
      </c>
      <c r="F15" s="11" t="s">
        <v>1793</v>
      </c>
      <c r="G15" s="11" t="s">
        <v>1794</v>
      </c>
    </row>
    <row r="16" spans="1:7">
      <c r="A16" s="11" t="s">
        <v>1781</v>
      </c>
      <c r="B16" s="11" t="s">
        <v>1795</v>
      </c>
      <c r="C16" s="11" t="s">
        <v>1750</v>
      </c>
      <c r="D16" s="11" t="s">
        <v>1796</v>
      </c>
      <c r="E16" s="11" t="s">
        <v>1797</v>
      </c>
      <c r="F16" s="11" t="s">
        <v>1798</v>
      </c>
      <c r="G16" s="11" t="s">
        <v>1799</v>
      </c>
    </row>
    <row r="17" spans="1:7">
      <c r="A17" s="11" t="s">
        <v>1800</v>
      </c>
      <c r="B17" s="11" t="s">
        <v>1801</v>
      </c>
      <c r="C17" s="11" t="s">
        <v>1750</v>
      </c>
      <c r="D17" s="11" t="s">
        <v>1802</v>
      </c>
      <c r="E17" s="11" t="s">
        <v>1803</v>
      </c>
      <c r="F17" s="11" t="s">
        <v>1804</v>
      </c>
      <c r="G17" s="11" t="s">
        <v>1805</v>
      </c>
    </row>
    <row r="18" spans="1:7" ht="22.8">
      <c r="A18" s="11" t="s">
        <v>442</v>
      </c>
      <c r="B18" s="11" t="s">
        <v>1806</v>
      </c>
      <c r="C18" s="11" t="s">
        <v>89</v>
      </c>
      <c r="D18" s="11" t="s">
        <v>57</v>
      </c>
      <c r="E18" s="11" t="s">
        <v>1807</v>
      </c>
      <c r="F18" s="11" t="s">
        <v>1808</v>
      </c>
      <c r="G18" s="11" t="s">
        <v>1809</v>
      </c>
    </row>
    <row r="19" spans="1:7">
      <c r="A19" s="11" t="s">
        <v>442</v>
      </c>
      <c r="B19" s="11" t="s">
        <v>1810</v>
      </c>
      <c r="C19" s="11" t="s">
        <v>365</v>
      </c>
      <c r="D19" s="11" t="s">
        <v>1567</v>
      </c>
      <c r="E19" s="11" t="s">
        <v>1811</v>
      </c>
      <c r="F19" s="11" t="s">
        <v>1812</v>
      </c>
      <c r="G19" s="11" t="s">
        <v>1813</v>
      </c>
    </row>
    <row r="20" spans="1:7">
      <c r="A20" s="11" t="s">
        <v>1354</v>
      </c>
      <c r="B20" s="11" t="s">
        <v>1814</v>
      </c>
      <c r="C20" s="11" t="s">
        <v>89</v>
      </c>
      <c r="D20" s="11" t="s">
        <v>57</v>
      </c>
      <c r="E20" s="11" t="s">
        <v>1815</v>
      </c>
      <c r="F20" s="11" t="s">
        <v>1816</v>
      </c>
      <c r="G20" s="11" t="s">
        <v>1817</v>
      </c>
    </row>
    <row r="21" spans="1:7">
      <c r="A21" s="11" t="s">
        <v>1354</v>
      </c>
      <c r="B21" s="11" t="s">
        <v>1818</v>
      </c>
      <c r="C21" s="11" t="s">
        <v>89</v>
      </c>
      <c r="D21" s="11" t="s">
        <v>57</v>
      </c>
      <c r="E21" s="11" t="s">
        <v>1819</v>
      </c>
      <c r="F21" s="11" t="s">
        <v>1820</v>
      </c>
      <c r="G21" s="11" t="s">
        <v>1821</v>
      </c>
    </row>
    <row r="22" spans="1:7">
      <c r="A22" s="11" t="s">
        <v>1354</v>
      </c>
      <c r="B22" s="11" t="s">
        <v>1822</v>
      </c>
      <c r="C22" s="11" t="s">
        <v>365</v>
      </c>
      <c r="D22" s="11" t="s">
        <v>1567</v>
      </c>
      <c r="E22" s="11" t="s">
        <v>1823</v>
      </c>
      <c r="F22" s="11" t="s">
        <v>1824</v>
      </c>
      <c r="G22" s="11" t="s">
        <v>1825</v>
      </c>
    </row>
    <row r="23" spans="1:7">
      <c r="A23" s="11" t="s">
        <v>1826</v>
      </c>
      <c r="B23" s="11" t="s">
        <v>1827</v>
      </c>
      <c r="C23" s="11" t="s">
        <v>89</v>
      </c>
      <c r="D23" s="11" t="s">
        <v>58</v>
      </c>
      <c r="E23" s="11" t="s">
        <v>1828</v>
      </c>
      <c r="F23" s="11" t="s">
        <v>1829</v>
      </c>
      <c r="G23" s="11" t="s">
        <v>1830</v>
      </c>
    </row>
    <row r="24" spans="1:7">
      <c r="A24" s="11" t="s">
        <v>1826</v>
      </c>
      <c r="B24" s="11" t="s">
        <v>1831</v>
      </c>
      <c r="C24" s="11" t="s">
        <v>1750</v>
      </c>
      <c r="D24" s="11" t="s">
        <v>1832</v>
      </c>
      <c r="E24" s="11" t="s">
        <v>1833</v>
      </c>
      <c r="F24" s="11" t="s">
        <v>1834</v>
      </c>
      <c r="G24" s="11" t="s">
        <v>1835</v>
      </c>
    </row>
    <row r="25" spans="1:7">
      <c r="A25" s="11" t="s">
        <v>1826</v>
      </c>
      <c r="B25" s="11" t="s">
        <v>1836</v>
      </c>
      <c r="C25" s="11" t="s">
        <v>1750</v>
      </c>
      <c r="D25" s="11" t="s">
        <v>1832</v>
      </c>
      <c r="E25" s="11" t="s">
        <v>1837</v>
      </c>
      <c r="F25" s="11" t="s">
        <v>1838</v>
      </c>
      <c r="G25" s="11" t="s">
        <v>1839</v>
      </c>
    </row>
    <row r="26" spans="1:7">
      <c r="A26" s="11" t="s">
        <v>1826</v>
      </c>
      <c r="B26" s="11" t="s">
        <v>1840</v>
      </c>
      <c r="C26" s="11" t="s">
        <v>1750</v>
      </c>
      <c r="D26" s="11" t="s">
        <v>1755</v>
      </c>
      <c r="E26" s="11" t="s">
        <v>1841</v>
      </c>
      <c r="F26" s="11" t="s">
        <v>1842</v>
      </c>
      <c r="G26" s="11" t="s">
        <v>1843</v>
      </c>
    </row>
    <row r="27" spans="1:7">
      <c r="A27" s="11" t="s">
        <v>1844</v>
      </c>
      <c r="B27" s="11" t="s">
        <v>1845</v>
      </c>
      <c r="C27" s="11" t="s">
        <v>89</v>
      </c>
      <c r="D27" s="11" t="s">
        <v>1255</v>
      </c>
      <c r="E27" s="11" t="s">
        <v>1846</v>
      </c>
      <c r="F27" s="11" t="s">
        <v>1816</v>
      </c>
      <c r="G27" s="11" t="s">
        <v>1847</v>
      </c>
    </row>
    <row r="28" spans="1:7">
      <c r="A28" s="11" t="s">
        <v>1844</v>
      </c>
      <c r="B28" s="11" t="s">
        <v>1848</v>
      </c>
      <c r="C28" s="11" t="s">
        <v>1750</v>
      </c>
      <c r="D28" s="11" t="s">
        <v>1849</v>
      </c>
      <c r="E28" s="11" t="s">
        <v>1850</v>
      </c>
      <c r="F28" s="11" t="s">
        <v>1851</v>
      </c>
      <c r="G28" s="11" t="s">
        <v>1852</v>
      </c>
    </row>
    <row r="29" spans="1:7">
      <c r="A29" s="11" t="s">
        <v>1853</v>
      </c>
      <c r="B29" s="11" t="s">
        <v>1854</v>
      </c>
      <c r="C29" s="11" t="s">
        <v>365</v>
      </c>
      <c r="D29" s="11" t="s">
        <v>1855</v>
      </c>
      <c r="E29" s="11" t="s">
        <v>1856</v>
      </c>
      <c r="F29" s="11" t="s">
        <v>1857</v>
      </c>
      <c r="G29" s="11" t="s">
        <v>1858</v>
      </c>
    </row>
    <row r="30" spans="1:7">
      <c r="A30" s="11" t="s">
        <v>1853</v>
      </c>
      <c r="B30" s="11" t="s">
        <v>1859</v>
      </c>
      <c r="C30" s="11" t="s">
        <v>1750</v>
      </c>
      <c r="D30" s="11" t="s">
        <v>1855</v>
      </c>
      <c r="E30" s="11" t="s">
        <v>1860</v>
      </c>
      <c r="F30" s="11" t="s">
        <v>1861</v>
      </c>
      <c r="G30" s="11" t="s">
        <v>1862</v>
      </c>
    </row>
    <row r="31" spans="1:7">
      <c r="A31" s="11" t="s">
        <v>1863</v>
      </c>
      <c r="B31" s="11" t="s">
        <v>1864</v>
      </c>
      <c r="C31" s="11" t="s">
        <v>1750</v>
      </c>
      <c r="D31" s="11" t="s">
        <v>1865</v>
      </c>
      <c r="E31" s="11" t="s">
        <v>1866</v>
      </c>
      <c r="F31" s="11" t="s">
        <v>1867</v>
      </c>
      <c r="G31" s="11" t="s">
        <v>1868</v>
      </c>
    </row>
    <row r="32" spans="1:7">
      <c r="A32" s="11" t="s">
        <v>293</v>
      </c>
      <c r="B32" s="11" t="s">
        <v>1869</v>
      </c>
      <c r="C32" s="11" t="s">
        <v>89</v>
      </c>
      <c r="D32" s="11" t="s">
        <v>37</v>
      </c>
      <c r="E32" s="11" t="s">
        <v>1870</v>
      </c>
      <c r="F32" s="11" t="s">
        <v>1871</v>
      </c>
      <c r="G32" s="11" t="s">
        <v>1872</v>
      </c>
    </row>
    <row r="33" spans="1:7">
      <c r="A33" s="11" t="s">
        <v>293</v>
      </c>
      <c r="B33" s="11" t="s">
        <v>1873</v>
      </c>
      <c r="C33" s="11" t="s">
        <v>1750</v>
      </c>
      <c r="D33" s="11" t="s">
        <v>1791</v>
      </c>
      <c r="E33" s="11" t="s">
        <v>1874</v>
      </c>
      <c r="F33" s="11" t="s">
        <v>1875</v>
      </c>
      <c r="G33" s="11" t="s">
        <v>1876</v>
      </c>
    </row>
    <row r="34" spans="1:7">
      <c r="A34" s="11" t="s">
        <v>1877</v>
      </c>
      <c r="B34" s="11" t="s">
        <v>1181</v>
      </c>
      <c r="C34" s="11" t="s">
        <v>89</v>
      </c>
      <c r="D34" s="11" t="s">
        <v>37</v>
      </c>
      <c r="E34" s="11" t="s">
        <v>1878</v>
      </c>
      <c r="F34" s="11" t="s">
        <v>1879</v>
      </c>
      <c r="G34" s="11" t="s">
        <v>1880</v>
      </c>
    </row>
    <row r="35" spans="1:7" ht="22.8">
      <c r="A35" s="11" t="s">
        <v>1877</v>
      </c>
      <c r="B35" s="11" t="s">
        <v>1186</v>
      </c>
      <c r="C35" s="11" t="s">
        <v>1881</v>
      </c>
      <c r="D35" s="11" t="s">
        <v>59</v>
      </c>
      <c r="E35" s="11" t="s">
        <v>1882</v>
      </c>
      <c r="F35" s="11" t="s">
        <v>1883</v>
      </c>
      <c r="G35" s="11" t="s">
        <v>1884</v>
      </c>
    </row>
    <row r="36" spans="1:7">
      <c r="A36" s="11" t="s">
        <v>1877</v>
      </c>
      <c r="B36" s="11" t="s">
        <v>1885</v>
      </c>
      <c r="C36" s="11" t="s">
        <v>1750</v>
      </c>
      <c r="D36" s="11" t="s">
        <v>1886</v>
      </c>
      <c r="E36" s="11" t="s">
        <v>1887</v>
      </c>
      <c r="F36" s="11" t="s">
        <v>1888</v>
      </c>
      <c r="G36" s="11" t="s">
        <v>1889</v>
      </c>
    </row>
    <row r="37" spans="1:7">
      <c r="A37" s="11" t="s">
        <v>1877</v>
      </c>
      <c r="B37" s="11" t="s">
        <v>1890</v>
      </c>
      <c r="C37" s="11" t="s">
        <v>1750</v>
      </c>
      <c r="D37" s="11" t="s">
        <v>1891</v>
      </c>
      <c r="E37" s="11" t="s">
        <v>1892</v>
      </c>
      <c r="F37" s="11" t="s">
        <v>1888</v>
      </c>
      <c r="G37" s="11" t="s">
        <v>1893</v>
      </c>
    </row>
    <row r="38" spans="1:7">
      <c r="A38" s="11" t="s">
        <v>1877</v>
      </c>
      <c r="B38" s="11" t="s">
        <v>1894</v>
      </c>
      <c r="C38" s="11" t="s">
        <v>1750</v>
      </c>
      <c r="D38" s="11" t="s">
        <v>1895</v>
      </c>
      <c r="E38" s="11" t="s">
        <v>1896</v>
      </c>
      <c r="F38" s="11" t="s">
        <v>1897</v>
      </c>
      <c r="G38" s="11" t="s">
        <v>1898</v>
      </c>
    </row>
    <row r="39" spans="1:7">
      <c r="A39" s="11" t="s">
        <v>1877</v>
      </c>
      <c r="B39" s="11" t="s">
        <v>1899</v>
      </c>
      <c r="C39" s="11" t="s">
        <v>1750</v>
      </c>
      <c r="D39" s="11" t="s">
        <v>1900</v>
      </c>
      <c r="E39" s="11" t="s">
        <v>1901</v>
      </c>
      <c r="F39" s="11" t="s">
        <v>1897</v>
      </c>
      <c r="G39" s="11" t="s">
        <v>1902</v>
      </c>
    </row>
    <row r="40" spans="1:7">
      <c r="A40" s="11" t="s">
        <v>1877</v>
      </c>
      <c r="B40" s="11" t="s">
        <v>1903</v>
      </c>
      <c r="C40" s="11" t="s">
        <v>1750</v>
      </c>
      <c r="D40" s="11" t="s">
        <v>1904</v>
      </c>
      <c r="E40" s="11" t="s">
        <v>1905</v>
      </c>
      <c r="F40" s="11" t="s">
        <v>1897</v>
      </c>
      <c r="G40" s="11" t="s">
        <v>1906</v>
      </c>
    </row>
    <row r="41" spans="1:7">
      <c r="A41" s="11" t="s">
        <v>1907</v>
      </c>
      <c r="B41" s="11" t="s">
        <v>1908</v>
      </c>
      <c r="C41" s="11" t="s">
        <v>365</v>
      </c>
      <c r="D41" s="11" t="s">
        <v>1909</v>
      </c>
      <c r="E41" s="11" t="s">
        <v>1910</v>
      </c>
      <c r="F41" s="11" t="s">
        <v>1911</v>
      </c>
      <c r="G41" s="11" t="s">
        <v>1912</v>
      </c>
    </row>
    <row r="42" spans="1:7">
      <c r="A42" s="11" t="s">
        <v>1907</v>
      </c>
      <c r="B42" s="11" t="s">
        <v>1913</v>
      </c>
      <c r="C42" s="11" t="s">
        <v>1750</v>
      </c>
      <c r="D42" s="11" t="s">
        <v>1914</v>
      </c>
      <c r="E42" s="11" t="s">
        <v>1915</v>
      </c>
      <c r="F42" s="11" t="s">
        <v>1916</v>
      </c>
      <c r="G42" s="11" t="s">
        <v>1917</v>
      </c>
    </row>
    <row r="43" spans="1:7">
      <c r="A43" s="11" t="s">
        <v>1907</v>
      </c>
      <c r="B43" s="11" t="s">
        <v>1918</v>
      </c>
      <c r="C43" s="11" t="s">
        <v>1750</v>
      </c>
      <c r="D43" s="11" t="s">
        <v>1919</v>
      </c>
      <c r="E43" s="11" t="s">
        <v>1920</v>
      </c>
      <c r="F43" s="11" t="s">
        <v>1921</v>
      </c>
      <c r="G43" s="11" t="s">
        <v>1922</v>
      </c>
    </row>
    <row r="44" spans="1:7">
      <c r="A44" s="11" t="s">
        <v>1923</v>
      </c>
      <c r="B44" s="11" t="s">
        <v>1924</v>
      </c>
      <c r="C44" s="11" t="s">
        <v>365</v>
      </c>
      <c r="D44" s="11" t="s">
        <v>1909</v>
      </c>
      <c r="E44" s="11" t="s">
        <v>1925</v>
      </c>
      <c r="F44" s="11" t="s">
        <v>1926</v>
      </c>
      <c r="G44" s="11" t="s">
        <v>1927</v>
      </c>
    </row>
    <row r="45" spans="1:7">
      <c r="A45" s="11" t="s">
        <v>1923</v>
      </c>
      <c r="B45" s="11" t="s">
        <v>1928</v>
      </c>
      <c r="C45" s="11" t="s">
        <v>1750</v>
      </c>
      <c r="D45" s="11" t="s">
        <v>1919</v>
      </c>
      <c r="E45" s="11" t="s">
        <v>1929</v>
      </c>
      <c r="F45" s="11" t="s">
        <v>1930</v>
      </c>
      <c r="G45" s="11" t="s">
        <v>1931</v>
      </c>
    </row>
    <row r="46" spans="1:7">
      <c r="A46" s="11" t="s">
        <v>1923</v>
      </c>
      <c r="B46" s="11" t="s">
        <v>1932</v>
      </c>
      <c r="C46" s="11" t="s">
        <v>1750</v>
      </c>
      <c r="D46" s="11" t="s">
        <v>1919</v>
      </c>
      <c r="E46" s="11" t="s">
        <v>1933</v>
      </c>
      <c r="F46" s="11" t="s">
        <v>1934</v>
      </c>
      <c r="G46" s="11" t="s">
        <v>1935</v>
      </c>
    </row>
    <row r="47" spans="1:7">
      <c r="A47" s="11" t="s">
        <v>1936</v>
      </c>
      <c r="B47" s="11" t="s">
        <v>1937</v>
      </c>
      <c r="C47" s="11" t="s">
        <v>365</v>
      </c>
      <c r="D47" s="11" t="s">
        <v>1909</v>
      </c>
      <c r="E47" s="11" t="s">
        <v>1938</v>
      </c>
      <c r="F47" s="11" t="s">
        <v>1939</v>
      </c>
      <c r="G47" s="11" t="s">
        <v>1940</v>
      </c>
    </row>
    <row r="48" spans="1:7">
      <c r="A48" s="11" t="s">
        <v>1936</v>
      </c>
      <c r="B48" s="11" t="s">
        <v>1941</v>
      </c>
      <c r="C48" s="11" t="s">
        <v>1750</v>
      </c>
      <c r="D48" s="11" t="s">
        <v>1942</v>
      </c>
      <c r="E48" s="11" t="s">
        <v>1943</v>
      </c>
      <c r="F48" s="11" t="s">
        <v>1944</v>
      </c>
      <c r="G48" s="11" t="s">
        <v>1945</v>
      </c>
    </row>
    <row r="49" spans="1:7">
      <c r="A49" s="11" t="s">
        <v>106</v>
      </c>
      <c r="B49" s="11" t="s">
        <v>1946</v>
      </c>
      <c r="C49" s="11" t="s">
        <v>89</v>
      </c>
      <c r="D49" s="11" t="s">
        <v>37</v>
      </c>
      <c r="E49" s="11" t="s">
        <v>1947</v>
      </c>
      <c r="F49" s="11" t="s">
        <v>1948</v>
      </c>
      <c r="G49" s="11" t="s">
        <v>1949</v>
      </c>
    </row>
    <row r="50" spans="1:7">
      <c r="A50" s="11" t="s">
        <v>106</v>
      </c>
      <c r="B50" s="11" t="s">
        <v>1950</v>
      </c>
      <c r="C50" s="11" t="s">
        <v>365</v>
      </c>
      <c r="D50" s="11" t="s">
        <v>1909</v>
      </c>
      <c r="E50" s="11" t="s">
        <v>1951</v>
      </c>
      <c r="F50" s="11" t="s">
        <v>1952</v>
      </c>
      <c r="G50" s="11" t="s">
        <v>1953</v>
      </c>
    </row>
    <row r="51" spans="1:7">
      <c r="A51" s="11" t="s">
        <v>1954</v>
      </c>
      <c r="B51" s="11" t="s">
        <v>1231</v>
      </c>
      <c r="C51" s="11" t="s">
        <v>1955</v>
      </c>
      <c r="D51" s="11" t="s">
        <v>60</v>
      </c>
      <c r="E51" s="11" t="s">
        <v>1956</v>
      </c>
      <c r="F51" s="11" t="s">
        <v>1957</v>
      </c>
      <c r="G51" s="11" t="s">
        <v>1958</v>
      </c>
    </row>
    <row r="52" spans="1:7">
      <c r="A52" s="11" t="s">
        <v>1954</v>
      </c>
      <c r="B52" s="11" t="s">
        <v>1959</v>
      </c>
      <c r="C52" s="11" t="s">
        <v>1960</v>
      </c>
      <c r="D52" s="11" t="s">
        <v>1961</v>
      </c>
      <c r="E52" s="11" t="s">
        <v>1962</v>
      </c>
      <c r="F52" s="11" t="s">
        <v>1963</v>
      </c>
      <c r="G52" s="11" t="s">
        <v>1964</v>
      </c>
    </row>
    <row r="53" spans="1:7">
      <c r="A53" s="11" t="s">
        <v>1965</v>
      </c>
      <c r="B53" s="11" t="s">
        <v>1966</v>
      </c>
      <c r="C53" s="11" t="s">
        <v>89</v>
      </c>
      <c r="D53" s="11" t="s">
        <v>57</v>
      </c>
      <c r="E53" s="11" t="s">
        <v>1967</v>
      </c>
      <c r="F53" s="11" t="s">
        <v>1968</v>
      </c>
      <c r="G53" s="11" t="s">
        <v>1969</v>
      </c>
    </row>
    <row r="54" spans="1:7">
      <c r="A54" s="11" t="s">
        <v>1970</v>
      </c>
      <c r="B54" s="11" t="s">
        <v>1971</v>
      </c>
      <c r="C54" s="11" t="s">
        <v>89</v>
      </c>
      <c r="D54" s="11" t="s">
        <v>1240</v>
      </c>
      <c r="E54" s="11" t="s">
        <v>1972</v>
      </c>
      <c r="F54" s="11" t="s">
        <v>1973</v>
      </c>
      <c r="G54" s="11" t="s">
        <v>1974</v>
      </c>
    </row>
    <row r="55" spans="1:7">
      <c r="A55" s="11" t="s">
        <v>1975</v>
      </c>
      <c r="B55" s="11" t="s">
        <v>1976</v>
      </c>
      <c r="C55" s="11" t="s">
        <v>89</v>
      </c>
      <c r="D55" s="11" t="s">
        <v>1977</v>
      </c>
      <c r="E55" s="11" t="s">
        <v>1978</v>
      </c>
      <c r="F55" s="11" t="s">
        <v>1979</v>
      </c>
      <c r="G55" s="11" t="s">
        <v>1980</v>
      </c>
    </row>
    <row r="56" spans="1:7" ht="22.8">
      <c r="A56" s="11" t="s">
        <v>1608</v>
      </c>
      <c r="B56" s="11" t="s">
        <v>1981</v>
      </c>
      <c r="C56" s="11" t="s">
        <v>1982</v>
      </c>
      <c r="D56" s="11" t="s">
        <v>59</v>
      </c>
      <c r="E56" s="11" t="s">
        <v>1983</v>
      </c>
      <c r="F56" s="11" t="s">
        <v>1984</v>
      </c>
      <c r="G56" s="11" t="s">
        <v>1985</v>
      </c>
    </row>
    <row r="57" spans="1:7">
      <c r="A57" s="11" t="s">
        <v>1383</v>
      </c>
      <c r="B57" s="11" t="s">
        <v>1986</v>
      </c>
      <c r="C57" s="11" t="s">
        <v>89</v>
      </c>
      <c r="D57" s="11" t="s">
        <v>1987</v>
      </c>
      <c r="E57" s="11" t="s">
        <v>1988</v>
      </c>
      <c r="F57" s="11" t="s">
        <v>1989</v>
      </c>
      <c r="G57" s="11" t="s">
        <v>1990</v>
      </c>
    </row>
    <row r="58" spans="1:7">
      <c r="A58" s="11" t="s">
        <v>1991</v>
      </c>
      <c r="B58" s="11" t="s">
        <v>1992</v>
      </c>
      <c r="C58" s="11" t="s">
        <v>1750</v>
      </c>
      <c r="D58" s="11" t="s">
        <v>1567</v>
      </c>
      <c r="E58" s="11" t="s">
        <v>1993</v>
      </c>
      <c r="F58" s="11" t="s">
        <v>1994</v>
      </c>
      <c r="G58" s="11" t="s">
        <v>1995</v>
      </c>
    </row>
    <row r="59" spans="1:7">
      <c r="A59" s="11" t="s">
        <v>752</v>
      </c>
      <c r="B59" s="11" t="s">
        <v>1996</v>
      </c>
      <c r="C59" s="11" t="s">
        <v>89</v>
      </c>
      <c r="D59" s="11" t="s">
        <v>59</v>
      </c>
      <c r="E59" s="11" t="s">
        <v>1997</v>
      </c>
      <c r="F59" s="11" t="s">
        <v>1998</v>
      </c>
      <c r="G59" s="11" t="s">
        <v>1999</v>
      </c>
    </row>
    <row r="60" spans="1:7" ht="22.8">
      <c r="A60" s="11" t="s">
        <v>2000</v>
      </c>
      <c r="B60" s="11" t="s">
        <v>2001</v>
      </c>
      <c r="C60" s="11" t="s">
        <v>89</v>
      </c>
      <c r="D60" s="11" t="s">
        <v>1268</v>
      </c>
      <c r="E60" s="11" t="s">
        <v>2002</v>
      </c>
      <c r="F60" s="11" t="s">
        <v>2003</v>
      </c>
      <c r="G60" s="11" t="s">
        <v>2004</v>
      </c>
    </row>
    <row r="61" spans="1:7">
      <c r="A61" s="11" t="s">
        <v>765</v>
      </c>
      <c r="B61" s="11" t="s">
        <v>2005</v>
      </c>
      <c r="C61" s="11" t="s">
        <v>89</v>
      </c>
      <c r="D61" s="11" t="s">
        <v>59</v>
      </c>
      <c r="E61" s="11" t="s">
        <v>2006</v>
      </c>
      <c r="F61" s="11" t="s">
        <v>2007</v>
      </c>
      <c r="G61" s="11" t="s">
        <v>2008</v>
      </c>
    </row>
    <row r="62" spans="1:7">
      <c r="A62" s="11" t="s">
        <v>2009</v>
      </c>
      <c r="B62" s="11" t="s">
        <v>2010</v>
      </c>
      <c r="C62" s="11" t="s">
        <v>89</v>
      </c>
      <c r="D62" s="11" t="s">
        <v>56</v>
      </c>
      <c r="E62" s="11" t="s">
        <v>2011</v>
      </c>
      <c r="F62" s="11" t="s">
        <v>2012</v>
      </c>
      <c r="G62" s="11" t="s">
        <v>2013</v>
      </c>
    </row>
    <row r="63" spans="1:7">
      <c r="A63" s="11" t="s">
        <v>617</v>
      </c>
      <c r="B63" s="11" t="s">
        <v>2014</v>
      </c>
      <c r="C63" s="11" t="s">
        <v>1183</v>
      </c>
      <c r="D63" s="11" t="s">
        <v>60</v>
      </c>
      <c r="E63" s="11" t="s">
        <v>2015</v>
      </c>
      <c r="F63" s="11" t="s">
        <v>2016</v>
      </c>
      <c r="G63" s="11" t="s">
        <v>2017</v>
      </c>
    </row>
    <row r="64" spans="1:7">
      <c r="A64" s="11" t="s">
        <v>617</v>
      </c>
      <c r="B64" s="11" t="s">
        <v>2018</v>
      </c>
      <c r="C64" s="11" t="s">
        <v>1982</v>
      </c>
      <c r="D64" s="11" t="s">
        <v>60</v>
      </c>
      <c r="E64" s="11" t="s">
        <v>2019</v>
      </c>
      <c r="F64" s="11" t="s">
        <v>2020</v>
      </c>
      <c r="G64" s="11" t="s">
        <v>2021</v>
      </c>
    </row>
    <row r="65" spans="1:7">
      <c r="A65" s="11" t="s">
        <v>617</v>
      </c>
      <c r="B65" s="11" t="s">
        <v>2022</v>
      </c>
      <c r="C65" s="11" t="s">
        <v>1750</v>
      </c>
      <c r="D65" s="11" t="s">
        <v>1849</v>
      </c>
      <c r="E65" s="11" t="s">
        <v>2023</v>
      </c>
      <c r="F65" s="11" t="s">
        <v>2024</v>
      </c>
      <c r="G65" s="11" t="s">
        <v>2025</v>
      </c>
    </row>
    <row r="66" spans="1:7">
      <c r="A66" s="11" t="s">
        <v>1418</v>
      </c>
      <c r="B66" s="11" t="s">
        <v>2026</v>
      </c>
      <c r="C66" s="11" t="s">
        <v>2027</v>
      </c>
      <c r="D66" s="11" t="s">
        <v>60</v>
      </c>
      <c r="E66" s="11" t="s">
        <v>2028</v>
      </c>
      <c r="F66" s="11" t="s">
        <v>2029</v>
      </c>
      <c r="G66" s="11" t="s">
        <v>2030</v>
      </c>
    </row>
    <row r="67" spans="1:7">
      <c r="A67" s="11" t="s">
        <v>2031</v>
      </c>
      <c r="B67" s="11" t="s">
        <v>2032</v>
      </c>
      <c r="C67" s="11" t="s">
        <v>365</v>
      </c>
      <c r="D67" s="11" t="s">
        <v>2033</v>
      </c>
      <c r="E67" s="11" t="s">
        <v>2034</v>
      </c>
      <c r="F67" s="11" t="s">
        <v>2035</v>
      </c>
      <c r="G67" s="11" t="s">
        <v>2036</v>
      </c>
    </row>
    <row r="68" spans="1:7">
      <c r="A68" s="11" t="s">
        <v>2037</v>
      </c>
      <c r="B68" s="11" t="s">
        <v>2038</v>
      </c>
      <c r="C68" s="11" t="s">
        <v>2039</v>
      </c>
      <c r="D68" s="11" t="s">
        <v>2040</v>
      </c>
      <c r="E68" s="11" t="s">
        <v>2041</v>
      </c>
      <c r="F68" s="11" t="s">
        <v>2042</v>
      </c>
      <c r="G68" s="11" t="s">
        <v>2043</v>
      </c>
    </row>
    <row r="69" spans="1:7">
      <c r="A69" s="11" t="s">
        <v>765</v>
      </c>
      <c r="B69" s="11" t="s">
        <v>2044</v>
      </c>
      <c r="C69" s="11" t="s">
        <v>1750</v>
      </c>
      <c r="D69" s="11" t="s">
        <v>2045</v>
      </c>
      <c r="E69" s="11" t="s">
        <v>2046</v>
      </c>
      <c r="F69" s="11" t="s">
        <v>2047</v>
      </c>
      <c r="G69" s="11" t="s">
        <v>2048</v>
      </c>
    </row>
  </sheetData>
  <mergeCells count="2">
    <mergeCell ref="A1:G1"/>
    <mergeCell ref="A2:G2"/>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56" t="s">
        <v>2049</v>
      </c>
      <c r="B1" s="56"/>
      <c r="C1" s="56"/>
      <c r="D1" s="56"/>
      <c r="E1" s="56"/>
      <c r="F1" s="56"/>
      <c r="G1" s="56"/>
      <c r="H1" s="56"/>
    </row>
    <row r="2" spans="1:8" ht="31.95" customHeight="1">
      <c r="A2" s="57" t="s">
        <v>2050</v>
      </c>
      <c r="B2" s="57"/>
      <c r="C2" s="57"/>
      <c r="D2" s="57"/>
      <c r="E2" s="57"/>
      <c r="F2" s="57"/>
      <c r="G2" s="57"/>
      <c r="H2" s="57"/>
    </row>
    <row r="5" spans="1:8" ht="28.05" customHeight="1">
      <c r="A5" s="1" t="s">
        <v>2051</v>
      </c>
      <c r="B5" s="2" t="s">
        <v>90</v>
      </c>
      <c r="C5" s="2" t="s">
        <v>2052</v>
      </c>
      <c r="D5" s="2" t="s">
        <v>2053</v>
      </c>
      <c r="E5" s="2" t="s">
        <v>2054</v>
      </c>
      <c r="F5" s="2" t="s">
        <v>2055</v>
      </c>
      <c r="G5" s="2" t="s">
        <v>2056</v>
      </c>
      <c r="H5" s="3" t="s">
        <v>2057</v>
      </c>
    </row>
    <row r="6" spans="1:8">
      <c r="A6" s="10" t="s">
        <v>2058</v>
      </c>
      <c r="B6" s="10" t="s">
        <v>2059</v>
      </c>
      <c r="C6" s="10" t="s">
        <v>1625</v>
      </c>
      <c r="D6" s="10" t="s">
        <v>2060</v>
      </c>
      <c r="E6" s="10" t="s">
        <v>56</v>
      </c>
      <c r="F6" s="10" t="s">
        <v>2061</v>
      </c>
      <c r="G6" s="10" t="s">
        <v>2062</v>
      </c>
      <c r="H6" s="19"/>
    </row>
    <row r="7" spans="1:8">
      <c r="A7" s="11" t="s">
        <v>2063</v>
      </c>
      <c r="B7" s="11" t="s">
        <v>2059</v>
      </c>
      <c r="C7" s="11" t="s">
        <v>1625</v>
      </c>
      <c r="D7" s="11" t="s">
        <v>2064</v>
      </c>
      <c r="E7" s="11" t="s">
        <v>56</v>
      </c>
      <c r="F7" s="11" t="s">
        <v>2065</v>
      </c>
      <c r="G7" s="11" t="s">
        <v>2062</v>
      </c>
      <c r="H7" s="20"/>
    </row>
    <row r="8" spans="1:8">
      <c r="A8" s="11" t="s">
        <v>2066</v>
      </c>
      <c r="B8" s="11" t="s">
        <v>2067</v>
      </c>
      <c r="C8" s="11" t="s">
        <v>1625</v>
      </c>
      <c r="D8" s="11" t="s">
        <v>2068</v>
      </c>
      <c r="E8" s="11" t="s">
        <v>56</v>
      </c>
      <c r="F8" s="11" t="s">
        <v>2069</v>
      </c>
      <c r="G8" s="11" t="s">
        <v>2070</v>
      </c>
      <c r="H8" s="20"/>
    </row>
    <row r="9" spans="1:8">
      <c r="A9" s="11" t="s">
        <v>2071</v>
      </c>
      <c r="B9" s="11" t="s">
        <v>2072</v>
      </c>
      <c r="C9" s="11" t="s">
        <v>1625</v>
      </c>
      <c r="D9" s="11" t="s">
        <v>2073</v>
      </c>
      <c r="E9" s="11" t="s">
        <v>56</v>
      </c>
      <c r="F9" s="11" t="s">
        <v>2074</v>
      </c>
      <c r="G9" s="11" t="s">
        <v>2075</v>
      </c>
      <c r="H9" s="20"/>
    </row>
    <row r="10" spans="1:8">
      <c r="A10" s="11" t="s">
        <v>2076</v>
      </c>
      <c r="B10" s="11" t="s">
        <v>2059</v>
      </c>
      <c r="C10" s="11" t="s">
        <v>1625</v>
      </c>
      <c r="D10" s="11" t="s">
        <v>2077</v>
      </c>
      <c r="E10" s="11" t="s">
        <v>57</v>
      </c>
      <c r="F10" s="11" t="s">
        <v>2078</v>
      </c>
      <c r="G10" s="11" t="s">
        <v>2079</v>
      </c>
      <c r="H10" s="20"/>
    </row>
    <row r="11" spans="1:8">
      <c r="A11" s="11" t="s">
        <v>2080</v>
      </c>
      <c r="B11" s="11" t="s">
        <v>2059</v>
      </c>
      <c r="C11" s="11" t="s">
        <v>1625</v>
      </c>
      <c r="D11" s="11" t="s">
        <v>2081</v>
      </c>
      <c r="E11" s="11" t="s">
        <v>57</v>
      </c>
      <c r="F11" s="11" t="s">
        <v>2082</v>
      </c>
      <c r="G11" s="11" t="s">
        <v>2083</v>
      </c>
      <c r="H11" s="20"/>
    </row>
    <row r="12" spans="1:8">
      <c r="A12" s="11" t="s">
        <v>2084</v>
      </c>
      <c r="B12" s="11" t="s">
        <v>2059</v>
      </c>
      <c r="C12" s="11" t="s">
        <v>1625</v>
      </c>
      <c r="D12" s="11" t="s">
        <v>2085</v>
      </c>
      <c r="E12" s="11" t="s">
        <v>37</v>
      </c>
      <c r="F12" s="11" t="s">
        <v>2086</v>
      </c>
      <c r="G12" s="11" t="s">
        <v>306</v>
      </c>
      <c r="H12" s="20"/>
    </row>
    <row r="13" spans="1:8">
      <c r="A13" s="11" t="s">
        <v>1052</v>
      </c>
      <c r="B13" s="11" t="s">
        <v>2059</v>
      </c>
      <c r="C13" s="11" t="s">
        <v>1625</v>
      </c>
      <c r="D13" s="11" t="s">
        <v>2087</v>
      </c>
      <c r="E13" s="11" t="s">
        <v>37</v>
      </c>
      <c r="F13" s="11" t="s">
        <v>2088</v>
      </c>
      <c r="G13" s="11" t="s">
        <v>2089</v>
      </c>
      <c r="H13" s="20"/>
    </row>
    <row r="14" spans="1:8">
      <c r="A14" s="11" t="s">
        <v>2090</v>
      </c>
      <c r="B14" s="11" t="s">
        <v>2059</v>
      </c>
      <c r="C14" s="11" t="s">
        <v>1625</v>
      </c>
      <c r="D14" s="11" t="s">
        <v>2091</v>
      </c>
      <c r="E14" s="11" t="s">
        <v>37</v>
      </c>
      <c r="F14" s="11" t="s">
        <v>2092</v>
      </c>
      <c r="G14" s="11" t="s">
        <v>2093</v>
      </c>
      <c r="H14" s="20"/>
    </row>
    <row r="15" spans="1:8">
      <c r="A15" s="11" t="s">
        <v>2094</v>
      </c>
      <c r="B15" s="11" t="s">
        <v>2095</v>
      </c>
      <c r="C15" s="11" t="s">
        <v>1625</v>
      </c>
      <c r="D15" s="11" t="s">
        <v>2096</v>
      </c>
      <c r="E15" s="11" t="s">
        <v>37</v>
      </c>
      <c r="F15" s="11" t="s">
        <v>2097</v>
      </c>
      <c r="G15" s="11" t="s">
        <v>2098</v>
      </c>
      <c r="H15" s="20"/>
    </row>
    <row r="16" spans="1:8">
      <c r="A16" s="11" t="s">
        <v>2099</v>
      </c>
      <c r="B16" s="11" t="s">
        <v>2100</v>
      </c>
      <c r="C16" s="11" t="s">
        <v>1586</v>
      </c>
      <c r="D16" s="11"/>
      <c r="E16" s="11" t="s">
        <v>1567</v>
      </c>
      <c r="F16" s="11" t="s">
        <v>2101</v>
      </c>
      <c r="G16" s="11" t="s">
        <v>2098</v>
      </c>
      <c r="H16" s="20"/>
    </row>
    <row r="17" spans="1:8">
      <c r="A17" s="11" t="s">
        <v>2102</v>
      </c>
      <c r="B17" s="11" t="s">
        <v>2059</v>
      </c>
      <c r="C17" s="11" t="s">
        <v>1625</v>
      </c>
      <c r="D17" s="11"/>
      <c r="E17" s="11" t="s">
        <v>59</v>
      </c>
      <c r="F17" s="11" t="s">
        <v>2103</v>
      </c>
      <c r="G17" s="11" t="s">
        <v>2104</v>
      </c>
      <c r="H17" s="20"/>
    </row>
    <row r="18" spans="1:8">
      <c r="A18" s="11" t="s">
        <v>2105</v>
      </c>
      <c r="B18" s="11" t="s">
        <v>2059</v>
      </c>
      <c r="C18" s="11" t="s">
        <v>1625</v>
      </c>
      <c r="D18" s="11" t="s">
        <v>2106</v>
      </c>
      <c r="E18" s="11" t="s">
        <v>57</v>
      </c>
      <c r="F18" s="11" t="s">
        <v>2107</v>
      </c>
      <c r="G18" s="11" t="s">
        <v>2104</v>
      </c>
      <c r="H18" s="20"/>
    </row>
    <row r="19" spans="1:8">
      <c r="A19" s="11" t="s">
        <v>2108</v>
      </c>
      <c r="B19" s="11" t="s">
        <v>2059</v>
      </c>
      <c r="C19" s="11" t="s">
        <v>1625</v>
      </c>
      <c r="D19" s="11" t="s">
        <v>2109</v>
      </c>
      <c r="E19" s="11" t="s">
        <v>59</v>
      </c>
      <c r="F19" s="11" t="s">
        <v>2110</v>
      </c>
      <c r="G19" s="11" t="s">
        <v>306</v>
      </c>
      <c r="H19" s="20"/>
    </row>
    <row r="20" spans="1:8">
      <c r="A20" s="11" t="s">
        <v>2111</v>
      </c>
      <c r="B20" s="11" t="s">
        <v>2059</v>
      </c>
      <c r="C20" s="11" t="s">
        <v>1625</v>
      </c>
      <c r="D20" s="11" t="s">
        <v>2112</v>
      </c>
      <c r="E20" s="11" t="s">
        <v>59</v>
      </c>
      <c r="F20" s="11" t="s">
        <v>2113</v>
      </c>
      <c r="G20" s="11" t="s">
        <v>2059</v>
      </c>
      <c r="H20" s="20"/>
    </row>
    <row r="21" spans="1:8">
      <c r="A21" s="11" t="s">
        <v>2114</v>
      </c>
      <c r="B21" s="11" t="s">
        <v>2059</v>
      </c>
      <c r="C21" s="11" t="s">
        <v>1625</v>
      </c>
      <c r="D21" s="11" t="s">
        <v>2115</v>
      </c>
      <c r="E21" s="11" t="s">
        <v>57</v>
      </c>
      <c r="F21" s="11" t="s">
        <v>2116</v>
      </c>
      <c r="G21" s="11" t="s">
        <v>2093</v>
      </c>
      <c r="H21" s="20"/>
    </row>
    <row r="22" spans="1:8">
      <c r="A22" s="11" t="s">
        <v>2117</v>
      </c>
      <c r="B22" s="11" t="s">
        <v>2059</v>
      </c>
      <c r="C22" s="11" t="s">
        <v>1625</v>
      </c>
      <c r="D22" s="11" t="s">
        <v>2118</v>
      </c>
      <c r="E22" s="11" t="s">
        <v>57</v>
      </c>
      <c r="F22" s="11" t="s">
        <v>2119</v>
      </c>
      <c r="G22" s="11" t="s">
        <v>2079</v>
      </c>
      <c r="H22" s="20"/>
    </row>
    <row r="23" spans="1:8">
      <c r="A23" s="11" t="s">
        <v>2120</v>
      </c>
      <c r="B23" s="11" t="s">
        <v>2059</v>
      </c>
      <c r="C23" s="11" t="s">
        <v>1625</v>
      </c>
      <c r="D23" s="11" t="s">
        <v>2121</v>
      </c>
      <c r="E23" s="11" t="s">
        <v>57</v>
      </c>
      <c r="F23" s="11" t="s">
        <v>2122</v>
      </c>
      <c r="G23" s="11" t="s">
        <v>2079</v>
      </c>
      <c r="H23" s="20"/>
    </row>
    <row r="24" spans="1:8">
      <c r="A24" s="11" t="s">
        <v>2123</v>
      </c>
      <c r="B24" s="11" t="s">
        <v>2059</v>
      </c>
      <c r="C24" s="11" t="s">
        <v>1625</v>
      </c>
      <c r="D24" s="11" t="s">
        <v>2124</v>
      </c>
      <c r="E24" s="11" t="s">
        <v>58</v>
      </c>
      <c r="F24" s="11" t="s">
        <v>2125</v>
      </c>
      <c r="G24" s="11" t="s">
        <v>1777</v>
      </c>
      <c r="H24" s="20"/>
    </row>
    <row r="25" spans="1:8">
      <c r="A25" s="11" t="s">
        <v>2126</v>
      </c>
      <c r="B25" s="11" t="s">
        <v>2059</v>
      </c>
      <c r="C25" s="11" t="s">
        <v>1625</v>
      </c>
      <c r="D25" s="11" t="s">
        <v>2127</v>
      </c>
      <c r="E25" s="11" t="s">
        <v>58</v>
      </c>
      <c r="F25" s="11" t="s">
        <v>2128</v>
      </c>
      <c r="G25" s="11" t="s">
        <v>2129</v>
      </c>
      <c r="H25" s="20"/>
    </row>
    <row r="26" spans="1:8">
      <c r="A26" s="11" t="s">
        <v>2130</v>
      </c>
      <c r="B26" s="11" t="s">
        <v>2059</v>
      </c>
      <c r="C26" s="11" t="s">
        <v>1625</v>
      </c>
      <c r="D26" s="11" t="s">
        <v>2131</v>
      </c>
      <c r="E26" s="11" t="s">
        <v>58</v>
      </c>
      <c r="F26" s="11" t="s">
        <v>2132</v>
      </c>
      <c r="G26" s="11" t="s">
        <v>1777</v>
      </c>
      <c r="H26" s="20"/>
    </row>
    <row r="27" spans="1:8">
      <c r="A27" s="11" t="s">
        <v>2133</v>
      </c>
      <c r="B27" s="11" t="s">
        <v>2059</v>
      </c>
      <c r="C27" s="11" t="s">
        <v>1625</v>
      </c>
      <c r="D27" s="11" t="s">
        <v>2134</v>
      </c>
      <c r="E27" s="11" t="s">
        <v>58</v>
      </c>
      <c r="F27" s="11" t="s">
        <v>2135</v>
      </c>
      <c r="G27" s="11" t="s">
        <v>1777</v>
      </c>
      <c r="H27" s="20"/>
    </row>
    <row r="28" spans="1:8">
      <c r="A28" s="11" t="s">
        <v>2136</v>
      </c>
      <c r="B28" s="11" t="s">
        <v>2059</v>
      </c>
      <c r="C28" s="11" t="s">
        <v>1625</v>
      </c>
      <c r="D28" s="11" t="s">
        <v>2137</v>
      </c>
      <c r="E28" s="11" t="s">
        <v>57</v>
      </c>
      <c r="F28" s="11" t="s">
        <v>2138</v>
      </c>
      <c r="G28" s="11" t="s">
        <v>487</v>
      </c>
      <c r="H28" s="20"/>
    </row>
    <row r="29" spans="1:8">
      <c r="A29" s="11" t="s">
        <v>2139</v>
      </c>
      <c r="B29" s="11" t="s">
        <v>2059</v>
      </c>
      <c r="C29" s="11" t="s">
        <v>1625</v>
      </c>
      <c r="D29" s="11" t="s">
        <v>2140</v>
      </c>
      <c r="E29" s="11" t="s">
        <v>58</v>
      </c>
      <c r="F29" s="11" t="s">
        <v>2141</v>
      </c>
      <c r="G29" s="11" t="s">
        <v>487</v>
      </c>
      <c r="H29" s="20"/>
    </row>
    <row r="30" spans="1:8">
      <c r="A30" s="11" t="s">
        <v>2142</v>
      </c>
      <c r="B30" s="11" t="s">
        <v>2059</v>
      </c>
      <c r="C30" s="11" t="s">
        <v>1625</v>
      </c>
      <c r="D30" s="11" t="s">
        <v>2143</v>
      </c>
      <c r="E30" s="11" t="s">
        <v>1567</v>
      </c>
      <c r="F30" s="11" t="s">
        <v>2144</v>
      </c>
      <c r="G30" s="11" t="s">
        <v>2145</v>
      </c>
      <c r="H30" s="20"/>
    </row>
    <row r="31" spans="1:8">
      <c r="A31" s="11" t="s">
        <v>2146</v>
      </c>
      <c r="B31" s="11" t="s">
        <v>2100</v>
      </c>
      <c r="C31" s="11" t="s">
        <v>1586</v>
      </c>
      <c r="D31" s="11"/>
      <c r="E31" s="11" t="s">
        <v>1567</v>
      </c>
      <c r="F31" s="11" t="s">
        <v>2147</v>
      </c>
      <c r="G31" s="11" t="s">
        <v>2145</v>
      </c>
      <c r="H31" s="20"/>
    </row>
    <row r="32" spans="1:8">
      <c r="A32" s="11" t="s">
        <v>2148</v>
      </c>
      <c r="B32" s="11" t="s">
        <v>2100</v>
      </c>
      <c r="C32" s="11" t="s">
        <v>1586</v>
      </c>
      <c r="D32" s="11"/>
      <c r="E32" s="11" t="s">
        <v>1791</v>
      </c>
      <c r="F32" s="11" t="s">
        <v>2149</v>
      </c>
      <c r="G32" s="11" t="s">
        <v>2150</v>
      </c>
      <c r="H32" s="20"/>
    </row>
    <row r="33" spans="1:8">
      <c r="A33" s="11" t="s">
        <v>2151</v>
      </c>
      <c r="B33" s="11" t="s">
        <v>2059</v>
      </c>
      <c r="C33" s="11" t="s">
        <v>1625</v>
      </c>
      <c r="D33" s="11" t="s">
        <v>2152</v>
      </c>
      <c r="E33" s="11" t="s">
        <v>1791</v>
      </c>
      <c r="F33" s="11" t="s">
        <v>2153</v>
      </c>
      <c r="G33" s="11" t="s">
        <v>2150</v>
      </c>
      <c r="H33" s="20"/>
    </row>
    <row r="34" spans="1:8">
      <c r="A34" s="11" t="s">
        <v>2154</v>
      </c>
      <c r="B34" s="11" t="s">
        <v>2155</v>
      </c>
      <c r="C34" s="11" t="s">
        <v>1625</v>
      </c>
      <c r="D34" s="11" t="s">
        <v>2156</v>
      </c>
      <c r="E34" s="11" t="s">
        <v>59</v>
      </c>
      <c r="F34" s="11" t="s">
        <v>2157</v>
      </c>
      <c r="G34" s="11" t="s">
        <v>2158</v>
      </c>
      <c r="H34" s="20"/>
    </row>
    <row r="35" spans="1:8">
      <c r="A35" s="11" t="s">
        <v>2159</v>
      </c>
      <c r="B35" s="11" t="s">
        <v>2155</v>
      </c>
      <c r="C35" s="11" t="s">
        <v>1625</v>
      </c>
      <c r="D35" s="11" t="s">
        <v>2160</v>
      </c>
      <c r="E35" s="11" t="s">
        <v>59</v>
      </c>
      <c r="F35" s="11" t="s">
        <v>2161</v>
      </c>
      <c r="G35" s="11" t="s">
        <v>2162</v>
      </c>
      <c r="H35" s="20"/>
    </row>
    <row r="36" spans="1:8">
      <c r="A36" s="11" t="s">
        <v>2163</v>
      </c>
      <c r="B36" s="11" t="s">
        <v>2164</v>
      </c>
      <c r="C36" s="11" t="s">
        <v>1625</v>
      </c>
      <c r="D36" s="11" t="s">
        <v>2165</v>
      </c>
      <c r="E36" s="11" t="s">
        <v>56</v>
      </c>
      <c r="F36" s="11" t="s">
        <v>2166</v>
      </c>
      <c r="G36" s="11" t="s">
        <v>2167</v>
      </c>
      <c r="H36" s="20"/>
    </row>
    <row r="37" spans="1:8">
      <c r="A37" s="11" t="s">
        <v>2168</v>
      </c>
      <c r="B37" s="11" t="s">
        <v>2164</v>
      </c>
      <c r="C37" s="11" t="s">
        <v>1625</v>
      </c>
      <c r="D37" s="11" t="s">
        <v>2169</v>
      </c>
      <c r="E37" s="11" t="s">
        <v>56</v>
      </c>
      <c r="F37" s="11" t="s">
        <v>2170</v>
      </c>
      <c r="G37" s="11" t="s">
        <v>2167</v>
      </c>
      <c r="H37" s="20"/>
    </row>
    <row r="38" spans="1:8">
      <c r="A38" s="11" t="s">
        <v>2171</v>
      </c>
      <c r="B38" s="11" t="s">
        <v>2164</v>
      </c>
      <c r="C38" s="11" t="s">
        <v>1625</v>
      </c>
      <c r="D38" s="11" t="s">
        <v>2172</v>
      </c>
      <c r="E38" s="11" t="s">
        <v>56</v>
      </c>
      <c r="F38" s="11" t="s">
        <v>2173</v>
      </c>
      <c r="G38" s="11" t="s">
        <v>2167</v>
      </c>
      <c r="H38" s="20"/>
    </row>
  </sheetData>
  <mergeCells count="2">
    <mergeCell ref="A1:H1"/>
    <mergeCell ref="A2:H2"/>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56" t="s">
        <v>2174</v>
      </c>
      <c r="B1" s="56"/>
      <c r="C1" s="56"/>
      <c r="D1" s="56"/>
      <c r="E1" s="56"/>
      <c r="F1" s="56"/>
    </row>
    <row r="2" spans="1:6" ht="31.95" customHeight="1">
      <c r="A2" s="57" t="s">
        <v>2175</v>
      </c>
      <c r="B2" s="57"/>
      <c r="C2" s="57"/>
      <c r="D2" s="57"/>
      <c r="E2" s="57"/>
      <c r="F2" s="57"/>
    </row>
    <row r="5" spans="1:6" ht="28.05" customHeight="1">
      <c r="A5" s="1" t="s">
        <v>2176</v>
      </c>
      <c r="B5" s="2" t="s">
        <v>2177</v>
      </c>
      <c r="C5" s="2" t="s">
        <v>2178</v>
      </c>
      <c r="D5" s="2" t="s">
        <v>2179</v>
      </c>
      <c r="E5" s="2" t="s">
        <v>2180</v>
      </c>
      <c r="F5" s="3" t="s">
        <v>2181</v>
      </c>
    </row>
    <row r="6" spans="1:6" ht="22.8">
      <c r="A6" s="10" t="s">
        <v>2182</v>
      </c>
      <c r="B6" s="10" t="s">
        <v>2183</v>
      </c>
      <c r="C6" s="10" t="s">
        <v>2184</v>
      </c>
      <c r="D6" s="10" t="s">
        <v>2185</v>
      </c>
      <c r="E6" s="10" t="s">
        <v>2186</v>
      </c>
      <c r="F6" s="10" t="s">
        <v>2187</v>
      </c>
    </row>
    <row r="7" spans="1:6" ht="22.8">
      <c r="A7" s="11" t="s">
        <v>2188</v>
      </c>
      <c r="B7" s="11" t="s">
        <v>2189</v>
      </c>
      <c r="C7" s="11" t="s">
        <v>2190</v>
      </c>
      <c r="D7" s="11" t="s">
        <v>2191</v>
      </c>
      <c r="E7" s="11" t="s">
        <v>2192</v>
      </c>
      <c r="F7" s="11" t="s">
        <v>2187</v>
      </c>
    </row>
    <row r="8" spans="1:6" ht="45.6">
      <c r="A8" s="11" t="s">
        <v>2193</v>
      </c>
      <c r="B8" s="11" t="s">
        <v>2194</v>
      </c>
      <c r="C8" s="11" t="s">
        <v>2195</v>
      </c>
      <c r="D8" s="11" t="s">
        <v>2196</v>
      </c>
      <c r="E8" s="11" t="s">
        <v>2197</v>
      </c>
      <c r="F8" s="11" t="s">
        <v>2198</v>
      </c>
    </row>
    <row r="11" spans="1:6" ht="46.05" customHeight="1">
      <c r="A11" s="116" t="s">
        <v>2199</v>
      </c>
      <c r="B11" s="117"/>
      <c r="C11" s="117"/>
      <c r="D11" s="117"/>
      <c r="E11" s="117"/>
      <c r="F11" s="118"/>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19" t="s">
        <v>2200</v>
      </c>
      <c r="B1" s="119"/>
      <c r="C1" s="119"/>
      <c r="D1" s="119"/>
      <c r="E1" s="119"/>
      <c r="F1" s="119"/>
      <c r="G1" s="119"/>
      <c r="H1" s="119"/>
    </row>
    <row r="2" spans="1:8" ht="36" customHeight="1">
      <c r="A2" s="120" t="s">
        <v>2201</v>
      </c>
      <c r="B2" s="120"/>
      <c r="C2" s="120"/>
      <c r="D2" s="120"/>
      <c r="E2" s="120"/>
      <c r="F2" s="120"/>
      <c r="G2" s="120"/>
      <c r="H2" s="120"/>
    </row>
    <row r="3" spans="1:8" ht="15" customHeight="1">
      <c r="A3" s="29"/>
      <c r="B3" s="29"/>
      <c r="C3" s="29"/>
      <c r="D3" s="29"/>
      <c r="E3" s="29"/>
      <c r="F3" s="29"/>
      <c r="G3" s="29"/>
      <c r="H3" s="29"/>
    </row>
    <row r="4" spans="1:8" ht="15" customHeight="1">
      <c r="A4" s="121" t="s">
        <v>2</v>
      </c>
      <c r="B4" s="121"/>
      <c r="C4" s="121"/>
      <c r="D4" s="121"/>
      <c r="E4" s="121"/>
      <c r="F4" s="121"/>
      <c r="G4" s="121"/>
      <c r="H4" s="121"/>
    </row>
    <row r="5" spans="1:8" ht="118.8" customHeight="1">
      <c r="A5" s="36" t="s">
        <v>2202</v>
      </c>
      <c r="B5" s="37" t="s">
        <v>2203</v>
      </c>
      <c r="C5" s="37" t="s">
        <v>2204</v>
      </c>
      <c r="D5" s="37" t="s">
        <v>2205</v>
      </c>
      <c r="E5" s="37" t="s">
        <v>2206</v>
      </c>
      <c r="F5" s="37" t="s">
        <v>2207</v>
      </c>
      <c r="G5" s="37" t="s">
        <v>2208</v>
      </c>
      <c r="H5" s="38" t="s">
        <v>2209</v>
      </c>
    </row>
    <row r="6" spans="1:8" ht="105.6" customHeight="1">
      <c r="A6" s="39" t="s">
        <v>2210</v>
      </c>
      <c r="B6" s="40" t="s">
        <v>2211</v>
      </c>
      <c r="C6" s="40" t="s">
        <v>2212</v>
      </c>
      <c r="D6" s="40" t="s">
        <v>2213</v>
      </c>
      <c r="E6" s="40" t="s">
        <v>2214</v>
      </c>
      <c r="F6" s="40" t="s">
        <v>2215</v>
      </c>
      <c r="G6" s="40" t="s">
        <v>2216</v>
      </c>
      <c r="H6" s="41" t="s">
        <v>2217</v>
      </c>
    </row>
    <row r="7" spans="1:8" ht="132" customHeight="1">
      <c r="A7" s="39" t="s">
        <v>2131</v>
      </c>
      <c r="B7" s="40" t="s">
        <v>2218</v>
      </c>
      <c r="C7" s="40" t="s">
        <v>22</v>
      </c>
      <c r="D7" s="40" t="s">
        <v>2219</v>
      </c>
      <c r="E7" s="40" t="s">
        <v>2220</v>
      </c>
      <c r="F7" s="40" t="s">
        <v>2221</v>
      </c>
      <c r="G7" s="40" t="s">
        <v>2222</v>
      </c>
      <c r="H7" s="41" t="s">
        <v>2223</v>
      </c>
    </row>
    <row r="8" spans="1:8" ht="118.8" customHeight="1">
      <c r="A8" s="39" t="s">
        <v>2224</v>
      </c>
      <c r="B8" s="40" t="s">
        <v>2225</v>
      </c>
      <c r="C8" s="40" t="s">
        <v>2226</v>
      </c>
      <c r="D8" s="40" t="s">
        <v>2227</v>
      </c>
      <c r="E8" s="40" t="s">
        <v>2228</v>
      </c>
      <c r="F8" s="40" t="s">
        <v>2229</v>
      </c>
      <c r="G8" s="40" t="s">
        <v>2230</v>
      </c>
      <c r="H8" s="41" t="s">
        <v>2231</v>
      </c>
    </row>
    <row r="9" spans="1:8" ht="118.8" customHeight="1">
      <c r="A9" s="39" t="s">
        <v>2115</v>
      </c>
      <c r="B9" s="40" t="s">
        <v>2232</v>
      </c>
      <c r="C9" s="40" t="s">
        <v>2233</v>
      </c>
      <c r="D9" s="40" t="s">
        <v>2234</v>
      </c>
      <c r="E9" s="40" t="s">
        <v>2235</v>
      </c>
      <c r="F9" s="40" t="s">
        <v>2236</v>
      </c>
      <c r="G9" s="40" t="s">
        <v>2237</v>
      </c>
      <c r="H9" s="41" t="s">
        <v>2238</v>
      </c>
    </row>
    <row r="10" spans="1:8" ht="132" customHeight="1">
      <c r="A10" s="42" t="s">
        <v>2124</v>
      </c>
      <c r="B10" s="43" t="s">
        <v>2239</v>
      </c>
      <c r="C10" s="43" t="s">
        <v>2240</v>
      </c>
      <c r="D10" s="43" t="s">
        <v>2241</v>
      </c>
      <c r="E10" s="43" t="s">
        <v>241</v>
      </c>
      <c r="F10" s="43" t="s">
        <v>2242</v>
      </c>
      <c r="G10" s="43" t="s">
        <v>2243</v>
      </c>
      <c r="H10" s="44" t="s">
        <v>2244</v>
      </c>
    </row>
    <row r="11" spans="1:8" ht="15" customHeight="1">
      <c r="A11" s="29"/>
      <c r="B11" s="29"/>
      <c r="C11" s="29"/>
      <c r="D11" s="29"/>
      <c r="E11" s="29"/>
      <c r="F11" s="29"/>
      <c r="G11" s="29"/>
      <c r="H11" s="29"/>
    </row>
    <row r="12" spans="1:8" ht="39.6" customHeight="1">
      <c r="A12" s="29" t="s">
        <v>53</v>
      </c>
      <c r="B12" s="29" t="s">
        <v>2245</v>
      </c>
      <c r="C12" s="29" t="s">
        <v>2246</v>
      </c>
      <c r="D12" s="29" t="s">
        <v>2247</v>
      </c>
      <c r="E12" s="29" t="s">
        <v>2248</v>
      </c>
      <c r="F12" s="29" t="s">
        <v>2249</v>
      </c>
      <c r="G12" s="29" t="s">
        <v>2250</v>
      </c>
      <c r="H12" s="29" t="s">
        <v>2251</v>
      </c>
    </row>
    <row r="13" spans="1:8" ht="145.19999999999999" customHeight="1">
      <c r="A13" s="29" t="s">
        <v>56</v>
      </c>
      <c r="B13" s="29" t="s">
        <v>2252</v>
      </c>
      <c r="C13" s="29" t="s">
        <v>2253</v>
      </c>
      <c r="D13" s="29" t="s">
        <v>2254</v>
      </c>
      <c r="E13" s="29" t="s">
        <v>2255</v>
      </c>
      <c r="F13" s="29" t="s">
        <v>2256</v>
      </c>
      <c r="G13" s="29" t="s">
        <v>237</v>
      </c>
      <c r="H13" s="29" t="str">
        <f>IF(COUNTIFS('02 Master Plan'!$B$6:$B$120,A13,'02 Master Plan'!$D$6:$D$120,"MUST",'02 Master Plan'!$S$6:$S$120,"&lt;&gt;Done")=0,"Ready to teach","In progress")</f>
        <v>Ready to teach</v>
      </c>
    </row>
    <row r="14" spans="1:8" ht="145.19999999999999" customHeight="1">
      <c r="A14" s="29" t="s">
        <v>37</v>
      </c>
      <c r="B14" s="29" t="s">
        <v>2257</v>
      </c>
      <c r="C14" s="29" t="s">
        <v>2258</v>
      </c>
      <c r="D14" s="29" t="s">
        <v>2259</v>
      </c>
      <c r="E14" s="29" t="s">
        <v>2260</v>
      </c>
      <c r="F14" s="29" t="s">
        <v>2261</v>
      </c>
      <c r="G14" s="29" t="s">
        <v>386</v>
      </c>
      <c r="H14" s="29" t="str">
        <f>IF(COUNTIFS('02 Master Plan'!$B$6:$B$120,A14,'02 Master Plan'!$D$6:$D$120,"MUST",'02 Master Plan'!$S$6:$S$120,"&lt;&gt;Done")=0,"Ready to teach","In progress")</f>
        <v>Ready to teach</v>
      </c>
    </row>
    <row r="15" spans="1:8" ht="118.8" customHeight="1">
      <c r="A15" s="29" t="s">
        <v>57</v>
      </c>
      <c r="B15" s="29" t="s">
        <v>2262</v>
      </c>
      <c r="C15" s="29" t="s">
        <v>2263</v>
      </c>
      <c r="D15" s="29" t="s">
        <v>2264</v>
      </c>
      <c r="E15" s="29" t="s">
        <v>2265</v>
      </c>
      <c r="F15" s="29" t="s">
        <v>2266</v>
      </c>
      <c r="G15" s="29" t="s">
        <v>531</v>
      </c>
      <c r="H15" s="29" t="str">
        <f>IF(COUNTIFS('02 Master Plan'!$B$6:$B$120,A15,'02 Master Plan'!$D$6:$D$120,"MUST",'02 Master Plan'!$S$6:$S$120,"&lt;&gt;Done")=0,"Ready to teach","In progress")</f>
        <v>In progress</v>
      </c>
    </row>
    <row r="16" spans="1:8" ht="118.8" customHeight="1">
      <c r="A16" s="29" t="s">
        <v>58</v>
      </c>
      <c r="B16" s="29" t="s">
        <v>2267</v>
      </c>
      <c r="C16" s="29" t="s">
        <v>2268</v>
      </c>
      <c r="D16" s="29" t="s">
        <v>2269</v>
      </c>
      <c r="E16" s="29" t="s">
        <v>2270</v>
      </c>
      <c r="F16" s="29" t="s">
        <v>2271</v>
      </c>
      <c r="G16" s="29" t="s">
        <v>672</v>
      </c>
      <c r="H16" s="29" t="str">
        <f>IF(COUNTIFS('02 Master Plan'!$B$6:$B$120,A16,'02 Master Plan'!$D$6:$D$120,"MUST",'02 Master Plan'!$S$6:$S$120,"&lt;&gt;Done")=0,"Ready to teach","In progress")</f>
        <v>In progress</v>
      </c>
    </row>
    <row r="17" spans="1:8" ht="118.8" customHeight="1">
      <c r="A17" s="29" t="s">
        <v>59</v>
      </c>
      <c r="B17" s="29" t="s">
        <v>2272</v>
      </c>
      <c r="C17" s="29" t="s">
        <v>2273</v>
      </c>
      <c r="D17" s="29" t="s">
        <v>2274</v>
      </c>
      <c r="E17" s="29" t="s">
        <v>2275</v>
      </c>
      <c r="F17" s="29" t="s">
        <v>2276</v>
      </c>
      <c r="G17" s="29" t="s">
        <v>826</v>
      </c>
      <c r="H17" s="29" t="str">
        <f>IF(COUNTIFS('02 Master Plan'!$B$6:$B$120,A17,'02 Master Plan'!$D$6:$D$120,"MUST",'02 Master Plan'!$S$6:$S$120,"&lt;&gt;Done")=0,"Ready to teach","In progress")</f>
        <v>In progress</v>
      </c>
    </row>
    <row r="18" spans="1:8" ht="132" customHeight="1">
      <c r="A18" s="29" t="s">
        <v>60</v>
      </c>
      <c r="B18" s="29" t="s">
        <v>2277</v>
      </c>
      <c r="C18" s="29" t="s">
        <v>2278</v>
      </c>
      <c r="D18" s="29" t="s">
        <v>2279</v>
      </c>
      <c r="E18" s="29" t="s">
        <v>2280</v>
      </c>
      <c r="F18" s="29" t="s">
        <v>2281</v>
      </c>
      <c r="G18" s="29" t="s">
        <v>981</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1" t="s">
        <v>2282</v>
      </c>
      <c r="B20" s="121"/>
      <c r="C20" s="121"/>
      <c r="D20" s="121"/>
      <c r="E20" s="121"/>
      <c r="F20" s="121"/>
      <c r="G20" s="121"/>
      <c r="H20" s="121"/>
    </row>
    <row r="21" spans="1:8" ht="118.8" customHeight="1">
      <c r="A21" s="45" t="s">
        <v>2283</v>
      </c>
      <c r="B21" s="46" t="s">
        <v>2284</v>
      </c>
      <c r="C21" s="29"/>
      <c r="D21" s="29"/>
      <c r="E21" s="29"/>
      <c r="F21" s="29"/>
      <c r="G21" s="29"/>
      <c r="H21" s="29"/>
    </row>
    <row r="22" spans="1:8" ht="132" customHeight="1">
      <c r="A22" s="47" t="s">
        <v>2285</v>
      </c>
      <c r="B22" s="48" t="s">
        <v>2286</v>
      </c>
      <c r="C22" s="29"/>
      <c r="D22" s="29"/>
      <c r="E22" s="29"/>
      <c r="F22" s="29"/>
      <c r="G22" s="29"/>
      <c r="H22" s="29"/>
    </row>
    <row r="23" spans="1:8" ht="132" customHeight="1">
      <c r="A23" s="47" t="s">
        <v>2287</v>
      </c>
      <c r="B23" s="48" t="s">
        <v>2288</v>
      </c>
      <c r="C23" s="29"/>
      <c r="D23" s="29"/>
      <c r="E23" s="29"/>
      <c r="F23" s="29"/>
      <c r="G23" s="29"/>
      <c r="H23" s="29"/>
    </row>
    <row r="24" spans="1:8" ht="132" customHeight="1">
      <c r="A24" s="47" t="s">
        <v>1631</v>
      </c>
      <c r="B24" s="48" t="s">
        <v>2289</v>
      </c>
      <c r="C24" s="29"/>
      <c r="D24" s="29"/>
      <c r="E24" s="29"/>
      <c r="F24" s="29"/>
      <c r="G24" s="29"/>
      <c r="H24" s="29"/>
    </row>
    <row r="25" spans="1:8" ht="132" customHeight="1">
      <c r="A25" s="47" t="s">
        <v>2290</v>
      </c>
      <c r="B25" s="48" t="s">
        <v>2291</v>
      </c>
      <c r="C25" s="29"/>
      <c r="D25" s="29"/>
      <c r="E25" s="29"/>
      <c r="F25" s="29"/>
      <c r="G25" s="29"/>
      <c r="H25" s="29"/>
    </row>
    <row r="26" spans="1:8" ht="132" customHeight="1">
      <c r="A26" s="49" t="s">
        <v>2292</v>
      </c>
      <c r="B26" s="50" t="s">
        <v>2293</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modified xsi:type="dcterms:W3CDTF">2026-08-25T16:01:58Z</dcterms:modified>
</cp:coreProperties>
</file>