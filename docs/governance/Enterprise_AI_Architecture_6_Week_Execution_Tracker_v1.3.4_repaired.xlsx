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2782F24F-0ADF-4019-A99C-A64401C53F3B}" xr6:coauthVersionLast="47" xr6:coauthVersionMax="47" xr10:uidLastSave="{00000000-0000-0000-0000-000000000000}"/>
  <bookViews>
    <workbookView xWindow="-108" yWindow="-108" windowWidth="23256" windowHeight="13896" tabRatio="788" firstSheet="2" activeTab="4"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<sst xmlns="http://schemas.openxmlformats.org/spreadsheetml/2006/main" count="5453" uniqueCount="2610">
  <si>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</si>
  <si>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</si>
  <si>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</si>
  <si>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</si>
  <si>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</si>
  <si>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</si>
  <si>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</si>
  <si>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</si>
  <si>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</si>
  <si>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</si>
  <si>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</si>
  <si>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</si>
  <si>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</si>
  <si>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</si>
  <si>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</si>
  <si>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</si>
  <si>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</si>
  <si>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</si>
  <si>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</si>
  <si>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</si>
  <si>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</si>
  <si>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</si>
  <si>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</si>
  <si>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</si>
  <si>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</si>
  <si>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</si>
  <si>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</si>
  <si>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</si>
  <si>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</si>
  <si>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</si>
  <si>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</si>
  <si>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</si>
  <si>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</si>
  <si>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</si>
  <si>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</si>
  <si>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</si>
  <si>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</si>
  <si>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</si>
  <si>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</si>
  <si>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</si>
  <si>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</si>
  <si>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</si>
  <si>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</si>
  <si>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</si>
  <si>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</si>
  <si>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</si>
  <si>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</si>
  <si>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</si>
  <si>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</si>
  <si>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</si>
  <si>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</si>
  <si>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</si>
  <si>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</si>
  <si>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</si>
  <si>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</si>
  <si>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</si>
  <si>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</si>
  <si>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</si>
  <si>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</si>
  <si>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</si>
  <si>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</si>
  <si>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</si>
  <si>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</si>
  <si>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</si>
  <si>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</si>
  <si>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</si>
  <si>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</si>
  <si>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</si>
  <si>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</si>
  <si>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</si>
  <si>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</si>
  <si>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</si>
  <si>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</si>
  <si>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</si>
  <si>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</si>
  <si>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</si>
  <si>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</si>
  <si>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</si>
  <si>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</si>
  <si>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</si>
  <si>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</si>
  <si>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</si>
  <si>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</si>
  <si>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</si>
  <si>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</si>
  <si>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</si>
  <si>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</si>
  <si>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</si>
  <si>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</si>
  <si>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</si>
  <si>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</si>
  <si>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</si>
  <si>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</si>
  <si>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</si>
  <si>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</si>
  <si>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</si>
  <si>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</si>
  <si>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</si>
  <si>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</si>
  <si>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</si>
  <si>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</si>
  <si>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</si>
  <si>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</si>
  <si>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</si>
  <si>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</si>
  <si>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</si>
  <si>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</si>
  <si>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</si>
  <si>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</si>
  <si>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</si>
  <si>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</si>
  <si>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</si>
  <si>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</si>
  <si>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</si>
  <si>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</si>
  <si>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</si>
  <si>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</si>
  <si>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</si>
  <si>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</si>
  <si>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</si>
  <si>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</si>
  <si>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</si>
  <si>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</si>
  <si>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</si>
  <si>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</si>
  <si>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</si>
  <si>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</si>
  <si>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</si>
  <si>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</si>
  <si>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</si>
  <si>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</si>
  <si>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</si>
  <si>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</si>
  <si>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</si>
  <si>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</si>
  <si>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</si>
  <si>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</si>
  <si>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</si>
  <si>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</si>
  <si>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</si>
  <si>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</si>
  <si>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</si>
  <si>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</si>
  <si>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</si>
  <si>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</si>
  <si>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</si>
  <si>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</si>
  <si>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</si>
  <si>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</si>
  <si>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</si>
  <si>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</si>
  <si>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</si>
  <si>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</si>
  <si>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</si>
  <si>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</si>
  <si>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</si>
  <si>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</si>
  <si>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</si>
  <si>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</si>
  <si>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</si>
  <si>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</si>
  <si>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</si>
  <si>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</si>
  <si>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</si>
  <si>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</si>
  <si>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</si>
  <si>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</si>
  <si>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</si>
  <si>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</si>
  <si>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</si>
  <si>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</si>
  <si>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</si>
  <si>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</si>
  <si>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</si>
  <si>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</si>
  <si>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</si>
  <si>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</si>
  <si>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</si>
  <si>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</si>
  <si>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</si>
  <si>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</si>
  <si>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</si>
  <si>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</si>
  <si>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</si>
  <si>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</si>
  <si>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</si>
  <si>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</si>
  <si>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</si>
  <si>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</si>
  <si>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</si>
  <si>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</si>
  <si>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</si>
  <si>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</si>
  <si>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</si>
  <si>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</si>
  <si>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</si>
  <si>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</si>
  <si>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</si>
  <si>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</si>
  <si>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</si>
  <si>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</si>
  <si>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</si>
  <si>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</si>
  <si>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</si>
  <si>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</si>
  <si>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</si>
  <si>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</si>
  <si>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</si>
  <si>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</si>
  <si>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</si>
  <si>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</si>
  <si>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</si>
  <si>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</si>
  <si>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</si>
  <si>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</si>
  <si>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</si>
  <si>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</si>
  <si>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</si>
  <si>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</si>
  <si>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</si>
  <si>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</si>
  <si>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</si>
  <si>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</si>
  <si>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</si>
  <si>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</si>
  <si>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</si>
  <si>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</si>
  <si>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</si>
  <si>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</si>
  <si>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</si>
  <si>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</si>
  <si>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</si>
  <si>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</si>
  <si>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</si>
  <si>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</si>
  <si>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</si>
  <si>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</si>
  <si>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</si>
  <si>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</si>
  <si>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</si>
  <si>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</si>
  <si>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</si>
  <si>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</si>
  <si>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</si>
  <si>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</si>
  <si>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</si>
  <si>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</si>
  <si>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</si>
  <si>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</si>
  <si>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</si>
  <si>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</si>
  <si>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</si>
  <si>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</si>
  <si>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</si>
  <si>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</si>
  <si>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</si>
  <si>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</si>
  <si>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</si>
  <si>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</si>
  <si>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</si>
  <si>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</si>
  <si>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</si>
  <si>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</si>
  <si>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</si>
  <si>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</si>
  <si>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</si>
  <si>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</si>
  <si>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</si>
  <si>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</si>
  <si>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</si>
  <si>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</si>
  <si>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</si>
  <si>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</si>
  <si>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</si>
  <si>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</si>
  <si>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</si>
  <si>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</si>
  <si>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</si>
  <si>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</si>
  <si>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</si>
  <si>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</si>
  <si>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</si>
  <si>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</si>
  <si>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</si>
  <si>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</si>
  <si>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</si>
  <si>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</si>
  <si>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</si>
  <si>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</si>
  <si>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</si>
  <si>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</si>
  <si>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</si>
  <si>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</si>
  <si>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</si>
  <si>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</si>
  <si>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</si>
  <si>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</si>
  <si>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</si>
  <si>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</si>
  <si>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</si>
  <si>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</si>
  <si>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</si>
  <si>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</si>
  <si>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</si>
  <si>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</si>
  <si>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</si>
  <si>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</si>
  <si>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</si>
  <si>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</si>
  <si>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</si>
  <si>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</si>
  <si>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</si>
  <si>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</si>
  <si>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</si>
  <si>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</si>
  <si>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</si>
  <si>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</si>
  <si>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</si>
  <si>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</si>
  <si>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</si>
  <si>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</si>
  <si>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</si>
  <si>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</si>
  <si>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</si>
  <si>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</si>
  <si>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</si>
  <si>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</si>
  <si>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</si>
  <si>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</si>
  <si>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</si>
  <si>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</si>
  <si>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</si>
  <si>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</si>
  <si>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</si>
  <si>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</si>
  <si>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</si>
  <si>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</si>
  <si>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</si>
  <si>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</si>
  <si>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</si>
  <si>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</si>
  <si>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</si>
  <si>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</si>
  <si>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</si>
  <si>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</si>
  <si>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</si>
  <si>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</si>
  <si>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</si>
  <si>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</si>
  <si>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</si>
  <si>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</si>
  <si>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</si>
  <si>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</si>
  <si>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</si>
  <si>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</si>
  <si>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</si>
  <si>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</si>
  <si>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</si>
  <si>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</si>
  <si>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</si>
  <si>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</si>
  <si>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</si>
  <si>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</si>
  <si>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</si>
  <si>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</si>
  <si>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</si>
  <si>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</si>
  <si>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</si>
  <si>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</si>
  <si>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</si>
  <si>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</si>
  <si>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</si>
  <si>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</si>
  <si>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</si>
  <si>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</si>
  <si>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</si>
  <si>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</si>
  <si>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</si>
  <si>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</si>
  <si>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</si>
  <si>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</si>
  <si>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</si>
  <si>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</si>
  <si>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</si>
  <si>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</si>
  <si>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</si>
  <si>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</si>
  <si>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</si>
  <si>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</si>
  <si>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</si>
  <si>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</si>
  <si>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</si>
  <si>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</si>
  <si>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</si>
  <si>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</si>
  <si>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</si>
  <si>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</si>
  <si>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</si>
  <si>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</si>
  <si>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</si>
  <si>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</si>
  <si>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</si>
  <si>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</si>
  <si>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</si>
  <si>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</si>
  <si>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</si>
  <si>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</si>
  <si>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</si>
  <si>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</si>
  <si>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</si>
  <si>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</si>
  <si>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</si>
  <si>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</si>
  <si>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</si>
  <si>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</si>
  <si>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</si>
  <si>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</si>
  <si>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</si>
  <si>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</si>
  <si>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</si>
  <si>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</si>
  <si>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</si>
  <si>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</si>
  <si>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</si>
  <si>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</si>
  <si>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</si>
  <si>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</si>
  <si>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</si>
  <si>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</si>
  <si>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</si>
  <si>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</si>
  <si>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</si>
  <si>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</si>
  <si>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</si>
  <si>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</si>
  <si>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</si>
  <si>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</si>
  <si>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</si>
  <si>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</si>
  <si>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</si>
  <si>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</si>
  <si>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</si>
  <si>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</si>
  <si>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</si>
  <si>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</si>
  <si>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</si>
  <si>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</si>
  <si>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</si>
  <si>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</si>
  <si>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</si>
  <si>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</si>
  <si>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</si>
  <si>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</si>
  <si>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</si>
  <si>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</si>
  <si>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</si>
  <si>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</si>
  <si>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</si>
  <si>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</si>
  <si>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</si>
  <si>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</si>
  <si>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</si>
  <si>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</si>
  <si>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</si>
  <si>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</si>
  <si>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</si>
  <si>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</si>
  <si>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</si>
  <si>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</si>
  <si>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</si>
  <si>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</si>
  <si>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</si>
  <si>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</si>
  <si>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</si>
  <si>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</si>
  <si>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</si>
  <si>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</si>
  <si>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</si>
  <si>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</si>
  <si>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</si>
  <si>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</si>
  <si>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</si>
  <si>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</si>
  <si>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</si>
  <si>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</si>
  <si>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</si>
  <si>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</si>
  <si>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</si>
  <si>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</si>
  <si>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</si>
  <si>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</si>
  <si>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</si>
  <si>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</si>
  <si>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</si>
  <si>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</si>
  <si>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</si>
  <si>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</si>
  <si>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</si>
  <si>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</si>
  <si>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</si>
  <si>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</si>
  <si>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</si>
  <si>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</si>
  <si>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</si>
  <si>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</si>
  <si>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</si>
  <si>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</si>
  <si>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</si>
  <si>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</si>
  <si>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</si>
  <si>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</si>
  <si>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</si>
  <si>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</si>
  <si>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</si>
  <si>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</si>
  <si>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</si>
  <si>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</si>
  <si>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</si>
  <si>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</si>
  <si>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</si>
  <si>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</si>
  <si>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</si>
  <si>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</si>
  <si>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</si>
  <si>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</si>
  <si>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</si>
  <si>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</si>
  <si>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</si>
  <si>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</si>
  <si>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</si>
  <si>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</si>
  <si>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</si>
  <si>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</si>
  <si>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</si>
  <si>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</si>
  <si>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</si>
  <si>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</si>
  <si>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</si>
  <si>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</si>
  <si>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</si>
  <si>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</si>
  <si>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</si>
  <si>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</si>
  <si>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</si>
  <si>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</si>
  <si>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</si>
  <si>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</si>
  <si>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</si>
  <si>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</si>
  <si>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</si>
  <si>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</si>
  <si>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</si>
  <si>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</si>
  <si>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</si>
  <si>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</si>
  <si>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</si>
  <si>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</si>
  <si>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</si>
  <si>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</si>
  <si>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</si>
  <si>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</si>
  <si>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</si>
  <si>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</si>
  <si>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</si>
  <si>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</si>
  <si>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</si>
  <si>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</si>
  <si>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</si>
  <si>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</si>
  <si>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</si>
  <si>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</si>
  <si>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</si>
  <si>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</si>
  <si>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</si>
  <si>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</si>
  <si>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</si>
  <si>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</si>
  <si>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</si>
  <si>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</si>
  <si>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</si>
  <si>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</si>
  <si>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</si>
  <si>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</si>
  <si>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</si>
  <si>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</si>
  <si>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</si>
  <si>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</si>
  <si>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</si>
  <si>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</si>
  <si>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</si>
  <si>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</si>
  <si>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</si>
  <si>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</si>
  <si>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</si>
  <si>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</si>
  <si>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</si>
  <si>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</si>
  <si>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</si>
  <si>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</si>
  <si>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</si>
  <si>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</si>
  <si>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</si>
  <si>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</si>
  <si>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</si>
  <si>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</si>
  <si>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</si>
  <si>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</si>
  <si>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</si>
  <si>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</si>
  <si>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</si>
  <si>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</si>
  <si>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</si>
  <si>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</si>
  <si>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</si>
  <si>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</si>
  <si>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</si>
  <si>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</si>
  <si>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</si>
  <si>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</si>
  <si>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</si>
  <si>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</si>
  <si>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</si>
  <si>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</si>
  <si>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</si>
  <si>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</si>
  <si>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</si>
  <si>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</si>
  <si>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</si>
  <si>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</si>
  <si>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</si>
  <si>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</si>
  <si>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</si>
  <si>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</si>
  <si>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</si>
  <si>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</si>
  <si>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</si>
  <si>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</si>
  <si>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</si>
  <si>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</si>
  <si>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</si>
  <si>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</si>
  <si>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</si>
  <si>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</si>
  <si>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</si>
  <si>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</si>
  <si>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</si>
  <si>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</si>
  <si>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</si>
  <si>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</si>
  <si>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</si>
  <si>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</si>
  <si>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</si>
  <si>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</si>
  <si>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</si>
  <si>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</si>
  <si>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</si>
  <si>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</si>
  <si>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</si>
  <si>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</si>
  <si>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</si>
  <si>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</si>
  <si>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</si>
  <si>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</si>
  <si>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</si>
  <si>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</si>
  <si>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</si>
  <si>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</si>
  <si>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</si>
  <si>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</si>
  <si>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</si>
  <si>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</si>
  <si>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</si>
  <si>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</si>
  <si>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</si>
  <si>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</si>
  <si>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</si>
  <si>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</si>
  <si>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</si>
  <si>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</si>
  <si>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</si>
  <si>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</si>
  <si>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</si>
  <si>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</si>
  <si>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</si>
  <si>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</si>
  <si>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</si>
  <si>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</si>
  <si>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</si>
  <si>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</si>
  <si>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</si>
  <si>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</si>
  <si>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</si>
  <si>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</si>
  <si>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</si>
  <si>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</si>
  <si>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</si>
  <si>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</si>
  <si>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</si>
  <si>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</si>
  <si>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</si>
  <si>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</si>
  <si>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</si>
  <si>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</si>
  <si>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</si>
  <si>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</si>
  <si>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</si>
  <si>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</si>
  <si>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</si>
  <si>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</si>
  <si>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</si>
  <si>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</si>
  <si>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</si>
  <si>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</si>
  <si>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</si>
  <si>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</si>
  <si>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</si>
  <si>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</si>
  <si>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</si>
  <si>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</si>
  <si>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</si>
  <si>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</si>
  <si>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</si>
  <si>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</si>
  <si>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</si>
  <si>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</si>
  <si>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</si>
  <si>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</si>
  <si>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</si>
  <si>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</si>
  <si>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</si>
  <si>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</si>
  <si>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</si>
  <si>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</si>
  <si>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</si>
  <si>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</si>
  <si>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</si>
  <si>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</si>
  <si>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</si>
  <si>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</si>
  <si>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</si>
  <si>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</si>
  <si>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</si>
  <si>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</si>
  <si>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</si>
  <si>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</si>
  <si>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</si>
  <si>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</si>
  <si>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</si>
  <si>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</si>
  <si>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</si>
  <si>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</si>
  <si>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</si>
  <si>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</si>
  <si>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</si>
  <si>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</si>
  <si>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</si>
  <si>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</si>
  <si>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</si>
  <si>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</si>
  <si>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</si>
  <si>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</si>
  <si>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</si>
  <si>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</si>
  <si>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</si>
  <si>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</si>
  <si>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</si>
  <si>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</si>
  <si>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</si>
  <si>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</si>
  <si>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</si>
  <si>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</si>
  <si>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</si>
  <si>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</si>
  <si>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</si>
  <si>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</si>
  <si>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</si>
  <si>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</si>
  <si>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</si>
  <si>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</si>
  <si>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</si>
  <si>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</si>
  <si>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</si>
  <si>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</si>
  <si>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</si>
  <si>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</si>
  <si>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</si>
  <si>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</si>
  <si>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</si>
  <si>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</si>
  <si>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</si>
  <si>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</si>
  <si>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</si>
  <si>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</si>
  <si>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</si>
  <si>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</si>
  <si>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</si>
  <si>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</si>
  <si>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</si>
  <si>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</si>
  <si>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</si>
  <si>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</si>
  <si>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</si>
  <si>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</si>
  <si>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</si>
  <si>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</si>
  <si>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</si>
  <si>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</si>
  <si>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</si>
  <si>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</si>
  <si>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</si>
  <si>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</si>
  <si>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</si>
  <si>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</si>
  <si>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</si>
  <si>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</si>
  <si>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</si>
  <si>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</si>
  <si>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</si>
  <si>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</si>
  <si>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</si>
  <si>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</si>
  <si>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</si>
  <si>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</si>
  <si>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</si>
  <si>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</si>
  <si>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</si>
  <si>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</si>
  <si>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</si>
  <si>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</si>
  <si>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</si>
  <si>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</si>
  <si>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</si>
  <si>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</si>
  <si>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</si>
  <si>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</si>
  <si>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</si>
  <si>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</si>
  <si>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</si>
  <si>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</si>
  <si>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</si>
  <si>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</si>
  <si>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</si>
  <si>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</si>
  <si>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</si>
  <si>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</si>
  <si>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</si>
  <si>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</si>
  <si>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</si>
  <si>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</si>
  <si>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</si>
  <si>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</si>
  <si>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</si>
  <si>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</si>
  <si>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</si>
  <si>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</si>
  <si>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</si>
  <si>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</si>
  <si>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</si>
  <si>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</si>
  <si>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</si>
  <si>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</si>
  <si>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</si>
  <si>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</si>
  <si>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</si>
  <si>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</si>
  <si>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</si>
  <si>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</si>
  <si>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</si>
  <si>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</si>
  <si>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</si>
  <si>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</si>
  <si>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</si>
  <si>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</si>
  <si>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</si>
  <si>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</si>
  <si>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</si>
  <si>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</si>
  <si>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</si>
  <si>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</si>
  <si>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</si>
  <si>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</si>
  <si>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</si>
  <si>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</si>
  <si>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</si>
  <si>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</si>
  <si>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</si>
  <si>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</si>
  <si>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</si>
  <si>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</si>
  <si>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</si>
  <si>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</si>
  <si>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</si>
  <si>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</si>
  <si>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</si>
  <si>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</si>
  <si>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</si>
  <si>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</si>
  <si>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</si>
  <si>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</si>
  <si>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</si>
  <si>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</si>
  <si>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</si>
  <si>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</si>
  <si>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</si>
  <si>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</si>
  <si>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</si>
  <si>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</si>
  <si>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</si>
  <si>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</si>
  <si>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</si>
  <si>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</si>
  <si>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</si>
  <si>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</si>
  <si>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</si>
  <si>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</si>
  <si>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</si>
  <si>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</si>
  <si>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</si>
  <si>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</si>
  <si>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</si>
  <si>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</si>
  <si>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</si>
  <si>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</si>
  <si>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</si>
  <si>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</si>
  <si>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</si>
  <si>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</si>
  <si>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</si>
  <si>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</si>
  <si>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</si>
  <si>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</si>
  <si>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</si>
  <si>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</si>
  <si>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</si>
  <si>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</si>
  <si>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</si>
  <si>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</si>
  <si>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</si>
  <si>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</si>
  <si>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</si>
  <si>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</si>
  <si>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</si>
  <si>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</si>
  <si>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</si>
  <si>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</si>
  <si>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</si>
  <si>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</si>
  <si>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</si>
  <si>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</si>
  <si>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</si>
  <si>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</si>
  <si>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</si>
  <si>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</si>
  <si>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</si>
  <si>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</si>
  <si>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</si>
  <si>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</si>
  <si>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</si>
  <si>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</si>
  <si>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</si>
  <si>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</si>
  <si>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</si>
  <si>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</si>
  <si>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</si>
  <si>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</si>
  <si>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</si>
  <si>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</si>
  <si>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</si>
  <si>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</si>
  <si>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</si>
  <si>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</si>
  <si>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</si>
  <si>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</si>
  <si>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</si>
  <si>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</si>
  <si>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</si>
  <si>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</si>
  <si>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</si>
  <si>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</si>
  <si>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</si>
  <si>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</si>
  <si>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</si>
  <si>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</si>
  <si>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</si>
  <si>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</si>
  <si>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</si>
  <si>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</si>
  <si>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</si>
  <si>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</si>
  <si>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</si>
  <si>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</si>
  <si>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</si>
  <si>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</si>
  <si>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</si>
  <si>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</si>
  <si>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</si>
  <si>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</si>
  <si>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</si>
  <si>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</si>
  <si>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</si>
  <si>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</si>
  <si>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</si>
  <si>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</si>
  <si>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</si>
  <si>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</si>
  <si>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</si>
  <si>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</si>
  <si>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</si>
  <si>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</si>
  <si>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</si>
  <si>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</si>
  <si>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</si>
  <si>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</si>
  <si>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</si>
  <si>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</si>
  <si>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</si>
  <si>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</si>
  <si>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</si>
  <si>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</si>
  <si>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</si>
  <si>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</si>
  <si>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</si>
  <si>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</si>
  <si>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</si>
  <si>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</si>
  <si>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</si>
  <si>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</si>
  <si>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</si>
  <si>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</si>
  <si>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</si>
  <si>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</si>
  <si>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</si>
  <si>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</si>
  <si>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</si>
  <si>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</si>
  <si>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</si>
  <si>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</si>
  <si>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</si>
  <si>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</si>
  <si>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</si>
  <si>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</si>
  <si>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</si>
  <si>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</si>
  <si>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</si>
  <si>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</si>
  <si>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</si>
  <si>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</si>
  <si>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</si>
  <si>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</si>
  <si>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</si>
  <si>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</si>
  <si>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</si>
  <si>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</si>
  <si>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</si>
  <si>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</si>
  <si>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</si>
  <si>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</si>
  <si>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</si>
  <si>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</si>
  <si>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</si>
  <si>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</si>
  <si>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</si>
  <si>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</si>
  <si>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</si>
  <si>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</si>
  <si>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</si>
  <si>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</si>
  <si>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</si>
  <si>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</si>
  <si>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</si>
  <si>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</si>
  <si>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</si>
  <si>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</si>
  <si>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</si>
  <si>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</si>
  <si>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</si>
  <si>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</si>
  <si>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</si>
  <si>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</si>
  <si>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</si>
  <si>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</si>
  <si>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</si>
  <si>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</si>
  <si>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</si>
  <si>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</si>
  <si>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</si>
  <si>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</si>
  <si>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</si>
  <si>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</si>
  <si>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</si>
  <si>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</si>
  <si>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</si>
  <si>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</si>
  <si>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</si>
  <si>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</si>
  <si>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</si>
  <si>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</si>
  <si>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</si>
  <si>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</si>
  <si>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</si>
  <si>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</si>
  <si>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</si>
  <si>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</si>
  <si>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</si>
  <si>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</si>
  <si>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</si>
  <si>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</si>
  <si>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</si>
  <si>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</si>
  <si>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</si>
  <si>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</si>
  <si>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</si>
  <si>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</si>
  <si>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</si>
  <si>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</si>
  <si>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</si>
  <si>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</si>
  <si>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</si>
  <si>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</si>
  <si>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</si>
  <si>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</si>
  <si>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</si>
  <si>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</si>
  <si>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</si>
  <si>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</si>
  <si>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</si>
  <si>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</si>
  <si>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</si>
  <si>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</si>
  <si>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</si>
  <si>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</si>
  <si>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</si>
  <si>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</si>
  <si>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</si>
  <si>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</si>
  <si>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</si>
  <si>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</si>
  <si>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</si>
  <si>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</si>
  <si>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</si>
  <si>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</si>
  <si>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</si>
  <si>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</si>
  <si>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</si>
  <si>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</si>
  <si>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</si>
  <si>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</si>
  <si>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</si>
  <si>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</si>
  <si>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</si>
  <si>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</si>
  <si>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</si>
  <si>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</si>
  <si>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</si>
  <si>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</si>
  <si>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</si>
  <si>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</si>
  <si>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</si>
  <si>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</si>
  <si>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</si>
  <si>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</si>
  <si>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</si>
  <si>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</si>
  <si>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</si>
  <si>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</si>
  <si>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</si>
  <si>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</si>
  <si>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</si>
  <si>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</si>
  <si>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</si>
  <si>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</si>
  <si>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</si>
  <si>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</si>
  <si>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</si>
  <si>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</si>
  <si>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</si>
  <si>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</si>
  <si>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</si>
  <si>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</si>
  <si>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</si>
  <si>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</si>
  <si>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</si>
  <si>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</si>
  <si>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</si>
  <si>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</si>
  <si>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</si>
  <si>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</si>
  <si>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</si>
  <si>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</si>
  <si>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</si>
  <si>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</si>
  <si>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</si>
  <si>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</si>
  <si>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</si>
  <si>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</si>
  <si>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</si>
  <si>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</si>
  <si>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</si>
  <si>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</si>
  <si>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</si>
  <si>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</si>
  <si>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</si>
  <si>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</si>
  <si>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</si>
  <si>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</si>
  <si>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</si>
  <si>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</si>
  <si>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</si>
  <si>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</si>
  <si>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</si>
  <si>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</si>
  <si>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</si>
  <si>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</si>
  <si>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</si>
  <si>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</si>
  <si>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</si>
  <si>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</si>
  <si>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</si>
  <si>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</si>
  <si>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</si>
  <si>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</si>
  <si>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</si>
  <si>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</si>
  <si>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</si>
  <si>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</si>
  <si>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</si>
  <si>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</si>
  <si>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</si>
  <si>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</si>
  <si>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</si>
  <si>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</si>
  <si>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</si>
  <si>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</si>
  <si>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</si>
  <si>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</si>
  <si>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</si>
  <si>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</si>
  <si>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</si>
  <si>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</si>
  <si>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</si>
  <si>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</si>
  <si>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</si>
  <si>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</si>
  <si>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</si>
  <si>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</si>
  <si>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</si>
  <si>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</si>
  <si>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</si>
  <si>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</si>
  <si>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</si>
  <si>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</si>
  <si>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</si>
  <si>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</si>
  <si>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</si>
  <si>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</si>
  <si>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</si>
  <si>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</si>
  <si>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</si>
  <si>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</si>
  <si>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</si>
  <si>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</si>
  <si>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</si>
  <si>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</si>
  <si>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</si>
  <si>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</si>
  <si>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</si>
  <si>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</si>
  <si>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</si>
  <si>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</si>
  <si>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</si>
  <si>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</si>
  <si>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</si>
  <si>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</si>
  <si>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</si>
  <si>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</si>
  <si>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</si>
  <si>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</si>
  <si>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</si>
  <si>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</si>
  <si>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</si>
  <si>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</si>
  <si>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</si>
  <si>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</si>
  <si>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</si>
  <si>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</si>
  <si>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</si>
  <si>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</si>
  <si>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</si>
  <si>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</si>
  <si>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</si>
  <si>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</si>
  <si>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</si>
  <si>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</si>
  <si>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</si>
  <si>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</si>
  <si>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</si>
  <si>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</si>
  <si>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</si>
  <si>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</si>
  <si>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</si>
  <si>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</si>
  <si>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</si>
  <si>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</si>
  <si>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</si>
  <si>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</si>
  <si>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</si>
  <si>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</si>
  <si>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</si>
  <si>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</si>
  <si>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</si>
  <si>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</si>
  <si>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</si>
  <si>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</si>
  <si>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</si>
  <si>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</si>
  <si>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</si>
  <si>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</si>
  <si>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</si>
  <si>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</si>
  <si>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</si>
  <si>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</si>
  <si>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</si>
  <si>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</si>
  <si>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</si>
  <si>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</si>
  <si>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</si>
  <si>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</si>
  <si>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</si>
  <si>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</si>
  <si>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</si>
  <si>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</si>
  <si>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</si>
  <si>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</si>
  <si>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</si>
  <si>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</si>
  <si>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</si>
  <si>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</si>
  <si>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</si>
  <si>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</si>
  <si>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</si>
  <si>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</si>
  <si>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</si>
  <si>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</si>
  <si>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</si>
  <si>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</si>
  <si>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</si>
  <si>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</si>
  <si>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</si>
  <si>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</si>
  <si>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</si>
  <si>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</si>
  <si>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</si>
  <si>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</si>
  <si>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</si>
  <si>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</si>
  <si>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</si>
  <si>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</si>
  <si>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</si>
  <si>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</si>
  <si>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</si>
  <si>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</si>
  <si>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</si>
  <si>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</si>
  <si>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</si>
  <si>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</si>
  <si>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</si>
  <si>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</si>
  <si>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</si>
  <si>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</si>
  <si>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</si>
  <si>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</si>
  <si>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</si>
  <si>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</si>
  <si>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</si>
  <si>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</si>
  <si>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</si>
  <si>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</si>
  <si>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</si>
  <si>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</si>
  <si>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</si>
  <si>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</si>
  <si>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</si>
  <si>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</si>
  <si>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</si>
  <si>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</si>
  <si>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</si>
  <si>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</si>
  <si>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</si>
  <si>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</si>
  <si>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</si>
  <si>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</si>
  <si>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</si>
  <si>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</si>
  <si>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</si>
  <si>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</si>
  <si>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</si>
  <si>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</si>
  <si>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</si>
  <si>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</si>
  <si>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</si>
  <si>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</si>
  <si>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</si>
  <si>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</si>
  <si>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</si>
  <si>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</si>
  <si>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</si>
  <si>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</si>
  <si>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</si>
  <si>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</si>
  <si>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</si>
  <si>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</si>
  <si>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</si>
  <si>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</si>
  <si>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</si>
  <si>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</si>
  <si>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</si>
  <si>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</si>
  <si>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</si>
  <si>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</si>
  <si>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</si>
  <si>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</si>
  <si>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</si>
  <si>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</si>
  <si>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</si>
  <si>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</si>
  <si>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</si>
  <si>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</si>
  <si>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</si>
  <si>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</si>
  <si>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</si>
  <si>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</si>
  <si>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</si>
  <si>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</si>
  <si>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</si>
  <si>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</si>
  <si>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</si>
  <si>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</si>
  <si>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</si>
  <si>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</si>
  <si>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</si>
  <si>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</si>
  <si>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</si>
  <si>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</si>
  <si>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</si>
  <si>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</si>
  <si>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</si>
  <si>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</si>
  <si>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</si>
  <si>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</si>
  <si>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</si>
  <si>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</si>
  <si>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</si>
  <si>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</si>
  <si>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</si>
  <si>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</si>
  <si>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</si>
  <si>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</si>
  <si>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</si>
  <si>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</si>
  <si>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</si>
  <si>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</si>
  <si>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</si>
  <si>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</si>
  <si>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</si>
  <si>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</si>
  <si>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</si>
  <si>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</si>
  <si>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</si>
  <si>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</si>
  <si>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</si>
  <si>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</si>
  <si>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</si>
  <si>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</si>
  <si>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</si>
  <si>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</si>
  <si>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</si>
  <si>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</si>
  <si>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</si>
  <si>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</si>
  <si>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</si>
  <si>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</si>
  <si>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</si>
  <si>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</si>
  <si>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</si>
  <si>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</si>
  <si>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</si>
  <si>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</si>
  <si>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</si>
  <si>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</si>
  <si>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</si>
  <si>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</si>
  <si>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</si>
  <si>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</si>
  <si>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</si>
  <si>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</si>
  <si>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</si>
  <si>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</si>
  <si>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</si>
  <si>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</si>
  <si>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</si>
  <si>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</si>
  <si>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</si>
  <si>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</si>
  <si>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</si>
  <si>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</si>
  <si>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</si>
  <si>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</si>
  <si>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</si>
  <si>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</si>
  <si>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</si>
  <si>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</si>
  <si>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</si>
  <si>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</si>
  <si>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</si>
  <si>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</si>
  <si>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</si>
  <si>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</si>
  <si>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</si>
  <si>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</si>
  <si>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</si>
  <si>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</si>
  <si>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</si>
  <si>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</si>
  <si>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</si>
  <si>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</si>
  <si>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</si>
  <si>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</si>
  <si>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</si>
  <si>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</si>
  <si>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</si>
  <si>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</si>
  <si>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</si>
  <si>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</si>
  <si>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</si>
  <si>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</si>
  <si>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</si>
  <si>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</si>
  <si>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</si>
  <si>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</si>
  <si>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</si>
  <si>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</si>
  <si>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</si>
  <si>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</si>
  <si>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</si>
  <si>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</si>
  <si>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</si>
  <si>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</si>
  <si>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</si>
  <si>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</si>
  <si>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</si>
  <si>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</si>
  <si>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</si>
  <si>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</si>
  <si>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</si>
  <si>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</si>
  <si>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</si>
  <si>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</si>
  <si>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</si>
  <si>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</si>
  <si>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</si>
  <si>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</si>
  <si>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</si>
  <si>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</si>
  <si>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</si>
  <si>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</si>
  <si>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</si>
  <si>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</si>
  <si>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</si>
  <si>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</si>
  <si>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</si>
  <si>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</si>
  <si>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</si>
  <si>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</si>
  <si>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</si>
  <si>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</si>
  <si>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</si>
  <si>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</si>
  <si>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</si>
  <si>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</si>
  <si>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</si>
  <si>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</si>
  <si>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</si>
  <si>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</si>
  <si>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</si>
  <si>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</si>
  <si>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</si>
  <si>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</si>
  <si>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</si>
  <si>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</si>
  <si>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</si>
  <si>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</si>
  <si>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</si>
  <si>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</si>
  <si>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</si>
  <si>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</si>
  <si>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</si>
  <si>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</si>
  <si>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</si>
  <si>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</si>
  <si>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</si>
  <si>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</si>
  <si>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</si>
  <si>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</si>
  <si>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</si>
  <si>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</si>
  <si>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</si>
  <si>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</si>
  <si>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</si>
  <si>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</si>
  <si>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</si>
  <si>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</si>
  <si>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</si>
  <si>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</si>
  <si>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</si>
  <si>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</si>
  <si>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</si>
  <si>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</si>
  <si>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</si>
  <si>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</si>
  <si>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</si>
  <si>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</si>
  <si>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</si>
  <si>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</si>
  <si>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</si>
  <si>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</si>
  <si>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</si>
  <si>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</si>
  <si>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</si>
  <si>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</si>
  <si>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</si>
  <si>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</si>
  <si>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</si>
  <si>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</si>
  <si>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</si>
  <si>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</si>
  <si>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</si>
  <si>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</si>
  <si>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</si>
  <si>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</si>
  <si>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</si>
  <si>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</si>
  <si>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</si>
  <si>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</si>
  <si>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</si>
  <si>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</si>
  <si>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</si>
  <si>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</si>
  <si>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</si>
  <si>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</si>
  <si>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</si>
  <si>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</si>
  <si>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</si>
  <si>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</si>
  <si>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</si>
  <si>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</si>
  <si>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</si>
  <si>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</si>
  <si>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</si>
  <si>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</si>
  <si>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</si>
  <si>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</si>
  <si>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</si>
  <si>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</si>
  <si>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</si>
  <si>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</si>
  <si>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</si>
  <si>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</si>
  <si>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</si>
  <si>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</si>
  <si>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</si>
  <si>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</si>
  <si>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</si>
  <si>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</si>
  <si>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</si>
  <si>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</si>
  <si>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</si>
  <si>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</si>
  <si>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</si>
  <si>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</si>
  <si>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</si>
  <si>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</si>
  <si>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</si>
  <si>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</si>
  <si>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</si>
  <si>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</si>
  <si>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</si>
  <si>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</si>
  <si>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</si>
  <si>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</si>
  <si>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</si>
  <si>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</si>
  <si>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</si>
  <si>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</si>
  <si>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</si>
  <si>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</si>
  <si>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</si>
  <si>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</si>
  <si>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</si>
  <si>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</si>
  <si>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</si>
  <si>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</si>
  <si>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</si>
  <si>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</si>
  <si>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</si>
  <si>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</si>
  <si>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</si>
  <si>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</si>
  <si>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</si>
  <si>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</si>
  <si>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</si>
  <si>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</si>
  <si>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</si>
  <si>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</si>
  <si>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</si>
  <si>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</si>
  <si>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</si>
  <si>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</si>
  <si>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</si>
  <si>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</si>
  <si>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</si>
  <si>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</si>
  <si>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</si>
  <si>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</si>
  <si>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</si>
  <si>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</si>
  <si>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</si>
  <si>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</si>
  <si>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</si>
  <si>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</si>
  <si>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</si>
  <si>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</si>
  <si>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</si>
  <si>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</si>
  <si>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</si>
  <si>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</si>
  <si>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</si>
  <si>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</si>
  <si>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</si>
  <si>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</si>
  <si>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</si>
  <si>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</si>
  <si>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</si>
  <si>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</si>
  <si>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</si>
  <si>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</si>
  <si>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</si>
  <si>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</si>
  <si>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</si>
  <si>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</si>
  <si>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</si>
  <si>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</si>
  <si>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</si>
  <si>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</si>
  <si>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</si>
  <si>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</si>
  <si>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</si>
  <si>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</si>
  <si>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</si>
  <si>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</si>
  <si>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</si>
  <si>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</si>
  <si>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</si>
  <si>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</si>
  <si>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</si>
  <si>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</si>
  <si>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</si>
  <si>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</si>
  <si>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</si>
  <si>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</si>
  <si>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</si>
  <si>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</si>
  <si>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</si>
  <si>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</si>
  <si>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</si>
  <si>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</si>
  <si>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</si>
  <si>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</si>
  <si>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</si>
  <si>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</si>
  <si>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</si>
  <si>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</si>
  <si>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</si>
  <si>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</si>
  <si>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</si>
  <si>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</si>
  <si>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</si>
  <si>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</si>
  <si>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</si>
  <si>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</si>
  <si>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</si>
  <si>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</si>
  <si>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</si>
  <si>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</si>
  <si>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</si>
  <si>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</si>
  <si>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</si>
  <si>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</si>
  <si>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</si>
  <si>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</si>
  <si>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</si>
  <si>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</si>
  <si>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</si>
  <si>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</si>
  <si>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</si>
  <si>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</si>
  <si>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</si>
  <si>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</si>
  <si>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</si>
  <si>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</si>
  <si>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</si>
  <si>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</si>
  <si>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</si>
  <si>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</si>
  <si>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</si>
  <si>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</si>
  <si>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</si>
  <si>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</si>
  <si>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</si>
  <si>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</si>
  <si>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</si>
  <si>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</si>
  <si>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</si>
  <si>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</si>
  <si>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</si>
  <si>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</si>
  <si>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</si>
  <si>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</si>
  <si>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</si>
  <si>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</si>
  <si>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</si>
  <si>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</si>
  <si>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</si>
  <si>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</si>
  <si>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</si>
  <si>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</si>
  <si>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</si>
  <si>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</si>
  <si>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</si>
  <si>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</si>
  <si>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</si>
  <si>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</si>
  <si>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</si>
  <si>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</si>
  <si>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</si>
  <si>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</si>
  <si>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</si>
  <si>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</si>
  <si>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</si>
  <si>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</si>
  <si>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</si>
  <si>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</si>
  <si>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</si>
  <si>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</si>
  <si>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</si>
  <si>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</si>
  <si>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</si>
  <si>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</si>
  <si>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</si>
  <si>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</si>
  <si>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</si>
  <si>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</si>
  <si>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</si>
  <si>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</si>
  <si>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</si>
  <si>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</si>
  <si>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</si>
  <si>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</si>
  <si>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</si>
  <si>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</si>
  <si>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</si>
  <si>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</si>
  <si>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</si>
  <si>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</si>
  <si>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</si>
  <si>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</si>
  <si>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</si>
  <si>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</si>
  <si>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</si>
  <si>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</si>
  <si>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</si>
  <si>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</si>
  <si>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</si>
  <si>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</si>
  <si>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</si>
  <si>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</si>
  <si>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</si>
  <si>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</si>
  <si>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</si>
  <si>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</si>
  <si>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</si>
  <si>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</si>
  <si>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</si>
  <si>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</si>
  <si>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</si>
  <si>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</si>
  <si>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</si>
  <si>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</si>
  <si>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</si>
  <si>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</si>
  <si>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</si>
  <si>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</si>
  <si>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</si>
  <si>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</si>
  <si>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</si>
  <si>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</si>
  <si>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</si>
  <si>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</si>
  <si>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</si>
  <si>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</si>
  <si>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</si>
  <si>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</si>
  <si>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</si>
  <si>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</si>
  <si>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</si>
  <si>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</si>
  <si>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</si>
  <si>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</si>
  <si>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</si>
  <si>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</si>
  <si>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</si>
  <si>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</si>
  <si>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</si>
  <si>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</si>
  <si>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</si>
  <si>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</si>
  <si>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</si>
  <si>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</si>
  <si>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</si>
  <si>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</si>
  <si>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</si>
  <si>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</si>
  <si>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</si>
  <si>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</si>
  <si>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</si>
  <si>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</si>
  <si>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</si>
  <si>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</si>
  <si>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</si>
  <si>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</si>
  <si>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</si>
  <si>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</si>
  <si>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</si>
  <si>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</si>
  <si>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</si>
  <si>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</si>
  <si>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</si>
  <si>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</si>
  <si>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</si>
  <si>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</si>
  <si>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</si>
  <si>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</si>
  <si>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</si>
  <si>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</si>
  <si>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</si>
  <si>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</si>
  <si>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</si>
  <si>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</si>
  <si>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</si>
  <si>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</si>
  <si>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</si>
  <si>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</si>
  <si>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</si>
  <si>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</si>
  <si>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</si>
  <si>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</si>
  <si>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</si>
  <si>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</si>
  <si>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</si>
  <si>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</si>
  <si>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</si>
  <si>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</si>
  <si>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</si>
  <si>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</si>
  <si>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</si>
  <si>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</si>
  <si>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</si>
  <si>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</si>
  <si>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</si>
  <si>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</si>
  <si>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</si>
  <si>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</si>
  <si>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</si>
  <si>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</si>
  <si>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</si>
  <si>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</si>
  <si>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</si>
  <si>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</si>
  <si>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</si>
  <si>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</si>
  <si>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</si>
  <si>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</si>
  <si>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</si>
  <si>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</si>
  <si>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</si>
  <si>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</si>
  <si>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</si>
  <si>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</si>
  <si>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</si>
  <si>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</si>
  <si>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</si>
  <si>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</si>
  <si>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</si>
  <si>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</si>
  <si>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</si>
  <si>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</si>
  <si>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</si>
  <si>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</si>
  <si>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</si>
  <si>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</si>
  <si>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</si>
  <si>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</si>
  <si>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</si>
  <si>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</si>
  <si>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</si>
  <si>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</si>
  <si>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</si>
  <si>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</si>
  <si>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</si>
  <si>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</si>
  <si>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</si>
  <si>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</si>
  <si>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</si>
  <si>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</si>
  <si>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</si>
  <si>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</si>
  <si>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</si>
  <si>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</si>
  <si>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</si>
  <si>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</si>
  <si>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</si>
  <si>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</si>
  <si>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</si>
  <si>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</si>
  <si>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</si>
  <si>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</si>
  <si>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</si>
  <si>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</si>
  <si>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</si>
  <si>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</si>
  <si>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</si>
  <si>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</si>
  <si>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</si>
  <si>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</si>
  <si>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</si>
  <si>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</si>
  <si>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</si>
  <si>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</si>
  <si>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</si>
  <si>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</si>
  <si>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</si>
  <si>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</si>
  <si>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</si>
  <si>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</si>
  <si>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</si>
  <si>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</si>
  <si>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</si>
  <si>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</si>
  <si>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</si>
  <si>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</si>
  <si>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</si>
  <si>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</si>
  <si>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</si>
  <si>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</si>
  <si>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</si>
  <si>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</si>
  <si>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</si>
  <si>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</si>
  <si>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</si>
  <si>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</si>
  <si>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</si>
  <si>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</si>
  <si>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</si>
  <si>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</si>
  <si>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</si>
  <si>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</si>
  <si>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</si>
  <si>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</si>
  <si>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</si>
  <si>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</si>
  <si>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</si>
  <si>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</si>
  <si>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</si>
  <si>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</si>
  <si>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</si>
  <si>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</si>
  <si>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</si>
  <si>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</si>
  <si>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</si>
  <si>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</si>
  <si>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</si>
  <si>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</si>
  <si>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</si>
  <si>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</si>
  <si>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</si>
  <si>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</si>
  <si>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</si>
  <si>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</si>
  <si>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</si>
  <si>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</si>
  <si>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</si>
  <si>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</si>
  <si>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</si>
  <si>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</si>
  <si>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</si>
  <si>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</si>
  <si>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</si>
  <si>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</si>
  <si>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</si>
  <si>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</si>
  <si>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</si>
  <si>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</si>
  <si>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</si>
  <si>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</si>
  <si>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</si>
  <si>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</si>
  <si>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</si>
  <si>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</si>
  <si>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</si>
  <si>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0.45</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</si>
  <si>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</si>
  <si>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</si>
  <si>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</si>
  <si>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</si>
  <si>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</si>
  <si>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</si>
  <si>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</si>
  <si>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</si>
  <si>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</si>
  <si>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</si>
  <si>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</si>
  <si>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</si>
  <si>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</si>
  <si>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</si>
  <si>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</si>
  <si>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</si>
  <si>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</si>
  <si>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</si>
  <si>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</si>
  <si>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</si>
  <si>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</si>
  <si>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</si>
  <si>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</si>
  <si>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</si>
  <si>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</si>
  <si>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</si>
  <si>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</si>
  <si>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</si>
  <si>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</si>
  <si>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</si>
  <si>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</si>
  <si>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</si>
  <si>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</si>
  <si>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</si>
  <si>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</si>
  <si>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</si>
  <si>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</si>
  <si>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</si>
  <si>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</si>
  <si>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</si>
  <si>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</si>
  <si>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</si>
  <si>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</si>
  <si>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</si>
  <si>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</si>
  <si>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</si>
  <si>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</si>
  <si>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</si>
  <si>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</si>
  <si>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</si>
  <si>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</si>
  <si>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</si>
  <si>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</si>
  <si>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</si>
  <si>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</si>
  <si>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</si>
  <si>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</si>
  <si>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</si>
  <si>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</si>
  <si>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</si>
  <si>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</si>
  <si>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</si>
  <si>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</si>
  <si>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</si>
  <si>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</si>
  <si>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</si>
  <si>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</si>
  <si>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</si>
  <si>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</si>
  <si>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</si>
  <si>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</si>
  <si>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</si>
  <si>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</si>
  <si>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</si>
  <si>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</si>
  <si>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</si>
  <si>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</si>
  <si>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</si>
  <si>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</si>
  <si>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</si>
  <si>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</si>
  <si>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</si>
  <si>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</si>
  <si>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</si>
  <si>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</si>
  <si>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</si>
  <si>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</si>
  <si>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</si>
  <si>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</si>
  <si>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</si>
  <si>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</si>
  <si>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</si>
  <si>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</si>
  <si>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</si>
  <si>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</si>
  <si>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</si>
  <si>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</si>
  <si>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</si>
  <si>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</si>
  <si>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</si>
  <si>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</si>
  <si>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</si>
  <si>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</si>
  <si>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</si>
  <si>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</si>
  <si>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</si>
  <si>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</si>
  <si>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</si>
  <si>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</si>
  <si>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</si>
  <si>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</si>
  <si>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</si>
  <si>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</si>
  <si>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</si>
  <si>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</si>
  <si>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</si>
  <si>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</si>
  <si>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</si>
  <si>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</si>
  <si>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</si>
  <si>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</si>
  <si>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</si>
  <si>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</si>
  <si>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</si>
  <si>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</si>
  <si>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</si>
  <si>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</si>
  <si>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</si>
  <si>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</si>
  <si>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</si>
  <si>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</si>
  <si>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</si>
  <si>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</si>
  <si>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</si>
  <si>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</si>
  <si>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</si>
  <si>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</si>
  <si>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</si>
  <si>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</si>
  <si>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</si>
  <si>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</si>
  <si>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</si>
  <si>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</si>
  <si>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</si>
  <si>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</si>
  <si>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</si>
  <si>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</si>
  <si>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</si>
  <si>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</si>
  <si>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</si>
  <si>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</si>
  <si>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</si>
  <si>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</si>
  <si>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</si>
  <si>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</si>
  <si>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</si>
  <si>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</si>
  <si>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</si>
  <si>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</si>
  <si>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</si>
  <si>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</si>
  <si>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</si>
  <si>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</si>
  <si>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</si>
  <si>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</si>
  <si>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</si>
  <si>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</si>
  <si>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</si>
  <si>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</si>
  <si>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</si>
  <si>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</si>
  <si>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</si>
  <si>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</si>
  <si>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</si>
  <si>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</si>
  <si>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</si>
  <si>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</si>
  <si>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</si>
  <si>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</si>
  <si>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</si>
  <si>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</si>
  <si>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</si>
  <si>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</si>
  <si>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</si>
  <si>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</si>
  <si>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</si>
  <si>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</si>
  <si>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</si>
  <si>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</si>
  <si>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</si>
  <si>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</si>
  <si>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</si>
  <si>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</si>
  <si>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</si>
  <si>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</si>
  <si>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</si>
  <si>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</si>
  <si>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</si>
  <si>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</si>
  <si>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</si>
  <si>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</si>
  <si>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</si>
  <si>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</si>
  <si>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</si>
  <si>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</si>
  <si>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</si>
  <si>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</si>
  <si>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</si>
  <si>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</si>
  <si>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</si>
  <si>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</si>
  <si>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</si>
  <si>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</si>
  <si>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</si>
  <si>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</si>
  <si>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</si>
  <si>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</si>
  <si>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</si>
  <si>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</si>
  <si>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</si>
  <si>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</si>
  <si>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</si>
  <si>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</si>
  <si>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</si>
  <si>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</si>
  <si>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</si>
  <si>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</si>
  <si>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</si>
  <si>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</si>
  <si>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</si>
  <si>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</si>
  <si>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</si>
  <si>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</si>
  <si>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</si>
  <si>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</si>
  <si>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</si>
  <si>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</si>
  <si>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</si>
  <si>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</si>
  <si>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</si>
  <si>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</si>
  <si>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</si>
  <si>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</si>
  <si>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</si>
  <si>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</si>
  <si>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</si>
  <si>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</si>
  <si>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</si>
  <si>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</si>
  <si>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</si>
  <si>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</si>
  <si>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</si>
  <si>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</si>
  <si>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</si>
  <si>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</si>
  <si>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</si>
  <si>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</si>
  <si>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</si>
  <si>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</si>
  <si>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</si>
  <si>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</si>
  <si>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</si>
  <si>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</si>
  <si>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</si>
  <si>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</si>
  <si>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</si>
  <si>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</si>
  <si>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</si>
  <si>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</si>
  <si>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</si>
  <si>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</si>
  <si>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</si>
  <si>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</si>
  <si>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</si>
  <si>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</si>
  <si>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</si>
  <si>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</si>
  <si>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</si>
  <si>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</si>
  <si>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</si>
  <si>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</si>
  <si>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</si>
  <si>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</si>
  <si>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</si>
  <si>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</si>
  <si>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</si>
  <si>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</si>
  <si>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</si>
  <si>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</si>
  <si>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</si>
  <si>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</si>
  <si>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</si>
  <si>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</si>
  <si>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</si>
  <si>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</si>
  <si>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</si>
  <si>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</si>
  <si>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</si>
  <si>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</si>
  <si>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</si>
  <si>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</si>
  <si>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</si>
  <si>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</si>
  <si>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</si>
  <si>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</si>
  <si>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</si>
  <si>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</si>
  <si>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</si>
  <si>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</si>
  <si>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</si>
  <si>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</si>
  <si>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</si>
  <si>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</si>
  <si>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</si>
  <si>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</si>
  <si>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</si>
  <si>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COMPLETE BOUNDED CODE EDIT APPROVAL — W2-004
APPROVED TASK CONTRACT
- Prompt and tracker steps: W2-004 / W2-09, W2-10
- Business purpose: Prove approved retrieval end-to-end using the existing W2-001 Qdrant foundation, then restore and remove it cleanly.
- Architecture and design: RetrievalService composes the approved embedder and VectorStore to prove local query, rollback and complete removal without changing the Qdrant network boundary.
- Exact interfaces, functions and connections: index_manifest, retrieve and remove_document_version accept typed authorized requests; retrieve returns ranked chunks, and cleanup returns a verified absence result.
- Exact inputs, outputs, errors and invariants: Inputs are limited to Approved W2-001/W2-002/W2-003; Docker/model cache; approved corpus and retrieval fixture.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approved synthetic corpus and query fixture use W2 domain models, immutable version IDs, normalized vectors and deterministic expected rankings.
- Exact dependency and runtime API rules: The retained offline model snapshot and internal Qdrant runner are owner-started prerequisites; service calls use bounded timeouts and no host-port publication.
- Exact security, privacy, concurrency and operational controls: Authorization precedes vector search; rollback restores the previous manifest; teardown removes only the named test collection and verifies Compose-labelled residue is absent.
- Exact automated-test behavior: Local feature test proves index-query-rank flow; rollback test proves prior-version restoration; teardown test proves collection, container, volume, network and local runner-image cleanup.
- Accepted baseline: The inspected repository contains every UPDATE path and does not contain every CREATE path. Historical results remain unchanged; future execution must revalidate content and patch anchors.
EXACT APPROVED PATH MANIFEST
CREATE:
- src/enterprise_ai_platform/retrieval/service.py
- tests/feature/test_local_retrieval.py
- tests/feature/test_retrieval_rollback.py
- tests/teardown/test_w2_004_retrieval_cleanliness.py
UPDATE:
- tests/conftest.py
- Makefile
- feature-matrix.yaml
- tools/platformctl/validate.py
- tests/feature/test_feature_matrix.py
- tests/unit/test_platformctl.py
DELETE:
- None
VERIFIED IMPLEMENTED PRODUCERS / UNCHANGED CONSUMERS:
- src/enterprise_ai_platform/embeddings/base.py
- src/enterprise_ai_platform/embeddings/sentence_transformer.py
- src/enterprise_ai_platform/retrieval/models.py
- src/enterprise_ai_platform/retrieval/vector_store.py
- src/enterprise_ai_platform/retrieval/authorization.py
- src/enterprise_ai_platform/retrieval/adapters/qdrant.py
- docker-compose.yml
- docker/qdrant-test-runner.Dockerfile
REQUIRED UPSTREAM PRODUCERS:
- src/enterprise_ai_platform/retrieval/service.py — produced by W2-003 after its blocked Gate 1 is resolved; Gate 1 must verify existence and contract alignment before activation.
DEFERRED:
- W2-003 remains blocked; its exact retrieval-service output contract and external model-cache read-only mount decision must be owner-approved before this template can activate.
- Exact W2-004 ingestion/test-runner paths and mount details are PROPOSED only until Gate 1 reconciles them against the post-W2-003 baseline.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approved retrieval end-to-end using the existing W2-001 Qdrant foundation, then restore and remove it cleanly.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</si>
  <si>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</si>
  <si>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</si>
  <si>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</si>
  <si>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</si>
  <si>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</si>
  <si>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</si>
  <si>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</si>
  <si>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 xml:space="preserve">COLUMN L — OWNER LEARNING POSITION — W2-LEARN-001
No code, configuration, infrastructure, schema, automated-test or Codex-authored document edit is authorized. Codex teaches from approved facts; the owner completes the teach-back and writes the evidence note at docs/architecture/local-retrieval.md. That owner-written note is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W2-LEARN-001.
</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</si>
  <si>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</si>
  <si>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</si>
  <si>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</si>
  <si>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</si>
  <si>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COLUMN L — COMPLETE BOUNDED CODE EDIT APPROVAL — W3-001
APPROVED TASK CONTRACT
- Prompt and tracker steps: W3-001 / W3-01, W3-02, W3-03, W3-04
- Business purpose: Generate evidence-bound answers while retaining provider portability.
- Architecture and design: LLMProvider separates FakeLLMProvider and Bedrock from a cited RAG pipeline that assembles only authorized retrieved evidence into the prompt.
- Exact interfaces, functions and connections: generate accepts LLMRequest and returns LLMResponse; answer_query retrieves authorized chunks, builds a bounded prompt and returns Answer with citations or an abstention reason.
- Exact inputs, outputs, errors and invariants: Inputs are limited to LLM_PROVIDER, LLM_MODEL_ID, AWS_REGION; Bedrock test is marked.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LLMRequest, LLMResponse, ToolSpec and usage records are vendor neutral; every answer citation carries source ID, chunk ID and version; missing support yields abstention.
- Exact dependency and runtime API rules: Fake provider is default; Bedrock client is injected, region and model ID are explicit, retries and timeouts are bounded, and live AWS tests remain marked opt-in.
- Exact security, privacy, concurrency and operational controls: No credentials or content in logs; tenant filters remain outside the model; cancellation prevents further provider calls; token and context budgets reject overflow.
- Exact automated-test behavior: Provider contract covers fake and injected Bedrock clients; pipeline unit tests cover prompt assembly and abstention; cited-RAG feature tests prove evidence mapping; security tests reject fabricated or unauthorized citations.
- Accepted baseline: The inspected repository contains every UPDATE path and does not contain every CREATE path. Historical results remain unchanged; future execution must revalidate content and patch anchors.
EXACT APPROVED PATH MANIFEST
CREATE:
- src/enterprise_ai_platform/llm/__init__.py
- src/enterprise_ai_platform/llm/base.py
- src/enterprise_ai_platform/llm/errors.py
- src/enterprise_ai_platform/llm/fake.py
- src/enterprise_ai_platform/llm/bedrock.py
- src/enterprise_ai_platform/rag/__init__.py
- src/enterprise_ai_platform/rag/models.py
- src/enterprise_ai_platform/rag/prompts.py
- src/enterprise_ai_platform/rag/pipeline.py
- tests/unit/test_rag_pipeline.py
- tests/unit/test_prompt_template.py
- tests/unit/test_llm_provider.py
- tests/unit/test_bedrock_adapter.py
- tests/feature/test_cited_rag.py
- tests/security/test_citation_contract.py
UPDATE:
- src/enterprise_ai_platform/config.py
- requirements.txt
- feature-matrix.yaml
- tools/platformctl/validate.py
- tests/feature/test_feature_matrix.py
- tests/unit/test_platformctl.py
DELETE:
- None
VERIFIED IMPLEMENTED PRODUCERS / UNCHANGED CONSUMERS:
- src/enterprise_ai_platform/retrieval/models.py
- src/enterprise_ai_platform/embeddings/base.py
REQUIRED UPSTREAM PRODUCERS: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Generate evidence-bound answers while retaining provider portability. and measurable acceptance.
2. Architecture position: authorized question -&gt; retrieval -&gt; evidence pack -&gt; provider-neutral LLM -&gt; citation validation -&gt; grounded answer,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research assistant allowed to answer only from numbered source cards; what goes in, happens and comes out.
7. Decisions/trade-offs: provider portability and evidence-bound generation are selected over model-specific orchestration, alternatives, pros/cons, conditions to differ and consequences.
8. Security/privacy/reliability/cost: authorization precedes retrieval/LLM calls; retrieved text is untrusted and outputs expose approved citations only, failure isolation, retained resources and accepted access/cost.
9. Failure/remediation/rollback/teardown: timeouts, invalid citations or provider errors fail without fabricated answer; rollback restores prompt/model/retriever/index baseline;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W3-001.</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</si>
  <si>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</si>
  <si>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</si>
  <si>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</si>
  <si>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</si>
  <si>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COLUMN L — COMPLETE BOUNDED CODE EDIT APPROVAL — W3-002
APPROVED TASK CONTRACT
- Prompt and tracker steps: W3-002 / W3-06, W3-07, W3-10
- Business purpose: Replace subjective demonstrations with repeatable evidence.
- Architecture and design: A versioned JSON Lines golden set feeds deterministic evaluation metrics and a release gate without calling paid providers by default.
- Exact interfaces, functions and connections: load_cases, evaluate_case, aggregate_metrics and evaluate_release accept typed cases and return per-case plus aggregate gate results.
- Exact inputs, outputs, errors and invariants: Inputs are limited to configs/eval/golden.jsonl with 25+ approved cases.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Each golden case has case ID, tenant, query, expected sources, expected answer facts, abstention expectation and safety labels; duplicate or incomplete cases are rejected.
- Exact dependency and runtime API rules: Fake retrieval and LLM providers are default; case order and random seed are fixed; no network, model download or paid service is used in ordinary evaluation.
- Exact security, privacy, concurrency and operational controls: Evaluation artifacts exclude enterprise content and credentials; failures identify case IDs, not raw protected text; gate thresholds are explicit owner decisions.
- Exact automated-test behavior: Metric unit tests cover exact denominators; dataset contract tests require at least 25 unique cases; feature tests cover pass and regression gates; security tests prove redacted output.
- Accepted baseline: The inspected repository contains every UPDATE path and does not contain every CREATE path. Historical results remain unchanged; future execution must revalidate content and patch anchors.
EXACT APPROVED PATH MANIFEST
CREATE:
- configs/eval/golden.jsonl
- src/enterprise_ai_platform/evaluation/__init__.py
- src/enterprise_ai_platform/evaluation/models.py
- src/enterprise_ai_platform/evaluation/metrics.py
- src/enterprise_ai_platform/evaluation/runner.py
- tools/validate_eval_dataset.py
- tests/unit/test_evaluation_metrics.py
- tests/contract/test_golden_dataset.py
- tests/feature/test_evaluation_gate.py
- tests/security/test_evaluation_redaction.py
UPDATE:
- Makefile
- feature-matrix.yaml
- tools/platformctl/validate.py
- tests/feature/test_feature_matrix.py
- tests/unit/test_platformctl.py
DELETE:
- None
VERIFIED IMPLEMENTED PRODUCERS / UNCHANGED CONSUMERS:
- docs/features/MVP-001.md
REQUIRED UPSTREAM PRODUCERS:
- src/enterprise_ai_platform/rag/pipeline.py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Replace subjective demonstrations with repeatable evidence. and measurable acceptance.
2. Architecture position: versioned golden cases -&gt; RAG execution -&gt; deterministic metrics -&gt; thresholds -&gt; release gate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exam with fixed questions, marking rules and a pass score; what goes in, happens and comes out.
7. Decisions/trade-offs: repeatable versioned evaluation and explicit thresholds replace subjective demonstration, alternatives, pros/cons, conditions to differ and consequences.
8. Security/privacy/reliability/cost: golden data is sanitized and tenant/classification context is enforced, failure isolation, retained resources and accepted access/cost.
9. Failure/remediation/rollback/teardown: malformed cases or threshold regression fail the release; rollback returns to last passing artifacts;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W3-002.</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</si>
  <si>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</si>
  <si>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</si>
  <si>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</si>
  <si>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</si>
  <si>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COLUMN L — COMPLETE BOUNDED CODE EDIT APPROVAL — W3-003
APPROVED TASK CONTRACT
- Prompt and tracker steps: W3-003 / W3-05, W3-08
- Business purpose: Treat retrieved content as untrusted and enforce authorization outside the model.
- Architecture and design: Deterministic input, retrieved-content and output guardrails surround the RAG pipeline while authorization remains enforced by retrieval code.
- Exact interfaces, functions and connections: inspect_query, inspect_context and inspect_answer return allow, refuse or quarantine decisions with safe reason codes; the pipeline stops on any deny decision.
- Exact inputs, outputs, errors and invariants: Inputs are limited to Classification/tenant rules; injection fixtures.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GuardrailDecision contains decision, reason code, stage and policy version only; injection fixtures are synthetic and classified by expected action.
- Exact dependency and runtime API rules: Rules are local and deterministic; no remote moderation service or model download is introduced; timeouts and cancellation propagate through the pipeline.
- Exact security, privacy, concurrency and operational controls: Retrieved text is untrusted, tool-like instructions are not executed, tenant authorization cannot be overridden, and sensitive input is excluded from errors and telemetry.
- Exact automated-test behavior: Security suites cover direct and indirect injection, cross-tenant context, unsafe output and false-positive controls; feature test proves guardrail ordering and fail-closed behavior.
- Accepted baseline: The inspected repository contains every UPDATE path and does not contain every CREATE path. Historical results remain unchanged; future execution must revalidate content and patch anchors.
EXACT APPROVED PATH MANIFEST
CREATE:
- src/enterprise_ai_platform/guardrails/__init__.py
- src/enterprise_ai_platform/guardrails/errors.py
- src/enterprise_ai_platform/guardrails/prompt_injection.py
- src/enterprise_ai_platform/guardrails/output_policy.py
- tests/unit/test_guardrails.py
- tests/security/test_prompt_injection.py
- tests/security/test_rag_authorization.py
- tests/security/test_output_guardrails.py
- tests/feature/test_rag_guardrail_contract.py
UPDATE:
- src/enterprise_ai_platform/rag/pipeline.py
- src/enterprise_ai_platform/config.py
- feature-matrix.yaml
- tools/platformctl/validate.py
- tests/feature/test_feature_matrix.py
- tests/unit/test_platformctl.py
DELETE:
- None
VERIFIED IMPLEMENTED PRODUCERS / UNCHANGED CONSUMERS:
- src/enterprise_ai_platform/retrieval/authorization.py
REQUIRED UPSTREAM PRODUCERS:
- src/enterprise_ai_platform/llm/base.py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retrieved content as untrusted and enforce authorization outside the model. and measurable acceptance.
2. Architecture position: untrusted user/retrieved content -&gt; deterministic policy checks -&gt; authorized RAG -&gt; safe response or refusal,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airport security that screens every bag even if the passenger says it is safe; what goes in, happens and comes out.
7. Decisions/trade-offs: deterministic external controls are selected over asking the model to police itself, alternatives, pros/cons, conditions to differ and consequences.
8. Security/privacy/reliability/cost: tenant and ACL enforcement stay outside the LLM; sensitive instructions/content are not logged, failure isolation, retained resources and accepted access/cost.
9. Failure/remediation/rollback/teardown: injection or authorization ambiguity fails closed and creates redacted evidence;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W3-003.</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</si>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</sst>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0" borderId="0" xfId="0" applyFont="1" applyFill="1"/>
    <xf numFmtId="0" fontId="0" fillId="0" borderId="0" xfId="0"/>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3" xfId="0" applyFont="1" applyFill="1" applyBorder="1" applyAlignment="1">
      <alignment vertical="center" wrapText="1"/>
    </xf>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3" fillId="4" borderId="2"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0.61538461538461542</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4"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1"/>
        <filter val="Week 2"/>
      </filters>
    </filterColumn>
    <filterColumn colId="7">
      <filters>
        <filter val=".pre-commit-config.yaml; .secrets.baseline; docs/test-evidence/W1-08-precommit.txt"/>
        <filter val="configs/pii-policy.yaml"/>
        <filter val="configs/tags.yaml"/>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70"/>
      <c r="C4" s="70"/>
      <c r="D4" s="70"/>
      <c r="E4" s="60" t="s">
        <v>3</v>
      </c>
      <c r="F4" s="70"/>
      <c r="G4" s="70"/>
      <c r="H4" s="70"/>
      <c r="I4" s="70"/>
      <c r="J4" s="61"/>
    </row>
    <row r="5" spans="1:10" ht="39.6">
      <c r="A5" s="21">
        <v>1</v>
      </c>
      <c r="B5" s="4" t="s">
        <v>4</v>
      </c>
      <c r="C5" s="4" t="s">
        <v>5</v>
      </c>
      <c r="E5" s="89" t="s">
        <v>6</v>
      </c>
      <c r="F5" s="90"/>
      <c r="G5" s="90"/>
      <c r="H5" s="90"/>
      <c r="I5" s="90"/>
      <c r="J5" s="91"/>
    </row>
    <row r="6" spans="1:10" ht="39.6">
      <c r="A6" s="21">
        <v>2</v>
      </c>
      <c r="B6" s="5" t="s">
        <v>7</v>
      </c>
      <c r="C6" s="5" t="s">
        <v>8</v>
      </c>
      <c r="E6" s="83" t="s">
        <v>9</v>
      </c>
      <c r="F6" s="84"/>
      <c r="G6" s="84"/>
      <c r="H6" s="84"/>
      <c r="I6" s="84"/>
      <c r="J6" s="85"/>
    </row>
    <row r="7" spans="1:10" ht="66">
      <c r="A7" s="21">
        <v>3</v>
      </c>
      <c r="B7" s="5" t="s">
        <v>10</v>
      </c>
      <c r="C7" s="5" t="s">
        <v>11</v>
      </c>
      <c r="E7" s="83" t="s">
        <v>12</v>
      </c>
      <c r="F7" s="84"/>
      <c r="G7" s="84"/>
      <c r="H7" s="84"/>
      <c r="I7" s="84"/>
      <c r="J7" s="85"/>
    </row>
    <row r="8" spans="1:10" ht="79.2">
      <c r="A8" s="21">
        <v>4</v>
      </c>
      <c r="B8" s="5" t="s">
        <v>13</v>
      </c>
      <c r="C8" s="5" t="s">
        <v>14</v>
      </c>
      <c r="E8" s="83" t="s">
        <v>15</v>
      </c>
      <c r="F8" s="84"/>
      <c r="G8" s="84"/>
      <c r="H8" s="84"/>
      <c r="I8" s="84"/>
      <c r="J8" s="85"/>
    </row>
    <row r="9" spans="1:10" ht="66">
      <c r="A9" s="21">
        <v>5</v>
      </c>
      <c r="B9" s="5" t="s">
        <v>16</v>
      </c>
      <c r="C9" s="5" t="s">
        <v>17</v>
      </c>
      <c r="E9" s="83" t="s">
        <v>18</v>
      </c>
      <c r="F9" s="84"/>
      <c r="G9" s="84"/>
      <c r="H9" s="84"/>
      <c r="I9" s="84"/>
      <c r="J9" s="85"/>
    </row>
    <row r="10" spans="1:10" ht="79.2">
      <c r="A10" s="21">
        <v>6</v>
      </c>
      <c r="B10" s="5" t="s">
        <v>19</v>
      </c>
      <c r="C10" s="5" t="s">
        <v>20</v>
      </c>
      <c r="E10" s="83" t="s">
        <v>21</v>
      </c>
      <c r="F10" s="84"/>
      <c r="G10" s="84"/>
      <c r="H10" s="84"/>
      <c r="I10" s="84"/>
      <c r="J10" s="85"/>
    </row>
    <row r="11" spans="1:10" ht="92.4">
      <c r="A11" s="21">
        <v>7</v>
      </c>
      <c r="B11" s="5" t="s">
        <v>22</v>
      </c>
      <c r="C11" s="5" t="s">
        <v>23</v>
      </c>
      <c r="E11" s="86" t="s">
        <v>24</v>
      </c>
      <c r="F11" s="87"/>
      <c r="G11" s="87"/>
      <c r="H11" s="87"/>
      <c r="I11" s="87"/>
      <c r="J11" s="88"/>
    </row>
    <row r="12" spans="1:10" ht="66">
      <c r="A12" s="21">
        <v>8</v>
      </c>
      <c r="B12" s="5" t="s">
        <v>25</v>
      </c>
      <c r="C12" s="5" t="s">
        <v>26</v>
      </c>
      <c r="E12" t="s">
        <v>27</v>
      </c>
    </row>
    <row r="13" spans="1:10" ht="66">
      <c r="A13" s="21">
        <v>9</v>
      </c>
      <c r="B13" s="5" t="s">
        <v>28</v>
      </c>
      <c r="C13" s="5" t="s">
        <v>29</v>
      </c>
      <c r="E13" s="60" t="s">
        <v>30</v>
      </c>
      <c r="F13" s="70"/>
      <c r="G13" s="70"/>
      <c r="H13" s="70"/>
      <c r="I13" s="7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7" t="s">
        <v>42</v>
      </c>
      <c r="B19" s="78"/>
      <c r="C19" s="78"/>
      <c r="D19" s="78"/>
      <c r="E19" s="78"/>
      <c r="F19" s="78"/>
      <c r="G19" s="78"/>
      <c r="H19" s="78"/>
      <c r="I19" s="78"/>
      <c r="J19" s="79"/>
    </row>
    <row r="20" spans="1:10">
      <c r="A20" s="80"/>
      <c r="B20" s="81"/>
      <c r="C20" s="81"/>
      <c r="D20" s="81"/>
      <c r="E20" s="81"/>
      <c r="F20" s="81"/>
      <c r="G20" s="81"/>
      <c r="H20" s="81"/>
      <c r="I20" s="81"/>
      <c r="J20" s="82"/>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98" t="s">
        <v>45</v>
      </c>
      <c r="B4" s="98"/>
      <c r="D4" s="98" t="s">
        <v>46</v>
      </c>
      <c r="E4" s="98"/>
      <c r="G4" s="98" t="s">
        <v>47</v>
      </c>
      <c r="H4" s="98"/>
      <c r="J4" s="98" t="s">
        <v>48</v>
      </c>
      <c r="K4" s="98"/>
    </row>
    <row r="5" spans="1:16">
      <c r="A5" s="99">
        <f>COUNTA('02 Master Plan'!$A$6:$A$120)</f>
        <v>80</v>
      </c>
      <c r="B5" s="100"/>
      <c r="D5" s="99">
        <f>COUNTIF('02 Master Plan'!$S$6:$S$120,"Done")</f>
        <v>21</v>
      </c>
      <c r="E5" s="100"/>
      <c r="G5" s="106">
        <f>IF(A5=0,0,D5/A5)</f>
        <v>0.26250000000000001</v>
      </c>
      <c r="H5" s="107"/>
      <c r="J5" s="99">
        <f>COUNTIF('02 Master Plan'!$S$6:$S$120,"Blocked")</f>
        <v>0</v>
      </c>
      <c r="K5" s="100"/>
    </row>
    <row r="6" spans="1:16">
      <c r="A6" s="101"/>
      <c r="B6" s="102"/>
      <c r="D6" s="101"/>
      <c r="E6" s="102"/>
      <c r="G6" s="108"/>
      <c r="H6" s="109"/>
      <c r="J6" s="101"/>
      <c r="K6" s="102"/>
    </row>
    <row r="7" spans="1:16">
      <c r="A7" s="98" t="s">
        <v>49</v>
      </c>
      <c r="B7" s="98"/>
      <c r="D7" s="98" t="s">
        <v>50</v>
      </c>
      <c r="E7" s="98"/>
      <c r="G7" s="98" t="s">
        <v>51</v>
      </c>
      <c r="H7" s="98"/>
      <c r="J7" s="98" t="s">
        <v>52</v>
      </c>
      <c r="K7" s="98"/>
    </row>
    <row r="8" spans="1:16">
      <c r="A8" s="99">
        <f>COUNTIFS('13 Owner TODOs'!$F$6:$F$80,"&lt;&gt;Done",'13 Owner TODOs'!$A$6:$A$80,"&lt;&gt;")</f>
        <v>15</v>
      </c>
      <c r="B8" s="100"/>
      <c r="D8" s="99">
        <f>COUNTIF('11 Test Evidence'!$H$6:$H$80,"Pass")</f>
        <v>6</v>
      </c>
      <c r="E8" s="100"/>
      <c r="G8" s="99">
        <f>COUNTIF('12 Decision Log'!$C$6:$C$60,"Baseline Approved")+COUNTIF('12 Decision Log'!$C$6:$C$60,"Approved")</f>
        <v>18</v>
      </c>
      <c r="H8" s="100"/>
      <c r="J8" s="99">
        <f>COUNTIFS('11 Test Evidence'!$C$6:$C$80,"Teardown",'11 Test Evidence'!$H$6:$H$80,"Pass")</f>
        <v>1</v>
      </c>
      <c r="K8" s="100"/>
    </row>
    <row r="9" spans="1:16">
      <c r="A9" s="101"/>
      <c r="B9" s="102"/>
      <c r="D9" s="101"/>
      <c r="E9" s="102"/>
      <c r="G9" s="101"/>
      <c r="H9" s="102"/>
      <c r="J9" s="101"/>
      <c r="K9" s="102"/>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8</v>
      </c>
      <c r="D14" s="13">
        <f t="shared" si="0"/>
        <v>0.61538461538461542</v>
      </c>
      <c r="E14" s="11">
        <f>COUNTIFS('02 Master Plan'!$B$6:$B$120,A14,'02 Master Plan'!$S$6:$S$120,"Blocked")</f>
        <v>0</v>
      </c>
      <c r="G14" t="str">
        <f t="shared" si="1"/>
        <v>Week 2</v>
      </c>
      <c r="H14" s="14">
        <f t="shared" si="2"/>
        <v>0.61538461538461542</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70"/>
      <c r="C21" s="70"/>
      <c r="D21" s="70"/>
      <c r="E21" s="70"/>
      <c r="F21" s="70"/>
      <c r="G21" s="70"/>
      <c r="H21" s="61"/>
    </row>
    <row r="22" spans="1:8" ht="30" customHeight="1">
      <c r="A22" s="103" t="s">
        <v>62</v>
      </c>
      <c r="B22" s="104"/>
      <c r="C22" s="104"/>
      <c r="D22" s="104"/>
      <c r="E22" s="104"/>
      <c r="F22" s="104"/>
      <c r="G22" s="104"/>
      <c r="H22" s="105"/>
    </row>
    <row r="23" spans="1:8" ht="30" customHeight="1">
      <c r="A23" s="92" t="s">
        <v>63</v>
      </c>
      <c r="B23" s="93"/>
      <c r="C23" s="93"/>
      <c r="D23" s="93"/>
      <c r="E23" s="93"/>
      <c r="F23" s="93"/>
      <c r="G23" s="93"/>
      <c r="H23" s="94"/>
    </row>
    <row r="24" spans="1:8" ht="30" customHeight="1">
      <c r="A24" s="92" t="s">
        <v>64</v>
      </c>
      <c r="B24" s="93"/>
      <c r="C24" s="93"/>
      <c r="D24" s="93"/>
      <c r="E24" s="93"/>
      <c r="F24" s="93"/>
      <c r="G24" s="93"/>
      <c r="H24" s="94"/>
    </row>
    <row r="25" spans="1:8" ht="30" customHeight="1">
      <c r="A25" s="92" t="s">
        <v>65</v>
      </c>
      <c r="B25" s="93"/>
      <c r="C25" s="93"/>
      <c r="D25" s="93"/>
      <c r="E25" s="93"/>
      <c r="F25" s="93"/>
      <c r="G25" s="93"/>
      <c r="H25" s="94"/>
    </row>
    <row r="26" spans="1:8" ht="30" customHeight="1">
      <c r="A26" s="95" t="s">
        <v>66</v>
      </c>
      <c r="B26" s="96"/>
      <c r="C26" s="96"/>
      <c r="D26" s="96"/>
      <c r="E26" s="96"/>
      <c r="F26" s="96"/>
      <c r="G26" s="96"/>
      <c r="H26" s="97"/>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F2" workbookViewId="0">
      <selection activeCell="S24" sqref="S24"/>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303</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303</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303</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303</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303</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0.56521739130434778</v>
      </c>
      <c r="B5" s="63"/>
      <c r="D5" s="66">
        <f>COUNTIF(O10:O40,"Blocked")</f>
        <v>0</v>
      </c>
      <c r="E5" s="67"/>
      <c r="G5" s="71" t="s">
        <v>993</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abSelected="1" topLeftCell="I13" workbookViewId="0">
      <selection activeCell="O14" sqref="O14"/>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0.36363636363636365</v>
      </c>
      <c r="B5" s="63"/>
      <c r="D5" s="66">
        <f>COUNTIF(O10:O40,"Blocked")</f>
        <v>0</v>
      </c>
      <c r="E5" s="67"/>
      <c r="G5" s="71" t="s">
        <v>1045</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2609</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2609</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303</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303</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t="s">
        <v>303</v>
      </c>
      <c r="P22" s="29" t="s">
        <v>392</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1"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1070</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1091</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1112</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1137</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F18" workbookViewId="0">
      <selection activeCell="G18" sqref="G18"/>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2435</v>
      </c>
      <c r="M18" s="23" t="s">
        <v>2436</v>
      </c>
      <c r="N18" s="22" t="s">
        <v>2437</v>
      </c>
    </row>
    <row r="19" spans="1:14" ht="409.6">
      <c r="A19" s="22" t="s">
        <v>369</v>
      </c>
      <c r="B19" s="22" t="s">
        <v>37</v>
      </c>
      <c r="C19" s="22" t="s">
        <v>1062</v>
      </c>
      <c r="D19" s="22" t="s">
        <v>1063</v>
      </c>
      <c r="E19" s="22" t="s">
        <v>1064</v>
      </c>
      <c r="F19" s="22" t="s">
        <v>2438</v>
      </c>
      <c r="G19" s="22" t="s">
        <v>2439</v>
      </c>
      <c r="H19" s="22" t="s">
        <v>2440</v>
      </c>
      <c r="I19" s="22" t="s">
        <v>2441</v>
      </c>
      <c r="J19" s="22" t="s">
        <v>2442</v>
      </c>
      <c r="K19" s="22" t="s">
        <v>364</v>
      </c>
      <c r="L19" s="22" t="s">
        <v>2443</v>
      </c>
      <c r="M19" s="22" t="s">
        <v>2444</v>
      </c>
      <c r="N19" s="55" t="s">
        <v>2312</v>
      </c>
    </row>
    <row r="20" spans="1:14" ht="409.6">
      <c r="A20" s="23" t="s">
        <v>397</v>
      </c>
      <c r="B20" s="23" t="s">
        <v>57</v>
      </c>
      <c r="C20" s="23" t="s">
        <v>1071</v>
      </c>
      <c r="D20" s="23" t="s">
        <v>1072</v>
      </c>
      <c r="E20" s="23" t="s">
        <v>1073</v>
      </c>
      <c r="F20" s="23" t="s">
        <v>2388</v>
      </c>
      <c r="G20" s="23" t="s">
        <v>2445</v>
      </c>
      <c r="H20" s="23" t="s">
        <v>2390</v>
      </c>
      <c r="I20" s="23" t="s">
        <v>2446</v>
      </c>
      <c r="J20" s="23" t="s">
        <v>2379</v>
      </c>
      <c r="K20" s="23" t="s">
        <v>2447</v>
      </c>
      <c r="L20" s="23" t="s">
        <v>2448</v>
      </c>
      <c r="M20" s="23" t="s">
        <v>2300</v>
      </c>
      <c r="N20" s="22" t="s">
        <v>2449</v>
      </c>
    </row>
    <row r="21" spans="1:14" ht="409.6">
      <c r="A21" s="22" t="s">
        <v>457</v>
      </c>
      <c r="B21" s="22" t="s">
        <v>57</v>
      </c>
      <c r="C21" s="22" t="s">
        <v>1075</v>
      </c>
      <c r="D21" s="22" t="s">
        <v>1076</v>
      </c>
      <c r="E21" s="22" t="s">
        <v>1077</v>
      </c>
      <c r="F21" s="22" t="s">
        <v>2388</v>
      </c>
      <c r="G21" s="22" t="s">
        <v>2450</v>
      </c>
      <c r="H21" s="22" t="s">
        <v>2390</v>
      </c>
      <c r="I21" s="22" t="s">
        <v>2451</v>
      </c>
      <c r="J21" s="22" t="s">
        <v>2379</v>
      </c>
      <c r="K21" s="22" t="s">
        <v>2452</v>
      </c>
      <c r="L21" s="22" t="s">
        <v>2453</v>
      </c>
      <c r="M21" s="22" t="s">
        <v>2301</v>
      </c>
      <c r="N21" s="55" t="s">
        <v>2454</v>
      </c>
    </row>
    <row r="22" spans="1:14" ht="409.6">
      <c r="A22" s="23" t="s">
        <v>445</v>
      </c>
      <c r="B22" s="23" t="s">
        <v>57</v>
      </c>
      <c r="C22" s="23" t="s">
        <v>1079</v>
      </c>
      <c r="D22" s="23" t="s">
        <v>1080</v>
      </c>
      <c r="E22" s="23" t="s">
        <v>1081</v>
      </c>
      <c r="F22" s="23" t="s">
        <v>2388</v>
      </c>
      <c r="G22" s="23" t="s">
        <v>2455</v>
      </c>
      <c r="H22" s="23" t="s">
        <v>2390</v>
      </c>
      <c r="I22" s="23" t="s">
        <v>2456</v>
      </c>
      <c r="J22" s="23" t="s">
        <v>2379</v>
      </c>
      <c r="K22" s="23" t="s">
        <v>2457</v>
      </c>
      <c r="L22" s="23" t="s">
        <v>2458</v>
      </c>
      <c r="M22" s="23" t="s">
        <v>2459</v>
      </c>
      <c r="N22" s="22" t="s">
        <v>2460</v>
      </c>
    </row>
    <row r="23" spans="1:14" ht="409.6">
      <c r="A23" s="22" t="s">
        <v>514</v>
      </c>
      <c r="B23" s="22" t="s">
        <v>57</v>
      </c>
      <c r="C23" s="22" t="s">
        <v>1083</v>
      </c>
      <c r="D23" s="22" t="s">
        <v>1084</v>
      </c>
      <c r="E23" s="22" t="s">
        <v>1085</v>
      </c>
      <c r="F23" s="22" t="s">
        <v>2388</v>
      </c>
      <c r="G23" s="22" t="s">
        <v>2461</v>
      </c>
      <c r="H23" s="22" t="s">
        <v>2390</v>
      </c>
      <c r="I23" s="22" t="s">
        <v>2462</v>
      </c>
      <c r="J23" s="22" t="s">
        <v>2379</v>
      </c>
      <c r="K23" s="22" t="s">
        <v>510</v>
      </c>
      <c r="L23" s="22" t="s">
        <v>2463</v>
      </c>
      <c r="M23" s="22" t="s">
        <v>2464</v>
      </c>
      <c r="N23" s="55" t="s">
        <v>2465</v>
      </c>
    </row>
    <row r="24" spans="1:14" ht="409.6">
      <c r="A24" s="23" t="s">
        <v>543</v>
      </c>
      <c r="B24" s="23" t="s">
        <v>58</v>
      </c>
      <c r="C24" s="23" t="s">
        <v>1092</v>
      </c>
      <c r="D24" s="23" t="s">
        <v>1093</v>
      </c>
      <c r="E24" s="23" t="s">
        <v>1094</v>
      </c>
      <c r="F24" s="23" t="s">
        <v>2388</v>
      </c>
      <c r="G24" s="23" t="s">
        <v>2466</v>
      </c>
      <c r="H24" s="23" t="s">
        <v>2390</v>
      </c>
      <c r="I24" s="23" t="s">
        <v>2467</v>
      </c>
      <c r="J24" s="23" t="s">
        <v>2379</v>
      </c>
      <c r="K24" s="23" t="s">
        <v>2468</v>
      </c>
      <c r="L24" s="23" t="s">
        <v>2469</v>
      </c>
      <c r="M24" s="23" t="s">
        <v>2302</v>
      </c>
      <c r="N24" s="22" t="s">
        <v>2470</v>
      </c>
    </row>
    <row r="25" spans="1:14" ht="409.6">
      <c r="A25" s="22" t="s">
        <v>564</v>
      </c>
      <c r="B25" s="22" t="s">
        <v>58</v>
      </c>
      <c r="C25" s="22" t="s">
        <v>1096</v>
      </c>
      <c r="D25" s="22" t="s">
        <v>1097</v>
      </c>
      <c r="E25" s="22" t="s">
        <v>1098</v>
      </c>
      <c r="F25" s="22" t="s">
        <v>2388</v>
      </c>
      <c r="G25" s="22" t="s">
        <v>2471</v>
      </c>
      <c r="H25" s="22" t="s">
        <v>2390</v>
      </c>
      <c r="I25" s="22" t="s">
        <v>2472</v>
      </c>
      <c r="J25" s="22" t="s">
        <v>2379</v>
      </c>
      <c r="K25" s="22" t="s">
        <v>2473</v>
      </c>
      <c r="L25" s="22" t="s">
        <v>2474</v>
      </c>
      <c r="M25" s="22" t="s">
        <v>2303</v>
      </c>
      <c r="N25" s="55" t="s">
        <v>2475</v>
      </c>
    </row>
    <row r="26" spans="1:14" ht="409.6">
      <c r="A26" s="23" t="s">
        <v>490</v>
      </c>
      <c r="B26" s="23" t="s">
        <v>58</v>
      </c>
      <c r="C26" s="23" t="s">
        <v>1100</v>
      </c>
      <c r="D26" s="23" t="s">
        <v>1101</v>
      </c>
      <c r="E26" s="23" t="s">
        <v>1102</v>
      </c>
      <c r="F26" s="23" t="s">
        <v>2388</v>
      </c>
      <c r="G26" s="23" t="s">
        <v>2476</v>
      </c>
      <c r="H26" s="23" t="s">
        <v>2390</v>
      </c>
      <c r="I26" s="23" t="s">
        <v>2477</v>
      </c>
      <c r="J26" s="23" t="s">
        <v>2379</v>
      </c>
      <c r="K26" s="23" t="s">
        <v>2478</v>
      </c>
      <c r="L26" s="23" t="s">
        <v>2479</v>
      </c>
      <c r="M26" s="23" t="s">
        <v>2304</v>
      </c>
      <c r="N26" s="22" t="s">
        <v>2480</v>
      </c>
    </row>
    <row r="27" spans="1:14" ht="409.6">
      <c r="A27" s="22" t="s">
        <v>655</v>
      </c>
      <c r="B27" s="22" t="s">
        <v>58</v>
      </c>
      <c r="C27" s="22" t="s">
        <v>1104</v>
      </c>
      <c r="D27" s="22" t="s">
        <v>1105</v>
      </c>
      <c r="E27" s="22" t="s">
        <v>1106</v>
      </c>
      <c r="F27" s="22" t="s">
        <v>2388</v>
      </c>
      <c r="G27" s="22" t="s">
        <v>2481</v>
      </c>
      <c r="H27" s="22" t="s">
        <v>2390</v>
      </c>
      <c r="I27" s="22" t="s">
        <v>2482</v>
      </c>
      <c r="J27" s="22" t="s">
        <v>2379</v>
      </c>
      <c r="K27" s="22" t="s">
        <v>651</v>
      </c>
      <c r="L27" s="22" t="s">
        <v>2483</v>
      </c>
      <c r="M27" s="22" t="s">
        <v>2484</v>
      </c>
      <c r="N27" s="55" t="s">
        <v>2485</v>
      </c>
    </row>
    <row r="28" spans="1:14" ht="409.6">
      <c r="A28" s="23" t="s">
        <v>684</v>
      </c>
      <c r="B28" s="23" t="s">
        <v>59</v>
      </c>
      <c r="C28" s="23" t="s">
        <v>1113</v>
      </c>
      <c r="D28" s="23" t="s">
        <v>1114</v>
      </c>
      <c r="E28" s="23" t="s">
        <v>1115</v>
      </c>
      <c r="F28" s="23" t="s">
        <v>2375</v>
      </c>
      <c r="G28" s="23" t="s">
        <v>2486</v>
      </c>
      <c r="H28" s="23" t="s">
        <v>2377</v>
      </c>
      <c r="I28" s="23" t="s">
        <v>2487</v>
      </c>
      <c r="J28" s="23" t="s">
        <v>2379</v>
      </c>
      <c r="K28" s="23" t="s">
        <v>680</v>
      </c>
      <c r="L28" s="23" t="s">
        <v>2488</v>
      </c>
      <c r="M28" s="23" t="s">
        <v>2489</v>
      </c>
      <c r="N28" s="22" t="s">
        <v>2490</v>
      </c>
    </row>
    <row r="29" spans="1:14" ht="409.6">
      <c r="A29" s="22" t="s">
        <v>696</v>
      </c>
      <c r="B29" s="22" t="s">
        <v>59</v>
      </c>
      <c r="C29" s="22" t="s">
        <v>1117</v>
      </c>
      <c r="D29" s="22" t="s">
        <v>1118</v>
      </c>
      <c r="E29" s="22" t="s">
        <v>1119</v>
      </c>
      <c r="F29" s="22" t="s">
        <v>2388</v>
      </c>
      <c r="G29" s="22" t="s">
        <v>2491</v>
      </c>
      <c r="H29" s="22" t="s">
        <v>2390</v>
      </c>
      <c r="I29" s="22" t="s">
        <v>2492</v>
      </c>
      <c r="J29" s="22" t="s">
        <v>2379</v>
      </c>
      <c r="K29" s="22" t="s">
        <v>2493</v>
      </c>
      <c r="L29" s="22" t="s">
        <v>2494</v>
      </c>
      <c r="M29" s="22" t="s">
        <v>2305</v>
      </c>
      <c r="N29" s="55" t="s">
        <v>2495</v>
      </c>
    </row>
    <row r="30" spans="1:14" ht="409.6">
      <c r="A30" s="23" t="s">
        <v>755</v>
      </c>
      <c r="B30" s="23" t="s">
        <v>59</v>
      </c>
      <c r="C30" s="23" t="s">
        <v>1121</v>
      </c>
      <c r="D30" s="23" t="s">
        <v>1122</v>
      </c>
      <c r="E30" s="23" t="s">
        <v>1123</v>
      </c>
      <c r="F30" s="23" t="s">
        <v>2388</v>
      </c>
      <c r="G30" s="23" t="s">
        <v>2496</v>
      </c>
      <c r="H30" s="23" t="s">
        <v>2390</v>
      </c>
      <c r="I30" s="23" t="s">
        <v>2497</v>
      </c>
      <c r="J30" s="23" t="s">
        <v>2379</v>
      </c>
      <c r="K30" s="23" t="s">
        <v>2498</v>
      </c>
      <c r="L30" s="23" t="s">
        <v>2499</v>
      </c>
      <c r="M30" s="23" t="s">
        <v>2306</v>
      </c>
      <c r="N30" s="22" t="s">
        <v>2500</v>
      </c>
    </row>
    <row r="31" spans="1:14" ht="409.6">
      <c r="A31" s="22" t="s">
        <v>742</v>
      </c>
      <c r="B31" s="22" t="s">
        <v>59</v>
      </c>
      <c r="C31" s="22" t="s">
        <v>1125</v>
      </c>
      <c r="D31" s="22" t="s">
        <v>1126</v>
      </c>
      <c r="E31" s="22" t="s">
        <v>1127</v>
      </c>
      <c r="F31" s="22" t="s">
        <v>2388</v>
      </c>
      <c r="G31" s="22" t="s">
        <v>2501</v>
      </c>
      <c r="H31" s="22" t="s">
        <v>2390</v>
      </c>
      <c r="I31" s="22" t="s">
        <v>2502</v>
      </c>
      <c r="J31" s="22" t="s">
        <v>2379</v>
      </c>
      <c r="K31" s="22" t="s">
        <v>738</v>
      </c>
      <c r="L31" s="22" t="s">
        <v>2503</v>
      </c>
      <c r="M31" s="22" t="s">
        <v>2504</v>
      </c>
      <c r="N31" s="55" t="s">
        <v>2505</v>
      </c>
    </row>
    <row r="32" spans="1:14" ht="409.6">
      <c r="A32" s="23" t="s">
        <v>777</v>
      </c>
      <c r="B32" s="23" t="s">
        <v>59</v>
      </c>
      <c r="C32" s="23" t="s">
        <v>1129</v>
      </c>
      <c r="D32" s="23" t="s">
        <v>1130</v>
      </c>
      <c r="E32" s="23" t="s">
        <v>1131</v>
      </c>
      <c r="F32" s="23" t="s">
        <v>2388</v>
      </c>
      <c r="G32" s="23" t="s">
        <v>2506</v>
      </c>
      <c r="H32" s="23" t="s">
        <v>2390</v>
      </c>
      <c r="I32" s="23" t="s">
        <v>2507</v>
      </c>
      <c r="J32" s="23" t="s">
        <v>2379</v>
      </c>
      <c r="K32" s="23" t="s">
        <v>2508</v>
      </c>
      <c r="L32" s="23" t="s">
        <v>2509</v>
      </c>
      <c r="M32" s="23" t="s">
        <v>2307</v>
      </c>
      <c r="N32" s="22" t="s">
        <v>2510</v>
      </c>
    </row>
    <row r="33" spans="1:14" ht="409.6">
      <c r="A33" s="22" t="s">
        <v>850</v>
      </c>
      <c r="B33" s="22" t="s">
        <v>60</v>
      </c>
      <c r="C33" s="22" t="s">
        <v>1138</v>
      </c>
      <c r="D33" s="22" t="s">
        <v>1139</v>
      </c>
      <c r="E33" s="22" t="s">
        <v>1140</v>
      </c>
      <c r="F33" s="22" t="s">
        <v>2388</v>
      </c>
      <c r="G33" s="22" t="s">
        <v>2511</v>
      </c>
      <c r="H33" s="22" t="s">
        <v>2390</v>
      </c>
      <c r="I33" s="22" t="s">
        <v>2512</v>
      </c>
      <c r="J33" s="22" t="s">
        <v>2379</v>
      </c>
      <c r="K33" s="22" t="s">
        <v>2513</v>
      </c>
      <c r="L33" s="22" t="s">
        <v>2514</v>
      </c>
      <c r="M33" s="22" t="s">
        <v>2308</v>
      </c>
      <c r="N33" s="55" t="s">
        <v>2515</v>
      </c>
    </row>
    <row r="34" spans="1:14" ht="409.6">
      <c r="A34" s="23" t="s">
        <v>895</v>
      </c>
      <c r="B34" s="23" t="s">
        <v>60</v>
      </c>
      <c r="C34" s="23" t="s">
        <v>1142</v>
      </c>
      <c r="D34" s="23" t="s">
        <v>1143</v>
      </c>
      <c r="E34" s="23" t="s">
        <v>1144</v>
      </c>
      <c r="F34" s="23" t="s">
        <v>2388</v>
      </c>
      <c r="G34" s="23" t="s">
        <v>2516</v>
      </c>
      <c r="H34" s="23" t="s">
        <v>2390</v>
      </c>
      <c r="I34" s="23" t="s">
        <v>2517</v>
      </c>
      <c r="J34" s="23" t="s">
        <v>2379</v>
      </c>
      <c r="K34" s="23" t="s">
        <v>2518</v>
      </c>
      <c r="L34" s="23" t="s">
        <v>2519</v>
      </c>
      <c r="M34" s="23" t="s">
        <v>2520</v>
      </c>
      <c r="N34" s="22" t="s">
        <v>2521</v>
      </c>
    </row>
    <row r="35" spans="1:14" ht="409.6">
      <c r="A35" s="22" t="s">
        <v>942</v>
      </c>
      <c r="B35" s="22" t="s">
        <v>60</v>
      </c>
      <c r="C35" s="22" t="s">
        <v>1146</v>
      </c>
      <c r="D35" s="22" t="s">
        <v>1147</v>
      </c>
      <c r="E35" s="22" t="s">
        <v>1148</v>
      </c>
      <c r="F35" s="22" t="s">
        <v>2388</v>
      </c>
      <c r="G35" s="22" t="s">
        <v>2522</v>
      </c>
      <c r="H35" s="22" t="s">
        <v>2390</v>
      </c>
      <c r="I35" s="22" t="s">
        <v>2523</v>
      </c>
      <c r="J35" s="22" t="s">
        <v>2379</v>
      </c>
      <c r="K35" s="22" t="s">
        <v>2524</v>
      </c>
      <c r="L35" s="22" t="s">
        <v>2525</v>
      </c>
      <c r="M35" s="22" t="s">
        <v>2309</v>
      </c>
      <c r="N35" s="55" t="s">
        <v>2526</v>
      </c>
    </row>
    <row r="36" spans="1:14" ht="409.6">
      <c r="A36" s="23" t="s">
        <v>2324</v>
      </c>
      <c r="B36" s="23" t="s">
        <v>56</v>
      </c>
      <c r="C36" s="23" t="s">
        <v>2527</v>
      </c>
      <c r="D36" s="23" t="s">
        <v>2528</v>
      </c>
      <c r="E36" s="23" t="s">
        <v>2529</v>
      </c>
      <c r="F36" s="23" t="s">
        <v>2530</v>
      </c>
      <c r="G36" s="23" t="s">
        <v>2531</v>
      </c>
      <c r="H36" s="23" t="s">
        <v>2377</v>
      </c>
      <c r="I36" s="23" t="s">
        <v>2532</v>
      </c>
      <c r="J36" s="23" t="s">
        <v>2379</v>
      </c>
      <c r="K36" s="23" t="s">
        <v>225</v>
      </c>
      <c r="L36" s="23" t="s">
        <v>2533</v>
      </c>
      <c r="M36" s="23" t="s">
        <v>2534</v>
      </c>
      <c r="N36" s="22" t="s">
        <v>2535</v>
      </c>
    </row>
    <row r="37" spans="1:14" ht="409.6">
      <c r="A37" s="23" t="s">
        <v>2331</v>
      </c>
      <c r="B37" s="23" t="s">
        <v>37</v>
      </c>
      <c r="C37" s="23" t="s">
        <v>2536</v>
      </c>
      <c r="D37" s="23" t="s">
        <v>2537</v>
      </c>
      <c r="E37" s="23" t="s">
        <v>2538</v>
      </c>
      <c r="F37" s="23" t="s">
        <v>2530</v>
      </c>
      <c r="G37" s="23" t="s">
        <v>2539</v>
      </c>
      <c r="H37" s="23" t="s">
        <v>2377</v>
      </c>
      <c r="I37" s="23" t="s">
        <v>2540</v>
      </c>
      <c r="J37" s="23" t="s">
        <v>2379</v>
      </c>
      <c r="K37" s="23" t="s">
        <v>376</v>
      </c>
      <c r="L37" s="23" t="s">
        <v>2541</v>
      </c>
      <c r="M37" s="23" t="s">
        <v>2542</v>
      </c>
      <c r="N37" s="22" t="s">
        <v>2543</v>
      </c>
    </row>
    <row r="38" spans="1:14" ht="409.6">
      <c r="A38" s="23" t="s">
        <v>2334</v>
      </c>
      <c r="B38" s="23" t="s">
        <v>57</v>
      </c>
      <c r="C38" s="23" t="s">
        <v>2544</v>
      </c>
      <c r="D38" s="23" t="s">
        <v>2545</v>
      </c>
      <c r="E38" s="23" t="s">
        <v>2546</v>
      </c>
      <c r="F38" s="23" t="s">
        <v>2530</v>
      </c>
      <c r="G38" s="23" t="s">
        <v>2547</v>
      </c>
      <c r="H38" s="23" t="s">
        <v>2377</v>
      </c>
      <c r="I38" s="23" t="s">
        <v>2548</v>
      </c>
      <c r="J38" s="23" t="s">
        <v>2379</v>
      </c>
      <c r="K38" s="23" t="s">
        <v>521</v>
      </c>
      <c r="L38" s="23" t="s">
        <v>2549</v>
      </c>
      <c r="M38" s="23" t="s">
        <v>2550</v>
      </c>
      <c r="N38" s="22" t="s">
        <v>2551</v>
      </c>
    </row>
    <row r="39" spans="1:14" ht="409.6">
      <c r="A39" s="23" t="s">
        <v>2337</v>
      </c>
      <c r="B39" s="23" t="s">
        <v>58</v>
      </c>
      <c r="C39" s="23" t="s">
        <v>2552</v>
      </c>
      <c r="D39" s="23" t="s">
        <v>2553</v>
      </c>
      <c r="E39" s="23" t="s">
        <v>2554</v>
      </c>
      <c r="F39" s="23" t="s">
        <v>2530</v>
      </c>
      <c r="G39" s="23" t="s">
        <v>2555</v>
      </c>
      <c r="H39" s="23" t="s">
        <v>2377</v>
      </c>
      <c r="I39" s="23" t="s">
        <v>2556</v>
      </c>
      <c r="J39" s="23" t="s">
        <v>2379</v>
      </c>
      <c r="K39" s="23" t="s">
        <v>662</v>
      </c>
      <c r="L39" s="23" t="s">
        <v>2557</v>
      </c>
      <c r="M39" s="23" t="s">
        <v>2558</v>
      </c>
      <c r="N39" s="22" t="s">
        <v>2559</v>
      </c>
    </row>
    <row r="40" spans="1:14" ht="409.6">
      <c r="A40" s="23" t="s">
        <v>2345</v>
      </c>
      <c r="B40" s="23" t="s">
        <v>59</v>
      </c>
      <c r="C40" s="23" t="s">
        <v>2560</v>
      </c>
      <c r="D40" s="23" t="s">
        <v>2561</v>
      </c>
      <c r="E40" s="23" t="s">
        <v>2562</v>
      </c>
      <c r="F40" s="23" t="s">
        <v>2530</v>
      </c>
      <c r="G40" s="23" t="s">
        <v>2563</v>
      </c>
      <c r="H40" s="23" t="s">
        <v>2377</v>
      </c>
      <c r="I40" s="23" t="s">
        <v>2564</v>
      </c>
      <c r="J40" s="23" t="s">
        <v>2379</v>
      </c>
      <c r="K40" s="23" t="s">
        <v>815</v>
      </c>
      <c r="L40" s="23" t="s">
        <v>2565</v>
      </c>
      <c r="M40" s="23" t="s">
        <v>2566</v>
      </c>
      <c r="N40" s="22" t="s">
        <v>2567</v>
      </c>
    </row>
    <row r="41" spans="1:14" ht="409.6">
      <c r="A41" s="22" t="s">
        <v>2568</v>
      </c>
      <c r="B41" s="22" t="s">
        <v>1567</v>
      </c>
      <c r="C41" s="22" t="s">
        <v>2569</v>
      </c>
      <c r="D41" s="22" t="s">
        <v>2570</v>
      </c>
      <c r="E41" s="22" t="s">
        <v>2571</v>
      </c>
      <c r="F41" s="22" t="s">
        <v>2388</v>
      </c>
      <c r="G41" s="22" t="s">
        <v>2572</v>
      </c>
      <c r="H41" s="22" t="s">
        <v>2390</v>
      </c>
      <c r="I41" s="22" t="s">
        <v>2573</v>
      </c>
      <c r="J41" s="22" t="s">
        <v>2379</v>
      </c>
      <c r="K41" s="22" t="s">
        <v>1567</v>
      </c>
      <c r="L41" s="22" t="s">
        <v>2574</v>
      </c>
      <c r="M41" s="22" t="s">
        <v>2575</v>
      </c>
      <c r="N41" s="55" t="s">
        <v>2576</v>
      </c>
    </row>
    <row r="42" spans="1:14" ht="409.6">
      <c r="A42" s="23" t="s">
        <v>2577</v>
      </c>
      <c r="B42" s="23" t="s">
        <v>1567</v>
      </c>
      <c r="C42" s="23" t="s">
        <v>2578</v>
      </c>
      <c r="D42" s="23" t="s">
        <v>2579</v>
      </c>
      <c r="E42" s="23" t="s">
        <v>2580</v>
      </c>
      <c r="F42" s="23" t="s">
        <v>2388</v>
      </c>
      <c r="G42" s="23" t="s">
        <v>2581</v>
      </c>
      <c r="H42" s="23" t="s">
        <v>2390</v>
      </c>
      <c r="I42" s="23" t="s">
        <v>2582</v>
      </c>
      <c r="J42" s="23" t="s">
        <v>2379</v>
      </c>
      <c r="K42" s="23" t="s">
        <v>1567</v>
      </c>
      <c r="L42" s="23" t="s">
        <v>2583</v>
      </c>
      <c r="M42" s="23" t="s">
        <v>2584</v>
      </c>
      <c r="N42" s="22" t="s">
        <v>2585</v>
      </c>
    </row>
    <row r="43" spans="1:14" ht="409.6" customHeight="1">
      <c r="A43" s="27" t="s">
        <v>2586</v>
      </c>
      <c r="B43" s="27" t="s">
        <v>56</v>
      </c>
      <c r="C43" s="27" t="s">
        <v>2587</v>
      </c>
      <c r="D43" s="27" t="s">
        <v>2588</v>
      </c>
      <c r="E43" s="27" t="s">
        <v>2589</v>
      </c>
      <c r="F43" s="27" t="s">
        <v>2438</v>
      </c>
      <c r="G43" s="28" t="s">
        <v>2590</v>
      </c>
      <c r="H43" s="27" t="s">
        <v>2377</v>
      </c>
      <c r="I43" s="27" t="s">
        <v>2591</v>
      </c>
      <c r="J43" s="27" t="s">
        <v>2379</v>
      </c>
      <c r="K43" s="27" t="s">
        <v>2592</v>
      </c>
      <c r="L43" s="27" t="s">
        <v>2593</v>
      </c>
      <c r="M43" s="27" t="s">
        <v>2594</v>
      </c>
      <c r="N43" s="55" t="s">
        <v>2595</v>
      </c>
    </row>
    <row r="44" spans="1:14" ht="319.95" customHeight="1">
      <c r="A44" s="27" t="s">
        <v>241</v>
      </c>
      <c r="B44" s="27" t="s">
        <v>2596</v>
      </c>
      <c r="C44" s="27" t="s">
        <v>2597</v>
      </c>
      <c r="D44" s="27" t="s">
        <v>2598</v>
      </c>
      <c r="E44" s="27" t="s">
        <v>2599</v>
      </c>
      <c r="F44" s="27" t="s">
        <v>2600</v>
      </c>
      <c r="G44" s="27" t="s">
        <v>2601</v>
      </c>
      <c r="H44" s="27" t="s">
        <v>2310</v>
      </c>
      <c r="I44" s="27" t="s">
        <v>2602</v>
      </c>
      <c r="J44" s="27" t="s">
        <v>2442</v>
      </c>
      <c r="K44" s="27" t="s">
        <v>2603</v>
      </c>
      <c r="L44" s="27" t="s">
        <v>2604</v>
      </c>
      <c r="M44" s="27" t="s">
        <v>2311</v>
      </c>
      <c r="N44" s="22" t="s">
        <v>2313</v>
      </c>
    </row>
  </sheetData>
  <mergeCells count="2">
    <mergeCell ref="A1:J1"/>
    <mergeCell ref="A2:J2"/>
  </mergeCells>
  <conditionalFormatting sqref="J6:J44">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44"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2605</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2606</v>
      </c>
      <c r="F25" s="11" t="s">
        <v>1385</v>
      </c>
      <c r="G25" s="11" t="s">
        <v>1386</v>
      </c>
      <c r="H25" s="11" t="s">
        <v>1320</v>
      </c>
      <c r="I25" s="18"/>
      <c r="J25" s="11"/>
      <c r="K25" s="11"/>
      <c r="L25" s="11"/>
    </row>
    <row r="26" spans="1:12" ht="182.4">
      <c r="A26" s="11" t="s">
        <v>1387</v>
      </c>
      <c r="B26" s="11" t="s">
        <v>59</v>
      </c>
      <c r="C26" s="11" t="s">
        <v>1388</v>
      </c>
      <c r="D26" s="11" t="s">
        <v>1389</v>
      </c>
      <c r="E26" s="11" t="s">
        <v>2607</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2608</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303</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303</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303</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70"/>
      <c r="C4" s="70"/>
      <c r="D4" s="70"/>
      <c r="E4" s="70"/>
      <c r="F4" s="70"/>
      <c r="G4" s="70"/>
      <c r="H4" s="7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In progress</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2026-08-25T07:00:29Z</dcterms:modified>
</cp:coreProperties>
</file>