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13_ncr:20001_{FE393337-111D-4904-9B23-42DC3055DBA3}" xr6:coauthVersionLast="47" xr6:coauthVersionMax="47" xr10:uidLastSave="{00000000-0000-0000-0000-000000000000}"/>
  <bookViews>
    <workbookView xWindow="-108" yWindow="-108" windowWidth="23256" windowHeight="13896" tabRatio="843" firstSheet="6" activeTab="10"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9" l="1"/>
  <c r="H17" i="19"/>
  <c r="H16" i="19"/>
  <c r="H15" i="19"/>
  <c r="H14" i="19"/>
  <c r="H13" i="19"/>
  <c r="D5" i="9"/>
  <c r="A5" i="9"/>
  <c r="D5" i="8"/>
  <c r="A5" i="8"/>
  <c r="D5" i="7"/>
  <c r="A5" i="7"/>
  <c r="D5" i="6"/>
  <c r="A5" i="6"/>
  <c r="D5" i="5"/>
  <c r="A5" i="5"/>
  <c r="D5" i="4"/>
  <c r="A5" i="4"/>
  <c r="G18" i="2"/>
  <c r="E18" i="2"/>
  <c r="C18" i="2"/>
  <c r="B18" i="2"/>
  <c r="D18" i="2" s="1"/>
  <c r="H18" i="2" s="1"/>
  <c r="H17" i="2"/>
  <c r="G17" i="2"/>
  <c r="E17" i="2"/>
  <c r="D17" i="2"/>
  <c r="C17" i="2"/>
  <c r="B17" i="2"/>
  <c r="G16" i="2"/>
  <c r="E16" i="2"/>
  <c r="C16" i="2"/>
  <c r="B16" i="2"/>
  <c r="D16" i="2" s="1"/>
  <c r="H16" i="2" s="1"/>
  <c r="G15" i="2"/>
  <c r="E15" i="2"/>
  <c r="C15" i="2"/>
  <c r="B15" i="2"/>
  <c r="D15" i="2" s="1"/>
  <c r="H15" i="2" s="1"/>
  <c r="G14" i="2"/>
  <c r="E14" i="2"/>
  <c r="C14" i="2"/>
  <c r="D14" i="2" s="1"/>
  <c r="H14" i="2" s="1"/>
  <c r="B14" i="2"/>
  <c r="G13" i="2"/>
  <c r="E13" i="2"/>
  <c r="C13" i="2"/>
  <c r="B13" i="2"/>
  <c r="D13" i="2" s="1"/>
  <c r="H13" i="2" s="1"/>
  <c r="J8" i="2"/>
  <c r="G8" i="2"/>
  <c r="D8" i="2"/>
  <c r="A8" i="2"/>
  <c r="J5" i="2"/>
  <c r="G5" i="2"/>
  <c r="D5" i="2"/>
  <c r="A5" i="2"/>
</calcChain>
</file>

<file path=xl/sharedStrings.xml><?xml version="1.0" encoding="utf-8"?>
<sst xmlns="http://schemas.openxmlformats.org/spreadsheetml/2006/main" count="5397" uniqueCount="2565">
  <si>
    <t>How to use the workbook</t>
  </si>
  <si>
    <t>Operating rules</t>
  </si>
  <si>
    <t>MUST — required for the six-week MVP and weekly gate.</t>
  </si>
  <si>
    <t>SHOULD — hardening or AWS deployment value; defer only with owner-recorded risk.</t>
  </si>
  <si>
    <t>OPTIONAL — learn/adopt only when a measured requirement justifies cost/complexity.</t>
  </si>
  <si>
    <t>Editable project inputs — owner maintained</t>
  </si>
  <si>
    <t>Project start date</t>
  </si>
  <si>
    <t>Owner</t>
  </si>
  <si>
    <t>Gyan Prakash Rai</t>
  </si>
  <si>
    <t>Current week</t>
  </si>
  <si>
    <t>Week 1</t>
  </si>
  <si>
    <t>Monthly sandbox budget</t>
  </si>
  <si>
    <t>TODO</t>
  </si>
  <si>
    <t>Execution Dashboard</t>
  </si>
  <si>
    <t>Total steps</t>
  </si>
  <si>
    <t>Done</t>
  </si>
  <si>
    <t>Overall progress</t>
  </si>
  <si>
    <t>Blocked</t>
  </si>
  <si>
    <t>Open owner TODOs</t>
  </si>
  <si>
    <t>Tests passed</t>
  </si>
  <si>
    <t>Decisions approved</t>
  </si>
  <si>
    <t>Lifecycle tests passed</t>
  </si>
  <si>
    <t>Week</t>
  </si>
  <si>
    <t>Total</t>
  </si>
  <si>
    <t>Progress</t>
  </si>
  <si>
    <t>Week 2</t>
  </si>
  <si>
    <t>Week 3</t>
  </si>
  <si>
    <t>Week 4</t>
  </si>
  <si>
    <t>Week 5</t>
  </si>
  <si>
    <t>Week 6</t>
  </si>
  <si>
    <t>Weekly gate interpretation</t>
  </si>
  <si>
    <t>READY: every MUST task is Done, tests have evidence and the owner signs off.</t>
  </si>
  <si>
    <t>BLOCKED: stop new prompts; resolve the dependency or explicitly defer with risk/owner/date.</t>
  </si>
  <si>
    <t>Cloud mutations remain manual even when every automated gate passes.</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</si>
  <si>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</si>
  <si>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</si>
  <si>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</si>
  <si>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</si>
  <si>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</si>
  <si>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</si>
  <si>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</si>
  <si>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Week 3 — Cited RAG</t>
  </si>
  <si>
    <t>Cited RAG: provider-neutral LLM, Bedrock adapter, citations/abstention, guardrails, golden evaluation and regression rollback.</t>
  </si>
  <si>
    <t>A query returns a grounded cited answer or safe abstention; regression/security/rollback tests pass.</t>
  </si>
  <si>
    <t>Week 4 — API and Agent</t>
  </si>
  <si>
    <t>Controlled API and agent: FastAPI, LangGraph, budgets, human approval, redacted state, telemetry and release rollback.</t>
  </si>
  <si>
    <t>Write action cannot execute without policy and durable approval; previous release restores successfully.</t>
  </si>
  <si>
    <t>Week 5 — AWS Lifecycle</t>
  </si>
  <si>
    <t>AWS lifecycle proof: Terraform/policy/CI, reviewed plans, short-lived identity, deploy/rollback/teardown capability and orphan scan.</t>
  </si>
  <si>
    <t>Terraform/policy/plan/lifecycle evidence passes; no plaintext secret or unexpected unmanaged resource.</t>
  </si>
  <si>
    <t>Week 6 — EKS and SRE</t>
  </si>
  <si>
    <t>EKS/SRE final proof: immutable workload, identity/network/resilience, SLOs/runbook/chaos, rollback and complete teardown.</t>
  </si>
  <si>
    <t>End-to-end RAG meets gates; release rollback and full teardown/cleanliness proof are signed.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</si>
  <si>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</si>
  <si>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</si>
  <si>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</si>
  <si>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</si>
  <si>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</si>
  <si>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</si>
  <si>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</si>
  <si>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</si>
  <si>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</si>
  <si>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</si>
  <si>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</si>
  <si>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</si>
  <si>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</si>
  <si>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</si>
  <si>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</si>
  <si>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</si>
  <si>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</si>
  <si>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</si>
  <si>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</si>
  <si>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</si>
  <si>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</si>
  <si>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</si>
  <si>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ADR-006, ADR-017</t>
  </si>
  <si>
    <t>Bad files are quarantined; retries are bounded.</t>
  </si>
  <si>
    <t>Idempotency/quarantine evidence</t>
  </si>
  <si>
    <t>Sentence Transformers</t>
  </si>
  <si>
    <t>Converts text meaning to normalized vectors.</t>
  </si>
  <si>
    <t>Local CPU adapter</t>
  </si>
  <si>
    <t>ADR-002</t>
  </si>
  <si>
    <t>Dimension/model mismatch fails before upsert.</t>
  </si>
  <si>
    <t>Embedder unit tests</t>
  </si>
  <si>
    <t>Qdrant</t>
  </si>
  <si>
    <t>Local searchable catalogue for development/integration.</t>
  </si>
  <si>
    <t>MUST local</t>
  </si>
  <si>
    <t>ADR-003</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</si>
  <si>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</si>
  <si>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</si>
  <si>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</si>
  <si>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</si>
  <si>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</si>
  <si>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</si>
  <si>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</si>
  <si>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</si>
  <si>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</si>
  <si>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</si>
  <si>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</si>
  <si>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ADR-007</t>
  </si>
  <si>
    <t>Deadline/size/concurrency errors are normalized.</t>
  </si>
  <si>
    <t>API unit/smoke tests</t>
  </si>
  <si>
    <t>Identity + metadata policy</t>
  </si>
  <si>
    <t>Security desk checking who may retrieve or act.</t>
  </si>
  <si>
    <t>Authorize before retrieval/action</t>
  </si>
  <si>
    <t>Weeks 2,4</t>
  </si>
  <si>
    <t>ADR-006</t>
  </si>
  <si>
    <t>Deny before calling retriever or tool.</t>
  </si>
  <si>
    <t>Tenant/auth security tests</t>
  </si>
  <si>
    <t>Retriever interface</t>
  </si>
  <si>
    <t>Finds authorized evidence without leaking vendor types.</t>
  </si>
  <si>
    <t>Qdrant/OpenSearch adapters</t>
  </si>
  <si>
    <t>Weeks 2,3</t>
  </si>
  <si>
    <t>ADR-002, ADR-003</t>
  </si>
  <si>
    <t>Abstain/control-error when evidence/dependency is insufficient.</t>
  </si>
  <si>
    <t>Backend contract + recall@5</t>
  </si>
  <si>
    <t>Bedrock LLM adapter</t>
  </si>
  <si>
    <t>Language expert drafts from supplied evidence.</t>
  </si>
  <si>
    <t>Primary AWS LLM boundary</t>
  </si>
  <si>
    <t>ADR-004</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</si>
  <si>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</si>
  <si>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</si>
  <si>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</si>
  <si>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</si>
  <si>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</si>
  <si>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</si>
  <si>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</si>
  <si>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</si>
  <si>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</si>
  <si>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</si>
  <si>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</si>
  <si>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ADR-005</t>
  </si>
  <si>
    <t>Budget/timeout/denial ends in safe terminal.</t>
  </si>
  <si>
    <t>Graph path tests</t>
  </si>
  <si>
    <t>Allowlisted tools + approval</t>
  </si>
  <si>
    <t>Narrow functions; write actions need durable human decision.</t>
  </si>
  <si>
    <t>Read-only default</t>
  </si>
  <si>
    <t>ADR-005, ADR-006</t>
  </si>
  <si>
    <t>No valid approval means no write side effect.</t>
  </si>
  <si>
    <t>Approval/idempotency tests</t>
  </si>
  <si>
    <t>Runtime plane</t>
  </si>
  <si>
    <t>EKS + ECR</t>
  </si>
  <si>
    <t>Runs immutable API image with Kubernetes controls.</t>
  </si>
  <si>
    <t>Learning deployment target</t>
  </si>
  <si>
    <t>ADR-015</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</si>
  <si>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</si>
  <si>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</si>
  <si>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</si>
  <si>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</si>
  <si>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</si>
  <si>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</si>
  <si>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</si>
  <si>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</si>
  <si>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</si>
  <si>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</si>
  <si>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</si>
  <si>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</si>
  <si>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</si>
  <si>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</si>
  <si>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</si>
  <si>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</si>
  <si>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</si>
  <si>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</si>
  <si>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</si>
  <si>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</si>
  <si>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</si>
  <si>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</si>
  <si>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ADR-008</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</si>
  <si>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</si>
  <si>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</si>
  <si>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</si>
  <si>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</si>
  <si>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</si>
  <si>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</si>
  <si>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</si>
  <si>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</si>
  <si>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</si>
  <si>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</si>
  <si>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</si>
  <si>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</si>
  <si>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</si>
  <si>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</si>
  <si>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</si>
  <si>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</si>
  <si>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Prompt ID</t>
  </si>
  <si>
    <t>Feature</t>
  </si>
  <si>
    <t>Purpose</t>
  </si>
  <si>
    <t>Required Inputs</t>
  </si>
  <si>
    <t>Expected Outputs</t>
  </si>
  <si>
    <t>Main Prompt (paste first)</t>
  </si>
  <si>
    <t>Example Usage</t>
  </si>
  <si>
    <t>Verification / Stop Point</t>
  </si>
  <si>
    <t>Owner Approval</t>
  </si>
  <si>
    <t>Covered Tracker Steps</t>
  </si>
  <si>
    <t>CTX-001</t>
  </si>
  <si>
    <t>All</t>
  </si>
  <si>
    <t>Project context</t>
  </si>
  <si>
    <t>CTRL-001</t>
  </si>
  <si>
    <t>Mandatory control preamble</t>
  </si>
  <si>
    <t>All implementation groups</t>
  </si>
  <si>
    <t>TEST-001</t>
  </si>
  <si>
    <t>W1-MVP-001</t>
  </si>
  <si>
    <t>MVP scope and approval record</t>
  </si>
  <si>
    <t>Create the missing one-page MVP-001 source-of-truth artifact before repository implementation.</t>
  </si>
  <si>
    <t>USE-001, DATA-001 and five starter EVAL-001 questions; no credentials</t>
  </si>
  <si>
    <t>W1-01</t>
  </si>
  <si>
    <t>W1-GOV-001</t>
  </si>
  <si>
    <t>Source precedence ADR</t>
  </si>
  <si>
    <t>Create the missing governance decision without creating unrelated Codex context files.</t>
  </si>
  <si>
    <t>Source of Truth v1.1 and Coaching Blueprint as read-only references; no credentials</t>
  </si>
  <si>
    <t>W1-02</t>
  </si>
  <si>
    <t>W1-001</t>
  </si>
  <si>
    <t>Repository and feature-control foundation</t>
  </si>
  <si>
    <t>Create the traceability and evidence structure before feature code.</t>
  </si>
  <si>
    <t>TODO_REPOSITORY, TODO_USER_OR_TEAM, TODO_COST_CENTER</t>
  </si>
  <si>
    <t>W1-03, W1-04, W1-07</t>
  </si>
  <si>
    <t>W1-002</t>
  </si>
  <si>
    <t>Dependency and configuration foundation</t>
  </si>
  <si>
    <t>Make installation reproducible and configuration explicit.</t>
  </si>
  <si>
    <t>Python 3.11; no cloud credentials</t>
  </si>
  <si>
    <t>W1-05</t>
  </si>
  <si>
    <t>W1-003</t>
  </si>
  <si>
    <t>Test and evidence framework</t>
  </si>
  <si>
    <t>Make every acceptance criterion executable and auditable.</t>
  </si>
  <si>
    <t>Feature template and repo skeleton</t>
  </si>
  <si>
    <t>W1-06, W1-08</t>
  </si>
  <si>
    <t>W1-004</t>
  </si>
  <si>
    <t>Lifecycle controller and cleanup-verifier skeleton</t>
  </si>
  <si>
    <t>Treat deployability and reversibility as platform features.</t>
  </si>
  <si>
    <t>Required tag schema; sandbox-only scope</t>
  </si>
  <si>
    <t>W1-09, W1-10, W1-11</t>
  </si>
  <si>
    <t>W2-001</t>
  </si>
  <si>
    <t>W2-002</t>
  </si>
  <si>
    <t>Embedder contract and local adapter</t>
  </si>
  <si>
    <t>Support local and future provider embeddings through one boundary.</t>
  </si>
  <si>
    <t>EMBEDDING_MODEL_ID</t>
  </si>
  <si>
    <t>W2-05</t>
  </si>
  <si>
    <t>W2-003</t>
  </si>
  <si>
    <t>Secure ingestion pipeline</t>
  </si>
  <si>
    <t>Turn approved files into versioned, authorized chunks.</t>
  </si>
  <si>
    <t>Approved local sample path; tenant/classification rules</t>
  </si>
  <si>
    <t>W2-06, W2-07</t>
  </si>
  <si>
    <t>W2-004</t>
  </si>
  <si>
    <t>W2-LEARN-001</t>
  </si>
  <si>
    <t>Local retrieval architecture explanation</t>
  </si>
  <si>
    <t>Create an interview-ready explanation grounded in the implemented retrieval evidence.</t>
  </si>
  <si>
    <t>Approved W2 ADRs, adapter/chunking configuration and W2 evidence</t>
  </si>
  <si>
    <t>W2-11</t>
  </si>
  <si>
    <t>W3-001</t>
  </si>
  <si>
    <t>LLM adapters and cited RAG pipeline</t>
  </si>
  <si>
    <t>Generate evidence-bound answers while retaining provider portability.</t>
  </si>
  <si>
    <t>LLM_PROVIDER, LLM_MODEL_ID, AWS_REGION; Bedrock test is marked</t>
  </si>
  <si>
    <t>W3-01, W3-02, W3-03, W3-04</t>
  </si>
  <si>
    <t>W3-002</t>
  </si>
  <si>
    <t>Evaluation harness and release gate</t>
  </si>
  <si>
    <t>Replace subjective demonstrations with repeatable evidence.</t>
  </si>
  <si>
    <t>configs/eval/golden.jsonl with 25+ approved cases</t>
  </si>
  <si>
    <t>W3-06, W3-07, W3-10</t>
  </si>
  <si>
    <t>W3-003</t>
  </si>
  <si>
    <t>RAG guardrails and security regression suite</t>
  </si>
  <si>
    <t>Treat retrieved content as untrusted and enforce authorization outside the model.</t>
  </si>
  <si>
    <t>Classification/tenant rules; injection fixtures</t>
  </si>
  <si>
    <t>W3-05, W3-08</t>
  </si>
  <si>
    <t>W3-ROLLBACK-001</t>
  </si>
  <si>
    <t>Cited-RAG configuration rollback drill</t>
  </si>
  <si>
    <t>Prove prompt/model/retriever/index configuration can return to a known-good baseline.</t>
  </si>
  <si>
    <t>Approved baseline and exact local configuration paths from the pre-edit plan</t>
  </si>
  <si>
    <t>W3-11</t>
  </si>
  <si>
    <t>W4-001</t>
  </si>
  <si>
    <t>FastAPI service boundary</t>
  </si>
  <si>
    <t>Expose production-shaped, testable endpoints.</t>
  </si>
  <si>
    <t>Fake providers by default; auth interface choice</t>
  </si>
  <si>
    <t>W4-01, W4-02, W4-10</t>
  </si>
  <si>
    <t>W4-002</t>
  </si>
  <si>
    <t>Bounded LangGraph agent controller</t>
  </si>
  <si>
    <t>Add controlled agent behavior without uncontrolled autonomy.</t>
  </si>
  <si>
    <t>Step/tool/time budgets; approval-store decision</t>
  </si>
  <si>
    <t>W4-03, W4-04, W4-05, W4-06, W4-07, W4-09</t>
  </si>
  <si>
    <t>W4-003</t>
  </si>
  <si>
    <t>Application telemetry and redacted audit trail</t>
  </si>
  <si>
    <t>Make each RAG and agent stage explainable operationally.</t>
  </si>
  <si>
    <t>OTEL exporter endpoint; no content export</t>
  </si>
  <si>
    <t>W3-09, W4-08</t>
  </si>
  <si>
    <t>W4-ROLLBACK-001</t>
  </si>
  <si>
    <t>Local immutable release rollback drill</t>
  </si>
  <si>
    <t>Prove release rollback separately from infrastructure rollback.</t>
  </si>
  <si>
    <t>Approved local immutable releases N and N+1 and safe regression method</t>
  </si>
  <si>
    <t>W4-11</t>
  </si>
  <si>
    <t>W5-INPUTS-001</t>
  </si>
  <si>
    <t>AWS sandbox input approval</t>
  </si>
  <si>
    <t>Capture all non-secret AWS, network, tagging, residency and budget choices before Terraform work.</t>
  </si>
  <si>
    <t>AWS-001, AWS-002, NET-001, TAG-001, COST-001 and PRIV-001; no credentials</t>
  </si>
  <si>
    <t>W5-01</t>
  </si>
  <si>
    <t>W5-001</t>
  </si>
  <si>
    <t>Terraform AWS sandbox modules</t>
  </si>
  <si>
    <t>Produce reviewable infrastructure without secret material.</t>
  </si>
  <si>
    <t>TODO account, region, VPC/subnets, GitHub repo, tags, Bedrock models</t>
  </si>
  <si>
    <t>W5-02, W5-03, W5-04, W5-05</t>
  </si>
  <si>
    <t>W5-002</t>
  </si>
  <si>
    <t>GitHub Actions DevSecOps pipeline</t>
  </si>
  <si>
    <t>Enforce quality, IaC and supply-chain gates with short-lived identity.</t>
  </si>
  <si>
    <t>GitHub environment, OIDC role ARN, sandbox variables</t>
  </si>
  <si>
    <t>W5-07, W5-08, W6-01</t>
  </si>
  <si>
    <t>W5-003</t>
  </si>
  <si>
    <t>OPA and Checkov policy pack</t>
  </si>
  <si>
    <t>Make critical cloud controls executable before apply.</t>
  </si>
  <si>
    <t>Approved regions, encryption/tag rules, exception process</t>
  </si>
  <si>
    <t>W5-06</t>
  </si>
  <si>
    <t>W5-004</t>
  </si>
  <si>
    <t>Reviewed deploy, rollback, teardown and orphan scan</t>
  </si>
  <si>
    <t>Prove the AWS lifecycle without leaving unmanaged resources.</t>
  </si>
  <si>
    <t>Approved saved plan; budget ceiling; typed owner confirmations</t>
  </si>
  <si>
    <t>W5-09, W5-10, W5-11, W5-12, W6-12</t>
  </si>
  <si>
    <t>W6-001</t>
  </si>
  <si>
    <t>Immutable EKS application deployment</t>
  </si>
  <si>
    <t>Deploy the verified service with workload identity and safe rollout controls.</t>
  </si>
  <si>
    <t>EKS cluster/namespace, ECR digest, domain/cert, pod identity choice</t>
  </si>
  <si>
    <t>W6-02, W6-03, W6-04, W6-05</t>
  </si>
  <si>
    <t>W6-002</t>
  </si>
  <si>
    <t>SRE observability, alerts, runbook and chaos plan</t>
  </si>
  <si>
    <t>Make the platform supportable and measurable.</t>
  </si>
  <si>
    <t>SLO approval; alert destination; pre-production chaos approval</t>
  </si>
  <si>
    <t>W6-06, W6-07, W6-08, W6-09</t>
  </si>
  <si>
    <t>W6-003</t>
  </si>
  <si>
    <t>Final end-to-end proof and handover</t>
  </si>
  <si>
    <t>Demonstrate architecture, quality, safety, rollback and clean teardown together.</t>
  </si>
  <si>
    <t>Approved sandbox window and evidence locations</t>
  </si>
  <si>
    <t>W6-10, W6-11, W6-13</t>
  </si>
  <si>
    <t>WEEKLY-REVIEW-001</t>
  </si>
  <si>
    <t>Weeks 1-5</t>
  </si>
  <si>
    <t>Reusable weekly checkpoint</t>
  </si>
  <si>
    <t>Close each week only after tracker-to-repository-to-evidence reconciliation and independent validation.</t>
  </si>
  <si>
    <t>TODO_WEEK, current weekly sheet, evidence register, ADRs, TODOs and test results</t>
  </si>
  <si>
    <t>W1-12, W2-12, W3-12, W4-12, W5-13</t>
  </si>
  <si>
    <t>ST-001</t>
  </si>
  <si>
    <t>Post-MVP</t>
  </si>
  <si>
    <t>PyTorch Lightning and PEFT/LoRA training lab</t>
  </si>
  <si>
    <t>Learn model development without making it an MVP dependency.</t>
  </si>
  <si>
    <t>Approved model/dataset IDs, license and GPU budget</t>
  </si>
  <si>
    <t>ST-002</t>
  </si>
  <si>
    <t>Optional Ansible operations runner</t>
  </si>
  <si>
    <t>Limit Ansible to valid VM/bootstrap cases.</t>
  </si>
  <si>
    <t>SSM dynamic inventory; no SSH keys</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</si>
  <si>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</si>
  <si>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</si>
  <si>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</si>
  <si>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</si>
  <si>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W1-01:W1-12</t>
  </si>
  <si>
    <t>Test and Evidence Register</t>
  </si>
  <si>
    <t>Test ID</t>
  </si>
  <si>
    <t>Type</t>
  </si>
  <si>
    <t>Scope</t>
  </si>
  <si>
    <t>Command</t>
  </si>
  <si>
    <t>Expected Result</t>
  </si>
  <si>
    <t>Evidence Path</t>
  </si>
  <si>
    <t>Status</t>
  </si>
  <si>
    <t>Run Date</t>
  </si>
  <si>
    <t>Actual Result</t>
  </si>
  <si>
    <t>Defect / Follow-up</t>
  </si>
  <si>
    <t>Owner Sign-off</t>
  </si>
  <si>
    <t>T-W1-001</t>
  </si>
  <si>
    <t>Unit</t>
  </si>
  <si>
    <t>Typed config and invalid-value behavior</t>
  </si>
  <si>
    <t>pytest tests/unit/test_config.py -q</t>
  </si>
  <si>
    <t>Pass offline; invalid values fail clearly</t>
  </si>
  <si>
    <t>docs/test-evidence/W1-05-config.txt</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</si>
  <si>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</si>
  <si>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</si>
  <si>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</si>
  <si>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</si>
  <si>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</si>
  <si>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</si>
  <si>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python tools/validate_feature_matrix.py</t>
  </si>
  <si>
    <t>Exit 0; missing required field fails</t>
  </si>
  <si>
    <t>docs/test-evidence/W1-04-feature-matrix.json</t>
  </si>
  <si>
    <t>PASS — feature-matrix validation and consolidated Week 1 validation; implementation commit 210381c3ddbc9aab83ccaeb11a59db8d8dad549b.</t>
  </si>
  <si>
    <t>T-W1-003</t>
  </si>
  <si>
    <t>Security</t>
  </si>
  <si>
    <t>Pre-commit/secret scanning</t>
  </si>
  <si>
    <t>pre-commit run --all-files</t>
  </si>
  <si>
    <t>Source passes; synthetic secret fixture is rejected</t>
  </si>
  <si>
    <t>docs/test-evidence/W1-08-precommit.txt</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</si>
  <si>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</si>
  <si>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</si>
  <si>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</si>
  <si>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</si>
  <si>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</si>
  <si>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pytest tests/teardown -q</t>
  </si>
  <si>
    <t>Unexpected residual fails; KMS exception classified</t>
  </si>
  <si>
    <t>docs/test-evidence/W1-11-cleanup.json</t>
  </si>
  <si>
    <t>PASS — mocked cleanup and consolidated cleanliness validation; implementation commit 210381c3ddbc9aab83ccaeb11a59db8d8dad549b.</t>
  </si>
  <si>
    <t>Canonical evidence reconciled; no AWS, paid API or deployment mutation occurred.</t>
  </si>
  <si>
    <t>T-W2-001</t>
  </si>
  <si>
    <t>Domain model validation</t>
  </si>
  <si>
    <t>pytest tests/unit/test_models.py -q</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</si>
  <si>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</si>
  <si>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</si>
  <si>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</si>
  <si>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</si>
  <si>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</si>
  <si>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</si>
  <si>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</si>
  <si>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</si>
  <si>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</si>
  <si>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</si>
  <si>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</si>
  <si>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pytest tests/unit/test_embedder.py -q</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</si>
  <si>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</si>
  <si>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</si>
  <si>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</si>
  <si>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</si>
  <si>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</si>
  <si>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</si>
  <si>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</si>
  <si>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</si>
  <si>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</si>
  <si>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</si>
  <si>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</si>
  <si>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</si>
  <si>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</si>
  <si>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</si>
  <si>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make destroy-local &amp;&amp; make verify-clean-local</t>
  </si>
  <si>
    <t>No project container/volume/network</t>
  </si>
  <si>
    <t>docs/resource-cleanliness/W2-local.json</t>
  </si>
  <si>
    <t>T-W3-001</t>
  </si>
  <si>
    <t>Citation validation and abstention</t>
  </si>
  <si>
    <t>pytest tests/unit/test_rag_pipeline.py -q</t>
  </si>
  <si>
    <t>Only supplied citations; weak evidence abstains</t>
  </si>
  <si>
    <t>docs/test-evidence/W3-rag.txt</t>
  </si>
  <si>
    <t>T-W3-002</t>
  </si>
  <si>
    <t>Prompt injection and cross-tenant RAG</t>
  </si>
  <si>
    <t>pytest tests/security -q</t>
  </si>
  <si>
    <t>No policy override or unauthorized retrieval</t>
  </si>
  <si>
    <t>docs/test-evidence/W3-security.txt</t>
  </si>
  <si>
    <t>T-W3-003</t>
  </si>
  <si>
    <t>Evaluation</t>
  </si>
  <si>
    <t>Golden-set baseline</t>
  </si>
  <si>
    <t>make evaluate</t>
  </si>
  <si>
    <t>Recall@5 &gt;=0.85; grounded/cited or abstain &gt;=95%</t>
  </si>
  <si>
    <t>reports/eval.json</t>
  </si>
  <si>
    <t>T-W3-004</t>
  </si>
  <si>
    <t>Rollback</t>
  </si>
  <si>
    <t>Prompt/model/retriever rollback</t>
  </si>
  <si>
    <t>make rollback-rag &amp;&amp; make evaluate</t>
  </si>
  <si>
    <t>Last-known-good baseline restored</t>
  </si>
  <si>
    <t>docs/rollback-records/W3-rag.md</t>
  </si>
  <si>
    <t>T-W4-001</t>
  </si>
  <si>
    <t>FastAPI health/query/error mapping</t>
  </si>
  <si>
    <t>pytest tests/unit/test_api.py -q</t>
  </si>
  <si>
    <t>Typed response; controlled errors; no internal leakage</t>
  </si>
  <si>
    <t>docs/test-evidence/W4-api.txt</t>
  </si>
  <si>
    <t>T-W4-002</t>
  </si>
  <si>
    <t>Agent approval and tool schema</t>
  </si>
  <si>
    <t>pytest tests/security/test_agent_approval.py -q</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</si>
  <si>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</si>
  <si>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</si>
  <si>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</si>
  <si>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</si>
  <si>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</si>
  <si>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</si>
  <si>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</si>
  <si>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</si>
  <si>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Observability</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</si>
  <si>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</si>
  <si>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</si>
  <si>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</si>
  <si>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</si>
  <si>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</si>
  <si>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</si>
  <si>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make rollback-release &amp;&amp; make smoke</t>
  </si>
  <si>
    <t>Previous release healthy and feature-valid</t>
  </si>
  <si>
    <t>docs/rollback-records/W4-release.md</t>
  </si>
  <si>
    <t>T-W5-001</t>
  </si>
  <si>
    <t>IaC</t>
  </si>
  <si>
    <t>Terraform format and validation</t>
  </si>
  <si>
    <t>terraform fmt -check -recursive infra &amp;&amp; terraform -chdir=infra/environments/sandbox validate</t>
  </si>
  <si>
    <t>Exit 0</t>
  </si>
  <si>
    <t>docs/test-evidence/W5-terraform.txt</t>
  </si>
  <si>
    <t>T-W5-002</t>
  </si>
  <si>
    <t>Policy</t>
  </si>
  <si>
    <t>tflint/Checkov/OPA</t>
  </si>
  <si>
    <t>tflint --recursive &amp;&amp; checkov -d infra &amp;&amp; opa test policies/opa -v</t>
  </si>
  <si>
    <t>Secure config passes; insecure fixtures fail</t>
  </si>
  <si>
    <t>docs/test-evidence/W5-policy.txt</t>
  </si>
  <si>
    <t>T-W5-003</t>
  </si>
  <si>
    <t>Reviewed sandbox plan</t>
  </si>
  <si>
    <t>make plan-sandbox</t>
  </si>
  <si>
    <t>Only expected resources; no secret values</t>
  </si>
  <si>
    <t>docs/deployment-records/W5-plan-review.md</t>
  </si>
  <si>
    <t>T-W5-004</t>
  </si>
  <si>
    <t>Supply chain</t>
  </si>
  <si>
    <t>Trivy, Syft and Grype</t>
  </si>
  <si>
    <t>make container-scan &amp;&amp; make sbom</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</si>
  <si>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</si>
  <si>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</si>
  <si>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</si>
  <si>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</si>
  <si>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</si>
  <si>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</si>
  <si>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</si>
  <si>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</si>
  <si>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</si>
  <si>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</si>
  <si>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make plan-destroy-sandbox; owner approve; make destroy-sandbox; make verify-clean</t>
  </si>
  <si>
    <t>No active residual except documented KMS PendingDeletion</t>
  </si>
  <si>
    <t>docs/resource-cleanliness/W5-report.json</t>
  </si>
  <si>
    <t>T-W6-001</t>
  </si>
  <si>
    <t>Kubernetes</t>
  </si>
  <si>
    <t>Manifest/schema/policy validation</t>
  </si>
  <si>
    <t>kubectl apply --dry-run=server -f deploy/k8s</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</si>
  <si>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</si>
  <si>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</si>
  <si>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</si>
  <si>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</si>
  <si>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</si>
  <si>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</si>
  <si>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</si>
  <si>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</si>
  <si>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</si>
  <si>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</si>
  <si>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promtool check rules observability/alerts.yml</t>
  </si>
  <si>
    <t>Rules valid and linked to runbook</t>
  </si>
  <si>
    <t>docs/test-evidence/W6-alerts.txt</t>
  </si>
  <si>
    <t>T-W6-004</t>
  </si>
  <si>
    <t>Chaos</t>
  </si>
  <si>
    <t>Qdrant stop and fake LLM timeout</t>
  </si>
  <si>
    <t>pytest tests/feature/test_failure_modes.py -q</t>
  </si>
  <si>
    <t>Readiness/alerts safe; no retry storm</t>
  </si>
  <si>
    <t>docs/test-evidence/W6-chaos.txt</t>
  </si>
  <si>
    <t>T-W6-005</t>
  </si>
  <si>
    <t>End-to-end sandbox quality</t>
  </si>
  <si>
    <t>make final-proof</t>
  </si>
  <si>
    <t>No material regression; cited response and trace</t>
  </si>
  <si>
    <t>docs/test-evidence/W6-final-index.md</t>
  </si>
  <si>
    <t>T-W6-006</t>
  </si>
  <si>
    <t>EKS release rollback</t>
  </si>
  <si>
    <t>make rollback-release &amp;&amp; make validate-sandbox</t>
  </si>
  <si>
    <t>Previous digest healthy within recorded RTO</t>
  </si>
  <si>
    <t>docs/rollback-records/W6-release.md</t>
  </si>
  <si>
    <t>T-W6-007</t>
  </si>
  <si>
    <t>Full platform/bootstrap teardown and orphan scan</t>
  </si>
  <si>
    <t>No active project resource; state backend removed last</t>
  </si>
  <si>
    <t>docs/resource-cleanliness/W6-final.json</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</si>
  <si>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</si>
  <si>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</si>
  <si>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</si>
  <si>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</si>
  <si>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</si>
  <si>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docs/features/MVP-001.md</t>
  </si>
  <si>
    <t>PASS — MVP-001 scope, starter questions and acceptance criteria reviewed and owner approved.</t>
  </si>
  <si>
    <t>Canonical scope evidence confirmed; implementation commit 210381c3ddbc9aab83ccaeb11a59db8d8dad549b.</t>
  </si>
  <si>
    <t>T-W1-000A</t>
  </si>
  <si>
    <t>Governance</t>
  </si>
  <si>
    <t>ADR-000 source precedence</t>
  </si>
  <si>
    <t>Review docs/adr/ADR-000-source-precedence.md</t>
  </si>
  <si>
    <t>Authority order, conflict rule, three examples, governance-only scope and Proposed status are present</t>
  </si>
  <si>
    <t>docs/adr/ADR-000-source-precedence.md</t>
  </si>
  <si>
    <t>PASS — source precedence, conflict stop and governance-only scope reviewed and owner approved.</t>
  </si>
  <si>
    <t>Canonical governance evidence confirmed; implementation commit 210381c3ddbc9aab83ccaeb11a59db8d8dad549b.</t>
  </si>
  <si>
    <t>Architecture Decision Register</t>
  </si>
  <si>
    <t>Baseline decisions come from the source documents. Change them only with evidence, alternatives, trade-offs and a superseding ADR.</t>
  </si>
  <si>
    <t>Decision ID</t>
  </si>
  <si>
    <t>Decision</t>
  </si>
  <si>
    <t>Decision Week</t>
  </si>
  <si>
    <t>Rationale</t>
  </si>
  <si>
    <t>Alternatives</t>
  </si>
  <si>
    <t>Trade-offs / Cost / Risk</t>
  </si>
  <si>
    <t>Revisit Trigger</t>
  </si>
  <si>
    <t>ADR Evidence Path</t>
  </si>
  <si>
    <t>Review Notes</t>
  </si>
  <si>
    <t>ADR-001</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</si>
  <si>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</si>
  <si>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</si>
  <si>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</si>
  <si>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</si>
  <si>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</si>
  <si>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</si>
  <si>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User</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</si>
  <si>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</si>
  <si>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</si>
  <si>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</si>
  <si>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</si>
  <si>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</si>
  <si>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</si>
  <si>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</si>
  <si>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</si>
  <si>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</si>
  <si>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</si>
  <si>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</si>
  <si>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</si>
  <si>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</si>
  <si>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</si>
  <si>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</si>
  <si>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</si>
  <si>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</si>
  <si>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</si>
  <si>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</si>
  <si>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</si>
  <si>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</si>
  <si>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</si>
  <si>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</si>
  <si>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</si>
  <si>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</si>
  <si>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</si>
  <si>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</si>
  <si>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</si>
  <si>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</si>
  <si>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</si>
  <si>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</si>
  <si>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</si>
  <si>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</si>
  <si>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</si>
  <si>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</si>
  <si>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</si>
  <si>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</si>
  <si>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</si>
  <si>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</si>
  <si>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</si>
  <si>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</si>
  <si>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</si>
  <si>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</si>
  <si>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ADR-009</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</si>
  <si>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</si>
  <si>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</si>
  <si>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</si>
  <si>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</si>
  <si>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</si>
  <si>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</si>
  <si>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</si>
  <si>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</si>
  <si>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</si>
  <si>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</si>
  <si>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</si>
  <si>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</si>
  <si>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</si>
  <si>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</si>
  <si>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</si>
  <si>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</si>
  <si>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</si>
  <si>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</si>
  <si>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</si>
  <si>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</si>
  <si>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ADR-012</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</si>
  <si>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</si>
  <si>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</si>
  <si>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</si>
  <si>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</si>
  <si>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</si>
  <si>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</si>
  <si>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</si>
  <si>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</si>
  <si>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</si>
  <si>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</si>
  <si>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</si>
  <si>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</si>
  <si>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</si>
  <si>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</si>
  <si>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</si>
  <si>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</si>
  <si>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</si>
  <si>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</si>
  <si>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</si>
  <si>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</si>
  <si>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</si>
  <si>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</si>
  <si>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</si>
  <si>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</si>
  <si>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</si>
  <si>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</si>
  <si>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ADR-016</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</si>
  <si>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</si>
  <si>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</si>
  <si>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</si>
  <si>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</si>
  <si>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</si>
  <si>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</si>
  <si>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ADR-017</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</si>
  <si>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</si>
  <si>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</si>
  <si>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</si>
  <si>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</si>
  <si>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</si>
  <si>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</si>
  <si>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</si>
  <si>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</si>
  <si>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</si>
  <si>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</si>
  <si>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</si>
  <si>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</si>
  <si>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</si>
  <si>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</si>
  <si>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</si>
  <si>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</si>
  <si>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</si>
  <si>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</si>
  <si>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</si>
  <si>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</si>
  <si>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</si>
  <si>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</si>
  <si>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</si>
  <si>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</si>
  <si>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</si>
  <si>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</si>
  <si>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</si>
  <si>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</si>
  <si>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</si>
  <si>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</si>
  <si>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</si>
  <si>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</si>
  <si>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</si>
  <si>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</si>
  <si>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Not Started</t>
  </si>
  <si>
    <t>docs/architecture/data-classification.md</t>
  </si>
  <si>
    <t>DATA-003</t>
  </si>
  <si>
    <t>Privacy</t>
  </si>
  <si>
    <t>Define which PII types are redact, quarantine or allow-with-approval.</t>
  </si>
  <si>
    <t>configs/pii-policy.yaml</t>
  </si>
  <si>
    <t>EVAL-001</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</si>
  <si>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</si>
  <si>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</si>
  <si>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</si>
  <si>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</si>
  <si>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</si>
  <si>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</si>
  <si>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</si>
  <si>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</si>
  <si>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</si>
  <si>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</si>
  <si>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</si>
  <si>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</si>
  <si>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</si>
  <si>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</si>
  <si>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TAG-001</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</si>
  <si>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</si>
  <si>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</si>
  <si>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</si>
  <si>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</si>
  <si>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</si>
  <si>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GHA-001</t>
  </si>
  <si>
    <t>CI/CD</t>
  </si>
  <si>
    <t>Provide GitHub org/repo, protected environment and OIDC role naming.</t>
  </si>
  <si>
    <t>GitHub variables / Terraform inputs</t>
  </si>
  <si>
    <t>BED-001</t>
  </si>
  <si>
    <t>AI platform</t>
  </si>
  <si>
    <t>Select approved Bedrock model ID, region, quota and fallback policy.</t>
  </si>
  <si>
    <t>LLM_MODEL_ID / docs/adr</t>
  </si>
  <si>
    <t>EMB-001</t>
  </si>
  <si>
    <t>Approve sentence-transformer model, dimension and license.</t>
  </si>
  <si>
    <t>SEC-001</t>
  </si>
  <si>
    <t>Define auth provider, claims, tenant mapping and authorization owner.</t>
  </si>
  <si>
    <t>docs/architecture/authorization.md</t>
  </si>
  <si>
    <t>SEC-003</t>
  </si>
  <si>
    <t>DevSecOps</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</si>
  <si>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</si>
  <si>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</si>
  <si>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</si>
  <si>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</si>
  <si>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APP-001</t>
  </si>
  <si>
    <t>Agent control</t>
  </si>
  <si>
    <t>Choose durable approval store, approver role and expiry/rejection policy.</t>
  </si>
  <si>
    <t>docs/architecture/agent-approval.md</t>
  </si>
  <si>
    <t>OBS-001</t>
  </si>
  <si>
    <t>Operations</t>
  </si>
  <si>
    <t>Provide alert destination, on-call owner and telemetry retention.</t>
  </si>
  <si>
    <t>observability/ / runbooks/</t>
  </si>
  <si>
    <t>SLO-001</t>
  </si>
  <si>
    <t>Approve initial SLIs/SLOs, error-budget review cadence and exclusions.</t>
  </si>
  <si>
    <t>docs/architecture/slo.md</t>
  </si>
  <si>
    <t>COST-001</t>
  </si>
  <si>
    <t>Cost</t>
  </si>
  <si>
    <t>Set monthly sandbox ceiling, daily alert and maximum paid-evaluation spend.</t>
  </si>
  <si>
    <t>docs/cost-estimates/budget.md</t>
  </si>
  <si>
    <t>EKS-001</t>
  </si>
  <si>
    <t>Choose existing/new EKS sandbox, namespace, domain/cert and identity method.</t>
  </si>
  <si>
    <t>deploy/k8s/values-sandbox.yaml</t>
  </si>
  <si>
    <t>RET-001</t>
  </si>
  <si>
    <t>Define logs/traces/evaluation/approval evidence retention and redaction.</t>
  </si>
  <si>
    <t>docs/architecture/retention.md</t>
  </si>
  <si>
    <t>FIS-001</t>
  </si>
  <si>
    <t>Approve pre-production-only FIS targets, stop alarms, window and owner.</t>
  </si>
  <si>
    <t>docs/chaos/fis-plan.md</t>
  </si>
  <si>
    <t>DEST-001</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</si>
  <si>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</si>
  <si>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</si>
  <si>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</si>
  <si>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</si>
  <si>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</si>
  <si>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</si>
  <si>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</si>
  <si>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RAG-001</t>
  </si>
  <si>
    <t>Retrieval</t>
  </si>
  <si>
    <t>Approve top_k, minimum score and maximum context budget after baseline tests.</t>
  </si>
  <si>
    <t>configs/rag.yaml</t>
  </si>
  <si>
    <t>Deploy, Rollback and Teardown Control</t>
  </si>
  <si>
    <t>Three distinct operations</t>
  </si>
  <si>
    <t>Operation</t>
  </si>
  <si>
    <t>Trigger</t>
  </si>
  <si>
    <t>Required outcome</t>
  </si>
  <si>
    <t>Boundary</t>
  </si>
  <si>
    <t>Mode</t>
  </si>
  <si>
    <t>Environment</t>
  </si>
  <si>
    <t>Behavior</t>
  </si>
  <si>
    <t>Approval</t>
  </si>
  <si>
    <t>Release rollback</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</si>
  <si>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</si>
  <si>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</si>
  <si>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</si>
  <si>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</si>
  <si>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</si>
  <si>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</si>
  <si>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</si>
  <si>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</si>
  <si>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</si>
  <si>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</si>
  <si>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</si>
  <si>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</si>
  <si>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</si>
  <si>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</si>
  <si>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</si>
  <si>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</si>
  <si>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</si>
  <si>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</si>
  <si>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</si>
  <si>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</si>
  <si>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Tag discovery plus native API checks; fail on unexpected residual.</t>
  </si>
  <si>
    <t>Independent evidence review</t>
  </si>
  <si>
    <t>Order</t>
  </si>
  <si>
    <t>Action</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</si>
  <si>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</si>
  <si>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</si>
  <si>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</si>
  <si>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</si>
  <si>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</si>
  <si>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</si>
  <si>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</si>
  <si>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</si>
  <si>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</si>
  <si>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</si>
  <si>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</si>
  <si>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</si>
  <si>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</si>
  <si>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</si>
  <si>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</si>
  <si>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</si>
  <si>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</si>
  <si>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</si>
  <si>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</si>
  <si>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</si>
  <si>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</si>
  <si>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</si>
  <si>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</si>
  <si>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</si>
  <si>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</si>
  <si>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</si>
  <si>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</si>
  <si>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</si>
  <si>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</si>
  <si>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</si>
  <si>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</si>
  <si>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</si>
  <si>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</si>
  <si>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</si>
  <si>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</si>
  <si>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</si>
  <si>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</si>
  <si>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</si>
  <si>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</si>
  <si>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</si>
  <si>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</si>
  <si>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</si>
  <si>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</si>
  <si>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</si>
  <si>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</si>
  <si>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</si>
  <si>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</si>
  <si>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</si>
  <si>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</si>
  <si>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</si>
  <si>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</si>
  <si>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</si>
  <si>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</si>
  <si>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Required Technology Adoption Map</t>
  </si>
  <si>
    <t>The comprehensive stack is retained, but only tools that reduce a measured risk or satisfy the MVP are activated. Alternatives and migration controls are explicit.</t>
  </si>
  <si>
    <t>Technology</t>
  </si>
  <si>
    <t>Priority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</si>
  <si>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</si>
  <si>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</si>
  <si>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</si>
  <si>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</si>
  <si>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</si>
  <si>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</si>
  <si>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</si>
  <si>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</si>
  <si>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</si>
  <si>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</si>
  <si>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</si>
  <si>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</si>
  <si>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</si>
  <si>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</si>
  <si>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</si>
  <si>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</si>
  <si>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</si>
  <si>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</si>
  <si>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</si>
  <si>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</si>
  <si>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</si>
  <si>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</si>
  <si>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</si>
  <si>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</si>
  <si>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</si>
  <si>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</si>
  <si>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</si>
  <si>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</si>
  <si>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</si>
  <si>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MUST</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</si>
  <si>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</si>
  <si>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</si>
  <si>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</si>
  <si>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</si>
  <si>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</si>
  <si>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</si>
  <si>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</si>
  <si>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</si>
  <si>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</si>
  <si>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</si>
  <si>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</si>
  <si>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</si>
  <si>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</si>
  <si>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</si>
  <si>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</si>
  <si>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</si>
  <si>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</si>
  <si>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</si>
  <si>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</si>
  <si>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</si>
  <si>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</si>
  <si>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</si>
  <si>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</si>
  <si>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</si>
  <si>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</si>
  <si>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</si>
  <si>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</si>
  <si>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</si>
  <si>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</si>
  <si>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</si>
  <si>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</si>
  <si>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</si>
  <si>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</si>
  <si>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Guardrails</t>
  </si>
  <si>
    <t>Deterministic validators and prompt templates</t>
  </si>
  <si>
    <t>Authorization, citations, abstention, schemas and allowlists.</t>
  </si>
  <si>
    <t>None; mandatory foundation.</t>
  </si>
  <si>
    <t>Low platform cost.</t>
  </si>
  <si>
    <t>Guardrails AI</t>
  </si>
  <si>
    <t>SHOULD</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</si>
  <si>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</si>
  <si>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</si>
  <si>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</si>
  <si>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</si>
  <si>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</si>
  <si>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</si>
  <si>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</si>
  <si>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</si>
  <si>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</si>
  <si>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</si>
  <si>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</si>
  <si>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</si>
  <si>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</si>
  <si>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</si>
  <si>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</si>
  <si>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</si>
  <si>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</si>
  <si>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</si>
  <si>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</si>
  <si>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</si>
  <si>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</si>
  <si>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</si>
  <si>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</si>
  <si>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</si>
  <si>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</si>
  <si>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</si>
  <si>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</si>
  <si>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</si>
  <si>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</si>
  <si>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</si>
  <si>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</si>
  <si>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</si>
  <si>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</si>
  <si>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</si>
  <si>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</si>
  <si>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</si>
  <si>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</si>
  <si>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</si>
  <si>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</si>
  <si>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</si>
  <si>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</si>
  <si>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</si>
  <si>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</si>
  <si>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SageMaker Model Registry</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</si>
  <si>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</si>
  <si>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</si>
  <si>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</si>
  <si>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</si>
  <si>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</si>
  <si>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</si>
  <si>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</si>
  <si>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</si>
  <si>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</si>
  <si>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</si>
  <si>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</si>
  <si>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</si>
  <si>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</si>
  <si>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</si>
  <si>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Embeddings</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</si>
  <si>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</si>
  <si>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</si>
  <si>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</si>
  <si>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</si>
  <si>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</si>
  <si>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</si>
  <si>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</si>
  <si>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</si>
  <si>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</si>
  <si>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</si>
  <si>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</si>
  <si>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</si>
  <si>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</si>
  <si>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</si>
  <si>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</si>
  <si>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</si>
  <si>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</si>
  <si>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</si>
  <si>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</si>
  <si>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</si>
  <si>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</si>
  <si>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</si>
  <si>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</si>
  <si>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</si>
  <si>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</si>
  <si>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</si>
  <si>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</si>
  <si>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</si>
  <si>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</si>
  <si>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</si>
  <si>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</si>
  <si>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</si>
  <si>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</si>
  <si>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</si>
  <si>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</si>
  <si>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</si>
  <si>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</si>
  <si>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</si>
  <si>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</si>
  <si>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</si>
  <si>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</si>
  <si>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</si>
  <si>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</si>
  <si>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</si>
  <si>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</si>
  <si>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</si>
  <si>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</si>
  <si>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</si>
  <si>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</si>
  <si>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</si>
  <si>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</si>
  <si>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</si>
  <si>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</si>
  <si>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</si>
  <si>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</si>
  <si>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EventBridge + Step Functions</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</si>
  <si>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</si>
  <si>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</si>
  <si>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</si>
  <si>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</si>
  <si>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</si>
  <si>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</si>
  <si>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</si>
  <si>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</si>
  <si>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</si>
  <si>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</si>
  <si>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</si>
  <si>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</si>
  <si>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</si>
  <si>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</si>
  <si>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</si>
  <si>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</si>
  <si>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</si>
  <si>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</si>
  <si>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</si>
  <si>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</si>
  <si>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</si>
  <si>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</si>
  <si>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</si>
  <si>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</si>
  <si>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</si>
  <si>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</si>
  <si>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</si>
  <si>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</si>
  <si>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</si>
  <si>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</si>
  <si>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</si>
  <si>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</si>
  <si>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</si>
  <si>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</si>
  <si>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</si>
  <si>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</si>
  <si>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</si>
  <si>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</si>
  <si>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</si>
  <si>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</si>
  <si>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</si>
  <si>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</si>
  <si>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</si>
  <si>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</si>
  <si>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</si>
  <si>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</si>
  <si>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</si>
  <si>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</si>
  <si>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</si>
  <si>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</si>
  <si>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</si>
  <si>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</si>
  <si>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</si>
  <si>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</si>
  <si>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</si>
  <si>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</si>
  <si>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</si>
  <si>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</si>
  <si>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</si>
  <si>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</si>
  <si>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</si>
  <si>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</si>
  <si>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</si>
  <si>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</si>
  <si>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</si>
  <si>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</si>
  <si>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</si>
  <si>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</si>
  <si>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</si>
  <si>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</si>
  <si>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</si>
  <si>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</si>
  <si>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</si>
  <si>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</si>
  <si>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</si>
  <si>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</si>
  <si>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</si>
  <si>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</si>
  <si>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</si>
  <si>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</si>
  <si>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</si>
  <si>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</si>
  <si>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</si>
  <si>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</si>
  <si>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</si>
  <si>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</si>
  <si>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</si>
  <si>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</si>
  <si>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</si>
  <si>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</si>
  <si>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</si>
  <si>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</si>
  <si>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</si>
  <si>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</si>
  <si>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</si>
  <si>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</si>
  <si>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</si>
  <si>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</si>
  <si>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</si>
  <si>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</si>
  <si>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</si>
  <si>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</si>
  <si>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</si>
  <si>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</si>
  <si>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</si>
  <si>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</si>
  <si>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</si>
  <si>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</si>
  <si>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</si>
  <si>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</si>
  <si>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</si>
  <si>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</si>
  <si>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</si>
  <si>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</si>
  <si>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</si>
  <si>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</si>
  <si>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</si>
  <si>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</si>
  <si>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</si>
  <si>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</si>
  <si>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</si>
  <si>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</si>
  <si>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</si>
  <si>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</si>
  <si>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</si>
  <si>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</si>
  <si>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</si>
  <si>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</si>
  <si>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</si>
  <si>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</si>
  <si>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</si>
  <si>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</si>
  <si>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</si>
  <si>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</si>
  <si>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</si>
  <si>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</si>
  <si>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</si>
  <si>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</si>
  <si>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</si>
  <si>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</si>
  <si>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</si>
  <si>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</si>
  <si>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</si>
  <si>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</si>
  <si>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</si>
  <si>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</si>
  <si>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</si>
  <si>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</si>
  <si>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</si>
  <si>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</si>
  <si>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</si>
  <si>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</si>
  <si>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</si>
  <si>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</si>
  <si>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</si>
  <si>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</si>
  <si>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</si>
  <si>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</si>
  <si>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</si>
  <si>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</si>
  <si>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</si>
  <si>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</si>
  <si>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Ingestion</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</si>
  <si>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</si>
  <si>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</si>
  <si>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</si>
  <si>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</si>
  <si>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</si>
  <si>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</si>
  <si>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</si>
  <si>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</si>
  <si>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</si>
  <si>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</si>
  <si>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</si>
  <si>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</si>
  <si>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</si>
  <si>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</si>
  <si>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</si>
  <si>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</si>
  <si>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</si>
  <si>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</si>
  <si>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</si>
  <si>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</si>
  <si>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</si>
  <si>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</si>
  <si>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</si>
  <si>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</si>
  <si>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</si>
  <si>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</si>
  <si>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</si>
  <si>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</si>
  <si>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</si>
  <si>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</si>
  <si>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</si>
  <si>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0.45</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</si>
  <si>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</si>
  <si>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</si>
  <si>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</si>
  <si>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</si>
  <si>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</si>
  <si>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</si>
  <si>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</si>
  <si>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</si>
  <si>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</si>
  <si>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</si>
  <si>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</si>
  <si>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</si>
  <si>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</si>
  <si>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</si>
  <si>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</si>
  <si>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</si>
  <si>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</si>
  <si>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</si>
  <si>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</si>
  <si>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</si>
  <si>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Telemetry</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</si>
  <si>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</si>
  <si>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</si>
  <si>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</si>
  <si>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</si>
  <si>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</si>
  <si>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</si>
  <si>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</si>
  <si>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</si>
  <si>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</si>
  <si>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</si>
  <si>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</si>
  <si>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</si>
  <si>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</si>
  <si>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</si>
  <si>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</si>
  <si>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</si>
  <si>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</si>
  <si>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</si>
  <si>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</si>
  <si>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</si>
  <si>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</si>
  <si>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</si>
  <si>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</si>
  <si>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</si>
  <si>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</si>
  <si>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</si>
  <si>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</si>
  <si>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</si>
  <si>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</si>
  <si>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</si>
  <si>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</si>
  <si>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</si>
  <si>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</si>
  <si>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</si>
  <si>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</si>
  <si>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</si>
  <si>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</si>
  <si>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</si>
  <si>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</si>
  <si>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</si>
  <si>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</si>
  <si>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</si>
  <si>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</si>
  <si>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</si>
  <si>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</si>
  <si>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</si>
  <si>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</si>
  <si>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</si>
  <si>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</si>
  <si>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</si>
  <si>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</si>
  <si>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</si>
  <si>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</si>
  <si>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</si>
  <si>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Enterprise AI Architecture — Owner-Led Learning and Execution Tracker v1.3.0</t>
  </si>
  <si>
    <t>Objective: learn the business architecture, implementation decisions, testing, deployment, remediation and end-to-end flow. Codex writes approved code; the owner executes commands and owns every decision.</t>
  </si>
  <si>
    <t>Review dashboard and owner inputs</t>
  </si>
  <si>
    <t>Choose restart or resume later; preserve historical status until you decide.</t>
  </si>
  <si>
    <t>Paste CTX-001 and CTRL-001</t>
  </si>
  <si>
    <t>Set the architecture context and the code-only/owner-execution boundary.</t>
  </si>
  <si>
    <t>Paste one Main Prompt</t>
  </si>
  <si>
    <t>Codex reviews scope, context, decisions, exact code paths and owner-run validation; no edits yet.</t>
  </si>
  <si>
    <t>Review the pre-edit plan</t>
  </si>
  <si>
    <t>Confirm business purpose, architecture fit, trade-offs, access, testing, deployment, rollback and cost.</t>
  </si>
  <si>
    <t>Codex writes code; the owner runs every test, deployment, rollback, teardown and access-sensitive command.</t>
  </si>
  <si>
    <t>Paste Code Edit Approval</t>
  </si>
  <si>
    <t>Use Column L. Codex writes approved code/configuration/test code only and runs nothing.</t>
  </si>
  <si>
    <t>A failure produces diagnosis and one owner command at a time; source fixes require a new Code Edit Approval.</t>
  </si>
  <si>
    <t>Receive code and owner guide</t>
  </si>
  <si>
    <t>Codex provides changed paths, test/deployment commands, remediation guidance and interview learning summary.</t>
  </si>
  <si>
    <t>Documentation is a separate approved stage and must state business value in clear wording.</t>
  </si>
  <si>
    <t>Run owner-led testing/deployment</t>
  </si>
  <si>
    <t>Use TEST-001. You run one command at a time; Codex explains results and guides failures without executing fixes.</t>
  </si>
  <si>
    <t>Final approval follows owner testing and document review; Codex never self-approves.</t>
  </si>
  <si>
    <t>Paste Document Writing Approval</t>
  </si>
  <si>
    <t>Use Column M after owner testing. Codex writes only approved business-first documentation/evidence.</t>
  </si>
  <si>
    <t>Weekly learning is mandatory before progressing: business story, technical deep-dive, layman analogy and interview teach-back.</t>
  </si>
  <si>
    <t>Paste Final Approval After Test</t>
  </si>
  <si>
    <t>Use Column N only after you review owner-executed results, documentation, rollback/cleanup and learning summary.</t>
  </si>
  <si>
    <t>Update tracker and learn the week</t>
  </si>
  <si>
    <t>You update status/evidence, complete the weekly checkpoint, then run the mandatory WEEKLY-LEARN-001 teach-back task.</t>
  </si>
  <si>
    <t>Restart / resume decision</t>
  </si>
  <si>
    <t>Pending owner decision</t>
  </si>
  <si>
    <t>Source precedence remains unchanged. This version changes execution ownership and learning controls only: Codex writes approved code; the owner tests, deploys, remediates and approves.</t>
  </si>
  <si>
    <t>All KPIs are formula-driven from tracker sheets. Historical status is preserved; the owner executes tests/deployments and updates source records after final approval.</t>
  </si>
  <si>
    <t>IN PROGRESS: Codex writes approved code only; the owner follows TEST-001 guidance and returns each command result.</t>
  </si>
  <si>
    <t>Done requires owner-executed validation, approved business-first documentation, rollback/teardown evidence and final owner approval.</t>
  </si>
  <si>
    <t>Master Six-Week Owner-Led Learning Plan — v1.3.0</t>
  </si>
  <si>
    <t>Historical status is preserved. Codex writes approved code only; the owner executes verification/deployment and completes the weekly learning gate.</t>
  </si>
  <si>
    <t>Step ID</t>
  </si>
  <si>
    <t>Seq</t>
  </si>
  <si>
    <t>Workstream</t>
  </si>
  <si>
    <t>Task / Outcome</t>
  </si>
  <si>
    <t>Why It Matters</t>
  </si>
  <si>
    <t>Effort (h)</t>
  </si>
  <si>
    <t>User TODO IDs</t>
  </si>
  <si>
    <t>Acceptance Criteria</t>
  </si>
  <si>
    <t>Owner Verification Command</t>
  </si>
  <si>
    <t>Dependency</t>
  </si>
  <si>
    <t>Rollback / Teardown</t>
  </si>
  <si>
    <t>Notes</t>
  </si>
  <si>
    <t>Task Context</t>
  </si>
  <si>
    <t>Confirm the first use case, user group, exclusions and measurable MVP outcome.</t>
  </si>
  <si>
    <t>A narrow use case prevents a platform-without-a-problem and sets evaluation truth.</t>
  </si>
  <si>
    <t>USE-001, DATA-001, EVAL-001</t>
  </si>
  <si>
    <t>One approved one-page scope and 5 representative questions.</t>
  </si>
  <si>
    <t>Owner review of docs/features/MVP-001.md</t>
  </si>
  <si>
    <t>Scope, exclusions and success measures approved.</t>
  </si>
  <si>
    <t>None</t>
  </si>
  <si>
    <t>Revert scope file before implementation begins.</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</si>
  <si>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</si>
  <si>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</si>
  <si>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Record source precedence: v1.1 controls override older schedule while preserving technical prompts.</t>
  </si>
  <si>
    <t>Prevents Codex and coach from following conflicting weekly sequences.</t>
  </si>
  <si>
    <t>User (execute) + Codex (guide/code)</t>
  </si>
  <si>
    <t>Decision recorded and referenced by all feature prompts.</t>
  </si>
  <si>
    <t>v1.1 is named implementation authority.</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</si>
  <si>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</si>
  <si>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</si>
  <si>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</si>
  <si>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</si>
  <si>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</si>
  <si>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</si>
  <si>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</si>
  <si>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</si>
  <si>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</si>
  <si>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</si>
  <si>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</si>
  <si>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</si>
  <si>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</si>
  <si>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</si>
  <si>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</si>
  <si>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</si>
  <si>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</si>
  <si>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</si>
  <si>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</si>
  <si>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</si>
  <si>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</si>
  <si>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Validation exits 0; missing required fields fail.</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</si>
  <si>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</si>
  <si>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</si>
  <si>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Python foundation</t>
  </si>
  <si>
    <t>Create reproducible dependencies and typed configuration.</t>
  </si>
  <si>
    <t>Fail-fast configuration and portable dependencies reduce hidden runtime risk.</t>
  </si>
  <si>
    <t>AWS-002, BED-001, EMB-001</t>
  </si>
  <si>
    <t>pip install succeeds; config tests pass offline.</t>
  </si>
  <si>
    <t>pip install -r requirements.txt &amp;&amp; pytest tests/unit/test_config.py -q</t>
  </si>
  <si>
    <t>No paid/network dependency in unit tests; TODOs remain non-secret.</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</si>
  <si>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</si>
  <si>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</si>
  <si>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</si>
  <si>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</si>
  <si>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</si>
  <si>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</si>
  <si>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Markers and sample feature test run locally.</t>
  </si>
  <si>
    <t>pytest tests/unit tests/feature -q</t>
  </si>
  <si>
    <t>Tests pass; evidence metadata excludes secrets/content.</t>
  </si>
  <si>
    <t>docs/test-evidence/W1-06-tests.json</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</si>
  <si>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</si>
  <si>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</si>
  <si>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</si>
  <si>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</si>
  <si>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</si>
  <si>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</si>
  <si>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</si>
  <si>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</si>
  <si>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make help &amp;&amp; make preflight</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</si>
  <si>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</si>
  <si>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</si>
  <si>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</si>
  <si>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</si>
  <si>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</si>
  <si>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</si>
  <si>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Add pre-commit formatting, linting and secret scanning baseline.</t>
  </si>
  <si>
    <t>Shift-left checks stop secrets and poor-quality changes before PR.</t>
  </si>
  <si>
    <t>Insecure secret fixture is blocked without committing a real secret.</t>
  </si>
  <si>
    <t>All checks pass on source; synthetic fixture produces expected failure.</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</si>
  <si>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</si>
  <si>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</si>
  <si>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</si>
  <si>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</si>
  <si>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</si>
  <si>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</si>
  <si>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AWS-001, AWS-002, TAG-001</t>
  </si>
  <si>
    <t>Two roots validate as skeletons and dependency order is documented.</t>
  </si>
  <si>
    <t>terraform -chdir=infra/bootstrap fmt -check &amp;&amp; terraform -chdir=infra/environments/sandbox fmt -check</t>
  </si>
  <si>
    <t>No resource apply; backend/platform boundaries are explicit.</t>
  </si>
  <si>
    <t>docs/test-evidence/W1-09-roots.txt</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</si>
  <si>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</si>
  <si>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</si>
  <si>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</si>
  <si>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</si>
  <si>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</si>
  <si>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</si>
  <si>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</si>
  <si>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</si>
  <si>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</si>
  <si>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python -m tools.platformctl --help &amp;&amp; pytest tests/unit/test_platformctl.py -q</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</si>
  <si>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</si>
  <si>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</si>
  <si>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</si>
  <si>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</si>
  <si>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</si>
  <si>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</si>
  <si>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</si>
  <si>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</si>
  <si>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</si>
  <si>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</si>
  <si>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</si>
  <si>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Expected pass/fail matrix is recorded.</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</si>
  <si>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</si>
  <si>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</si>
  <si>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</si>
  <si>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W1-12</t>
  </si>
  <si>
    <t>Checkpoint</t>
  </si>
  <si>
    <t>Review diffs, architecture decisions, test evidence and Week 2 readiness.</t>
  </si>
  <si>
    <t>Owner approval is the stop point between features/weeks.</t>
  </si>
  <si>
    <t>All Week 1 TODOs</t>
  </si>
  <si>
    <t>Every MUST step is Done; no blocker or unapproved scope remains.</t>
  </si>
  <si>
    <t>make preflight &amp;&amp; make test</t>
  </si>
  <si>
    <t>Owner sign-off recorded with outstanding items explicitly deferred.</t>
  </si>
  <si>
    <t>docs/deployment-records/W1-signoff.md</t>
  </si>
  <si>
    <t>W1-01:W1-11</t>
  </si>
  <si>
    <t>No Week 2 prompt is used until gaps are resolved.</t>
  </si>
  <si>
    <t>W1-12 readiness PASS; final Week 1 sign-off APPROVED by Gyan Prakash Rai at 2026-08-19T00:10:55+08:00 (Asia/Singapore); sign-off evidence docs/deployment-records/W1-signoff.md; implementation commit 210381c3ddbc9aab83ccaeb11a59db8d8dad549b.</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</si>
  <si>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</si>
  <si>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</si>
  <si>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Weekly learning</t>
  </si>
  <si>
    <t>Complete the Week 1 business, architecture and interview teach-back.</t>
  </si>
  <si>
    <t>Turns governance, repository, test and lifecycle controls into an explainable architecture story.</t>
  </si>
  <si>
    <t>WEEKLY-LEARN-001</t>
  </si>
  <si>
    <t>Owner explains the Week 1 business outcome, control flow, decisions, failure boundaries and three interview answers without reading code.</t>
  </si>
  <si>
    <t>Owner teach-back; no command</t>
  </si>
  <si>
    <t>Business summary, technical deep-dive, layman analogy, decision recap and interview Q&amp;A completed.</t>
  </si>
  <si>
    <t>docs/learning/W1-learning-review.md</t>
  </si>
  <si>
    <t>Existing Week 1 ADRs</t>
  </si>
  <si>
    <t>No runtime rollback; revise the learning note through document approval if inaccurate.</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</si>
  <si>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</si>
  <si>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</si>
  <si>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</si>
  <si>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Data contracts</t>
  </si>
  <si>
    <t>Implement provider-neutral document, chunk, query, answer and citation models.</t>
  </si>
  <si>
    <t>Stable domain types make vector and LLM backends replaceable.</t>
  </si>
  <si>
    <t>DATA-002, SEC-001</t>
  </si>
  <si>
    <t>Models validate required identity/classification metadata.</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</si>
  <si>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</si>
  <si>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</si>
  <si>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</si>
  <si>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</si>
  <si>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</si>
  <si>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</si>
  <si>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</si>
  <si>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</si>
  <si>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</si>
  <si>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</si>
  <si>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</si>
  <si>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</si>
  <si>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</si>
  <si>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</si>
  <si>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</si>
  <si>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</si>
  <si>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</si>
  <si>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</si>
  <si>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</si>
  <si>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docker compose up -d qdrant &amp;&amp; docker compose ps</t>
  </si>
  <si>
    <t>Service is healthy; image version is pinned.</t>
  </si>
  <si>
    <t>docs/test-evidence/W2-03-qdrant.txt</t>
  </si>
  <si>
    <t>docker compose down -v; verify no project volume/network.</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</si>
  <si>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</si>
  <si>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</si>
  <si>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</si>
  <si>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</si>
  <si>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</si>
  <si>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</si>
  <si>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</si>
  <si>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pytest tests/contract tests/integration/test_qdrant.py -q</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</si>
  <si>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</si>
  <si>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</si>
  <si>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</si>
  <si>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</si>
  <si>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</si>
  <si>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Implement sentence-transformer and deterministic fake embedders.</t>
  </si>
  <si>
    <t>Local CPU embeddings avoid a paid dependency while preserving provider exit.</t>
  </si>
  <si>
    <t>Batch, normalization and dimension mismatch tests pass.</t>
  </si>
  <si>
    <t>Unit tests make no model download; integration model is explicit.</t>
  </si>
  <si>
    <t>docs/test-evidence/W2-05-embedder.txt</t>
  </si>
  <si>
    <t>Restore previous model configuration and recreate collection if dimension changed.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</si>
  <si>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</si>
  <si>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</si>
  <si>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Implement validation, hashing, normalization and deterministic token chunking.</t>
  </si>
  <si>
    <t>Reproducible chunk IDs/versioning make re-index and deletion safe.</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</si>
  <si>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</si>
  <si>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</si>
  <si>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</si>
  <si>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</si>
  <si>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</si>
  <si>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</si>
  <si>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</si>
  <si>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</si>
  <si>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</si>
  <si>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Add replaceable Presidio PII detection/redaction hook.</t>
  </si>
  <si>
    <t>PII handling belongs before indexing and telemetry.</t>
  </si>
  <si>
    <t>Configured PII is redacted/quarantined and never appears in evidence logs.</t>
  </si>
  <si>
    <t>pytest tests/security/test_pii.py -q</t>
  </si>
  <si>
    <t>Synthetic PII fixture is handled as policy states.</t>
  </si>
  <si>
    <t>docs/test-evidence/W2-07-pii.txt</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</si>
  <si>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</si>
  <si>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</si>
  <si>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</si>
  <si>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</si>
  <si>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</si>
  <si>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</si>
  <si>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</si>
  <si>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</si>
  <si>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</si>
  <si>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</si>
  <si>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</si>
  <si>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</si>
  <si>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</si>
  <si>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</si>
  <si>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</si>
  <si>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</si>
  <si>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DATA-001, EVAL-001</t>
  </si>
  <si>
    <t>Expected source appears in top 5 for representative questions.</t>
  </si>
  <si>
    <t>python -m enterprise_ai.ingestion.pipeline ingest --source data/sample --tenant demo &amp;&amp; pytest tests/feature/test_local_retrieval.py -q</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</si>
  <si>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</si>
  <si>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</si>
  <si>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</si>
  <si>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</si>
  <si>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</si>
  <si>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</si>
  <si>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</si>
  <si>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</si>
  <si>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</si>
  <si>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Previous configuration works after rollback; teardown leaves no local residue.</t>
  </si>
  <si>
    <t>make rollback-local &amp;&amp; make destroy-local &amp;&amp; make verify-clean-local</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</si>
  <si>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</si>
  <si>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</si>
  <si>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</si>
  <si>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</si>
  <si>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</si>
  <si>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Learning checkpoint</t>
  </si>
  <si>
    <t>Explain embeddings, cosine similarity, chunk size/overlap and metadata filtering.</t>
  </si>
  <si>
    <t>The workbook is also an interview/reference learning plan.</t>
  </si>
  <si>
    <t>Five-minute explanation uses current implementation evidence.</t>
  </si>
  <si>
    <t>Record explanation notes in docs/architecture/local-retrieval.md</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</si>
  <si>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</si>
  <si>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</si>
  <si>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</si>
  <si>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</si>
  <si>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</si>
  <si>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W2-12</t>
  </si>
  <si>
    <t>Approve local retrieval gate and Week 3 inputs.</t>
  </si>
  <si>
    <t>Prevents LLM work from hiding retrieval defects.</t>
  </si>
  <si>
    <t>BED-001, EVAL-001</t>
  </si>
  <si>
    <t>All MUST tests and cleanup evidence pass.</t>
  </si>
  <si>
    <t>make test &amp;&amp; make verify-clean-local</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</si>
  <si>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</si>
  <si>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</si>
  <si>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</si>
  <si>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</si>
  <si>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</si>
  <si>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</si>
  <si>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</si>
  <si>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</si>
  <si>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</si>
  <si>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</si>
  <si>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</si>
  <si>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</si>
  <si>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</si>
  <si>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LLM contract</t>
  </si>
  <si>
    <t>Create provider-neutral chat/tool/usage types and fake provider.</t>
  </si>
  <si>
    <t>RAG logic should not depend on Bedrock response formats.</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</si>
  <si>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</si>
  <si>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</si>
  <si>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</si>
  <si>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</si>
  <si>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</si>
  <si>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</si>
  <si>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</si>
  <si>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</si>
  <si>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</si>
  <si>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</si>
  <si>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</si>
  <si>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</si>
  <si>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</si>
  <si>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</si>
  <si>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</si>
  <si>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</si>
  <si>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</si>
  <si>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</si>
  <si>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</si>
  <si>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</si>
  <si>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</si>
  <si>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</si>
  <si>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</si>
  <si>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</si>
  <si>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</si>
  <si>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</si>
  <si>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</si>
  <si>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</si>
  <si>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</si>
  <si>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</si>
  <si>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</si>
  <si>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</si>
  <si>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Structured Answer contains only supplied source IDs.</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</si>
  <si>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</si>
  <si>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</si>
  <si>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</si>
  <si>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</si>
  <si>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</si>
  <si>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</si>
  <si>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Add deterministic input/output/citation safety checks.</t>
  </si>
  <si>
    <t>Deterministic policy must surround probabilistic generation.</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</si>
  <si>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</si>
  <si>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</si>
  <si>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</si>
  <si>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</si>
  <si>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</si>
  <si>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</si>
  <si>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</si>
  <si>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</si>
  <si>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</si>
  <si>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</si>
  <si>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</si>
  <si>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</si>
  <si>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</si>
  <si>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</si>
  <si>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</si>
  <si>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</si>
  <si>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</si>
  <si>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</si>
  <si>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</si>
  <si>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</si>
  <si>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</si>
  <si>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</si>
  <si>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Baseline report and nonzero regression exit behavior exist.</t>
  </si>
  <si>
    <t>python -m enterprise_ai.evaluation.run --dataset configs/eval/golden.jsonl --out reports/eval.json</t>
  </si>
  <si>
    <t>Recall@5, citation precision, groundedness, latency and estimated cost recorded.</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</si>
  <si>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</si>
  <si>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</si>
  <si>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</si>
  <si>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</si>
  <si>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</si>
  <si>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</si>
  <si>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</si>
  <si>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</si>
  <si>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</si>
  <si>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</si>
  <si>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</si>
  <si>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</si>
  <si>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</si>
  <si>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Record retrieval/model/token/guardrail metrics without content.</t>
  </si>
  <si>
    <t>Stage-level data explains latency, errors and cost.</t>
  </si>
  <si>
    <t>Metrics include versions/outcomes and exclude prompt/document text.</t>
  </si>
  <si>
    <t>pytest tests/unit/test_telemetry.py -q</t>
  </si>
  <si>
    <t>Redaction tests pass; metrics names are documented.</t>
  </si>
  <si>
    <t>docs/test-evidence/W3-09-telemetry.txt</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</si>
  <si>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</si>
  <si>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</si>
  <si>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</si>
  <si>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</si>
  <si>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</si>
  <si>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</si>
  <si>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CI-style command fails on a material regression.</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</si>
  <si>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</si>
  <si>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</si>
  <si>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</si>
  <si>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</si>
  <si>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Rollback drill</t>
  </si>
  <si>
    <t>Restore prior prompt/model/retriever/index configuration and re-evaluate.</t>
  </si>
  <si>
    <t>RAG changes can regress without application code changes.</t>
  </si>
  <si>
    <t>Last-known-good configuration returns baseline results.</t>
  </si>
  <si>
    <t>Rollback record identifies versions and post-rollback metrics.</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</si>
  <si>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</si>
  <si>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</si>
  <si>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W3-12</t>
  </si>
  <si>
    <t>Approve cited RAG and quality gate before adding agent behavior.</t>
  </si>
  <si>
    <t>Agent tools should not be added to an ungrounded answer system.</t>
  </si>
  <si>
    <t>Grounded answer or abstention works; security/regression/rollback tests pass.</t>
  </si>
  <si>
    <t>make test &amp;&amp; make evaluate</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</si>
  <si>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</si>
  <si>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</si>
  <si>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</si>
  <si>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</si>
  <si>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</si>
  <si>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</si>
  <si>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</si>
  <si>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</si>
  <si>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</si>
  <si>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</si>
  <si>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</si>
  <si>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</si>
  <si>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</si>
  <si>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</si>
  <si>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API</t>
  </si>
  <si>
    <t>Implement health, query and agent endpoints using dependency interfaces.</t>
  </si>
  <si>
    <t>A thin typed boundary isolates clients from implementation details.</t>
  </si>
  <si>
    <t>Endpoints return normalized schemas and request IDs.</t>
  </si>
  <si>
    <t>Health and fake query tests pass; no internal prompt/error leak.</t>
  </si>
  <si>
    <t>docs/test-evidence/W4-01-api.txt</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</si>
  <si>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</si>
  <si>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</si>
  <si>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</si>
  <si>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</si>
  <si>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</si>
  <si>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</si>
  <si>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</si>
  <si>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</si>
  <si>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</si>
  <si>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</si>
  <si>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</si>
  <si>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</si>
  <si>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</si>
  <si>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</si>
  <si>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</si>
  <si>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Every path reaches answer, denied, rejected, timed-out or safe-terminal.</t>
  </si>
  <si>
    <t>pytest tests/unit/test_agent_graph.py -q</t>
  </si>
  <si>
    <t>Graph routing tests pass; Mermaid matches implementation.</t>
  </si>
  <si>
    <t>docs/test-evidence/W4-03-graph.txt</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</si>
  <si>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</si>
  <si>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</si>
  <si>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</si>
  <si>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</si>
  <si>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</si>
  <si>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</si>
  <si>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</si>
  <si>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</si>
  <si>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</si>
  <si>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</si>
  <si>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</si>
  <si>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</si>
  <si>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</si>
  <si>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</si>
  <si>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</si>
  <si>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</si>
  <si>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</si>
  <si>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100% write executions have valid approval and idempotency key.</t>
  </si>
  <si>
    <t>docs/test-evidence/W4-05-approval.txt</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</si>
  <si>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</si>
  <si>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</si>
  <si>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</si>
  <si>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</si>
  <si>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</si>
  <si>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</si>
  <si>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</si>
  <si>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</si>
  <si>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</si>
  <si>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</si>
  <si>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</si>
  <si>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</si>
  <si>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</si>
  <si>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</si>
  <si>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</si>
  <si>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</si>
  <si>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</si>
  <si>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</si>
  <si>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</si>
  <si>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</si>
  <si>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</si>
  <si>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</si>
  <si>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</si>
  <si>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</si>
  <si>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</si>
  <si>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</si>
  <si>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</si>
  <si>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</si>
  <si>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</si>
  <si>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</si>
  <si>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</si>
  <si>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</si>
  <si>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</si>
  <si>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</si>
  <si>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</si>
  <si>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</si>
  <si>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</si>
  <si>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</si>
  <si>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</si>
  <si>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</si>
  <si>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</si>
  <si>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</si>
  <si>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</si>
  <si>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</si>
  <si>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</si>
  <si>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</si>
  <si>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</si>
  <si>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</si>
  <si>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</si>
  <si>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</si>
  <si>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</si>
  <si>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</si>
  <si>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</si>
  <si>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</si>
  <si>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</si>
  <si>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</si>
  <si>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</si>
  <si>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Deploy local immutable version N+1, force regression and restore N.</t>
  </si>
  <si>
    <t>Release rollback is separate from infrastructure rollback.</t>
  </si>
  <si>
    <t>N becomes healthy and passes feature tests after rollback.</t>
  </si>
  <si>
    <t>Rollback duration and health evidence recorded.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</si>
  <si>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</si>
  <si>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</si>
  <si>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</si>
  <si>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W4-12</t>
  </si>
  <si>
    <t>Approve controlled API/agent and Week 5 AWS inputs.</t>
  </si>
  <si>
    <t>Cloud infrastructure should not be planned for an unsafe runtime.</t>
  </si>
  <si>
    <t>AWS-001, AWS-002, NET-001, TAG-001, COST-001</t>
  </si>
  <si>
    <t>All consequential actions are policy-valid and approved.</t>
  </si>
  <si>
    <t>make test &amp;&amp; make security-scan</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</si>
  <si>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</si>
  <si>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</si>
  <si>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</si>
  <si>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</si>
  <si>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</si>
  <si>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</si>
  <si>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</si>
  <si>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</si>
  <si>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</si>
  <si>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</si>
  <si>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</si>
  <si>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</si>
  <si>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</si>
  <si>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AWS inputs</t>
  </si>
  <si>
    <t>Confirm sandbox account, region, network, tags, data residency and budget ceiling.</t>
  </si>
  <si>
    <t>Terraform cannot be safely reviewed with ambiguous ownership or cost.</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</si>
  <si>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</si>
  <si>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</si>
  <si>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</si>
  <si>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</si>
  <si>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</si>
  <si>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</si>
  <si>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</si>
  <si>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</si>
  <si>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t>
  </si>
  <si>
    <t>Build isolated encrypted/versioned S3 state and Terraform 1.5 DynamoDB locking stack.</t>
  </si>
  <si>
    <t>State must survive platform rollback and be removed last during full teardown.</t>
  </si>
  <si>
    <t>fmt/validate/Checkov pass; apply remains manual.</t>
  </si>
  <si>
    <t>terraform -chdir=infra/bootstrap fmt -check &amp;&amp; terraform -chdir=infra/bootstrap validate</t>
  </si>
  <si>
    <t>Bootstrap plan contains only expected resources.</t>
  </si>
  <si>
    <t>docs/test-evidence/W5-02-bootstrap.txt</t>
  </si>
  <si>
    <t>Destroy platform first; bootstrap destroy is separately reviewed.</t>
  </si>
  <si>
    <t>Week 5 State bootstrap task in the end-to-end architecture. After Code Edit Approval, Codex writes only the approved code/configuration/test code for “Build isolated encrypted/versioned S3 state and Terraform 1.5 DynamoDB locking stack.”; you run the verification/deployment commands and return the results. Business value: State must survive platform rollback and be removed last during full teardown. Interview focus: explain where this component sits, how it fails safely and how it is rolled back.</t>
  </si>
  <si>
    <t>W5-03</t>
  </si>
  <si>
    <t>Security foundation</t>
  </si>
  <si>
    <t>Create KMS, private/versioned S3 and secret-metadata modules.</t>
  </si>
  <si>
    <t>Encryption and secret separation are foundational controls.</t>
  </si>
  <si>
    <t>KMS-001, TAG-001</t>
  </si>
  <si>
    <t>No public access or secret value resource exists.</t>
  </si>
  <si>
    <t>terraform -chdir=infra/environments/sandbox validate &amp;&amp; checkov -d infra/modules</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</si>
  <si>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</si>
  <si>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</si>
  <si>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</si>
  <si>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</si>
  <si>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</si>
  <si>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</si>
  <si>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</si>
  <si>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</si>
  <si>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</si>
  <si>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</si>
  <si>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</si>
  <si>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</si>
  <si>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checkov -d infra &amp;&amp; opa test policies/opa -v</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</si>
  <si>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</si>
  <si>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</si>
  <si>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</si>
  <si>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</si>
  <si>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</si>
  <si>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</si>
  <si>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</si>
  <si>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</si>
  <si>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</si>
  <si>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</si>
  <si>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</si>
  <si>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</si>
  <si>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</si>
  <si>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</si>
  <si>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</si>
  <si>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</si>
  <si>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</si>
  <si>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</si>
  <si>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Policy as code</t>
  </si>
  <si>
    <t>Implement OPA and Checkov security/tagging policies with fixtures.</t>
  </si>
  <si>
    <t>Policy gates make critical architecture decisions executable.</t>
  </si>
  <si>
    <t>AWS-002, TAG-001</t>
  </si>
  <si>
    <t>Insecure fixtures fail; secure fixtures pass.</t>
  </si>
  <si>
    <t>opa test policies/opa -v &amp;&amp; checkov -d infra</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</si>
  <si>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</si>
  <si>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</si>
  <si>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</si>
  <si>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</si>
  <si>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</si>
  <si>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</si>
  <si>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</si>
  <si>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Create PR CI and Terraform-plan workflow using GitHub OIDC.</t>
  </si>
  <si>
    <t>Automated gates and short-lived identity reduce change and credential risk.</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</si>
  <si>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</si>
  <si>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</si>
  <si>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</si>
  <si>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</si>
  <si>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</si>
  <si>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</si>
  <si>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</si>
  <si>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</si>
  <si>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Build image, scan with Trivy/Grype and generate Syft SBOM.</t>
  </si>
  <si>
    <t>Deployment must use a known, scanned immutable artifact.</t>
  </si>
  <si>
    <t>Critical findings fail per policy and SBOM is retained.</t>
  </si>
  <si>
    <t>docker build -t enterprise-ai:test . &amp;&amp; trivy image enterprise-ai:test</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</si>
  <si>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</si>
  <si>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</si>
  <si>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</si>
  <si>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</si>
  <si>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</si>
  <si>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</si>
  <si>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</si>
  <si>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</si>
  <si>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Plan, policy and cost review are approved before any apply.</t>
  </si>
  <si>
    <t>Summary lists creates/updates/deletes, costs and residual risks.</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</si>
  <si>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</si>
  <si>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</si>
  <si>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</si>
  <si>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</si>
  <si>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</si>
  <si>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</si>
  <si>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</si>
  <si>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</si>
  <si>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</si>
  <si>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</si>
  <si>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</si>
  <si>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</si>
  <si>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</si>
  <si>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</si>
  <si>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</si>
  <si>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</si>
  <si>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</si>
  <si>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</si>
  <si>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</si>
  <si>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</si>
  <si>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</si>
  <si>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</si>
  <si>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</si>
  <si>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</si>
  <si>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</si>
  <si>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</si>
  <si>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</si>
  <si>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</si>
  <si>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</si>
  <si>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make destroy-sandbox &amp;&amp; make verify-clean  # owner-approved only</t>
  </si>
  <si>
    <t>Resource-cleanliness report is complete and signed.</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</si>
  <si>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</si>
  <si>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</si>
  <si>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W5-13</t>
  </si>
  <si>
    <t>Approve AWS lifecycle evidence and Week 6 EKS deployment inputs.</t>
  </si>
  <si>
    <t>Runtime deployment should use only reviewed, reconstructable platform components.</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</si>
  <si>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</si>
  <si>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</si>
  <si>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</si>
  <si>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</si>
  <si>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</si>
  <si>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</si>
  <si>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</si>
  <si>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</si>
  <si>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</si>
  <si>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</si>
  <si>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</si>
  <si>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</si>
  <si>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</si>
  <si>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</si>
  <si>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</si>
  <si>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</si>
  <si>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</si>
  <si>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Artifact promotion</t>
  </si>
  <si>
    <t>Publish scanned image to ECR by immutable digest.</t>
  </si>
  <si>
    <t>Rollback and provenance require immutable deployment identity.</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</si>
  <si>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</si>
  <si>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</si>
  <si>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</si>
  <si>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</si>
  <si>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</si>
  <si>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</si>
  <si>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</si>
  <si>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</si>
  <si>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Create EKS deployment/Service with non-root/read-only settings and probes.</t>
  </si>
  <si>
    <t>Production-shaped runtime boundaries reduce container and availability risk.</t>
  </si>
  <si>
    <t>Server dry-run and policy validation pass.</t>
  </si>
  <si>
    <t>Manifests use immutable digest and no secret literal.</t>
  </si>
  <si>
    <t>docs/test-evidence/W6-02-k8s.txt</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</si>
  <si>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</si>
  <si>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</si>
  <si>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</si>
  <si>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</si>
  <si>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</si>
  <si>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</si>
  <si>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</si>
  <si>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</si>
  <si>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</si>
  <si>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</si>
  <si>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</si>
  <si>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</si>
  <si>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</si>
  <si>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</si>
  <si>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</si>
  <si>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</si>
  <si>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</si>
  <si>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</si>
  <si>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</si>
  <si>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</si>
  <si>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</si>
  <si>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</si>
  <si>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</si>
  <si>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</si>
  <si>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</si>
  <si>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</si>
  <si>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</si>
  <si>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</si>
  <si>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</si>
  <si>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</si>
  <si>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</si>
  <si>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</si>
  <si>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</si>
  <si>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</si>
  <si>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</si>
  <si>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</si>
  <si>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</si>
  <si>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</si>
  <si>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</si>
  <si>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</si>
  <si>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</si>
  <si>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</si>
  <si>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</si>
  <si>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</si>
  <si>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</si>
  <si>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</si>
  <si>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</si>
  <si>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</si>
  <si>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</si>
  <si>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</si>
  <si>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</si>
  <si>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Rules validate and map to an owner/runbook.</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</si>
  <si>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</si>
  <si>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</si>
  <si>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</si>
  <si>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</si>
  <si>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</si>
  <si>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</si>
  <si>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</si>
  <si>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</si>
  <si>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</si>
  <si>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</si>
  <si>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</si>
  <si>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</si>
  <si>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</si>
  <si>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</si>
  <si>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</si>
  <si>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</si>
  <si>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</si>
  <si>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</si>
  <si>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</si>
  <si>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Readiness fails, no retry storm, alert/runbook activates; FIS has tag targets/stop alarms.</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</si>
  <si>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</si>
  <si>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</si>
  <si>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</si>
  <si>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</si>
  <si>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</si>
  <si>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</si>
  <si>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</si>
  <si>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</si>
  <si>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</si>
  <si>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No material regression; sandbox query has citations and trace ID.</t>
  </si>
  <si>
    <t>Evidence index links tests, eval, scans, traces and decisions.</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</si>
  <si>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</si>
  <si>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</si>
  <si>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</si>
  <si>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</si>
  <si>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</si>
  <si>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</si>
  <si>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</si>
  <si>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</si>
  <si>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Rollback record includes trigger, approver, duration and post-checks.</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</si>
  <si>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</si>
  <si>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</si>
  <si>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</si>
  <si>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</si>
  <si>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</si>
  <si>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</si>
  <si>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</si>
  <si>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Signed cleanup report and deletion record exist.</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</si>
  <si>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</si>
  <si>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</si>
  <si>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</si>
  <si>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</si>
  <si>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</si>
  <si>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</si>
  <si>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</si>
  <si>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</si>
  <si>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</si>
  <si>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</si>
  <si>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</si>
  <si>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</si>
  <si>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</si>
  <si>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</si>
  <si>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</si>
  <si>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</si>
  <si>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</si>
  <si>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</si>
  <si>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</si>
  <si>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</si>
  <si>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</si>
  <si>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</si>
  <si>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</si>
  <si>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</si>
  <si>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</si>
  <si>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</si>
  <si>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</si>
  <si>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</si>
  <si>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</si>
  <si>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</si>
  <si>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</si>
  <si>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</si>
  <si>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docs/features/MVP-001.md with scope, exclusions, measures and approval fields</t>
  </si>
  <si>
    <t>Review Main Prompt → Column M document approval → owner review → Column N final approval</t>
  </si>
  <si>
    <t>docs/adr/ADR-000-source-precedence.md in Proposed state</t>
  </si>
  <si>
    <t>Monorepo skeleton, feature-matrix.yaml, ADR/test/evidence folders, Makefile, README</t>
  </si>
  <si>
    <t>Review Main Prompt → Column L code approval → owner runs TEST-001 guidance → Column M documents → Column N final approval</t>
  </si>
  <si>
    <t>requirements*.txt, pyproject.toml, .env.example, typed config and unit tests</t>
  </si>
  <si>
    <t>pytest markers, fixtures, evidence naming rules, sample feature test</t>
  </si>
  <si>
    <t>platformctl commands, dry-run workflows, mocked residual-resource tests</t>
  </si>
  <si>
    <t>Stop between weeks until MUST work, evidence, decisions, TODOs and rollback readiness are reviewed.</t>
  </si>
  <si>
    <t>docs/deployment-records/TODO_WEEK-signoff.md</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</si>
  <si>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</si>
  <si>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</si>
  <si>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</si>
  <si>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</si>
  <si>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</si>
  <si>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Domain models and pluggable vector adapters</t>
  </si>
  <si>
    <t>Prevent vendor SDK types from leaking into RAG logic.</t>
  </si>
  <si>
    <t>QDRANT_URL; AWS auth only for marked tests</t>
  </si>
  <si>
    <t>Domain models, VectorStore protocol, Qdrant/OpenSearch/fake adapters, contract tests</t>
  </si>
  <si>
    <t>Embedder protocol, sentence-transformer/fake adapters, batch and dimension tests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</si>
  <si>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</si>
  <si>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</si>
  <si>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</si>
  <si>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</si>
  <si>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</si>
  <si>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Use only for owner learning and teach-back; no code, command or document mutation</t>
  </si>
  <si>
    <t>Week 2 owner learning and interview teach-back</t>
  </si>
  <si>
    <t>Owner teach-back and optional docs/learning/W2-learning-review.md</t>
  </si>
  <si>
    <t>LLM protocol, fake/Bedrock adapters, prompt loader, RAG service and tests</t>
  </si>
  <si>
    <t>JSONL schema, deterministic metrics, Ragas adapter, baseline and report</t>
  </si>
  <si>
    <t>Input/output validators, citation/abstention gates, security tests</t>
  </si>
  <si>
    <t>Restored configuration and docs/rollback-records/W3-rag.md</t>
  </si>
  <si>
    <t>Week 3 owner learning and interview teach-back</t>
  </si>
  <si>
    <t>Owner teach-back and optional docs/learning/W3-learning-review.md</t>
  </si>
  <si>
    <t>FastAPI endpoints, schemas, dependencies, health, error mapping and tests</t>
  </si>
  <si>
    <t>Typed graph, nodes/edges, approval interrupt, tools, tests and Mermaid</t>
  </si>
  <si>
    <t>Telemetry module, structured logs, trace tests and local collector config</t>
  </si>
  <si>
    <t>Restored release N and docs/rollback-records/W4-release.md</t>
  </si>
  <si>
    <t>Week 4 owner learning and interview teach-back</t>
  </si>
  <si>
    <t>Owner teach-back and optional docs/learning/W4-learning-review.md</t>
  </si>
  <si>
    <t>Non-secret tfvars example and docs/cost-estimates/W5-inputs.md</t>
  </si>
  <si>
    <t>Bootstrap and KMS/S3/IAM/OpenSearch/ECR/secret-metadata modules</t>
  </si>
  <si>
    <t>PR CI, Terraform plan workflow, image/SBOM scans and approval-gated deploy shell</t>
  </si>
  <si>
    <t>Rego policies/tests, Checkov custom policies and fixtures</t>
  </si>
  <si>
    <t>platformctl AWS implementations, deployment/rollback/destroy records, cleanup report</t>
  </si>
  <si>
    <t>Week 5 owner learning and interview teach-back</t>
  </si>
  <si>
    <t>Owner teach-back and optional docs/learning/W5-learning-review.md</t>
  </si>
  <si>
    <t>Kubernetes/Helm manifests, identity, network policy, health, HPA/PDB and rollback</t>
  </si>
  <si>
    <t>OTel collector, Prometheus, Grafana, CloudWatch alarms, runbook and FIS plan</t>
  </si>
  <si>
    <t>Final validation script, evidence index, ADR updates, demo checklist and architecture brief</t>
  </si>
  <si>
    <t>Week 6 owner learning and interview teach-back</t>
  </si>
  <si>
    <t>Owner teach-back and optional docs/learning/W6-learning-review.md</t>
  </si>
  <si>
    <t>Controlled Owner-Led Codex Prompt Library — v1.3.0</t>
  </si>
  <si>
    <t>Flow: Main Prompt → owner Code Edit Approval → Codex writes code only → owner-led TEST-001 execution/guidance → owner Document Writing Approval → owner Final Approval After Test → owner tracker update → weekly learning teach-back.</t>
  </si>
  <si>
    <t>Code Edit Approval Prompt</t>
  </si>
  <si>
    <t>Document Writing Approval Prompt</t>
  </si>
  <si>
    <t>Final Approval After Owner Test Prompt</t>
  </si>
  <si>
    <t>Set the owner-learning and code-only operating model.</t>
  </si>
  <si>
    <t>Source of Truth, Coaching Blueprint, tracker and owner decisions</t>
  </si>
  <si>
    <t>Context acknowledgement only</t>
  </si>
  <si>
    <t>PROJECT CONTEXT — ENTERPRISE AI ARCHITECTURE OWNER-LED LEARNING PROJECT / TRACKER v1.3.0
The owner is learning enterprise AI architecture, implementation, testing, deployment, remediation and the end-to-end decision flow. Codex is the coding assistant because the owner is not yet comfortable writing code.
Operating model: Codex may inspect and write only explicitly approved code/configuration/infrastructure-as-code/schemas/automated test code. The owner runs every test, installer, Docker/service, deployment, rollback, teardown, registry and cloud command. Codex explains one owner command at a time, diagnoses returned output and never self-remediates.
Documentation is separately approved and business-first. Every completed implementation must include business use case, architecture position, technical importance, layman explanation, decisions/trade-offs, failure/rollback story and interview preparation. Every week ends with a mandatory teaching task.
Authority and technical architecture remain unchanged: Source of Truth v1.1, owner-approved ADRs, Coaching Blueprint, tracker, approved feature requirements, then generated code. Never invent an owner decision or silently reconcile a conflict.
Acknowledge only: WAITING FOR CTRL-001. Do not create, edit, run or mutate anything.</t>
  </si>
  <si>
    <t>Paste once per session</t>
  </si>
  <si>
    <t>WAITING FOR CTRL-001</t>
  </si>
  <si>
    <t>N/A — context only</t>
  </si>
  <si>
    <t>Enforce the Main → Code → Owner Test → Documents → Final Approval workflow.</t>
  </si>
  <si>
    <t>Exact tracker rows, Task Context, owner decisions and approved boundaries</t>
  </si>
  <si>
    <t>Read-only plan, code-only edit, owner runbook, documentation gate and learning summary</t>
  </si>
  <si>
    <t>CTRL-001 — OWNER-LED CODE-ONLY DEVELOPMENT CONTROL v1.3.0
Work on one requested prompt only and treat its exact tracker rows and Task Context as the contract.
STAGE 1 — MAIN PROMPT / READ-ONLY PLAN
Inspect the repository and governing records read-only. Explain the business use case, architecture position, prerequisites, decisions, exact code paths, exclusions, automated test code to write, owner-run test/deployment steps, access/cost/privacy impact, rollback/teardown and interview learning goals. Stop for approval. Do not edit anything.
STAGE 2 — COLUMN L / CODE EDIT APPROVAL
Write only the approved code/configuration/IaC/schema/automated test code. Run nothing. Do not install, test, lint, build, use Docker/registry/cloud, deploy, remediate, write documentation/evidence/ADRs/tracker, stage, commit or push. Return changed paths, concise diff summary, owner execution guide and learning summary. Stop at CODE READY FOR OWNER TESTING.
STAGE 3 — TEST-001 / OWNER EXECUTION
The owner executes. Give one exact command at a time with purpose, expected result, access/cost/risk and stop condition. Wait for the output. On failure, provide one concise failure line, evidence-backed diagnosis or INDETERMINATE, and the smallest owner action. Do not execute or fix. A code change requires a new Code Edit Approval.
STAGE 4 — COLUMN M / DOCUMENT WRITING APPROVAL
Write only approved business-first documentation and factual evidence from owner-provided results. Clearly distinguish PASS, FAIL, NOT RUN and pending work. Do not edit code or run commands.
STAGE 5 — COLUMN N / FINAL APPROVAL AFTER OWNER TEST
Acknowledge the owner's final decision. Make no further change. The owner updates Excel. Complete WEEKLY-LEARN-001 after the week's tasks.</t>
  </si>
  <si>
    <t>Paste after CTX-001</t>
  </si>
  <si>
    <t>WAITING FOR ONE MAIN PROMPT</t>
  </si>
  <si>
    <t>Owner approves every stage</t>
  </si>
  <si>
    <t>N/A — global control</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</si>
  <si>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</si>
  <si>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</si>
  <si>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</si>
  <si>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</si>
  <si>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TEST-001 — OWNER-LED TEST, DEPLOYMENT AND REMEDIATION GUIDE v1.3.0
Required inputs: prompt ID, approved code diff/path list, tracker acceptance criteria, environment/access boundary and prior owner outputs.
Codex must not execute commands, edit files, deploy, roll back, tear down, remediate, stage, commit or push. The owner has the required access and executes every command.
1. Build a phased owner runbook: prerequisites → offline/unit/contract/security tests → integration/runtime tests → deployment where applicable → business validation → rollback/teardown → residue and repository checks.
2. Present exactly one command at a time. For each command state: purpose, expected result, whether it is read-only/networked/mutating/paid, required access, stop condition and cleanup. Wait for the owner's complete sanitized output.
3. Validate the returned exit code/output against the expected result. Never infer PASS from incomplete output.
4. On failure, respond in one line: FAILED — &lt;command&gt; | Purpose: &lt;purpose&gt; | Failed at: &lt;check&gt; | Exit: &lt;code&gt; | Error: &lt;sanitized error&gt; | Next: &lt;one owner action&gt;. Then explain only what the owner needs to understand.
5. Guide environment/access remediation through the owner. If the defect is in source code, propose the exact bounded code-change plan and stop for a new Code Edit Approval; do not patch automatically.
6. At the end summarize executed/not-run commands, business acceptance, security/privacy/cost, rollback/teardown, residue, limitations and evidence the owner should approve for documentation.
End exactly: OWNER TESTING PASS — TODO_PROMPT_ID or OWNER TESTING BLOCKED — TODO_PROMPT_ID. Stop.</t>
  </si>
  <si>
    <t>Use after CODE READY FOR OWNER TESTING</t>
  </si>
  <si>
    <t>OWNER TESTING PASS/BLOCKED; no Codex execution</t>
  </si>
  <si>
    <t>Owner executes and owns results</t>
  </si>
  <si>
    <t>N/A — no code editing</t>
  </si>
  <si>
    <t>N/A — use feature row Column M</t>
  </si>
  <si>
    <t>N/A — use feature row Column N</t>
  </si>
  <si>
    <t>Approved business-first documentation/decision record only; no code or command execution</t>
  </si>
  <si>
    <t>DOCUMENTATION READY FOR OWNER REVIEW — W1-MVP-001</t>
  </si>
  <si>
    <t>Owner approves documentation and final result</t>
  </si>
  <si>
    <t>N/A — document-only prompt</t>
  </si>
  <si>
    <t>I reviewed the owner-executed test/deployment results and the approved documentation plan for W1-MVP-001.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W1-MVP-001.</t>
  </si>
  <si>
    <t>I reviewed the W1-MVP-001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W1-MVP-001. List only remaining owner TODOs or accepted risks, then stop.</t>
  </si>
  <si>
    <t>DOCUMENTATION READY FOR OWNER REVIEW — W1-GOV-001</t>
  </si>
  <si>
    <t>I reviewed the owner-executed test/deployment results and the approved documentation plan for W1-GOV-001.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W1-GOV-001.</t>
  </si>
  <si>
    <t>I reviewed the W1-GOV-001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W1-GOV-001. List only remaining owner TODOs or accepted risks, then stop.</t>
  </si>
  <si>
    <t>Approved code/configuration/test-code changes; owner test/deployment/remediation guide; business/technical/layman/interview summary</t>
  </si>
  <si>
    <t>Review Main Prompt → Column L code approval → owner runs TEST-001 → Column M documents → Column N final approval</t>
  </si>
  <si>
    <t>CODE READY FOR OWNER TESTING — W1-001</t>
  </si>
  <si>
    <t>Owner approves code, documents and final result separately</t>
  </si>
  <si>
    <t>I reviewed the Main Prompt and pre-edit plan for W1-001.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W1-001.</t>
  </si>
  <si>
    <t>I reviewed the owner-executed test/deployment results and the approved documentation plan for W1-001.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W1-001.</t>
  </si>
  <si>
    <t>I reviewed the W1-001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W1-001. List only remaining owner TODOs or accepted risks, then stop.</t>
  </si>
  <si>
    <t>CODE READY FOR OWNER TESTING — W1-002</t>
  </si>
  <si>
    <t>I reviewed the Main Prompt and pre-edit plan for W1-002.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W1-002.</t>
  </si>
  <si>
    <t>I reviewed the owner-executed test/deployment results and the approved documentation plan for W1-002.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W1-002.</t>
  </si>
  <si>
    <t>I reviewed the W1-002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W1-002. List only remaining owner TODOs or accepted risks, then stop.</t>
  </si>
  <si>
    <t>CODE READY FOR OWNER TESTING — W1-003</t>
  </si>
  <si>
    <t>I reviewed the Main Prompt and pre-edit plan for W1-003.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W1-003.</t>
  </si>
  <si>
    <t>I reviewed the owner-executed test/deployment results and the approved documentation plan for W1-003.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W1-003.</t>
  </si>
  <si>
    <t>I reviewed the W1-003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W1-003. List only remaining owner TODOs or accepted risks, then stop.</t>
  </si>
  <si>
    <t>CODE READY FOR OWNER TESTING — W1-004</t>
  </si>
  <si>
    <t>I reviewed the Main Prompt and pre-edit plan for W1-004.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W1-004.</t>
  </si>
  <si>
    <t>I reviewed the owner-executed test/deployment results and the approved documentation plan for W1-004.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W1-004.</t>
  </si>
  <si>
    <t>I reviewed the W1-004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W1-004. List only remaining owner TODOs or accepted risks, then stop.</t>
  </si>
  <si>
    <t>Local Qdrant foundation, domain models and pluggable vector adapters</t>
  </si>
  <si>
    <t>Establish the pinned local prerequisite and prevent vendor/security leakage into retrieval logic.</t>
  </si>
  <si>
    <t>W1 sign-off; DATA-002, DATA-003, EMB-001, SEC-001; Docker 24+; approved Qdrant digests</t>
  </si>
  <si>
    <t>SIMPLE THREE-STAGE OWNER-CONTROLLED WORKFLOW — TRACKER v1.1.2
This is the MAIN PROMPT for W2-001. Covered tracker steps: W2-03, W2-01, W2-02, W2-04, W2-08.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Use host 127.0.0.1:6333, Compose project enterprise-ai-w2-004a, service qdrant, volume enterprise-ai-w2-004a_qdrant_data and internal network enterprise-ai-w2-004a_qdrant_internal.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FINAL OWNER-LED EXECUTION BOUNDARY — THIS SECTION SUPERSEDES EVERY CONFLICTING INSTRUCTION ABOVE
This boundary applies to W2-001.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</si>
  <si>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W2-001</t>
  </si>
  <si>
    <t>W2-03, W2-01, W2-02, W2-04, W2-08</t>
  </si>
  <si>
    <t>I reviewed the Main Prompt and pre-edit plan for W2-001.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W2-001.</t>
  </si>
  <si>
    <t>I reviewed the owner-executed test/deployment results and the approved documentation plan for W2-001.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W2-001.</t>
  </si>
  <si>
    <t>I reviewed the W2-001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W2-001. List only remaining owner TODOs or accepted risks, then stop.</t>
  </si>
  <si>
    <t>SIMPLE THREE-STAGE OWNER-CONTROLLED WORKFLOW — TRACKER v1.1.2
This is the MAIN PROMPT for W2-002. Covered tracker steps: W2-05.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SCOPED v1.1.2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FINAL OWNER-LED EXECUTION BOUNDARY — THIS SECTION SUPERSEDES EVERY CONFLICTING INSTRUCTION ABOVE
This boundary applies to W2-002.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</si>
  <si>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W2-002</t>
  </si>
  <si>
    <t>I reviewed the Main Prompt and pre-edit plan for W2-002.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W2-002.</t>
  </si>
  <si>
    <t>I reviewed the owner-executed test/deployment results and the approved documentation plan for W2-002.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W2-002.</t>
  </si>
  <si>
    <t>I reviewed the W2-002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W2-002. List only remaining owner TODOs or accepted risks, then stop.</t>
  </si>
  <si>
    <t>SIMPLE THREE-STAGE OWNER-CONTROLLED WORKFLOW — TRACKER v1.1.2
This is the MAIN PROMPT for W2-003. Covered tracker steps: W2-06, W2-07.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SCOPED v1.1.2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FINAL OWNER-LED EXECUTION BOUNDARY — THIS SECTION SUPERSEDES EVERY CONFLICTING INSTRUCTION ABOVE
This boundary applies to W2-003.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</si>
  <si>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W2-003</t>
  </si>
  <si>
    <t>I reviewed the Main Prompt and pre-edit plan for W2-003.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W2-003.</t>
  </si>
  <si>
    <t>I reviewed the owner-executed test/deployment results and the approved documentation plan for W2-003.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W2-003.</t>
  </si>
  <si>
    <t>I reviewed the W2-003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W2-003. List only remaining owner TODOs or accepted risks, then stop.</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</si>
  <si>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</si>
  <si>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</si>
  <si>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</si>
  <si>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SIMPLE THREE-STAGE OWNER-CONTROLLED WORKFLOW — TRACKER v1.1.2
This is the MAIN PROMPT for W2-004. Covered tracker steps: W2-09, W2-10.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W2-004.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SCOPED v1.1.2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FINAL OWNER-LED EXECUTION BOUNDARY — THIS SECTION SUPERSEDES EVERY CONFLICTING INSTRUCTION ABOVE
This boundary applies to W2-004.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W2-004.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</si>
  <si>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W2-004</t>
  </si>
  <si>
    <t>W2-09, W2-10</t>
  </si>
  <si>
    <t>I reviewed the Main Prompt and pre-edit plan for W2-004.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W2-004.</t>
  </si>
  <si>
    <t>I reviewed the owner-executed test/deployment results and the approved documentation plan for W2-004.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W2-004.</t>
  </si>
  <si>
    <t>I reviewed the W2-004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W2-004. List only remaining owner TODOs or accepted risks, then stop.</t>
  </si>
  <si>
    <t>Business/technical/layman explanation, decision review and interview practice only</t>
  </si>
  <si>
    <t>SIMPLE THREE-STAGE OWNER-CONTROLLED WORKFLOW — TRACKER v1.1.2
This is the MAIN PROMPT for W2-LEARN-001. Covered tracker steps: W2-11.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W2-LEARN-001.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W2-LEARN-001. Stop.
ORIGINAL v1.1 TECHNICAL PROMPT — RETAINED VERBATIM
CONTINUE UNDER CTX-001 AND CTRL-001.
SCOPED TASK — W2-LEARN-001
Create or update only docs/architecture/local-retrieval.md. Explain in plain and interview-ready language: embeddings, cosine similarity, chunk size/overlap, metadata authorization filters, adapter boundaries, Qdrant-to-OpenSearch migration, quality/security/cost trade-offs and the decisions actually implemented. Reference relevant ADRs and redacted W2 evidence. Do not change application code, data, configuration, containers or cloud resources.
SCOPED v1.1.2 AMENDMENT — EVIDENCE-BOUND LEARNING CHECKPOINT
Do not start until W2-09 has independently passed and the implemented ADRs/configuration/evidence are stable. Explain the actual model pin, 384-dimensional normalized cosine vectors, fake-versus-real embedder purpose, chunk/overlap trade-off, tenant/classification/ACL filtering, pre-filter plus post-result validation, Qdrant-to-OpenSearch migration/re-index implications, PII-before-embedding, cost and complete-removal evidence. Do not claim unrun AWS/OpenSearch or semantic-quality results. Modify only docs/architecture/local-retrieval.md, validate all references, and leave code, data, configuration, Docker, caches and cloud untouched.
FINAL TEACHING-ONLY BOUNDARY — THIS SECTION SUPERSEDES EVERY CONFLICTING INSTRUCTION ABOVE
Use W2-LEARN-001 only to teach and review approved facts. Do not create or edit code, documentation, evidence or the tracker; do not run commands or mutate local/cloud resources.
Explain the business use case, end-to-end flow, technical components, owner decisions, trade-offs, security/reliability controls, failure/rollback story, layman analogy and interview questions. Clearly label anything not yet implemented or owner-tested.
End exactly: LEARNING REVIEW COMPLETE — W2-LEARN-001.</t>
  </si>
  <si>
    <t>Use for owner learning; no code or commands</t>
  </si>
  <si>
    <t>LEARNING REVIEW COMPLETE — W2-LEARN-001</t>
  </si>
  <si>
    <t>Owner teach-back</t>
  </si>
  <si>
    <t>N/A — teaching only</t>
  </si>
  <si>
    <t>Optional learning-note approval only</t>
  </si>
  <si>
    <t>Owner learning acknowledgement</t>
  </si>
  <si>
    <t>SIMPLE THREE-STAGE OWNER-CONTROLLED WORKFLOW — TRACKER v1.1.2
This is the MAIN PROMPT for W3-001. Covered tracker steps: W3-01, W3-02, W3-03, W3-04.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Define an async LLMProvider Protocol with normalized ChatRequest, ToolSpec, Usage and ChatResponse. Implement FakeLLMProvider and BedrockLLMProvider using boto3, configured model ID, explicit connect/read timeouts, retry caps, usage capture and normalized throttle/timeout errors. Implement cited RAG: authorize metadata before retrieval, retrieve top-k, reject weak evidence, delimit context as untrusted data, generate a structured Answer, validate every citation against supplied context and abstain when evidence is insufficient. Do not log prompts or document text.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CITED RAG AND OWNER-GATED BEDROCK
1. Require W2-12 owner sign-off, independently approved W2 implementation hashes, BED-001, SEC-001/DATA-002 and an explicit RAG-001 proposal for top_k, minimum score and context/token budget. Verify ADR-004 and step dependencies W3-01 → W3-02/W3-03 → W3-04.
2. FakeLLMProvider is the default for unit/feature tests. Bedrock unit tests use an injected/stubbed client; no AWS call. Live Bedrock model discovery/inference is networked, paid and owner-gated and requires exact account/region/model ID, quota, fallback, timeout/retry, expected maximum spend and privacy/residency approval. Never hard-code a model ID or silently substitute a region/model.
3. Treat identity and Query separately. Authorize before retrieval, retrieve only filtered evidence, delimit retrieved text as untrusted, grade evidence with deterministic rules, generate a typed Answer, validate every citation against supplied authorized source/chunk IDs and abstain on weak, conflicting, unauthorized or malformed evidence. Do not expose chain-of-thought.
4. Bound connect/read deadlines, retry only classified transient/throttle errors with caps/jitter, capture safe usage/cost fields and normalize timeout/throttle/malformed errors without endpoints, content or SDK exceptions. Never log prompt/context/document/PII/secrets.
5. Test LLM contract success/timeout/throttle/malformed/usage, prompt delimiter/injection, authorization short-circuit, weak/conflicting evidence, citation fabrication, abstention, deadlines/retry exhaustion and provider-object isolation.
6. Canonical evidence: W3-01-llm-contract.txt, W3-02-bedrock.txt, W3-03-prompt.txt and W3-04-rag.txt. Aggregate W3-rag.txt may summarize but must not conflict. Run normal developer commands and cleanliness. No unapproved AWS/paid call, Qdrant lifecycle change, tracker edit, stage, commit or push.
7. After W3-001 passes, run W4-003 Phase A for W3-09 telemetry before the Week 3 checkpoint; do not wait until Week 4.
FINAL OWNER-LED EXECUTION BOUNDARY — THIS SECTION SUPERSEDES EVERY CONFLICTING INSTRUCTION ABOVE
This boundary applies to W3-001.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</si>
  <si>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W3-001</t>
  </si>
  <si>
    <t>I reviewed the Main Prompt and pre-edit plan for W3-001.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W3-001.</t>
  </si>
  <si>
    <t>I reviewed the owner-executed test/deployment results and the approved documentation plan for W3-001.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W3-001.</t>
  </si>
  <si>
    <t>I reviewed the W3-001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W3-001. List only remaining owner TODOs or accepted risks, then stop.</t>
  </si>
  <si>
    <t>CODE READY FOR OWNER TESTING — W3-002</t>
  </si>
  <si>
    <t>I reviewed the Main Prompt and pre-edit plan for W3-002.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W3-002.</t>
  </si>
  <si>
    <t>I reviewed the owner-executed test/deployment results and the approved documentation plan for W3-002.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W3-002.</t>
  </si>
  <si>
    <t>I reviewed the W3-002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W3-002. List only remaining owner TODOs or accepted risks, then stop.</t>
  </si>
  <si>
    <t>SIMPLE THREE-STAGE OWNER-CONTROLLED WORKFLOW — TRACKER v1.1.2
This is the MAIN PROMPT for W3-003. Covered tracker steps: W3-05, W3-08.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SCOPED v1.1.2 AMENDMENT — FAIL-CLOSED RAG SECURITY
Require an independently approved W3-001 and execute before W3-002 establishes the release baseline.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FINAL OWNER-LED EXECUTION BOUNDARY — THIS SECTION SUPERSEDES EVERY CONFLICTING INSTRUCTION ABOVE
This boundary applies to W3-003.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</si>
  <si>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W3-003</t>
  </si>
  <si>
    <t>I reviewed the Main Prompt and pre-edit plan for W3-003.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W3-003.</t>
  </si>
  <si>
    <t>I reviewed the owner-executed test/deployment results and the approved documentation plan for W3-003.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W3-003.</t>
  </si>
  <si>
    <t>I reviewed the W3-003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W3-003. List only remaining owner TODOs or accepted risks, then stop.</t>
  </si>
  <si>
    <t>SIMPLE THREE-STAGE OWNER-CONTROLLED WORKFLOW — TRACKER v1.1.2
This is the MAIN PROMPT for W3-ROLLBACK-001. Covered tracker steps: W3-11.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W3-ROLLBACK-001.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W3-ROLLBACK-001. Stop.
ORIGINAL v1.1 TECHNICAL PROMPT — RETAINED VERBATIM
CONTINUE UNDER CTX-001 AND CTRL-001.
SCOPED TASK — W3-ROLLBACK-001
Use only the exact existing local prompt/model/retriever/index configuration files listed and approved in the pre-edit plan, plus docs/rollback-records/W3-rag.md. Restore the prior known-good configuration, run make rollback-rag &amp;&amp; make evaluate, compare the checked-in baseline, and record exact versions, commands, results, elapsed time and residual risks. Do not hide regression, edit the golden truth set, mutate cloud resources or edit this tracker.
SCOPED v1.1.2 AMENDMENT — SAFE CONFIGURATION ROLLBACK
Run only after W3-10 has a passing approved baseline and before W3-12. Freeze exact configuration N hashes and passing evidence; introduce only an owner-approved local test regression N+1; prove the gate detects it; restore N; rerun evaluation, citation/abstention, security/isolation and telemetry checks. Do not edit the golden truth set, lower thresholds, destroy shared data or use teardown as rollback. If Qdrant/model resources are needed, list their exact local lifecycle/cache boundary and clean or preserve them per approval. The rollback record must contain hashes, elapsed time, failure signal and restored results. Any mismatch or residual is FAIL.
FINAL OWNER-LED EXECUTION BOUNDARY — THIS SECTION SUPERSEDES EVERY CONFLICTING INSTRUCTION ABOVE
This boundary applies to W3-ROLLBACK-001.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W3-ROLLBACK-001.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</si>
  <si>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W3-ROLLBACK-001</t>
  </si>
  <si>
    <t>I reviewed the Main Prompt and pre-edit plan for W3-ROLLBACK-001.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W3-ROLLBACK-001.</t>
  </si>
  <si>
    <t>I reviewed the owner-executed test/deployment results and the approved documentation plan for W3-ROLLBACK-001.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W3-ROLLBACK-001.</t>
  </si>
  <si>
    <t>I reviewed the W3-ROLLBACK-001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W3-ROLLBACK-001. List only remaining owner TODOs or accepted risks, then stop.</t>
  </si>
  <si>
    <t>SIMPLE THREE-STAGE OWNER-CONTROLLED WORKFLOW — TRACKER v1.1.2
This is the MAIN PROMPT for W4-001. Covered tracker steps: W4-01, W4-02, W4-10.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Build FastAPI endpoints /health/live, /health/ready, /v1/query and /v1/agent. Use Pydantic schemas, correlation IDs, request-size limits, authentication/authorization interfaces, deadlines, concurrency limiting and normalized errors. Readiness checks dependencies with short timeouts. Return citations, model/retriever versions and request ID; never expose prompts, chain-of-thought, secrets or raw exceptions. Add JSON logging with redaction and OpenTelemetry spans.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TRUSTED API BOUNDARY
Require W3-12 sign-off plus SEC-001 and COST-001. The authentication dependency—not request JSON—constructs trusted AuthContext; deny before retriever or agent invocation. Keep /v1/agent disabled until W4-002 is approved. Validate request/body/content-type limits, correlation/request IDs, deadlines, bounded concurrency/backpressure, cancellation and normalized status/error mapping. Trust forwarded headers only from an explicitly configured proxy boundary. Readiness uses short dependency timeouts and differs from liveness. Never return prompts, context, chain-of-thought, secrets, PII, internal endpoints or raw exceptions. Load smoke must be bounded, local/fake by default, record p95/p99 and leave no process/cache residue. Canonical evidence: W4-01-api.txt, W4-02-auth.txt and W4-10-load.json; aggregate W4-api.txt must reconcile. Test auth short-circuit, size/type/rate/deadline/concurrency, dependency failure, schema/redaction and shutdown cleanup.
FINAL OWNER-LED EXECUTION BOUNDARY — THIS SECTION SUPERSEDES EVERY CONFLICTING INSTRUCTION ABOVE
This boundary applies to W4-001.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</si>
  <si>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W4-001</t>
  </si>
  <si>
    <t>I reviewed the Main Prompt and pre-edit plan for W4-001.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W4-001.</t>
  </si>
  <si>
    <t>I reviewed the owner-executed test/deployment results and the approved documentation plan for W4-001.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W4-001.</t>
  </si>
  <si>
    <t>I reviewed the W4-001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W4-001. List only remaining owner TODOs or accepted risks, then stop.</t>
  </si>
  <si>
    <t>SIMPLE THREE-STAGE OWNER-CONTROLLED WORKFLOW — TRACKER v1.1.2
This is the MAIN PROMPT for W4-002. Covered tracker steps: W4-03, W4-04, W4-05, W4-06, W4-07, W4-09.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LangGraph StateGraph with typed state and nodes validate_input, authorize, retrieve, grade_evidence, answer, propose_tool, await_human_approval, execute_tool and safe_terminal. Keep routing deterministic except evidence grading/answer generation. Enforce max steps, max tool calls, deadline, allowlists, JSON-schema arguments and idempotency keys. Include one read-only status tool and one mocked write tool that cannot execute without durable approval. Persist only redacted state. Test denial, timeout, repeated calls, malformed args, injection, approval rejection and approved execution.
SCOPED v1.1.2 AMENDMENT — BOUNDED GRAPH, DURABLE APPROVAL AND REPLAY SAFETY
Require W4-001, APP-001, COST-001 and RET-001. Do not invent the approval store, approver role, TTL, rejection or retention rules. Bind approval to tenant, subject/approver, exact tool, normalized arguments, idempotency key, request, expiry and one-time decision; expired/rejected/replayed/altered approvals deny. The Week 4 write tool is mocked and produces no external side effect. Keep read-only and write permissions separate; admin has no implicit cross-tenant authority. Cap steps, tool calls, tokens, wall time, retries, state size and concurrency; every path reaches an explicit safe terminal. Persist only allowlisted redacted fields with retention/purge tests. Test all graph branches, malformed/extra args, injection, denial, timeout, loop/retry exhaustion, duplicate/replayed calls, approval races and failure before/after mocked execution. Canonical evidence: W4-03-graph.txt through W4-07-state.txt and W4-09-failures.txt; reconcile W4 aggregate records. No real write tool, external approval service, cloud mutation or paid call.
FINAL OWNER-LED EXECUTION BOUNDARY — THIS SECTION SUPERSEDES EVERY CONFLICTING INSTRUCTION ABOVE
This boundary applies to W4-002.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</si>
  <si>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W4-002</t>
  </si>
  <si>
    <t>I reviewed the Main Prompt and pre-edit plan for W4-002.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W4-002.</t>
  </si>
  <si>
    <t>I reviewed the owner-executed test/deployment results and the approved documentation plan for W4-002.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W4-002.</t>
  </si>
  <si>
    <t>I reviewed the W4-002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W4-002. List only remaining owner TODOs or accepted risks, then stop.</t>
  </si>
  <si>
    <t>SIMPLE THREE-STAGE OWNER-CONTROLLED WORKFLOW — TRACKER v1.1.2
This is the MAIN PROMPT for W4-003. Covered tracker steps: W3-09, W4-08.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Instrument FastAPI, retrieval, embedding, LLM, guardrail and tool stages with OpenTelemetry. Emit safe attributes for request ID, stage, duration, outcome, model/retriever version, token counts and error class; never emit raw prompts, documents, secrets, PII or chain-of-thought. Add JSON logs with correlation IDs and a local collector/Jaeger path. Test that one trace links API to retrieval and model, and add redaction tests.
SCOPED v1.1.2 AMENDMENT — TWO SEPARATE CONTROLLED CYCLES TO REMOVE THE CROSS-WEEK DEPENDENCY
This prompt is executed twice under the same Prompt ID; never combine the phases or reuse approval/evidence between them.
PHASE A — WEEK 3 / W3-09
- Run after W3-001 and before W3-12. Require OBS-001 or report the early blocking dependency explicitly.
- Implement safe metric/log/trace contracts for retrieval, model, token/usage and guardrail stages with bounded low-cardinality attributes, content/PII/secret exclusion and exporter-failure isolation.
- Canonical evidence: docs/test-evidence/W3-09-telemetry.txt. Obtain its own pre-edit approval, independent TEST-001 and final owner approval.
PHASE B — WEEK 4 / W4-08
- Run only after W4-001 and W4-002 are independently approved.
- Extend correlation across API, authorization, retrieval, embedding, LLM, guardrail, approval and tool stages; prove one local trace and redacted JSON logs. Canonical evidence: docs/test-evidence/W4-08-trace.json; reconcile aggregate W4-trace.json.
- Any local collector/Jaeger container requires an immutable pin, external cache, explicit local-mutation approval and complete teardown. AWS exporters remain disabled until separately approved.
Both phases test redaction, cardinality, correlation, error classification, exporter outage/backpressure and shutdown cleanup. Telemetry failure must not leak content or corrupt the answer path. Each phase ends with its own READY FOR INDEPENDENT TEST — W4-003 and separate owner final approval.
FINAL OWNER-LED EXECUTION BOUNDARY — THIS SECTION SUPERSEDES EVERY CONFLICTING INSTRUCTION ABOVE
This boundary applies to W4-003.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</si>
  <si>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W4-003</t>
  </si>
  <si>
    <t>I reviewed the Main Prompt and pre-edit plan for W4-003.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W4-003.</t>
  </si>
  <si>
    <t>I reviewed the owner-executed test/deployment results and the approved documentation plan for W4-003.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W4-003.</t>
  </si>
  <si>
    <t>I reviewed the W4-003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W4-003. List only remaining owner TODOs or accepted risks, then stop.</t>
  </si>
  <si>
    <t>SIMPLE THREE-STAGE OWNER-CONTROLLED WORKFLOW — TRACKER v1.1.2
This is the MAIN PROMPT for W4-ROLLBACK-001. Covered tracker steps: W4-11.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W4-ROLLBACK-001.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W4-ROLLBACK-001. Stop.
ORIGINAL v1.1 TECHNICAL PROMPT — RETAINED VERBATIM
CONTINUE UNDER CTX-001 AND CTRL-001.
SCOPED TASK — W4-ROLLBACK-001
Using only local immutable release artifacts and files explicitly listed in the approved pre-edit plan, deploy local version N+1, introduce the approved safe regression, restore N, and run make rollback-release &amp;&amp; make smoke. Record versions/digests, commands, health/feature-test results, rollback duration and remaining risks in docs/rollback-records/W4-release.md. Do not push images, mutate Kubernetes/cloud resources or edit this tracker.
SCOPED v1.1.2 AMENDMENT — IMMUTABLE LOCAL RELEASE ROLLBACK
Require completion of W4-01 through W4-10 and an approved safe regression. Capture immutable release N and N+1 digests/config hashes, health/evaluation baseline and exact local resources. Prove N+1 failure, restore N without changing infrastructure or shared data, then rerun liveness/readiness, API/auth, agent safety, smoke, telemetry and cleanup checks. Do not build or pull an unapproved image, use a mutable tag as authority, push an image, mutate Kubernetes/cloud or treat teardown as rollback. Record rollback time, failure signal, restored digest and residuals at docs/rollback-records/W4-release.md; remove task-owned local containers/networks/volumes/caches according to approval.
FINAL OWNER-LED EXECUTION BOUNDARY — THIS SECTION SUPERSEDES EVERY CONFLICTING INSTRUCTION ABOVE
This boundary applies to W4-ROLLBACK-001.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W4-ROLLBACK-001.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</si>
  <si>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W4-ROLLBACK-001</t>
  </si>
  <si>
    <t>I reviewed the Main Prompt and pre-edit plan for W4-ROLLBACK-001.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W4-ROLLBACK-001.</t>
  </si>
  <si>
    <t>I reviewed the owner-executed test/deployment results and the approved documentation plan for W4-ROLLBACK-001.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W4-ROLLBACK-001.</t>
  </si>
  <si>
    <t>I reviewed the W4-ROLLBACK-001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W4-ROLLBACK-001. List only remaining owner TODOs or accepted risks, then stop.</t>
  </si>
  <si>
    <t>SIMPLE THREE-STAGE OWNER-CONTROLLED WORKFLOW — TRACKER v1.1.2
This is the MAIN PROMPT for W5-INPUTS-001. Covered tracker steps: W5-01.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W5-INPUTS-001.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W5-INPUTS-001. Stop.
ORIGINAL v1.1 TECHNICAL PROMPT — RETAINED VERBATIM
CONTINUE UNDER CTX-001 AND CTRL-001.
SCOPED TASK — W5-INPUTS-001
Update only infra/environments/sandbox/terraform.tfvars.example and docs/cost-estimates/W5-inputs.md, creating them only if their parent structure already exists or was approved. Use TODO placeholders for sandbox account ID, approved region, VPC/subnets, mandatory tags, data-residency/privacy constraints, expiry and monthly budget. Never request, store or display credentials, secret values or live tokens. Do not run terraform init/plan/apply/destroy and do not access AWS. Leave the approval record READY FOR OWNER REVIEW.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COMPLETE NON-SECRET AWS INPUT GATE
Do not start Terraform design until W4-12 is signed off. Reconcile and obtain owner decisions for AWS-001, AWS-002, NET-001, TAG-001, COST-001, PRIV-001, KMS-001, GHA-001 and BED-001; also identify EKS-001, OBS-001 and SLO-001 as required before W5-13/Week 6. Record account ID, region/service availability, existing-vs-owned VPC/subnets/CIDRs/DNS/egress/endpoints, data residency, mandatory tags/expiry, monthly/daily/paid-evaluation ceilings, KMS deletion window/follow-up owner, GitHub repository/environment/OIDC naming and Bedrock model/quota/fallback—never credentials, role sessions, secret values or live tokens. Validate ownership boundaries so shared networking/EKS resources can never be destroyed. Modify only the two scoped input documents, leave status READY FOR OWNER REVIEW, run no Terraform/AWS/network command and do not infer approval from placeholders.
FINAL OWNER-LED DOCUMENT BOUNDARY — THIS SECTION SUPERSEDES EVERY CONFLICTING INSTRUCTION ABOVE
This is a documentation/decision task for W5-INPUTS-001;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W5-INPUTS-001. Stop for Column N final approval.</t>
  </si>
  <si>
    <t>DOCUMENTATION READY FOR OWNER REVIEW — W5-INPUTS-001</t>
  </si>
  <si>
    <t>I reviewed the owner-executed test/deployment results and the approved documentation plan for W5-INPUTS-001.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W5-INPUTS-001.</t>
  </si>
  <si>
    <t>I reviewed the W5-INPUTS-001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W5-INPUTS-001. List only remaining owner TODOs or accepted risks, then stop.</t>
  </si>
  <si>
    <t>SIMPLE THREE-STAGE OWNER-CONTROLLED WORKFLOW — TRACKER v1.1.2
This is the MAIN PROMPT for W5-001. Covered tracker steps: W5-02, W5-03, W5-04, W5-05.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Terraform &gt;=1.5 modules and sandbox composition for KMS, private versioned S3, Secrets Manager metadata only, least-privilege runtime/ingestion roles, ECR and a private VPC OpenSearch domain with encryption, HTTPS, fine-grained access, logs and security groups. Isolate an encrypted/versioned S3 state plus DynamoDB-locking bootstrap for Terraform 1.5 and document newer S3 lockfiles. Never create secret versions or accept secret values. Validate inputs, apply mandatory tags, gate deletion protection and document every suppression with owner/reason/expiry. Plan only.
SCOPED v1.1.2 AMENDMENT — TERRAFORM STATIC FOUNDATION AND BOOTSTRAP DEPENDENCY
1. Require W5-INPUTS-001 final approval and exact non-secret inputs. Pin Terraform/provider/module versions and commit the dependency lock file after reviewed initialization. Use external TF_DATA_DIR/plugin caches; repository .terraform, plan binaries, state and credentials are prohibited.
2. Separate bootstrap and platform roots. Static work here creates/validates code only. Use terraform init -backend=false for offline/static checks unless an exact read-only network initialization is separately approved. A real plan requires approved short-lived AWS identity/account/region and is not an offline test.
3. The remote backend must physically exist before the W5-09 platform saved plan. Therefore W5-004 must perform a separately approved bootstrap saved-plan/apply cycle when the backend is absent; W5-001 must not claim that platform planning can use an unapplied backend.
4. No secret value/resource version, public endpoint, wildcard IAM or unbounded cost default. OpenSearch must be private, encrypted in transit/at rest, access-controlled, logged and deletion/cost guarded. ECR uses immutable scanning settings. Tags apply to every supported resource; exceptions require owner/rationale/expiry.
5. Test variables, outputs, fmt/validate/tflint/Checkov/OPA, plan redaction, secret-in-state prevention, provider-lock integrity, bootstrap/platform dependency and destroy ordering. Canonical evidence: W5-02-bootstrap.txt, W5-03-security.txt, W5-04-iam.txt and W5-05-platform-plan.txt; reconcile aggregate W5-terraform.txt. No apply/destroy, live AWS mutation, tracker edit, stage, commit or push.
FINAL OWNER-LED EXECUTION BOUNDARY — THIS SECTION SUPERSEDES EVERY CONFLICTING INSTRUCTION ABOVE
This boundary applies to W5-001.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</si>
  <si>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W5-001</t>
  </si>
  <si>
    <t>I reviewed the Main Prompt and pre-edit plan for W5-001.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W5-001.</t>
  </si>
  <si>
    <t>I reviewed the owner-executed test/deployment results and the approved documentation plan for W5-001.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W5-001.</t>
  </si>
  <si>
    <t>I reviewed the W5-001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W5-001. List only remaining owner TODOs or accepted risks, then stop.</t>
  </si>
  <si>
    <t>SIMPLE THREE-STAGE OWNER-CONTROLLED WORKFLOW — TRACKER v1.1.2
This is the MAIN PROMPT for W5-002. Covered tracker steps: W5-07, W5-08, W6-01.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least-privilege GitHub Actions workflows. On PR run Python 3.11 cache/install, Ruff, mypy, pytest, secret scan, terraform fmt/validate/tflint, Checkov, plan JSON through OPA, Docker build, Trivy filesystem/image scan, Syft SPDX/CycloneDX SBOM, Grype scan and a RAG smoke evaluation. Use Qdrant service container if useful. Upload only redacted reports and do not upload sensitive plans. Use GitHub OIDC, immutable image digest, protected environment approval and explicit timeouts. Pin actions to immutable SHAs with TODOs. Never use AWS access-key secrets or auto-run apply/destroy.
SCOPED v1.1.2 AMENDMENT — TWO SEPARATE CI/SUPPLY-CHAIN AND PROMOTION CYCLES
This prompt is executed in two separately approved cycles; W6-01 cannot be completed before W5-13.
PHASE A — WEEK 5 / W5-07 AND W5-08
- Require W5-001/W5-003 and GHA-001. Pin every GitHub Action to an immutable commit SHA, base/service images to approved digests and tools/dependencies to reviewed versions. Use least-privilege OIDC with exact repository/ref/environment trust and no access-key secret.
- Build locally/CI without push, scan the exact image with Trivy/Grype, generate Syft SPDX/CycloneDX SBOM, enforce policy thresholds and preserve redacted provenance. Do not upload sensitive Terraform plans, logs, environment dumps or source data. A workflow/PR run is an external action and requires explicit approval.
- Canonical evidence: W5-07-ci.txt and W5-08-supply-chain.txt; reconcile W5-oidc.txt/W5-supply-chain.txt.
PHASE B — WEEK 6 / W6-01
- Run only after W5-13, W5-004 Week-6 environment recreation and a passing Phase A. Require the exact scanned image digest, SBOM/provenance, ECR target and separate push authorization.
- Push/promote only the approved digest; verify the ECR digest matches the scanned artifact. Mutable tags may be convenience labels but never deployment authority. Record docs/deployment-records/W6-image.md and leave no unapproved local builder/cache residue.
Each phase requires its own pre-edit approval, independent TEST-001 and final owner approval. No apply/destroy, Kubernetes mutation or automatic deployment.
FINAL OWNER-LED EXECUTION BOUNDARY — THIS SECTION SUPERSEDES EVERY CONFLICTING INSTRUCTION ABOVE
This boundary applies to W5-002.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</si>
  <si>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W5-002</t>
  </si>
  <si>
    <t>I reviewed the Main Prompt and pre-edit plan for W5-002.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W5-002.</t>
  </si>
  <si>
    <t>I reviewed the owner-executed test/deployment results and the approved documentation plan for W5-002.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W5-002.</t>
  </si>
  <si>
    <t>I reviewed the W5-002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W5-002. List only remaining owner TODOs or accepted risks, then stop.</t>
  </si>
  <si>
    <t>SIMPLE THREE-STAGE OWNER-CONTROLLED WORKFLOW — TRACKER v1.1.2
This is the MAIN PROMPT for W5-003. Covered tracker steps: W5-06.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OPA/Rego tests over Terraform plan JSON to deny public S3, missing KMS encryption, unrestricted security groups, unapproved regions, missing mandatory tags and IAM wildcard actions unless an explicit time-bound exception is approved. Add equivalent focused Checkov custom policies where appropriate, secure/insecure fixtures and CI commands. Policy failures must show resource address, violated rule and remediation without exposing sensitive values.
SCOPED v1.1.2 AMENDMENT — POLICY TESTING AND NARROW EXCEPTIONS
Require W5-001 design and approved region/tag/encryption/IAM rules. Test deny and allow cases for public S3, encryption/KMS, unrestricted ingress/egress, unapproved regions, mandatory tags, IAM wildcard actions/resources, public OpenSearch, mutable images and missing deletion/cost guards. Parse Terraform plan JSON without exposing sensitive values. Every denial identifies resource address, rule and remediation. Secure fixtures pass; each insecure fixture fails for the intended rule; tests must detect a policy accidentally disabled or not evaluated. Exceptions are resource/rule scoped and require owner, rationale, expires_at and evidence; expired/malformed/broad directory/file/type bypasses deny. Rego and Checkov controls must not contradict. Canonical evidence: docs/test-evidence/W5-06-policy.txt; reconcile aggregate W5-policy.txt. No live AWS, Terraform mutation or CI execution.
FINAL OWNER-LED EXECUTION BOUNDARY — THIS SECTION SUPERSEDES EVERY CONFLICTING INSTRUCTION ABOVE
This boundary applies to W5-003.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</si>
  <si>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W5-003</t>
  </si>
  <si>
    <t>I reviewed the Main Prompt and pre-edit plan for W5-003.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W5-003.</t>
  </si>
  <si>
    <t>I reviewed the owner-executed test/deployment results and the approved documentation plan for W5-003.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W5-003.</t>
  </si>
  <si>
    <t>I reviewed the W5-003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W5-003. List only remaining owner TODOs or accepted risks, then stop.</t>
  </si>
  <si>
    <t>SIMPLE THREE-STAGE OWNER-CONTROLLED WORKFLOW — TRACKER v1.1.2
This is the MAIN PROMPT for W5-004. Covered tracker steps: W5-09, W5-10, W5-11, W5-12, W6-12.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W5-004.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W5-004.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Complete platformctl for reviewed saved-plan deployment, post-deploy validation, release rollback, last-known-good Terraform rollback, destroy-safe, purge-sandbox and verify-clean. Resolve targets only by approved environment and required tags, add service-specific checks for S3 versions/multipart uploads, ECR images, OpenSearch, EKS/load balancers, IAM, Secrets Manager, logs and KMS. The remote-state bootstrap is removed last. Mutations require owner approval and explicit typed confirmation; unit/integration tests use moto/LocalStack where valid and never auto-apply or destroy.
SCOPED v1.1.2 AMENDMENT — THREE SEPARATE OWNER-GATED AWS LIFECYCLE CYCLES
Never combine these cycles. Each requires a fresh read-only pre-edit plan, exact saved-plan/input/code hashes, typed owner command approval, independent validation and final owner approval. Terraform plan may read AWS; apply/destroy mutate AWS and are never implied by Column L.
CYCLE A — WEEK 5 / W5-09 TO W5-12
1. If the remote backend is absent, create a bootstrap saved plan, review policy/cost/targets, obtain explicit apply approval, apply those exact bytes and validate the backend before the platform plan.
2. Generate the platform saved plan, redacted JSON/policy/cost summaries and plan hash. Invalidate/regenerate on any code/input/lock/provider/state drift.
3. After separate apply approval, deploy exact reviewed bytes, validate, run release and infrastructure rollback controls separately, create/review the destroy plan, obtain separate destroy approval, destroy platform then bootstrap last, and run tag plus native service cleanup. Complete W5 with no active project resource except documented KMS PendingDeletion.
CYCLE B — AFTER W5-13 / BEFORE W6-01
Recreate the approved Week 6 sandbox from new bootstrap and platform saved plans with separate review/apply approvals. Validate ECR/EKS/network/identity/observability prerequisites. This is a new controlled deployment, never reuse stale Week 5 plan bytes.
CYCLE C — AFTER W6-11 / W6-12 FINAL TEARDOWN
Generate/review the final destroy plan, remove traffic/triggers and platform resources in dependency order, remove bootstrap/state last, schedule KMS deletion and prove zero active project residuals. Shared VPC/EKS or owner resources are never targets.
Across all cycles: resolve exact account/region/environment/tags; enforce budget; use short-lived identity; never log secrets/plan-sensitive values; distinguish release rollback, infrastructure rollback and teardown; verify S3 versions/delete markers/multipart uploads, ECR, OpenSearch, EKS/LBs/ENIs, IAM, Secrets Manager, logs/alarms and KMS natively. Canonical Week 5 records: W5-plan-review.md, W5-sandbox.md, W5-destroy-plan.md and W5-report.json; final Week 6 cleanliness: W6-final.json. Any unexpected target/residual, missing approval or hash drift stops execution.
FINAL OWNER-LED EXECUTION BOUNDARY — THIS SECTION SUPERSEDES EVERY CONFLICTING INSTRUCTION ABOVE
This boundary applies to W5-004.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W5-004.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</si>
  <si>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W5-004</t>
  </si>
  <si>
    <t>I reviewed the Main Prompt and pre-edit plan for W5-004.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W5-004.</t>
  </si>
  <si>
    <t>I reviewed the owner-executed test/deployment results and the approved documentation plan for W5-004.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W5-004.</t>
  </si>
  <si>
    <t>I reviewed the W5-004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W5-004. List only remaining owner TODOs or accepted risks, then stop.</t>
  </si>
  <si>
    <t>SIMPLE THREE-STAGE OWNER-CONTROLLED WORKFLOW — TRACKER v1.1.2
This is the MAIN PROMPT for W6-001. Covered tracker steps: W6-02, W6-03, W6-04, W6-05.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W6-001.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deployment manifests or a Helm chart for the FastAPI service using immutable ECR image digest, non-root/read-only container settings, resource requests/limits, readiness/liveness/startup probes, Service, NetworkPolicy, PodDisruptionBudget and HPA. Use EKS Pod Identity or IRSA with least privilege and no static keys. Add rolling deployment settings, revision history and a documented rollback to the last-known-good digest. Keep organization values as TODOs. Add manifest/schema and policy tests.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Run the normal documented developer commands.
6. Confirm no ignored or Git-invisible residue remains.
SCOPED v1.1.2 AMENDMENT — OWNER-GATED IMMUTABLE EKS ROLLOUT
Require W5-13, successful W5-004 Cycle B, W5-002 Phase B, EKS-001/NET-001/SLO-001 and an immutable ECR digest with matching scan/SBOM. Confirm whether EKS/VPC are project-owned or shared; shared resources are never teardown targets.
1. Static manifest/Helm/schema/Gatekeeper checks are offline. Server dry-run, cluster inspection and rollout are networked; apply/rollout/rollback are Kubernetes mutations requiring separate exact namespace/context/digest command approval beyond Column L.
2. Use non-root, read-only root filesystem, seccomp RuntimeDefault, dropped capabilities, no privilege escalation, explicit service account, least-privilege Pod Identity/IRSA, namespace RBAC and no static AWS key. Do not dump the full pod environment; test only targeted key-name absence and expected caller identity without exposing credentials.
3. NetworkPolicy is default-deny with explicit DNS, Bedrock/OpenSearch/OTel and approved ingress/egress paths; validate dependencies before enforcement. Probes have distinct startup/liveness/readiness semantics and bounded timeouts. Configure justified requests/limits, HPA min/max/metrics, PDB and rolling maxSurge/maxUnavailable with termination grace and revision history.
4. Test immutable digest, schema/policy, RBAC/service-account binding, forbidden secret literals, denied/allowed network paths, probe failures, scheduling/resources, HPA/PDB interaction, rollout timeout and rollback to prior digest. Canonical evidence: W6-02-k8s.txt, W6-03-identity.txt, W6-04-network.txt and W6-05-resilience.txt; reconcile aggregate W6-k8s/W6-identity records. No mutation without exact approval and cleanup/rollback plan.
FINAL OWNER-LED EXECUTION BOUNDARY — THIS SECTION SUPERSEDES EVERY CONFLICTING INSTRUCTION ABOVE
This boundary applies to W6-001.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W6-001.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</si>
  <si>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W6-001</t>
  </si>
  <si>
    <t>I reviewed the Main Prompt and pre-edit plan for W6-001.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W6-001.</t>
  </si>
  <si>
    <t>I reviewed the owner-executed test/deployment results and the approved documentation plan for W6-001.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W6-001.</t>
  </si>
  <si>
    <t>I reviewed the W6-001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W6-001. List only remaining owner TODOs or accepted risks, then stop.</t>
  </si>
  <si>
    <t>SIMPLE THREE-STAGE OWNER-CONTROLLED WORKFLOW — TRACKER v1.1.2
This is the MAIN PROMPT for W6-002. Covered tracker steps: W6-06, W6-07, W6-08, W6-09.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W6-002.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OpenTelemetry Collector configuration, Prometheus scrape config, Grafana dashboard JSON, CloudWatch/X-Ray export path and alert rules for availability, p95/p99 end-to-end latency, retrieval latency, errors, throttles, token/cost rate and agent-policy failures. Define SLIs/SLOs and burn-rate alerts. Write the inference-latency-spike runbook with impact, triage, stabilization, investigation, rollback and evidence steps. Add local Qdrant-stop/LLM-timeout tests and a pre-production AWS FIS experiment plan with tag targets and alarm stop conditions; do not execute FIS.
SCOPED v1.1.2 AMENDMENT — OBSERVABILITY, SLO AND SAFE FAILURE EXERCISES
Require independently approved W6-001 plus OBS-001, SLO-001 and FIS-001 decisions. Record alert destination/on-call, telemetry retention/redaction, SLI windows/exclusions, error-budget/burn policy and FIS owner/targets/stop alarms; never invent them.
1. Keep telemetry low-cardinality and content-free. Correlate API, auth, retrieval, embedding, LLM, guardrail, approval and tool stages. Exporter failure/backpressure must be bounded and must not break the core answer path. CloudWatch/X-Ray/collector deployment is networked/Kubernetes/cloud mutation and separately authorized; local configs/tests come first.
2. Define measurable availability, p95/p99, retrieval latency, grounded/citation/safe-abstention and isolation/safety SLIs with denominators, windows and exclusions. Validate burn-rate rules against synthetic firing/non-firing series and link every alert to owner/runbook.
3. Rehearse the inference-latency runbook with impact → stabilize → isolate stage → mitigate/rollback → recover → learn, evidence and escalation. Local Qdrant stop/LLM timeout is a bounded local mutation requiring exact target, duration, restoration and cleanup approval.
4. FIS is plan-only: tag-scoped targets, blast-radius caps, IAM, stop alarms, abort/recovery and cost estimate. Do not create or execute an FIS experiment.
5. Test redaction/cardinality/correlation, alert rules, exporter outage, readiness, retry-storm prevention, timeout/fallback/refusal and full restoration. Canonical evidence: W6-06-observability.json, docs/architecture/slo.md, runbooks/inference-latency.md and W6-09-chaos.txt; reconcile aggregate W6-alerts/W6-chaos evidence.
FINAL OWNER-LED EXECUTION BOUNDARY — THIS SECTION SUPERSEDES EVERY CONFLICTING INSTRUCTION ABOVE
This boundary applies to W6-002.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W6-002.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</si>
  <si>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W6-002</t>
  </si>
  <si>
    <t>I reviewed the Main Prompt and pre-edit plan for W6-002.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W6-002.</t>
  </si>
  <si>
    <t>I reviewed the owner-executed test/deployment results and the approved documentation plan for W6-002.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W6-002.</t>
  </si>
  <si>
    <t>I reviewed the W6-002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W6-002. List only remaining owner TODOs or accepted risks, then stop.</t>
  </si>
  <si>
    <t>SIMPLE THREE-STAGE OWNER-CONTROLLED WORKFLOW — TRACKER v1.1.2
This is the MAIN PROMPT for W6-003. Covered tracker steps: W6-10, W6-11, W6-13.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W6-003.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W6-003.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final verification command that installs dependencies, starts Qdrant, runs unit/contract/integration/security tests, ingests sample data, executes a cited query, runs the golden evaluation, validates Terraform and policies, verifies container/SBOM scans, checks EKS health when available, performs an approved release rollback drill, generates a destroy plan and runs verify-clean after owner-approved teardown. Produce a redacted evidence index and update ADRs with actual results and variances. Never auto-approve or conceal failures.
SCOPED v1.1.2 AMENDMENT — TWO-PHASE FINAL PROOF, ROLLBACK, TEARDOWN DEPENDENCY AND HANDOVER
This prompt is executed in two separately approved phases. make final-proof must be a fail-closed orchestrator that classifies offline, networked, paid and mutating subcommands; it must never hide or auto-authorize Docker, AWS, Kubernetes, apply/destroy or paid judge calls.
PHASE A — W6-10 AND W6-11
- Require W6-01 through W6-09, an approved sandbox window, exact implementation/release hashes and complete evidence inventory.
- Run local and sandbox cited-query, golden evaluation, authorization/security, telemetry and platform checks only under their approvals. Distinguish NOT RUN, expected policy denial and PASS. Prove a safe release regression, restore the prior immutable digest/configuration and revalidate health, query, evaluation, isolation and traces. Do not destroy infrastructure as rollback.
- Canonical evidence: docs/test-evidence/W6-final-index.md and docs/rollback-records/W6-release.md.
- Stop after W6-11 and require W5-004 Cycle C to complete W6-12 final teardown independently.
PHASE B — W6-13 HANDOVER
- Start only after W5-004 Cycle C independently proves docs/resource-cleanliness/W6-final.json with zero active project resources except the documented KMS PendingDeletion state and follow-up date.
- Reconcile every Week 1–6 MUST acceptance, decision, evidence path, failure/skip, cost/privacy result, release rollback, infrastructure rollback and teardown. Update ADR outcomes/variances without rewriting history. Produce the final architecture explanation/demo checklist and identify residual risks/TODOs.
Each phase has its own pre-edit approval, TEST-001 and owner approval. Do not pre-claim final acceptance, edit Excel, stage, commit or push. Any regression, missing evidence, unapproved mutation, active residual or inconsistent report blocks handover.
FINAL OWNER-LED EXECUTION BOUNDARY — THIS SECTION SUPERSEDES EVERY CONFLICTING INSTRUCTION ABOVE
This boundary applies to W6-003.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W6-003.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</si>
  <si>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CODE READY FOR OWNER TESTING — W6-003</t>
  </si>
  <si>
    <t>I reviewed the Main Prompt and pre-edit plan for W6-003.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W6-003.</t>
  </si>
  <si>
    <t>I reviewed the owner-executed test/deployment results and the approved documentation plan for W6-003.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W6-003.</t>
  </si>
  <si>
    <t>I reviewed the W6-003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W6-003. List only remaining owner TODOs or accepted risks, then stop.</t>
  </si>
  <si>
    <t>SIMPLE THREE-STAGE OWNER-CONTROLLED WORKFLOW — TRACKER v1.1.2 PROMPT CONTROL
This is the MAIN PROMPT for WEEKLY-REVIEW-001. Covered tracker steps: W1-12, W2-12, W3-12, W4-12, W5-13.
FIRST RESPONSE — PRE-EDIT REVIEW ONLY
Inspect the repository, the exact weekly tracker rows and governing inputs, but do not create, edit, delete, install, start a service or mutate any local/cloud resource.
1. Reconcile every MUST row for TODO_WEEK with its Prompt ID, prerequisites, Owner TODOs, acceptance criteria, commands, expected result, canonical evidence, ADRs, rollback/teardown and actual status.
2. Reconcile tracker → repository artifacts → evidence → approvals/commits → normal developer commands. Include tracked, untracked, ignored and Git-invisible state.
3. List every mismatch, stale evidence path, missing decision, failed/not-run test, unapproved path, residue, accepted risk and deferred item. Never infer Done from a feature prompt or local PASS.
4. Define the exact sign-off file change, safe required verification and final owner-controlled tracker update. Reuse current independent results when hashes are unchanged; do not invent a redundant full retest.
5. Report cost, privacy/data-residency, release rollback, infrastructure rollback, complete teardown and residual-resource risk.
If any MUST requirement or governing decision is unresolved, report BLOCKED and stop. Otherwise end exactly: READY FOR PRE-EDIT REVIEW — WEEKLY-REVIEW-001. Stop.
SECOND RESPONSE — ONLY AFTER OWNER PASTES THE MATCHING PRE-EDIT APPROVAL FROM COLUMN L
Create or update only docs/deployment-records/TODO_WEEK-signoff.md within the approved boundary. Preserve every historical failure and actual result. Status remains PENDING OWNER APPROVAL until the owner reviews it. Do not edit Excel, stage, commit, push or begin the next week unless separately authorized.
Show the exact diff, commands/results, evidence mapping, cost/privacy impact, rollback/teardown and remaining items.
End exactly: READY FOR INDEPENDENT TEST — WEEKLY-REVIEW-001. Stop.
SCOPED v1.1.2 AMENDMENT — PHASE-AWARE WEEKLY CLOSURE
For Week 3 confirm W4-003 Phase A/W3-09 completed before W3 sign-off. For Week 5 confirm W5-002 Phase A and W5-004 Cycle A completed; W5-002 Phase B and W5-004 Cycles B/C remain future gated work and are not pre-approved. For every week, reconcile step-level canonical evidence with aggregate Test Evidence Register paths, and verify prompt phase/cycle-specific independent PASS/final approval. A sign-off must reflect current lifecycle state: pending/unapproved means absent; completed and owner-approved means exactly one structurally valid record. Never mark a future cross-week phase Done, infer approval from local validation or create the next week's sign-off early.
FINAL OWNER-LED DOCUMENT BOUNDARY — THIS SECTION SUPERSEDES EVERY CONFLICTING INSTRUCTION ABOVE
This is a documentation/decision task for WEEKLY-REVIEW-001;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WEEKLY-REVIEW-001. Stop for Column N final approval.</t>
  </si>
  <si>
    <t>DOCUMENTATION READY FOR OWNER REVIEW — WEEKLY-REVIEW-001</t>
  </si>
  <si>
    <t>I reviewed the owner-executed test/deployment results and the approved documentation plan for WEEKLY-REVIEW-001.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WEEKLY-REVIEW-001.</t>
  </si>
  <si>
    <t>I reviewed the WEEKLY-REVIEW-001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WEEKLY-REVIEW-001. List only remaining owner TODOs or accepted risks, then stop.</t>
  </si>
  <si>
    <t>CODE READY FOR OWNER TESTING — ST-001</t>
  </si>
  <si>
    <t>I reviewed the Main Prompt and pre-edit plan for ST-001.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ST-001.</t>
  </si>
  <si>
    <t>I reviewed the owner-executed test/deployment results and the approved documentation plan for ST-001.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ST-001.</t>
  </si>
  <si>
    <t>I reviewed the ST-001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ST-001. List only remaining owner TODOs or accepted risks, then stop.</t>
  </si>
  <si>
    <t>CODE READY FOR OWNER TESTING — ST-002</t>
  </si>
  <si>
    <t>I reviewed the Main Prompt and pre-edit plan for ST-002. Decision: APPROVED FOR CODE EDITS ONLY.
Codex may create or modify only the exact approved application code, infrastructure-as-code, configuration, schemas and automated test code. Codex must not run tests or other commands, install dependencies, start services, use Docker/registries/cloud, deploy, roll back, tear down, remediate, write documentation/evidence/ADRs, edit Excel, stage, commit or push.
After writing code, provide the changed paths/diff summary, the owner execution guide and the business/technical/layman/interview learning summary. Do not show full code unless I ask SHOW FULL CODE.
End exactly: CODE READY FOR OWNER TESTING — ST-002.</t>
  </si>
  <si>
    <t>I reviewed the owner-executed test/deployment results and the approved documentation plan for ST-002. Decision: APPROVED FOR DOCUMENTATION WRITING ONLY.
Update only the exact approved narrative documentation, ADR, feature, evidence, rollback or cleanliness paths. Use the owner-provided transcript as the factual source; distinguish PASS, FAIL, NOT RUN and pending work. Write in clear business-first language and define technical terms.
Do not edit code/configuration/test code, run commands, deploy, remediate, edit Excel, stage, commit or push.
End exactly: DOCUMENTATION READY FOR OWNER REVIEW — ST-002.</t>
  </si>
  <si>
    <t>I reviewed the ST-002 code diff (if applicable), my owner-executed test/deployment results, the approved documentation, rollback/teardown outcome and the business/technical/layman learning summary. Decision: FINAL APPROVAL AFTER OWNER TEST.
This authorizes no additional code, documentation, command execution, deployment, remediation, Excel edit, staging, commit, push or next prompt.
Acknowledge exactly: APPROVED FOR USER TRACKER UPDATE — ST-002. List only remaining owner TODOs or accepted risks, then stop.</t>
  </si>
  <si>
    <t>W1-CONSOLIDATED-001 — WEEK 1 CLOSURE HISTORY AND REUSABLE REGRESSION GATE
Purpose: preserve the complete Week 1 correction/test history and convert it into a future prevention checklist. This is a read-only audit prompt; it does not reopen Week 1, alter architecture/tasks, authorize mutation or edit the tracker.
AUTHORITATIVE WEEK 1 FACTS
- Baseline: d3e5ad182fac38dbf166c6ce15b8ade8868379da.
- Consolidated implementation commit: 210381c3ddbc9aab83ccaeb11a59db8d8dad549b; subject Week 1: complete consolidated implementation.
- Implementation boundary: 18 modified + 2 deleted + 47 created = 67 paths; final implementation diff 3,572 insertions and 112 deletions; owner workbook excluded.
- W1-12 sign-off approved by Gyan Prakash Rai on 2026-08-19T00:10:55+08:00. No AWS, paid API or deployment mutation occurred; platform cost USD 0.
- Owner decisions recorded: USE-001, DATA-001, AWS-002, TAG-001, SEC-003 and DEST-001.
CORRECTIONS PRESERVED
1. Tracker-to-prompt reconciliation exposed missing W1-08 pre-commit controls, W1-09 Terraform roots, stale evidence paths and missing ADR/decision traceability.
2. DeepEval and MyPy were made repository-clean: .deepeval and .mypy_cache are external/disabled; the same rule covers .pytest_cache, .ruff_cache, project __pycache__, repository .terraform and repository pre-commit caches.
3. Pre-commit validation was corrected to reproduce the exact 67-path proposal in a disposable copy and stage all approved paths there; this proved all 47 created files were visible to hooks.
4. detect-secrets findings for Git SHAs and the public Terraform checksum were reviewed as non-secrets; secret_scan became credential_scan; exception metadata requires owner, rationale and expiry; no broad detector/file exclusion is permitted; a synthetic credential must still fail.
5. Traceability was expanded to W1-01 through W1-12, ADR-001, ADR-002, ADR-009 through ADR-014, ADR-016, ADR-017 and all six owner decisions. The W1-004 history of 34 intended paths plus one workbook path remains disclosed.
6. Cleanliness tests became portable: the active root .venv is preserved when present, but a disposable clone without root .venv is valid; nested generated .venv directories remain prohibited.
7. Provider-free/resource-free Terraform bootstrap and sandbox roots were validated offline with Terraform 1.5.7 and official SHA-256 0cf9f41ba11b46f1fb6251952df98bf9c37ec294f26be7091b4909850659b592, external TF_DATA_DIR and no plan/apply/destroy, authentication, backend state or AWS call.
8. platformctl verify-clean exit 3 remains the approved offline fail-closed result when no AWS inventory adapter exists; mocked W1-11 residual detection passed and no live cleanliness claim was made.
9. JSON/text evidence was reconciled to preserve TEST-001, TEST-001R and TEST-001R2 failures, environment-precondition disclosures, historical/current diff arithmetic, pending states and the final composite closure basis.
10. Disposable rollback reconstruction restored all 20 tracked paths, removed 47 created paths and restored two placeholders without touching the workbook or unrelated fixtures.
VALIDATION HISTORY
- Consolidated local validation included complete development dependencies, pip check, make preflight/test/lint/type-check/scan, Ruff, strict MyPy over 22 source files, five local pre-commit hooks, controlled credential scanning, JSON/feature-matrix validation, safe AWS/paid sentinels, Terraform fmt/init -backend=false/validate, rollback reconstruction and full residue inventory.
- TEST-001 failed on exact-staged non-secret metadata findings and incomplete traceability.
- TEST-001R failed on missing exception audit metadata, a non-portable root-.venv test, incomplete environment disclosure, stale diff arithmetic and tests/__pycache__ residue.
- TEST-001R2 proved every targeted executable control passed but failed because the text evidence was incomplete.
- EVIDENCE-CHECK-001 passed all 17 read-only evidence checks. TEST-001R2 executable results plus EVIDENCE-CHECK-001 formed the approved composite independent closure gate.
FUTURE AUDIT PROCEDURE
A. Reconcile exact tracker rows before implementation and after implementation using CTRL-001.
B. Validate the complete proposed state—including untracked files—in a disposable staged copy using TEST-001.
C. Use the complete normal developer environment; keep caches external; inventory residue before/after commands; record actual counts.
D. Preserve failure history and use focused retests for affected gates when relevant hashes are unchanged. Evidence-only corrections receive a read-only evidence check, not another full-night matrix.
E. Do not mark a weekly gate complete until tracker, repository, evidence, owner decisions, commit boundary, rollback and cleanliness all reconcile.
Return a read-only PASS/FAIL mapping of these facts and controls to current evidence. Do not repair, mutate, rerun paid/cloud operations or rewrite history.
End exactly: W1-CONSOLIDATED-001 AUDIT PASS or W1-CONSOLIDATED-001 AUDIT FAIL. Stop.
FINAL TEACHING-ONLY BOUNDARY — THIS SECTION SUPERSEDES EVERY CONFLICTING INSTRUCTION ABOVE
Use W1-CONSOLIDATED-001 only to teach and review approved facts. Do not create or edit code, documentation, evidence or the tracker; do not run commands or mutate local/cloud resources.
Explain the business use case, end-to-end flow, technical components, owner decisions, trade-offs, security/reliability controls, failure/rollback story, layman analogy and interview questions. Clearly label anything not yet implemented or owner-tested.
End exactly: LEARNING REVIEW COMPLETE — W1-CONSOLIDATED-001.</t>
  </si>
  <si>
    <t>LEARNING REVIEW COMPLETE — W1-CONSOLIDATED-001</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</si>
  <si>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</si>
  <si>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</si>
  <si>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</si>
  <si>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</si>
  <si>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</si>
  <si>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WEEKLY-LEARN-001 — OWNER ARCHITECTURE AND INTERVIEW TEACH-BACK v1.3.0
Use only after the selected week's implementation/checkpoint tasks and owner approvals are complete. This prompt teaches; it does not create/edit code or documentation and runs no command.
Inputs: TODO_WEEK, completed tracker rows and Task Context, owner-executed results, approved ADRs/decisions, business documentation, known failures, rollback/teardown and remaining limitations.
Teach in this order:
1. Business problem, users, value, risk and measurable outcome.
2. End-to-end architecture flow and where each completed component fits.
3. Technical deep-dive: interfaces, data flow, security, reliability, observability, cost and deployment boundaries.
4. Layman explanation using one consistent analogy.
5. Owner decisions: selected option, rejected alternatives, trade-offs and revisit triggers.
6. Failure story: what can fail, how it is diagnosed, safe rollback and complete teardown.
7. Interview preparation: ten questions, concise answer points, two whiteboard prompts and a five-minute teach-back checklist.
8. Ask the owner to explain the week back in their own words; correct misunderstandings using evidence and clearly mark anything not implemented/tested.
If the owner later wants a saved learning note, wait for the applicable Document Writing Approval and write only docs/learning/TODO_WEEK-learning-review.md.
End exactly: WEEKLY LEARNING COMPLETE — TODO_WEEK. Stop.</t>
  </si>
  <si>
    <t>Replace TODO_WEEK and use after weekly final approvals</t>
  </si>
  <si>
    <t>WEEKLY LEARNING COMPLETE — TODO_WEEK</t>
  </si>
  <si>
    <t>W1-13, W2-13, W3-13, W4-13, W5-14, W6-14</t>
  </si>
  <si>
    <t>Optional: approve only docs/learning/TODO_WEEK-learning-review.md</t>
  </si>
  <si>
    <t>Owner learning acknowledgement; no implementation approval</t>
  </si>
  <si>
    <t>The owner runs every command. Record PASS only when the owner-executed output and approved evidence prove the expected result.</t>
  </si>
  <si>
    <t>Codex may write lifecycle code and advise steps, but the owner executes every deploy, rollback and teardown command after reviewing exact targets and risk.</t>
  </si>
  <si>
    <t>Source and Traceability Register — v1.3.0</t>
  </si>
  <si>
    <t>Execution Tracker v1.3.0</t>
  </si>
  <si>
    <t>Preserves the six-week architecture and historical status; adds owner-led execution, code-only Codex prompts, separate code/document/final approvals, task context and weekly learning gates.</t>
  </si>
  <si>
    <t>Execution</t>
  </si>
  <si>
    <t>Must remain consistent with Source of Truth v1.1 and owner-approved decisions; architecture changes still require reviewed ADR control.</t>
  </si>
  <si>
    <t>Current — owner-led learning amendment</t>
  </si>
  <si>
    <t>Change rule: Codex writes approved code only. The owner executes tests/deployments/remediation, approves documentation separately, gives final approval after testing and completes the weekly learning teach-back.</t>
  </si>
  <si>
    <t>Enterprise AI Owner Learning Journey — v1.3.0</t>
  </si>
  <si>
    <t>You own the decisions and execute the system. Codex writes approved code and explains every test, deployment, failure and remediation step.</t>
  </si>
  <si>
    <t>Four-stage approval and execution flow</t>
  </si>
  <si>
    <t>1</t>
  </si>
  <si>
    <t>Main Prompt</t>
  </si>
  <si>
    <t>Read-only plan</t>
  </si>
  <si>
    <t>Business purpose, architecture context, exact code boundary and owner-run validation</t>
  </si>
  <si>
    <t>No edits</t>
  </si>
  <si>
    <t>Owner reviews</t>
  </si>
  <si>
    <t>No runtime action</t>
  </si>
  <si>
    <t>Stop for approval</t>
  </si>
  <si>
    <t>2</t>
  </si>
  <si>
    <t>Code Edit Approval</t>
  </si>
  <si>
    <t>Codex writes code only</t>
  </si>
  <si>
    <t>Application/IaC/config/schema/automated-test code within approved paths</t>
  </si>
  <si>
    <t>Column L</t>
  </si>
  <si>
    <t>Codex edits</t>
  </si>
  <si>
    <t>No commands run</t>
  </si>
  <si>
    <t>CODE READY FOR OWNER TESTING</t>
  </si>
  <si>
    <t>Owner Testing</t>
  </si>
  <si>
    <t>Owner executes</t>
  </si>
  <si>
    <t>Tests, deployment, rollback, teardown and remediation guided one command at a time</t>
  </si>
  <si>
    <t>Results returned to Codex</t>
  </si>
  <si>
    <t>OWNER TESTING PASS/BLOCKED</t>
  </si>
  <si>
    <t>4</t>
  </si>
  <si>
    <t>Document Writing Approval</t>
  </si>
  <si>
    <t>Codex writes approved docs</t>
  </si>
  <si>
    <t>Business-first documentation and factual evidence from owner results</t>
  </si>
  <si>
    <t>Column M</t>
  </si>
  <si>
    <t>Codex documents</t>
  </si>
  <si>
    <t>No code/commands</t>
  </si>
  <si>
    <t>DOCUMENTATION READY FOR OWNER REVIEW</t>
  </si>
  <si>
    <t>Final Approval After Test</t>
  </si>
  <si>
    <t>Owner accepts</t>
  </si>
  <si>
    <t>Review code, owner tests, documents, cleanup and learning summary</t>
  </si>
  <si>
    <t>Column N</t>
  </si>
  <si>
    <t>Owner approves</t>
  </si>
  <si>
    <t>No further mutation</t>
  </si>
  <si>
    <t>APPROVED FOR USER TRACKER UPDATE</t>
  </si>
  <si>
    <t>Weekly Learning</t>
  </si>
  <si>
    <t>Business story, technical deep-dive, layman analogy, decisions and interview practice</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</si>
  <si>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</si>
  <si>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</si>
  <si>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</si>
  <si>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</si>
  <si>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</si>
  <si>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</si>
  <si>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</si>
  <si>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</si>
  <si>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</si>
  <si>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</si>
  <si>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</si>
  <si>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</si>
  <si>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</si>
  <si>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</si>
  <si>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</si>
  <si>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</si>
  <si>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</si>
  <si>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</si>
  <si>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</si>
  <si>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</si>
  <si>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</si>
  <si>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</si>
  <si>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</si>
  <si>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</si>
  <si>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</si>
  <si>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</si>
  <si>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</si>
  <si>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</si>
  <si>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</si>
  <si>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</si>
  <si>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</si>
  <si>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</si>
  <si>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</si>
  <si>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</si>
  <si>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</si>
  <si>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</si>
  <si>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</si>
  <si>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</si>
  <si>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</si>
  <si>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</si>
  <si>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</si>
  <si>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</si>
  <si>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</si>
  <si>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Architecture</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</si>
  <si>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</si>
  <si>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</si>
  <si>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</si>
  <si>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</si>
  <si>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</si>
  <si>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</si>
  <si>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</si>
  <si>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</si>
  <si>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SIMPLE THREE-STAGE OWNER-CONTROLLED WORKFLOW — TRACKER v1.3.0
This is the MAIN PROMPT for W1-MVP-001. Covered tracker steps: W1-01.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W1-MVP-001.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W1-MVP-001. Stop.
ORIGINAL v1.1 TECHNICAL PROMPT — RETAINED VERBATIM
CONTINUE UNDER CTX-001 AND CTRL-001.
SCOPED TASK — W1-MVP-001
Create or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FINAL OWNER-LED DOCUMENT BOUNDARY — THIS SECTION SUPERSEDES EVERY CONFLICTING INSTRUCTION ABOVE
This is a documentation/decision task for W1-MVP-001;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W1-MVP-001. Stop for Column N final approval.</t>
  </si>
  <si>
    <t>SIMPLE THREE-STAGE OWNER-CONTROLLED WORKFLOW — TRACKER v1.3.0
This is the MAIN PROMPT for W1-GOV-001. Covered tracker steps: W1-02.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W1-GOV-001.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W1-GOV-001. Stop.
ORIGINAL v1.1 TECHNICAL PROMPT — RETAINED VERBATIM
CONTINUE UNDER CTX-001 AND CTRL-001.
SCOPED TASK — W1-GOV-001
Create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FINAL OWNER-LED DOCUMENT BOUNDARY — THIS SECTION SUPERSEDES EVERY CONFLICTING INSTRUCTION ABOVE
This is a documentation/decision task for W1-GOV-001; it is not a Code Edit task.
1. The Main Prompt produces a read-only plan and stops. Column L is not used.
2. Codex must not create or modify documentation until the owner pastes Column M — Document Writing Approval.
3. After Column M, Codex may write only the exact approved documentation paths. Use business-first plain language, define technical terms, state owner decisions explicitly and distinguish PASS, FAIL, NOT RUN and pending work from owner-supplied facts.
4. Codex must not edit code/configuration/test code, run commands, deploy, remediate, edit this tracker, or stage, commit or push.
5. Finish with the business use case, technical importance, layman explanation and interview talking points.
End exactly: DOCUMENTATION READY FOR OWNER REVIEW — W1-GOV-001. Stop for Column N final approval.</t>
  </si>
  <si>
    <t>SIMPLE THREE-STAGE OWNER-CONTROLLED WORKFLOW — TRACKER v1.3.0
This is the MAIN PROMPT for W1-001. Covered tracker steps: W1-03, W1-04, W1-07.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SCOPED v1.3.0 CLARIFICATION
Use repository name enterprise-ai-platform. README must document: PLAN in the Main Prompt → owner Pre-Edit Approval → implementation/evidence → independent TEST-001 → owner Final Approval → user tracker update. Do not implement RAG in this prompt.
FINAL OWNER-LED EXECUTION BOUNDARY — THIS SECTION SUPERSEDES EVERY CONFLICTING INSTRUCTION ABOVE
This boundary applies to W1-001.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</si>
  <si>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v1.3.0
This is the MAIN PROMPT for W1-002. Covered tracker steps: W1-05.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FINAL OWNER-LED EXECUTION BOUNDARY — THIS SECTION SUPERSEDES EVERY CONFLICTING INSTRUCTION ABOVE
This boundary applies to W1-002.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</si>
  <si>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v1.3.0
This is the MAIN PROMPT for W1-003. Covered tracker steps: W1-06, W1-08.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W1-003.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W1-003.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FINAL OWNER-LED EXECUTION BOUNDARY — THIS SECTION SUPERSEDES EVERY CONFLICTING INSTRUCTION ABOVE
This boundary applies to W1-003.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W1-003.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</si>
  <si>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v1.3.0
This is the MAIN PROMPT for W1-004. Covered tracker steps: W1-09, W1-10, W1-11.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W1-004.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W1-004.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FINAL OWNER-LED EXECUTION BOUNDARY — THIS SECTION SUPERSEDES EVERY CONFLICTING INSTRUCTION ABOVE
This boundary applies to W1-004.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W1-004.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</si>
  <si>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v1.1.2
This is the MAIN PROMPT for W3-002. Covered tracker steps: W3-06, W3-07, W3-10.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W3-002.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W3-002.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Implement a versioned JSONL evaluation harness with question, expected facts, expected source IDs, tenant and safety tags. Compute retrieval recall@k/MRR, citation precision, abstention correctness, latency and token/cost fields. Integrate Ragas behind an Evaluator Protocol; label LLM-judge metrics non-deterministic. Compare with a checked-in baseline and fail only on configured material regression. Redact case content in logs and output machine-readable JSON plus concise Markdown.
SCOPED v1.3.0 CLARIFICATION
Include at least 25 versioned golden JSONL cases with question, expected facts, expected source IDs, tenant and safety tags. Validate schema and privacy; never silently alter approved expected facts.
SCOPED v1.1.2 AMENDMENT — VERSIONED GOLDEN TRUTH AND DETERMINISTIC RELEASE GATE
1. Require W3-001, W3-003 and W4-003 Phase A to have independent PASS/final owner approval; EVAL-001 and DATA-001 owner approval; a valid corpus manifest; stable source IDs; and approved metric definitions/thresholds. Never generate expected facts from the candidate model.
2. Include at least 25 versioned cases with case ID, question, expected facts, expected source IDs, tenant, authorization context and safety tags. Validate every source ID, tenant/classification rule, schema, duplicate and privacy boundary. Owner-approved expected facts may change only through a separately reviewed dataset version.
3. Deterministic offline metrics and failure propagation are the release authority. Compute Recall@5/MRR, citation precision/validity, abstention correctness, latency and token/cost fields. Initial gates: Recall@5 &gt;= 0.85 and citation-valid grounded answer or correct safe abstention &gt;= 95%; unresolved security/isolation failure always blocks.
4. Ragas/LLM-judge metrics remain behind Evaluator and are non-deterministic supplemental results. Any judge call requires exact model/provider, case limit, maximum spend, residency/privacy and network approval. Paid/judge-disabled is NOT RUN, not PASS.
5. Compare to a versioned checked-in baseline with explicit tolerance and nonzero material-regression exit. Preserve candidate and failure evidence; never overwrite the last approved baseline on failure or tune thresholds to make a candidate pass.
6. Test schema/privacy/source validation, metric edge cases, deterministic repeatability, partial/failed provider behavior, nonzero regression, redacted reports and baseline immutability. Canonical evidence: W3-06-golden.txt, reports/eval.json and W3-10-gate.txt; reconcile aggregate evidence. No hidden model/Qdrant/AWS/paid mutation, tracker edit, stage, commit or push.
FINAL OWNER-LED EXECUTION BOUNDARY — THIS SECTION SUPERSEDES EVERY CONFLICTING INSTRUCTION ABOVE
This boundary applies to W3-002.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W3-002.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</si>
  <si>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v1.3.0
This is the MAIN PROMPT for ST-001. Covered tracker steps: Post-MVP.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ST-001.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ST-001.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FINAL OWNER-LED EXECUTION BOUNDARY — THIS SECTION SUPERSEDES EVERY CONFLICTING INSTRUCTION ABOVE
This boundary applies to ST-001.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ST-001.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</si>
  <si>
    <t>SIMPLE THREE-STAGE OWNER-CONTROLLED WORKFLOW — TRACKER v1.3.0
This is the MAIN PROMPT for ST-002. Covered tracker steps: Post-MVP.
FIRST RESPONSE — PRE-EDIT REVIEW ONLY
Inspect the repository and governing inputs, but do not create, edit, delete, install, start a service, or mutate any local/cloud resource. Return one concise pre-edit plan containing:
1. Purpose, exclusions and measurable acceptance criteria.
2. Exact files/resources to create or modify, plus dependencies and unresolved TODO_USER inputs.
3. Design, alternatives, trade-offs and architecture-decision impact.
4. Unit, integration, contract where applicable, feature, security, rollback and teardown tests.
5. Security, privacy/data-residency and platform-cost impact.
6. Verification commands, redacted evidence paths, rollback method, complete teardown method and residual-resource risk.
If an input or governing decision is missing, report BLOCKED and ask one consolidated set of questions. Never invent owner values or silently reconcile conflicts.
End exactly: READY FOR PRE-EDIT REVIEW — ST-002. Stop.
SECOND RESPONSE — ONLY AFTER OWNER PASTES THE MATCHING PRE-EDIT APPROVAL FROM COLUMN L
Implement only this prompt's approved boundary and original technical task. Preserve user changes. Run only approved safe tests and create redacted evidence. Never run Terraform apply/destroy, image push, Kubernetes mutation, AWS FIS, or any other cloud mutation; prepare an exact bounded owner command when such action is required. Do not edit this Excel tracker or start another prompt.
Show the actual diff, commands/results, cost/privacy impact, evidence, rollback, teardown and remaining TODOs.
End exactly: READY FOR INDEPENDENT TEST — ST-002. Stop.
ORIGINAL v1.1 TECHNICAL PROMPT — RETAINED VERBATIM
CONTROLLED DEVELOPMENT REQUIREMENTS — BLUEPRINT v1.1
Work only on the requested feature. Inspect existing files first and preserve user changes.
BEFORE CODING
1. Restate the purpose, exclusions and measurable acceptance criteria.
2. List assumptions, dependencies, TODO organization values, files and managed resources affected.
3. Explain the design, alternatives, trade-offs, security/reliability impact and estimated platform cost.
4. Define unit, integration, feature, security, rollback and teardown tests.
5. Stop for clarification if ambiguity could materially change the design.
WHILE CODING
1. Implement the smallest working change using Python 3.11+ and Terraform 1.5+.
2. Never add plaintext secrets, long-lived AWS credentials, unmanaged resources or unrelated changes.
3. Tag supported AWS resources with Project, Environment, Owner, ManagedBy, CostCenter, Feature, ExpiresAt and Repository.
4. Preserve idempotency; use bounded retries, deadlines and safe defaults.
5. Never run terraform apply or terraform destroy automatically.
AFTER CODING
1. Explain every changed file, interface and resource.
2. Run the approved validation commands and report exact results; do not claim tests you did not run.
3. Record evidence paths, residual-resource risks, cost impact and rollback/teardown steps.
4. Update feature-matrix.yaml and relevant ADR/test records.
5. Stop for owner review before another feature.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FINAL OWNER-LED EXECUTION BOUNDARY — THIS SECTION SUPERSEDES EVERY CONFLICTING INSTRUCTION ABOVE
This boundary applies to ST-002. The project objective is owner learning: Codex writes approved code; the owner executes and learns the system end to end.
AFTER COLUMN L — CODE EDIT APPROVAL
1. Codex may create or modify only the approved application code, infrastructure-as-code, configuration, schemas and automated test code. It may perform read-only inspection needed to write that code.
2. Codex must not run tests, linters, formatters, builds, package installation, Docker, registries, services, deployment, rollback, teardown, cloud commands or remediation. It must not edit ADRs, narrative documentation, evidence records, this tracker, or stage, commit or push.
3. After writing code, show only the exact changed paths and a concise diff summary unless the owner explicitly asks SHOW FULL CODE.
4. Provide an OWNER EXECUTION GUIDE containing prerequisites/access, exact test commands in order, what each command proves, expected result, stop conditions, cleanup, deployment/rollback steps, cost/security/privacy impact and the evidence the owner should capture. During interactive execution, give one command at a time and wait for the owner's output.
5. If the owner reports a failure, diagnose from the supplied output and guide the owner with one exact next command. Do not execute the command or fix anything automatically. If source code must change, provide a bounded code-change plan and wait for a new Code Edit Approval.
6. Provide a POST-IMPLEMENTATION LEARNING SUMMARY: business use case, position in the end-to-end architecture, technical importance, layman explanation, key decisions/trade-offs, failure and rollback story, and five interview questions with answer points.
End exactly: CODE READY FOR OWNER TESTING — ST-002. Stop and wait for owner-led testing through TEST-001.
DOCUMENTATION AND FINAL APPROVAL
Do not write documentation/evidence until the owner supplies test results and pastes Column M. Do not claim completion until the owner reviews the code, owner-executed tests, documentation and rollback/cleanup, then pastes Column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</si>
</sst>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6">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style="thin">
        <color rgb="FFC8D4E3"/>
      </left>
      <right/>
      <top style="thin">
        <color rgb="FFC8D4E3"/>
      </top>
      <bottom/>
      <diagonal/>
    </border>
    <border>
      <left/>
      <right/>
      <top style="thin">
        <color rgb="FFC8D4E3"/>
      </top>
      <bottom/>
      <diagonal/>
    </border>
    <border>
      <left/>
      <right style="thin">
        <color rgb="FFC8D4E3"/>
      </right>
      <top style="thin">
        <color rgb="FFC8D4E3"/>
      </top>
      <bottom/>
      <diagonal/>
    </border>
    <border>
      <left style="thin">
        <color rgb="FFC8D4E3"/>
      </left>
      <right/>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s>
  <cellStyleXfs count="1">
    <xf numFmtId="0" fontId="0" fillId="0" borderId="0"/>
  </cellStyleXfs>
  <cellXfs count="120">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5" xfId="0" applyFont="1" applyFill="1" applyBorder="1"/>
    <xf numFmtId="0" fontId="7" fillId="7" borderId="15" xfId="0" applyFont="1" applyFill="1" applyBorder="1"/>
    <xf numFmtId="164" fontId="7" fillId="7" borderId="15"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6" xfId="0" applyFont="1" applyBorder="1" applyAlignment="1">
      <alignment vertical="top" wrapText="1"/>
    </xf>
    <xf numFmtId="0" fontId="10" fillId="11" borderId="16" xfId="0" applyFont="1" applyFill="1" applyBorder="1" applyAlignment="1">
      <alignment vertical="top" wrapText="1"/>
    </xf>
    <xf numFmtId="0" fontId="4" fillId="10" borderId="0" xfId="0" applyFont="1" applyFill="1"/>
    <xf numFmtId="14" fontId="10" fillId="11" borderId="16" xfId="0" applyNumberFormat="1" applyFont="1" applyFill="1" applyBorder="1" applyAlignment="1">
      <alignment vertical="top" wrapText="1"/>
    </xf>
    <xf numFmtId="14" fontId="10" fillId="0" borderId="16"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5" xfId="0" applyFont="1" applyFill="1" applyBorder="1" applyAlignment="1">
      <alignment vertical="center" wrapText="1"/>
    </xf>
    <xf numFmtId="0" fontId="4" fillId="13" borderId="0" xfId="0" applyFont="1" applyFill="1" applyAlignment="1">
      <alignment wrapText="1"/>
    </xf>
    <xf numFmtId="0" fontId="14" fillId="13" borderId="16" xfId="0" applyFont="1" applyFill="1" applyBorder="1" applyAlignment="1">
      <alignment vertical="top" wrapText="1"/>
    </xf>
    <xf numFmtId="0" fontId="14" fillId="13" borderId="15" xfId="0" applyFont="1" applyFill="1" applyBorder="1" applyAlignment="1">
      <alignment vertical="top" wrapText="1"/>
    </xf>
    <xf numFmtId="0" fontId="10" fillId="3" borderId="16" xfId="0" applyFont="1" applyFill="1" applyBorder="1" applyAlignment="1">
      <alignment vertical="top" wrapText="1"/>
    </xf>
    <xf numFmtId="0" fontId="7" fillId="0" borderId="16" xfId="0" applyFont="1"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0" borderId="24" xfId="0" applyBorder="1" applyAlignment="1">
      <alignment vertical="top" wrapText="1"/>
    </xf>
    <xf numFmtId="0" fontId="0" fillId="0" borderId="25" xfId="0" applyBorder="1" applyAlignment="1">
      <alignment vertical="top" wrapText="1"/>
    </xf>
    <xf numFmtId="0" fontId="0" fillId="16" borderId="17" xfId="0" applyFill="1" applyBorder="1" applyAlignment="1">
      <alignment vertical="top" wrapText="1"/>
    </xf>
    <xf numFmtId="0" fontId="0" fillId="16" borderId="19" xfId="0" applyFill="1" applyBorder="1" applyAlignment="1">
      <alignment vertical="top" wrapText="1"/>
    </xf>
    <xf numFmtId="0" fontId="0" fillId="16" borderId="20" xfId="0" applyFill="1" applyBorder="1" applyAlignment="1">
      <alignment vertical="top" wrapText="1"/>
    </xf>
    <xf numFmtId="0" fontId="0" fillId="16" borderId="22" xfId="0" applyFill="1" applyBorder="1" applyAlignment="1">
      <alignment vertical="top" wrapText="1"/>
    </xf>
    <xf numFmtId="0" fontId="0" fillId="16" borderId="23" xfId="0" applyFill="1" applyBorder="1" applyAlignment="1">
      <alignment vertical="top" wrapText="1"/>
    </xf>
    <xf numFmtId="0" fontId="0" fillId="16" borderId="25" xfId="0" applyFill="1" applyBorder="1" applyAlignment="1">
      <alignment vertical="top" wrapText="1"/>
    </xf>
    <xf numFmtId="0" fontId="1" fillId="2" borderId="0" xfId="0" applyFont="1" applyFill="1" applyAlignment="1">
      <alignment vertical="center"/>
    </xf>
    <xf numFmtId="0" fontId="2" fillId="3" borderId="0" xfId="0" applyFont="1" applyFill="1" applyAlignment="1">
      <alignment vertical="center" wrapText="1"/>
    </xf>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6" borderId="7" xfId="0" applyFont="1" applyFill="1" applyBorder="1" applyAlignment="1">
      <alignment vertical="center" wrapText="1"/>
    </xf>
    <xf numFmtId="0" fontId="5" fillId="6" borderId="8" xfId="0" applyFont="1" applyFill="1" applyBorder="1" applyAlignment="1">
      <alignment vertical="center" wrapText="1"/>
    </xf>
    <xf numFmtId="0" fontId="5" fillId="6" borderId="9" xfId="0" applyFont="1" applyFill="1" applyBorder="1" applyAlignment="1">
      <alignment vertical="center" wrapText="1"/>
    </xf>
    <xf numFmtId="0" fontId="5" fillId="6" borderId="10" xfId="0" applyFont="1" applyFill="1" applyBorder="1" applyAlignment="1">
      <alignment vertical="center" wrapText="1"/>
    </xf>
    <xf numFmtId="0" fontId="5" fillId="6" borderId="0" xfId="0" applyFont="1" applyFill="1" applyAlignment="1">
      <alignment vertical="center" wrapText="1"/>
    </xf>
    <xf numFmtId="0" fontId="5" fillId="6" borderId="11" xfId="0" applyFont="1" applyFill="1" applyBorder="1" applyAlignment="1">
      <alignment vertical="center" wrapText="1"/>
    </xf>
    <xf numFmtId="0" fontId="8" fillId="8" borderId="7" xfId="0" applyFont="1" applyFill="1" applyBorder="1" applyAlignment="1">
      <alignment wrapText="1"/>
    </xf>
    <xf numFmtId="0" fontId="8" fillId="8" borderId="8" xfId="0" applyFont="1" applyFill="1" applyBorder="1" applyAlignment="1">
      <alignment wrapText="1"/>
    </xf>
    <xf numFmtId="0" fontId="8" fillId="8" borderId="9" xfId="0" applyFont="1" applyFill="1" applyBorder="1" applyAlignment="1">
      <alignment wrapText="1"/>
    </xf>
    <xf numFmtId="0" fontId="8" fillId="8" borderId="12" xfId="0" applyFont="1" applyFill="1" applyBorder="1" applyAlignment="1">
      <alignment wrapText="1"/>
    </xf>
    <xf numFmtId="0" fontId="8" fillId="8" borderId="13" xfId="0" applyFont="1" applyFill="1" applyBorder="1" applyAlignment="1">
      <alignment wrapText="1"/>
    </xf>
    <xf numFmtId="0" fontId="8" fillId="8" borderId="14" xfId="0" applyFont="1" applyFill="1" applyBorder="1" applyAlignment="1">
      <alignment wrapText="1"/>
    </xf>
    <xf numFmtId="0" fontId="5" fillId="6" borderId="12" xfId="0" applyFont="1" applyFill="1" applyBorder="1" applyAlignment="1">
      <alignment vertical="center" wrapText="1"/>
    </xf>
    <xf numFmtId="0" fontId="5" fillId="6" borderId="13" xfId="0" applyFont="1" applyFill="1" applyBorder="1" applyAlignment="1">
      <alignment vertical="center" wrapText="1"/>
    </xf>
    <xf numFmtId="0" fontId="5" fillId="6" borderId="14" xfId="0" applyFont="1" applyFill="1" applyBorder="1" applyAlignment="1">
      <alignment vertical="center" wrapText="1"/>
    </xf>
    <xf numFmtId="0" fontId="3" fillId="4" borderId="0" xfId="0" applyFont="1" applyFill="1" applyAlignment="1">
      <alignment horizontal="center"/>
    </xf>
    <xf numFmtId="0" fontId="9" fillId="6" borderId="7" xfId="0" applyFont="1" applyFill="1" applyBorder="1" applyAlignment="1">
      <alignment horizontal="center" vertical="center"/>
    </xf>
    <xf numFmtId="0" fontId="9" fillId="6" borderId="9" xfId="0" applyFont="1" applyFill="1" applyBorder="1" applyAlignment="1">
      <alignment horizontal="center" vertical="center"/>
    </xf>
    <xf numFmtId="0" fontId="9" fillId="6" borderId="12" xfId="0" applyFont="1" applyFill="1" applyBorder="1" applyAlignment="1">
      <alignment horizontal="center" vertical="center"/>
    </xf>
    <xf numFmtId="0" fontId="9" fillId="6" borderId="14" xfId="0" applyFont="1" applyFill="1" applyBorder="1" applyAlignment="1">
      <alignment horizontal="center" vertical="center"/>
    </xf>
    <xf numFmtId="9" fontId="9" fillId="6" borderId="7" xfId="0" applyNumberFormat="1" applyFont="1" applyFill="1" applyBorder="1" applyAlignment="1">
      <alignment horizontal="center" vertical="center"/>
    </xf>
    <xf numFmtId="9" fontId="9" fillId="6" borderId="9" xfId="0" applyNumberFormat="1" applyFont="1" applyFill="1" applyBorder="1" applyAlignment="1">
      <alignment horizontal="center" vertical="center"/>
    </xf>
    <xf numFmtId="9" fontId="9" fillId="6" borderId="12" xfId="0" applyNumberFormat="1" applyFont="1" applyFill="1" applyBorder="1" applyAlignment="1">
      <alignment horizontal="center" vertical="center"/>
    </xf>
    <xf numFmtId="9" fontId="9" fillId="6" borderId="14" xfId="0" applyNumberFormat="1" applyFont="1" applyFill="1" applyBorder="1" applyAlignment="1">
      <alignment horizontal="center" vertical="center"/>
    </xf>
    <xf numFmtId="0" fontId="5" fillId="6" borderId="10" xfId="0" applyFont="1" applyFill="1" applyBorder="1" applyAlignment="1">
      <alignment wrapText="1"/>
    </xf>
    <xf numFmtId="0" fontId="5" fillId="6" borderId="0" xfId="0" applyFont="1" applyFill="1" applyAlignment="1">
      <alignment wrapText="1"/>
    </xf>
    <xf numFmtId="0" fontId="5" fillId="6" borderId="11" xfId="0" applyFont="1" applyFill="1" applyBorder="1" applyAlignment="1">
      <alignment wrapText="1"/>
    </xf>
    <xf numFmtId="0" fontId="5" fillId="6" borderId="12" xfId="0" applyFont="1" applyFill="1" applyBorder="1" applyAlignment="1">
      <alignment wrapText="1"/>
    </xf>
    <xf numFmtId="0" fontId="5" fillId="6" borderId="13" xfId="0" applyFont="1" applyFill="1" applyBorder="1" applyAlignment="1">
      <alignment wrapText="1"/>
    </xf>
    <xf numFmtId="0" fontId="5" fillId="6" borderId="14" xfId="0" applyFont="1" applyFill="1" applyBorder="1" applyAlignment="1">
      <alignment wrapText="1"/>
    </xf>
    <xf numFmtId="0" fontId="5" fillId="6" borderId="7" xfId="0" applyFont="1" applyFill="1" applyBorder="1" applyAlignment="1">
      <alignment wrapText="1"/>
    </xf>
    <xf numFmtId="0" fontId="5" fillId="6" borderId="8" xfId="0" applyFont="1" applyFill="1" applyBorder="1" applyAlignment="1">
      <alignment wrapText="1"/>
    </xf>
    <xf numFmtId="0" fontId="5" fillId="6" borderId="9" xfId="0" applyFont="1" applyFill="1" applyBorder="1" applyAlignment="1">
      <alignment wrapText="1"/>
    </xf>
    <xf numFmtId="0" fontId="4" fillId="10" borderId="0" xfId="0" applyFont="1" applyFill="1"/>
    <xf numFmtId="0" fontId="0" fillId="0" borderId="0" xfId="0"/>
    <xf numFmtId="9" fontId="11" fillId="6" borderId="7" xfId="0" applyNumberFormat="1" applyFont="1" applyFill="1" applyBorder="1" applyAlignment="1">
      <alignment horizontal="center" vertical="center"/>
    </xf>
    <xf numFmtId="9" fontId="11" fillId="6" borderId="9" xfId="0" applyNumberFormat="1" applyFont="1" applyFill="1" applyBorder="1" applyAlignment="1">
      <alignment horizontal="center" vertical="center"/>
    </xf>
    <xf numFmtId="9" fontId="11" fillId="6" borderId="12" xfId="0" applyNumberFormat="1" applyFont="1" applyFill="1" applyBorder="1" applyAlignment="1">
      <alignment horizontal="center" vertical="center"/>
    </xf>
    <xf numFmtId="9" fontId="11" fillId="6" borderId="14" xfId="0" applyNumberFormat="1" applyFont="1" applyFill="1" applyBorder="1" applyAlignment="1">
      <alignment horizontal="center" vertical="center"/>
    </xf>
    <xf numFmtId="0" fontId="12" fillId="6" borderId="7" xfId="0" applyFont="1" applyFill="1" applyBorder="1" applyAlignment="1">
      <alignment horizontal="center" vertical="center"/>
    </xf>
    <xf numFmtId="0" fontId="12" fillId="6" borderId="9" xfId="0" applyFont="1" applyFill="1" applyBorder="1" applyAlignment="1">
      <alignment horizontal="center" vertical="center"/>
    </xf>
    <xf numFmtId="0" fontId="12" fillId="6" borderId="12" xfId="0" applyFont="1" applyFill="1" applyBorder="1" applyAlignment="1">
      <alignment horizontal="center" vertical="center"/>
    </xf>
    <xf numFmtId="0" fontId="12" fillId="6" borderId="14" xfId="0" applyFont="1" applyFill="1" applyBorder="1" applyAlignment="1">
      <alignment horizontal="center" vertical="center"/>
    </xf>
    <xf numFmtId="0" fontId="13" fillId="9" borderId="7" xfId="0" applyFont="1" applyFill="1" applyBorder="1" applyAlignment="1">
      <alignment vertical="center" wrapText="1"/>
    </xf>
    <xf numFmtId="0" fontId="13" fillId="9" borderId="8" xfId="0" applyFont="1" applyFill="1" applyBorder="1" applyAlignment="1">
      <alignment vertical="center" wrapText="1"/>
    </xf>
    <xf numFmtId="0" fontId="13" fillId="9" borderId="9" xfId="0" applyFont="1" applyFill="1" applyBorder="1" applyAlignment="1">
      <alignment vertical="center" wrapText="1"/>
    </xf>
    <xf numFmtId="0" fontId="13" fillId="9" borderId="12" xfId="0" applyFont="1" applyFill="1" applyBorder="1" applyAlignment="1">
      <alignment vertical="center" wrapText="1"/>
    </xf>
    <xf numFmtId="0" fontId="13" fillId="9" borderId="13" xfId="0" applyFont="1" applyFill="1" applyBorder="1" applyAlignment="1">
      <alignment vertical="center" wrapText="1"/>
    </xf>
    <xf numFmtId="0" fontId="13" fillId="9" borderId="14" xfId="0" applyFont="1" applyFill="1" applyBorder="1" applyAlignment="1">
      <alignment vertical="center" wrapText="1"/>
    </xf>
    <xf numFmtId="0" fontId="3" fillId="12" borderId="15" xfId="0" applyFont="1" applyFill="1" applyBorder="1" applyAlignment="1">
      <alignment vertical="center" wrapText="1"/>
    </xf>
    <xf numFmtId="0" fontId="13" fillId="9" borderId="1" xfId="0" applyFont="1" applyFill="1" applyBorder="1" applyAlignment="1">
      <alignment wrapText="1"/>
    </xf>
    <xf numFmtId="0" fontId="13" fillId="9" borderId="2" xfId="0" applyFont="1" applyFill="1" applyBorder="1" applyAlignment="1">
      <alignment wrapText="1"/>
    </xf>
    <xf numFmtId="0" fontId="13" fillId="9" borderId="3" xfId="0" applyFont="1" applyFill="1" applyBorder="1" applyAlignment="1">
      <alignment wrapText="1"/>
    </xf>
    <xf numFmtId="0" fontId="8" fillId="8" borderId="1" xfId="0" applyFont="1" applyFill="1" applyBorder="1" applyAlignment="1">
      <alignment wrapText="1"/>
    </xf>
    <xf numFmtId="0" fontId="8" fillId="8" borderId="2" xfId="0" applyFont="1" applyFill="1" applyBorder="1" applyAlignment="1">
      <alignment wrapText="1"/>
    </xf>
    <xf numFmtId="0" fontId="8" fillId="8" borderId="3" xfId="0" applyFont="1" applyFill="1" applyBorder="1" applyAlignment="1">
      <alignment wrapText="1"/>
    </xf>
    <xf numFmtId="0" fontId="4" fillId="14" borderId="0" xfId="0" applyFont="1" applyFill="1" applyAlignment="1">
      <alignment horizontal="left" vertical="center" wrapText="1"/>
    </xf>
    <xf numFmtId="0" fontId="7" fillId="15" borderId="0" xfId="0" applyFont="1" applyFill="1" applyAlignment="1">
      <alignment wrapText="1"/>
    </xf>
    <xf numFmtId="0" fontId="4" fillId="13" borderId="0" xfId="0" applyFont="1" applyFill="1" applyAlignment="1">
      <alignment wrapText="1"/>
    </xf>
    <xf numFmtId="0" fontId="1" fillId="10" borderId="0" xfId="0" applyFont="1" applyFill="1" applyAlignment="1">
      <alignment vertical="top"/>
    </xf>
    <xf numFmtId="0" fontId="1" fillId="10" borderId="0" xfId="0" applyFont="1" applyFill="1" applyAlignment="1">
      <alignment vertical="top"/>
    </xf>
    <xf numFmtId="0" fontId="2" fillId="11" borderId="0" xfId="0" applyFont="1" applyFill="1" applyAlignment="1">
      <alignment vertical="top" wrapText="1"/>
    </xf>
    <xf numFmtId="0" fontId="2" fillId="11" borderId="0" xfId="0" applyFont="1" applyFill="1" applyAlignment="1">
      <alignment vertical="top" wrapText="1"/>
    </xf>
    <xf numFmtId="0" fontId="3" fillId="12" borderId="15" xfId="0" applyFont="1" applyFill="1" applyBorder="1" applyAlignment="1">
      <alignment vertical="top" wrapText="1"/>
    </xf>
  </cellXfs>
  <cellStyles count="1">
    <cellStyle name="Normal" xfId="0" builtinId="0"/>
  </cellStyles>
  <dxfs count="63">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Completion by week</a:t>
            </a:r>
          </a:p>
        </c:rich>
      </c:tx>
      <c:overlay val="0"/>
    </c:title>
    <c:autoTitleDeleted val="0"/>
    <c:plotArea>
      <c:layout/>
      <c:barChart>
        <c:barDir val="col"/>
        <c:grouping val="clustered"/>
        <c:varyColors val="0"/>
        <c:ser>
          <c:idx val="0"/>
          <c:order val="0"/>
          <c:tx>
            <c:v>Progress</c:v>
          </c:tx>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0.92307692307692313</c:v>
                </c:pt>
                <c:pt idx="1">
                  <c:v>0</c:v>
                </c:pt>
                <c:pt idx="2">
                  <c:v>0</c:v>
                </c:pt>
                <c:pt idx="3">
                  <c:v>0</c:v>
                </c:pt>
                <c:pt idx="4">
                  <c:v>0</c:v>
                </c:pt>
                <c:pt idx="5">
                  <c:v>0</c:v>
                </c:pt>
              </c:numCache>
            </c:numRef>
          </c:val>
          <c:extLst>
            <c:ext xmlns:c16="http://schemas.microsoft.com/office/drawing/2014/chart" uri="{C3380CC4-5D6E-409C-BE32-E72D297353CC}">
              <c16:uniqueId val="{00000000-1A71-462B-BD2E-E8534DFC8A3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85" totalsRowShown="0">
  <autoFilter ref="A5:T85" xr:uid="{00000000-0009-0000-0100-000001000000}">
    <filterColumn colId="0">
      <filters>
        <filter val="W1-01"/>
        <filter val="W1-02"/>
        <filter val="W1-03"/>
        <filter val="W1-04"/>
        <filter val="W1-05"/>
        <filter val="W1-06"/>
        <filter val="W1-07"/>
        <filter val="W1-08"/>
        <filter val="W1-09"/>
        <filter val="W1-10"/>
        <filter val="W1-11"/>
        <filter val="W1-12"/>
      </filters>
    </filterColumn>
    <filterColumn colId="9">
      <filters>
        <filter val="W1-001"/>
        <filter val="W1-002"/>
        <filter val="W1-003"/>
        <filter val="W1-004"/>
        <filter val="W1-GOV-001"/>
        <filter val="W1-MVP-001"/>
        <filter val="WEEKLY-REVIEW-001"/>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O22" totalsRowShown="0">
  <autoFilter ref="A9:O22" xr:uid="{00000000-0009-0000-0100-000002000000}"/>
  <tableColumns count="15">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Verify"/>
    <tableColumn id="13" xr3:uid="{00000000-0010-0000-0100-00000D000000}" name="Evidence"/>
    <tableColumn id="14" xr3:uid="{00000000-0010-0000-0100-00000E000000}" name="Rollback/Teardown"/>
    <tableColumn id="15" xr3:uid="{00000000-0010-0000-0100-00000F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O22" totalsRowShown="0">
  <autoFilter ref="A9:O22" xr:uid="{00000000-0009-0000-0100-000003000000}">
    <filterColumn colId="8">
      <filters>
        <filter val="W2-LEARN-001"/>
      </filters>
    </filterColumn>
  </autoFilter>
  <tableColumns count="15">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Verify"/>
    <tableColumn id="13" xr3:uid="{00000000-0010-0000-0200-00000D000000}" name="Evidence"/>
    <tableColumn id="14" xr3:uid="{00000000-0010-0000-0200-00000E000000}" name="Rollback/Teardown"/>
    <tableColumn id="15" xr3:uid="{00000000-0010-0000-0200-00000F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O22" totalsRowShown="0">
  <autoFilter ref="A9:O22" xr:uid="{00000000-0009-0000-0100-000004000000}"/>
  <tableColumns count="15">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Verify"/>
    <tableColumn id="13" xr3:uid="{00000000-0010-0000-0300-00000D000000}" name="Evidence"/>
    <tableColumn id="14" xr3:uid="{00000000-0010-0000-0300-00000E000000}" name="Rollback/Teardown"/>
    <tableColumn id="15" xr3:uid="{00000000-0010-0000-0300-00000F00000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O22" totalsRowShown="0">
  <autoFilter ref="A9:O22" xr:uid="{00000000-0009-0000-0100-000005000000}"/>
  <tableColumns count="15">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Verify"/>
    <tableColumn id="13" xr3:uid="{00000000-0010-0000-0400-00000D000000}" name="Evidence"/>
    <tableColumn id="14" xr3:uid="{00000000-0010-0000-0400-00000E000000}" name="Rollback/Teardown"/>
    <tableColumn id="15" xr3:uid="{00000000-0010-0000-0400-00000F000000}" name="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O23" totalsRowShown="0">
  <autoFilter ref="A9:O23" xr:uid="{00000000-0009-0000-0100-000006000000}"/>
  <tableColumns count="15">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Verify"/>
    <tableColumn id="13" xr3:uid="{00000000-0010-0000-0500-00000D000000}" name="Evidence"/>
    <tableColumn id="14" xr3:uid="{00000000-0010-0000-0500-00000E000000}" name="Rollback/Teardown"/>
    <tableColumn id="15" xr3:uid="{00000000-0010-0000-0500-00000F000000}" name="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O23" totalsRowShown="0">
  <autoFilter ref="A9:O23" xr:uid="{00000000-0009-0000-0100-000007000000}"/>
  <tableColumns count="15">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Verify"/>
    <tableColumn id="13" xr3:uid="{00000000-0010-0000-0600-00000D000000}" name="Evidence"/>
    <tableColumn id="14" xr3:uid="{00000000-0010-0000-0600-00000E000000}" name="Rollback/Teardown"/>
    <tableColumn id="15" xr3:uid="{00000000-0010-0000-0600-00000F000000}" name="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24" totalsRowShown="0">
  <autoFilter ref="A6:H24"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8000000}" name="CodexPromptTable" displayName="CodexPromptTable" ref="A5:M40" totalsRowShown="0" headerRowDxfId="1" dataDxfId="0">
  <tableColumns count="13">
    <tableColumn id="1" xr3:uid="{00000000-0010-0000-0800-000001000000}" name="Prompt ID" dataDxfId="14"/>
    <tableColumn id="2" xr3:uid="{00000000-0010-0000-0800-000002000000}" name="Week" dataDxfId="13"/>
    <tableColumn id="3" xr3:uid="{00000000-0010-0000-0800-000003000000}" name="Feature" dataDxfId="12"/>
    <tableColumn id="4" xr3:uid="{00000000-0010-0000-0800-000004000000}" name="Purpose" dataDxfId="11"/>
    <tableColumn id="5" xr3:uid="{00000000-0010-0000-0800-000005000000}" name="Required Inputs" dataDxfId="10"/>
    <tableColumn id="6" xr3:uid="{00000000-0010-0000-0800-000006000000}" name="Expected Outputs" dataDxfId="9"/>
    <tableColumn id="7" xr3:uid="{00000000-0010-0000-0800-000007000000}" name="Main Prompt (paste first)" dataDxfId="8"/>
    <tableColumn id="8" xr3:uid="{00000000-0010-0000-0800-000008000000}" name="Example Usage" dataDxfId="7"/>
    <tableColumn id="9" xr3:uid="{00000000-0010-0000-0800-000009000000}" name="Verification / Stop Point" dataDxfId="6"/>
    <tableColumn id="10" xr3:uid="{00000000-0010-0000-0800-00000A000000}" name="Owner Approval" dataDxfId="5"/>
    <tableColumn id="11" xr3:uid="{00000000-0010-0000-0800-00000B000000}" name="Covered Tracker Steps" dataDxfId="4"/>
    <tableColumn id="12" xr3:uid="{00000000-0010-0000-0800-00000C000000}" name="Code Edit Approval Prompt" dataDxfId="3"/>
    <tableColumn id="13" xr3:uid="{00000000-0010-0000-0800-00000D000000}" name="Document Writing Approval Prompt" dataDxfId="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9000000}" name="TestEvidenceTable" displayName="TestEvidenceTable" ref="A5:L39"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23" totalsRowShown="0">
  <autoFilter ref="A5:K23"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30" totalsRowShown="0">
  <autoFilter ref="A5:J30" xr:uid="{00000000-0009-0000-0100-00000C000000}">
    <filterColumn colId="3">
      <filters>
        <filter val="Week 2"/>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echAdoptionTable" displayName="TechAdoptionTable" ref="A5:G69" totalsRowShown="0">
  <autoFilter ref="A5:G69" xr:uid="{00000000-0009-0000-0100-00000E000000}"/>
  <tableColumns count="7">
    <tableColumn id="1" xr3:uid="{00000000-0010-0000-0D00-000001000000}" name="Category"/>
    <tableColumn id="2" xr3:uid="{00000000-0010-0000-0D00-000002000000}" name="Technology"/>
    <tableColumn id="3" xr3:uid="{00000000-0010-0000-0D00-000003000000}" name="Priority"/>
    <tableColumn id="4" xr3:uid="{00000000-0010-0000-0D00-000004000000}" name="When"/>
    <tableColumn id="5" xr3:uid="{00000000-0010-0000-0D00-000005000000}" name="Why / Role"/>
    <tableColumn id="6" xr3:uid="{00000000-0010-0000-0D00-000006000000}" name="Open Alternative / Migration"/>
    <tableColumn id="7" xr3:uid="{00000000-0010-0000-0D00-000007000000}" name="Cost, Residency and Privacy Not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EnvironmentVariableTable" displayName="EnvironmentVariableTable" ref="A5:H38" totalsRowShown="0">
  <autoFilter ref="A5:H38" xr:uid="{00000000-0009-0000-0100-00000F000000}"/>
  <tableColumns count="8">
    <tableColumn id="1" xr3:uid="{00000000-0010-0000-0E00-000001000000}" name="Variable"/>
    <tableColumn id="2" xr3:uid="{00000000-0010-0000-0E00-000002000000}" name="Scope"/>
    <tableColumn id="3" xr3:uid="{00000000-0010-0000-0E00-000003000000}" name="Secret?"/>
    <tableColumn id="4" xr3:uid="{00000000-0010-0000-0E00-000004000000}" name="Example / Placeholder"/>
    <tableColumn id="5" xr3:uid="{00000000-0010-0000-0E00-000005000000}" name="Needed By"/>
    <tableColumn id="6" xr3:uid="{00000000-0010-0000-0E00-000006000000}" name="Validation / Rule"/>
    <tableColumn id="7" xr3:uid="{00000000-0010-0000-0E00-000007000000}" name="Consumer"/>
    <tableColumn id="8" xr3:uid="{00000000-0010-0000-0E00-000008000000}" name="Owner Note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SourceTraceTable" displayName="SourceTraceTable" ref="A5:F8" totalsRowShown="0">
  <autoFilter ref="A5:F8" xr:uid="{00000000-0009-0000-0100-000010000000}"/>
  <tableColumns count="6">
    <tableColumn id="1" xr3:uid="{00000000-0010-0000-0F00-000001000000}" name="Source"/>
    <tableColumn id="2" xr3:uid="{00000000-0010-0000-0F00-000002000000}" name="Version / Type"/>
    <tableColumn id="3" xr3:uid="{00000000-0010-0000-0F00-000003000000}" name="Content Used"/>
    <tableColumn id="4" xr3:uid="{00000000-0010-0000-0F00-000004000000}" name="Authority"/>
    <tableColumn id="5" xr3:uid="{00000000-0010-0000-0F00-000005000000}" name="Conflict Rule"/>
    <tableColumn id="6" xr3:uid="{00000000-0010-0000-0F00-000006000000}" name="Review Statu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LearningJourneyTable" displayName="LearningJourneyTable" ref="A12:H18" totalsRowShown="0">
  <tableColumns count="8">
    <tableColumn id="1" xr3:uid="{00000000-0010-0000-1000-000001000000}" name="Week"/>
    <tableColumn id="2" xr3:uid="{00000000-0010-0000-1000-000002000000}" name="Business Outcome"/>
    <tableColumn id="3" xr3:uid="{00000000-0010-0000-1000-000003000000}" name="Technical Focus"/>
    <tableColumn id="4" xr3:uid="{00000000-0010-0000-1000-000004000000}" name="Owner Hands-On"/>
    <tableColumn id="5" xr3:uid="{00000000-0010-0000-1000-000005000000}" name="Decisions to Explain"/>
    <tableColumn id="6" xr3:uid="{00000000-0010-0000-1000-000006000000}" name="Interview Story"/>
    <tableColumn id="7" xr3:uid="{00000000-0010-0000-1000-000007000000}" name="Weekly Learning Task"/>
    <tableColumn id="8" xr3:uid="{00000000-0010-0000-1000-000008000000}" name="Learning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showGridLines="0" workbookViewId="0">
      <selection sqref="A1:J1"/>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 r="A1" s="51" t="s">
        <v>1340</v>
      </c>
      <c r="B1" s="51"/>
      <c r="C1" s="51"/>
      <c r="D1" s="51"/>
      <c r="E1" s="51"/>
      <c r="F1" s="51"/>
      <c r="G1" s="51"/>
      <c r="H1" s="51"/>
      <c r="I1" s="51"/>
      <c r="J1" s="51"/>
    </row>
    <row r="2" spans="1:10">
      <c r="A2" s="52" t="s">
        <v>1341</v>
      </c>
      <c r="B2" s="52"/>
      <c r="C2" s="52"/>
      <c r="D2" s="52"/>
      <c r="E2" s="52"/>
      <c r="F2" s="52"/>
      <c r="G2" s="52"/>
      <c r="H2" s="52"/>
      <c r="I2" s="52"/>
      <c r="J2" s="52"/>
    </row>
    <row r="4" spans="1:10">
      <c r="A4" s="53" t="s">
        <v>0</v>
      </c>
      <c r="B4" s="54"/>
      <c r="C4" s="54"/>
      <c r="D4" s="54"/>
      <c r="E4" s="53" t="s">
        <v>1</v>
      </c>
      <c r="F4" s="54"/>
      <c r="G4" s="54"/>
      <c r="H4" s="54"/>
      <c r="I4" s="54"/>
      <c r="J4" s="55"/>
    </row>
    <row r="5" spans="1:10" ht="39.6">
      <c r="A5" s="21">
        <v>1</v>
      </c>
      <c r="B5" s="4" t="s">
        <v>1342</v>
      </c>
      <c r="C5" s="4" t="s">
        <v>1343</v>
      </c>
      <c r="E5" s="56" t="s">
        <v>2</v>
      </c>
      <c r="F5" s="57"/>
      <c r="G5" s="57"/>
      <c r="H5" s="57"/>
      <c r="I5" s="57"/>
      <c r="J5" s="58"/>
    </row>
    <row r="6" spans="1:10" ht="39.6">
      <c r="A6" s="21">
        <v>2</v>
      </c>
      <c r="B6" s="5" t="s">
        <v>1344</v>
      </c>
      <c r="C6" s="5" t="s">
        <v>1345</v>
      </c>
      <c r="E6" s="59" t="s">
        <v>3</v>
      </c>
      <c r="F6" s="60"/>
      <c r="G6" s="60"/>
      <c r="H6" s="60"/>
      <c r="I6" s="60"/>
      <c r="J6" s="61"/>
    </row>
    <row r="7" spans="1:10" ht="52.8">
      <c r="A7" s="21">
        <v>3</v>
      </c>
      <c r="B7" s="5" t="s">
        <v>1346</v>
      </c>
      <c r="C7" s="5" t="s">
        <v>1347</v>
      </c>
      <c r="E7" s="59" t="s">
        <v>4</v>
      </c>
      <c r="F7" s="60"/>
      <c r="G7" s="60"/>
      <c r="H7" s="60"/>
      <c r="I7" s="60"/>
      <c r="J7" s="61"/>
    </row>
    <row r="8" spans="1:10" ht="52.8">
      <c r="A8" s="21">
        <v>4</v>
      </c>
      <c r="B8" s="5" t="s">
        <v>1348</v>
      </c>
      <c r="C8" s="5" t="s">
        <v>1349</v>
      </c>
      <c r="E8" s="59" t="s">
        <v>1350</v>
      </c>
      <c r="F8" s="60"/>
      <c r="G8" s="60"/>
      <c r="H8" s="60"/>
      <c r="I8" s="60"/>
      <c r="J8" s="61"/>
    </row>
    <row r="9" spans="1:10" ht="52.8">
      <c r="A9" s="21">
        <v>5</v>
      </c>
      <c r="B9" s="5" t="s">
        <v>1351</v>
      </c>
      <c r="C9" s="5" t="s">
        <v>1352</v>
      </c>
      <c r="E9" s="59" t="s">
        <v>1353</v>
      </c>
      <c r="F9" s="60"/>
      <c r="G9" s="60"/>
      <c r="H9" s="60"/>
      <c r="I9" s="60"/>
      <c r="J9" s="61"/>
    </row>
    <row r="10" spans="1:10" ht="66">
      <c r="A10" s="21">
        <v>6</v>
      </c>
      <c r="B10" s="5" t="s">
        <v>1354</v>
      </c>
      <c r="C10" s="5" t="s">
        <v>1355</v>
      </c>
      <c r="E10" s="59" t="s">
        <v>1356</v>
      </c>
      <c r="F10" s="60"/>
      <c r="G10" s="60"/>
      <c r="H10" s="60"/>
      <c r="I10" s="60"/>
      <c r="J10" s="61"/>
    </row>
    <row r="11" spans="1:10" ht="66">
      <c r="A11" s="21">
        <v>7</v>
      </c>
      <c r="B11" s="5" t="s">
        <v>1357</v>
      </c>
      <c r="C11" s="5" t="s">
        <v>1358</v>
      </c>
      <c r="E11" s="68" t="s">
        <v>1359</v>
      </c>
      <c r="F11" s="69"/>
      <c r="G11" s="69"/>
      <c r="H11" s="69"/>
      <c r="I11" s="69"/>
      <c r="J11" s="70"/>
    </row>
    <row r="12" spans="1:10" ht="52.8">
      <c r="A12" s="21">
        <v>8</v>
      </c>
      <c r="B12" s="5" t="s">
        <v>1360</v>
      </c>
      <c r="C12" s="5" t="s">
        <v>1361</v>
      </c>
      <c r="E12" t="s">
        <v>1362</v>
      </c>
    </row>
    <row r="13" spans="1:10" ht="66">
      <c r="A13" s="21">
        <v>9</v>
      </c>
      <c r="B13" s="5" t="s">
        <v>1363</v>
      </c>
      <c r="C13" s="5" t="s">
        <v>1364</v>
      </c>
      <c r="E13" s="53" t="s">
        <v>5</v>
      </c>
      <c r="F13" s="54"/>
      <c r="G13" s="54"/>
      <c r="H13" s="54"/>
      <c r="I13" s="54"/>
      <c r="J13" s="55"/>
    </row>
    <row r="14" spans="1:10" ht="79.2">
      <c r="A14" s="21">
        <v>10</v>
      </c>
      <c r="B14" s="6" t="s">
        <v>1365</v>
      </c>
      <c r="C14" s="6" t="s">
        <v>1366</v>
      </c>
      <c r="E14" s="7" t="s">
        <v>6</v>
      </c>
      <c r="F14" s="9"/>
    </row>
    <row r="15" spans="1:10">
      <c r="E15" s="7" t="s">
        <v>7</v>
      </c>
      <c r="F15" s="8" t="s">
        <v>8</v>
      </c>
    </row>
    <row r="16" spans="1:10">
      <c r="E16" s="7" t="s">
        <v>9</v>
      </c>
      <c r="F16" s="8" t="s">
        <v>10</v>
      </c>
    </row>
    <row r="17" spans="1:10">
      <c r="E17" s="7" t="s">
        <v>11</v>
      </c>
      <c r="F17" s="8" t="s">
        <v>12</v>
      </c>
    </row>
    <row r="18" spans="1:10">
      <c r="E18" t="s">
        <v>1367</v>
      </c>
      <c r="F18" t="s">
        <v>1368</v>
      </c>
    </row>
    <row r="19" spans="1:10">
      <c r="A19" s="62" t="s">
        <v>1369</v>
      </c>
      <c r="B19" s="63"/>
      <c r="C19" s="63"/>
      <c r="D19" s="63"/>
      <c r="E19" s="63"/>
      <c r="F19" s="63"/>
      <c r="G19" s="63"/>
      <c r="H19" s="63"/>
      <c r="I19" s="63"/>
      <c r="J19" s="64"/>
    </row>
    <row r="20" spans="1:10">
      <c r="A20" s="65"/>
      <c r="B20" s="66"/>
      <c r="C20" s="66"/>
      <c r="D20" s="66"/>
      <c r="E20" s="66"/>
      <c r="F20" s="66"/>
      <c r="G20" s="66"/>
      <c r="H20" s="66"/>
      <c r="I20" s="66"/>
      <c r="J20" s="67"/>
    </row>
  </sheetData>
  <mergeCells count="12">
    <mergeCell ref="E13:J13"/>
    <mergeCell ref="A19:J20"/>
    <mergeCell ref="E7:J7"/>
    <mergeCell ref="E8:J8"/>
    <mergeCell ref="E9:J9"/>
    <mergeCell ref="E10:J10"/>
    <mergeCell ref="E11:J11"/>
    <mergeCell ref="A1:J1"/>
    <mergeCell ref="A2:J2"/>
    <mergeCell ref="A4:J4"/>
    <mergeCell ref="E5:J5"/>
    <mergeCell ref="E6:J6"/>
  </mergeCells>
  <dataValidations count="1">
    <dataValidation type="list" sqref="F16" xr:uid="{00000000-0002-0000-0000-000000000000}">
      <formula1>"Week 1,Week 2,Week 3,Week 4,Week 5,Week 6,Complete"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6"/>
  <sheetViews>
    <sheetView showGridLines="0" workbookViewId="0"/>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51" t="s">
        <v>13</v>
      </c>
      <c r="B1" s="51"/>
      <c r="C1" s="51"/>
      <c r="D1" s="51"/>
      <c r="E1" s="51"/>
      <c r="F1" s="51"/>
      <c r="G1" s="51"/>
      <c r="H1" s="51"/>
      <c r="I1" s="51"/>
      <c r="J1" s="51"/>
      <c r="K1" s="51"/>
      <c r="L1" s="51"/>
      <c r="M1" s="51"/>
      <c r="N1" s="51"/>
      <c r="O1" s="51"/>
      <c r="P1" s="51"/>
    </row>
    <row r="2" spans="1:16" ht="31.95" customHeight="1">
      <c r="A2" s="52" t="s">
        <v>1370</v>
      </c>
      <c r="B2" s="52"/>
      <c r="C2" s="52"/>
      <c r="D2" s="52"/>
      <c r="E2" s="52"/>
      <c r="F2" s="52"/>
      <c r="G2" s="52"/>
      <c r="H2" s="52"/>
      <c r="I2" s="52"/>
      <c r="J2" s="52"/>
      <c r="K2" s="52"/>
      <c r="L2" s="52"/>
      <c r="M2" s="52"/>
      <c r="N2" s="52"/>
      <c r="O2" s="52"/>
      <c r="P2" s="52"/>
    </row>
    <row r="4" spans="1:16">
      <c r="A4" s="71" t="s">
        <v>14</v>
      </c>
      <c r="B4" s="71"/>
      <c r="D4" s="71" t="s">
        <v>15</v>
      </c>
      <c r="E4" s="71"/>
      <c r="G4" s="71" t="s">
        <v>16</v>
      </c>
      <c r="H4" s="71"/>
      <c r="J4" s="71" t="s">
        <v>17</v>
      </c>
      <c r="K4" s="71"/>
    </row>
    <row r="5" spans="1:16">
      <c r="A5" s="72">
        <f>COUNTA('02 Master Plan'!$A$6:$A$120)</f>
        <v>80</v>
      </c>
      <c r="B5" s="73"/>
      <c r="D5" s="72">
        <f>COUNTIF('02 Master Plan'!$S$6:$S$120,"Done")</f>
        <v>12</v>
      </c>
      <c r="E5" s="73"/>
      <c r="G5" s="76">
        <f>IF(A5=0,0,D5/A5)</f>
        <v>0.15</v>
      </c>
      <c r="H5" s="77"/>
      <c r="J5" s="72">
        <f>COUNTIF('02 Master Plan'!$S$6:$S$120,"Blocked")</f>
        <v>0</v>
      </c>
      <c r="K5" s="73"/>
    </row>
    <row r="6" spans="1:16">
      <c r="A6" s="74"/>
      <c r="B6" s="75"/>
      <c r="D6" s="74"/>
      <c r="E6" s="75"/>
      <c r="G6" s="78"/>
      <c r="H6" s="79"/>
      <c r="J6" s="74"/>
      <c r="K6" s="75"/>
    </row>
    <row r="7" spans="1:16">
      <c r="A7" s="71" t="s">
        <v>18</v>
      </c>
      <c r="B7" s="71"/>
      <c r="D7" s="71" t="s">
        <v>19</v>
      </c>
      <c r="E7" s="71"/>
      <c r="G7" s="71" t="s">
        <v>20</v>
      </c>
      <c r="H7" s="71"/>
      <c r="J7" s="71" t="s">
        <v>21</v>
      </c>
      <c r="K7" s="71"/>
    </row>
    <row r="8" spans="1:16">
      <c r="A8" s="72">
        <f>COUNTIFS('13 Owner TODOs'!$F$6:$F$80,"&lt;&gt;Done",'13 Owner TODOs'!$A$6:$A$80,"&lt;&gt;")</f>
        <v>19</v>
      </c>
      <c r="B8" s="73"/>
      <c r="D8" s="72">
        <f>COUNTIF('11 Test Evidence'!$H$6:$H$80,"Pass")</f>
        <v>6</v>
      </c>
      <c r="E8" s="73"/>
      <c r="G8" s="72">
        <f>COUNTIF('12 Decision Log'!$C$6:$C$60,"Baseline Approved")+COUNTIF('12 Decision Log'!$C$6:$C$60,"Approved")</f>
        <v>18</v>
      </c>
      <c r="H8" s="73"/>
      <c r="J8" s="72">
        <f>COUNTIFS('11 Test Evidence'!$C$6:$C$80,"Teardown",'11 Test Evidence'!$H$6:$H$80,"Pass")</f>
        <v>1</v>
      </c>
      <c r="K8" s="73"/>
    </row>
    <row r="9" spans="1:16">
      <c r="A9" s="74"/>
      <c r="B9" s="75"/>
      <c r="D9" s="74"/>
      <c r="E9" s="75"/>
      <c r="G9" s="74"/>
      <c r="H9" s="75"/>
      <c r="J9" s="74"/>
      <c r="K9" s="75"/>
    </row>
    <row r="12" spans="1:16" ht="28.05" customHeight="1">
      <c r="A12" s="1" t="s">
        <v>22</v>
      </c>
      <c r="B12" s="2" t="s">
        <v>23</v>
      </c>
      <c r="C12" s="2" t="s">
        <v>15</v>
      </c>
      <c r="D12" s="2" t="s">
        <v>24</v>
      </c>
      <c r="E12" s="3" t="s">
        <v>17</v>
      </c>
      <c r="G12" s="1" t="s">
        <v>22</v>
      </c>
      <c r="H12" s="3" t="s">
        <v>24</v>
      </c>
    </row>
    <row r="13" spans="1:16">
      <c r="A13" s="10" t="s">
        <v>10</v>
      </c>
      <c r="B13" s="10">
        <f>COUNTIF('02 Master Plan'!$B$6:$B$120,A13)</f>
        <v>13</v>
      </c>
      <c r="C13" s="10">
        <f>COUNTIFS('02 Master Plan'!$B$6:$B$120,A13,'02 Master Plan'!$S$6:$S$120,"Done")</f>
        <v>12</v>
      </c>
      <c r="D13" s="12">
        <f t="shared" ref="D13:D18" si="0">IF(B13=0,0,C13/B13)</f>
        <v>0.92307692307692313</v>
      </c>
      <c r="E13" s="10">
        <f>COUNTIFS('02 Master Plan'!$B$6:$B$120,A13,'02 Master Plan'!$S$6:$S$120,"Blocked")</f>
        <v>0</v>
      </c>
      <c r="G13" t="str">
        <f t="shared" ref="G13:G18" si="1">A13</f>
        <v>Week 1</v>
      </c>
      <c r="H13" s="14">
        <f t="shared" ref="H13:H18" si="2">D13</f>
        <v>0.92307692307692313</v>
      </c>
    </row>
    <row r="14" spans="1:16">
      <c r="A14" s="11" t="s">
        <v>25</v>
      </c>
      <c r="B14" s="11">
        <f>COUNTIF('02 Master Plan'!$B$6:$B$120,A14)</f>
        <v>13</v>
      </c>
      <c r="C14" s="11">
        <f>COUNTIFS('02 Master Plan'!$B$6:$B$120,A14,'02 Master Plan'!$S$6:$S$120,"Done")</f>
        <v>0</v>
      </c>
      <c r="D14" s="13">
        <f t="shared" si="0"/>
        <v>0</v>
      </c>
      <c r="E14" s="11">
        <f>COUNTIFS('02 Master Plan'!$B$6:$B$120,A14,'02 Master Plan'!$S$6:$S$120,"Blocked")</f>
        <v>0</v>
      </c>
      <c r="G14" t="str">
        <f t="shared" si="1"/>
        <v>Week 2</v>
      </c>
      <c r="H14" s="14">
        <f t="shared" si="2"/>
        <v>0</v>
      </c>
    </row>
    <row r="15" spans="1:16">
      <c r="A15" s="11" t="s">
        <v>26</v>
      </c>
      <c r="B15" s="11">
        <f>COUNTIF('02 Master Plan'!$B$6:$B$120,A15)</f>
        <v>13</v>
      </c>
      <c r="C15" s="11">
        <f>COUNTIFS('02 Master Plan'!$B$6:$B$120,A15,'02 Master Plan'!$S$6:$S$120,"Done")</f>
        <v>0</v>
      </c>
      <c r="D15" s="13">
        <f t="shared" si="0"/>
        <v>0</v>
      </c>
      <c r="E15" s="11">
        <f>COUNTIFS('02 Master Plan'!$B$6:$B$120,A15,'02 Master Plan'!$S$6:$S$120,"Blocked")</f>
        <v>0</v>
      </c>
      <c r="G15" t="str">
        <f t="shared" si="1"/>
        <v>Week 3</v>
      </c>
      <c r="H15" s="14">
        <f t="shared" si="2"/>
        <v>0</v>
      </c>
    </row>
    <row r="16" spans="1:16">
      <c r="A16" s="11" t="s">
        <v>27</v>
      </c>
      <c r="B16" s="11">
        <f>COUNTIF('02 Master Plan'!$B$6:$B$120,A16)</f>
        <v>13</v>
      </c>
      <c r="C16" s="11">
        <f>COUNTIFS('02 Master Plan'!$B$6:$B$120,A16,'02 Master Plan'!$S$6:$S$120,"Done")</f>
        <v>0</v>
      </c>
      <c r="D16" s="13">
        <f t="shared" si="0"/>
        <v>0</v>
      </c>
      <c r="E16" s="11">
        <f>COUNTIFS('02 Master Plan'!$B$6:$B$120,A16,'02 Master Plan'!$S$6:$S$120,"Blocked")</f>
        <v>0</v>
      </c>
      <c r="G16" t="str">
        <f t="shared" si="1"/>
        <v>Week 4</v>
      </c>
      <c r="H16" s="14">
        <f t="shared" si="2"/>
        <v>0</v>
      </c>
    </row>
    <row r="17" spans="1:8">
      <c r="A17" s="11" t="s">
        <v>28</v>
      </c>
      <c r="B17" s="11">
        <f>COUNTIF('02 Master Plan'!$B$6:$B$120,A17)</f>
        <v>14</v>
      </c>
      <c r="C17" s="11">
        <f>COUNTIFS('02 Master Plan'!$B$6:$B$120,A17,'02 Master Plan'!$S$6:$S$120,"Done")</f>
        <v>0</v>
      </c>
      <c r="D17" s="13">
        <f t="shared" si="0"/>
        <v>0</v>
      </c>
      <c r="E17" s="11">
        <f>COUNTIFS('02 Master Plan'!$B$6:$B$120,A17,'02 Master Plan'!$S$6:$S$120,"Blocked")</f>
        <v>0</v>
      </c>
      <c r="G17" t="str">
        <f t="shared" si="1"/>
        <v>Week 5</v>
      </c>
      <c r="H17" s="14">
        <f t="shared" si="2"/>
        <v>0</v>
      </c>
    </row>
    <row r="18" spans="1:8">
      <c r="A18" s="11" t="s">
        <v>29</v>
      </c>
      <c r="B18" s="11">
        <f>COUNTIF('02 Master Plan'!$B$6:$B$120,A18)</f>
        <v>14</v>
      </c>
      <c r="C18" s="11">
        <f>COUNTIFS('02 Master Plan'!$B$6:$B$120,A18,'02 Master Plan'!$S$6:$S$120,"Done")</f>
        <v>0</v>
      </c>
      <c r="D18" s="13">
        <f t="shared" si="0"/>
        <v>0</v>
      </c>
      <c r="E18" s="11">
        <f>COUNTIFS('02 Master Plan'!$B$6:$B$120,A18,'02 Master Plan'!$S$6:$S$120,"Blocked")</f>
        <v>0</v>
      </c>
      <c r="G18" t="str">
        <f t="shared" si="1"/>
        <v>Week 6</v>
      </c>
      <c r="H18" s="14">
        <f t="shared" si="2"/>
        <v>0</v>
      </c>
    </row>
    <row r="21" spans="1:8" ht="28.05" customHeight="1">
      <c r="A21" s="53" t="s">
        <v>30</v>
      </c>
      <c r="B21" s="54"/>
      <c r="C21" s="54"/>
      <c r="D21" s="54"/>
      <c r="E21" s="54"/>
      <c r="F21" s="54"/>
      <c r="G21" s="54"/>
      <c r="H21" s="55"/>
    </row>
    <row r="22" spans="1:8" ht="30" customHeight="1">
      <c r="A22" s="86" t="s">
        <v>31</v>
      </c>
      <c r="B22" s="87"/>
      <c r="C22" s="87"/>
      <c r="D22" s="87"/>
      <c r="E22" s="87"/>
      <c r="F22" s="87"/>
      <c r="G22" s="87"/>
      <c r="H22" s="88"/>
    </row>
    <row r="23" spans="1:8" ht="30" customHeight="1">
      <c r="A23" s="80" t="s">
        <v>32</v>
      </c>
      <c r="B23" s="81"/>
      <c r="C23" s="81"/>
      <c r="D23" s="81"/>
      <c r="E23" s="81"/>
      <c r="F23" s="81"/>
      <c r="G23" s="81"/>
      <c r="H23" s="82"/>
    </row>
    <row r="24" spans="1:8" ht="30" customHeight="1">
      <c r="A24" s="80" t="s">
        <v>1371</v>
      </c>
      <c r="B24" s="81"/>
      <c r="C24" s="81"/>
      <c r="D24" s="81"/>
      <c r="E24" s="81"/>
      <c r="F24" s="81"/>
      <c r="G24" s="81"/>
      <c r="H24" s="82"/>
    </row>
    <row r="25" spans="1:8" ht="30" customHeight="1">
      <c r="A25" s="80" t="s">
        <v>1372</v>
      </c>
      <c r="B25" s="81"/>
      <c r="C25" s="81"/>
      <c r="D25" s="81"/>
      <c r="E25" s="81"/>
      <c r="F25" s="81"/>
      <c r="G25" s="81"/>
      <c r="H25" s="82"/>
    </row>
    <row r="26" spans="1:8" ht="30" customHeight="1">
      <c r="A26" s="83" t="s">
        <v>33</v>
      </c>
      <c r="B26" s="84"/>
      <c r="C26" s="84"/>
      <c r="D26" s="84"/>
      <c r="E26" s="84"/>
      <c r="F26" s="84"/>
      <c r="G26" s="84"/>
      <c r="H26" s="85"/>
    </row>
  </sheetData>
  <mergeCells count="24">
    <mergeCell ref="A24:H24"/>
    <mergeCell ref="A25:H25"/>
    <mergeCell ref="A26:H26"/>
    <mergeCell ref="J7:K7"/>
    <mergeCell ref="J8:K9"/>
    <mergeCell ref="A21:H21"/>
    <mergeCell ref="A22:H22"/>
    <mergeCell ref="A23:H23"/>
    <mergeCell ref="A7:B7"/>
    <mergeCell ref="A8:B9"/>
    <mergeCell ref="D7:E7"/>
    <mergeCell ref="D8:E9"/>
    <mergeCell ref="G7:H7"/>
    <mergeCell ref="G8:H9"/>
    <mergeCell ref="A1:P1"/>
    <mergeCell ref="A2:P2"/>
    <mergeCell ref="A4:B4"/>
    <mergeCell ref="A5:B6"/>
    <mergeCell ref="D4:E4"/>
    <mergeCell ref="D5:E6"/>
    <mergeCell ref="G4:H4"/>
    <mergeCell ref="G5:H6"/>
    <mergeCell ref="J4:K4"/>
    <mergeCell ref="J5:K6"/>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extLst>
        <ext xmlns:x14="http://schemas.microsoft.com/office/spreadsheetml/2009/9/main" uri="{B025F937-C7B1-47D3-B67F-A62EFF666E3E}">
          <x14:id>{7ACD7930-3F82-D6B8-3D5C-A73611924FBF}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7ACD7930-3F82-D6B8-3D5C-A73611924FBF}">
            <x14:dataBar gradient="0">
              <x14:cfvo type="min"/>
              <x14:cfvo type="max"/>
              <x14:negativeFillColor auto="1"/>
              <x14:axisColor auto="1"/>
            </x14:dataBar>
          </x14:cfRule>
          <xm:sqref>D13:D18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85"/>
  <sheetViews>
    <sheetView showGridLines="0" workbookViewId="0"/>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customWidth="1"/>
  </cols>
  <sheetData>
    <row r="1" spans="1:21" ht="31.95" customHeight="1">
      <c r="A1" s="51" t="s">
        <v>1373</v>
      </c>
      <c r="B1" s="51"/>
      <c r="C1" s="51"/>
      <c r="D1" s="51"/>
      <c r="E1" s="51"/>
      <c r="F1" s="51"/>
      <c r="G1" s="51"/>
      <c r="H1" s="51"/>
      <c r="I1" s="51"/>
      <c r="J1" s="51"/>
      <c r="K1" s="51"/>
      <c r="L1" s="51"/>
      <c r="M1" s="51"/>
      <c r="N1" s="51"/>
      <c r="O1" s="51"/>
      <c r="P1" s="51"/>
      <c r="Q1" s="51"/>
      <c r="R1" s="51"/>
      <c r="S1" s="51"/>
      <c r="T1" s="51"/>
    </row>
    <row r="2" spans="1:21" ht="31.95" customHeight="1">
      <c r="A2" s="52" t="s">
        <v>1374</v>
      </c>
      <c r="B2" s="52"/>
      <c r="C2" s="52"/>
      <c r="D2" s="52"/>
      <c r="E2" s="52"/>
      <c r="F2" s="52"/>
      <c r="G2" s="52"/>
      <c r="H2" s="52"/>
      <c r="I2" s="52"/>
      <c r="J2" s="52"/>
      <c r="K2" s="52"/>
      <c r="L2" s="52"/>
      <c r="M2" s="52"/>
      <c r="N2" s="52"/>
      <c r="O2" s="52"/>
      <c r="P2" s="52"/>
      <c r="Q2" s="52"/>
      <c r="R2" s="52"/>
      <c r="S2" s="52"/>
      <c r="T2" s="52"/>
    </row>
    <row r="5" spans="1:21" ht="28.05" customHeight="1">
      <c r="A5" s="1" t="s">
        <v>1375</v>
      </c>
      <c r="B5" s="2" t="s">
        <v>22</v>
      </c>
      <c r="C5" s="2" t="s">
        <v>1376</v>
      </c>
      <c r="D5" s="2" t="s">
        <v>884</v>
      </c>
      <c r="E5" s="2" t="s">
        <v>1377</v>
      </c>
      <c r="F5" s="2" t="s">
        <v>1378</v>
      </c>
      <c r="G5" s="2" t="s">
        <v>1379</v>
      </c>
      <c r="H5" s="2" t="s">
        <v>7</v>
      </c>
      <c r="I5" s="2" t="s">
        <v>1380</v>
      </c>
      <c r="J5" s="2" t="s">
        <v>184</v>
      </c>
      <c r="K5" s="2" t="s">
        <v>1381</v>
      </c>
      <c r="L5" s="2" t="s">
        <v>1382</v>
      </c>
      <c r="M5" s="2" t="s">
        <v>1383</v>
      </c>
      <c r="N5" s="2" t="s">
        <v>353</v>
      </c>
      <c r="O5" s="2" t="s">
        <v>354</v>
      </c>
      <c r="P5" s="2" t="s">
        <v>561</v>
      </c>
      <c r="Q5" s="2" t="s">
        <v>1384</v>
      </c>
      <c r="R5" s="2" t="s">
        <v>1385</v>
      </c>
      <c r="S5" s="2" t="s">
        <v>355</v>
      </c>
      <c r="T5" s="3" t="s">
        <v>1386</v>
      </c>
      <c r="U5" s="29" t="s">
        <v>1387</v>
      </c>
    </row>
    <row r="6" spans="1:21" ht="96.6">
      <c r="A6" s="10" t="s">
        <v>205</v>
      </c>
      <c r="B6" s="10" t="s">
        <v>10</v>
      </c>
      <c r="C6" s="10">
        <v>1</v>
      </c>
      <c r="D6" s="10" t="s">
        <v>914</v>
      </c>
      <c r="E6" s="10" t="s">
        <v>351</v>
      </c>
      <c r="F6" s="10" t="s">
        <v>1388</v>
      </c>
      <c r="G6" s="10" t="s">
        <v>1389</v>
      </c>
      <c r="H6" s="10" t="s">
        <v>577</v>
      </c>
      <c r="I6" s="15">
        <v>1</v>
      </c>
      <c r="J6" s="10" t="s">
        <v>201</v>
      </c>
      <c r="K6" s="10" t="s">
        <v>1390</v>
      </c>
      <c r="L6" s="10" t="s">
        <v>1391</v>
      </c>
      <c r="M6" s="10" t="s">
        <v>1392</v>
      </c>
      <c r="N6" s="10" t="s">
        <v>1393</v>
      </c>
      <c r="O6" s="10" t="s">
        <v>548</v>
      </c>
      <c r="P6" s="10" t="s">
        <v>570</v>
      </c>
      <c r="Q6" s="10" t="s">
        <v>1394</v>
      </c>
      <c r="R6" s="10" t="s">
        <v>1395</v>
      </c>
      <c r="S6" s="10" t="s">
        <v>15</v>
      </c>
      <c r="T6" s="10" t="s">
        <v>1396</v>
      </c>
      <c r="U6" s="29" t="s">
        <v>1397</v>
      </c>
    </row>
    <row r="7" spans="1:21" ht="96.6">
      <c r="A7" s="11" t="s">
        <v>210</v>
      </c>
      <c r="B7" s="11" t="s">
        <v>10</v>
      </c>
      <c r="C7" s="11">
        <v>2</v>
      </c>
      <c r="D7" s="11" t="s">
        <v>914</v>
      </c>
      <c r="E7" s="11" t="s">
        <v>552</v>
      </c>
      <c r="F7" s="11" t="s">
        <v>1398</v>
      </c>
      <c r="G7" s="11" t="s">
        <v>1399</v>
      </c>
      <c r="H7" s="11" t="s">
        <v>1400</v>
      </c>
      <c r="I7" s="16">
        <v>0.5</v>
      </c>
      <c r="J7" s="11" t="s">
        <v>206</v>
      </c>
      <c r="K7" s="11" t="s">
        <v>1394</v>
      </c>
      <c r="L7" s="11" t="s">
        <v>1401</v>
      </c>
      <c r="M7" s="11" t="s">
        <v>554</v>
      </c>
      <c r="N7" s="11" t="s">
        <v>1402</v>
      </c>
      <c r="O7" s="11" t="s">
        <v>556</v>
      </c>
      <c r="P7" s="11" t="s">
        <v>669</v>
      </c>
      <c r="Q7" s="11" t="s">
        <v>205</v>
      </c>
      <c r="R7" s="11" t="s">
        <v>1403</v>
      </c>
      <c r="S7" s="11" t="s">
        <v>15</v>
      </c>
      <c r="T7" s="11" t="s">
        <v>1404</v>
      </c>
      <c r="U7" s="29" t="s">
        <v>1405</v>
      </c>
    </row>
    <row r="8" spans="1:21" ht="110.4">
      <c r="A8" s="11" t="s">
        <v>1406</v>
      </c>
      <c r="B8" s="11" t="s">
        <v>10</v>
      </c>
      <c r="C8" s="11">
        <v>3</v>
      </c>
      <c r="D8" s="11" t="s">
        <v>914</v>
      </c>
      <c r="E8" s="11" t="s">
        <v>1407</v>
      </c>
      <c r="F8" s="11" t="s">
        <v>1408</v>
      </c>
      <c r="G8" s="11" t="s">
        <v>1409</v>
      </c>
      <c r="H8" s="11" t="s">
        <v>1410</v>
      </c>
      <c r="I8" s="16">
        <v>1.5</v>
      </c>
      <c r="J8" s="11" t="s">
        <v>211</v>
      </c>
      <c r="K8" s="11" t="s">
        <v>732</v>
      </c>
      <c r="L8" s="11" t="s">
        <v>1411</v>
      </c>
      <c r="M8" s="11" t="s">
        <v>1412</v>
      </c>
      <c r="N8" s="11" t="s">
        <v>1413</v>
      </c>
      <c r="O8" s="11" t="s">
        <v>1414</v>
      </c>
      <c r="P8" s="11" t="s">
        <v>669</v>
      </c>
      <c r="Q8" s="11" t="s">
        <v>210</v>
      </c>
      <c r="R8" s="11" t="s">
        <v>1415</v>
      </c>
      <c r="S8" s="11" t="s">
        <v>15</v>
      </c>
      <c r="T8" s="11" t="s">
        <v>1416</v>
      </c>
      <c r="U8" s="29" t="s">
        <v>1417</v>
      </c>
    </row>
    <row r="9" spans="1:21" ht="110.4">
      <c r="A9" s="11" t="s">
        <v>1418</v>
      </c>
      <c r="B9" s="11" t="s">
        <v>10</v>
      </c>
      <c r="C9" s="11">
        <v>4</v>
      </c>
      <c r="D9" s="11" t="s">
        <v>914</v>
      </c>
      <c r="E9" s="11" t="s">
        <v>1419</v>
      </c>
      <c r="F9" s="11" t="s">
        <v>1420</v>
      </c>
      <c r="G9" s="11" t="s">
        <v>1421</v>
      </c>
      <c r="H9" s="11" t="s">
        <v>1410</v>
      </c>
      <c r="I9" s="16">
        <v>1</v>
      </c>
      <c r="J9" s="11" t="s">
        <v>211</v>
      </c>
      <c r="K9" s="11" t="s">
        <v>1422</v>
      </c>
      <c r="L9" s="11" t="s">
        <v>1423</v>
      </c>
      <c r="M9" s="11" t="s">
        <v>372</v>
      </c>
      <c r="N9" s="11" t="s">
        <v>1424</v>
      </c>
      <c r="O9" s="11" t="s">
        <v>374</v>
      </c>
      <c r="P9" s="11" t="s">
        <v>669</v>
      </c>
      <c r="Q9" s="11" t="s">
        <v>1406</v>
      </c>
      <c r="R9" s="11" t="s">
        <v>1425</v>
      </c>
      <c r="S9" s="11" t="s">
        <v>15</v>
      </c>
      <c r="T9" s="11" t="s">
        <v>1416</v>
      </c>
      <c r="U9" s="29" t="s">
        <v>1426</v>
      </c>
    </row>
    <row r="10" spans="1:21" ht="110.4">
      <c r="A10" s="11" t="s">
        <v>220</v>
      </c>
      <c r="B10" s="11" t="s">
        <v>10</v>
      </c>
      <c r="C10" s="11">
        <v>5</v>
      </c>
      <c r="D10" s="11" t="s">
        <v>914</v>
      </c>
      <c r="E10" s="11" t="s">
        <v>1427</v>
      </c>
      <c r="F10" s="11" t="s">
        <v>1428</v>
      </c>
      <c r="G10" s="11" t="s">
        <v>1429</v>
      </c>
      <c r="H10" s="11" t="s">
        <v>1410</v>
      </c>
      <c r="I10" s="16">
        <v>1.5</v>
      </c>
      <c r="J10" s="11" t="s">
        <v>216</v>
      </c>
      <c r="K10" s="11" t="s">
        <v>1430</v>
      </c>
      <c r="L10" s="11" t="s">
        <v>1431</v>
      </c>
      <c r="M10" s="11" t="s">
        <v>1432</v>
      </c>
      <c r="N10" s="11" t="s">
        <v>1433</v>
      </c>
      <c r="O10" s="11" t="s">
        <v>365</v>
      </c>
      <c r="P10" s="11" t="s">
        <v>81</v>
      </c>
      <c r="Q10" s="11" t="s">
        <v>1406</v>
      </c>
      <c r="R10" s="11" t="s">
        <v>1434</v>
      </c>
      <c r="S10" s="11" t="s">
        <v>15</v>
      </c>
      <c r="T10" s="11" t="s">
        <v>1416</v>
      </c>
      <c r="U10" s="29" t="s">
        <v>1435</v>
      </c>
    </row>
    <row r="11" spans="1:21" ht="96.6">
      <c r="A11" s="11" t="s">
        <v>1436</v>
      </c>
      <c r="B11" s="11" t="s">
        <v>10</v>
      </c>
      <c r="C11" s="11">
        <v>6</v>
      </c>
      <c r="D11" s="11" t="s">
        <v>914</v>
      </c>
      <c r="E11" s="11" t="s">
        <v>1437</v>
      </c>
      <c r="F11" s="11" t="s">
        <v>1438</v>
      </c>
      <c r="G11" s="11" t="s">
        <v>1439</v>
      </c>
      <c r="H11" s="11" t="s">
        <v>1410</v>
      </c>
      <c r="I11" s="16">
        <v>1.25</v>
      </c>
      <c r="J11" s="11" t="s">
        <v>221</v>
      </c>
      <c r="K11" s="11" t="s">
        <v>1394</v>
      </c>
      <c r="L11" s="11" t="s">
        <v>1440</v>
      </c>
      <c r="M11" s="11" t="s">
        <v>1441</v>
      </c>
      <c r="N11" s="11" t="s">
        <v>1442</v>
      </c>
      <c r="O11" s="11" t="s">
        <v>1443</v>
      </c>
      <c r="P11" s="11" t="s">
        <v>676</v>
      </c>
      <c r="Q11" s="11" t="s">
        <v>1444</v>
      </c>
      <c r="R11" s="11" t="s">
        <v>1445</v>
      </c>
      <c r="S11" s="11" t="s">
        <v>15</v>
      </c>
      <c r="T11" s="11" t="s">
        <v>1416</v>
      </c>
      <c r="U11" s="29" t="s">
        <v>1446</v>
      </c>
    </row>
    <row r="12" spans="1:21" ht="110.4">
      <c r="A12" s="11" t="s">
        <v>1447</v>
      </c>
      <c r="B12" s="11" t="s">
        <v>10</v>
      </c>
      <c r="C12" s="11">
        <v>7</v>
      </c>
      <c r="D12" s="11" t="s">
        <v>914</v>
      </c>
      <c r="E12" s="11" t="s">
        <v>1448</v>
      </c>
      <c r="F12" s="11" t="s">
        <v>1449</v>
      </c>
      <c r="G12" s="11" t="s">
        <v>1450</v>
      </c>
      <c r="H12" s="11" t="s">
        <v>1410</v>
      </c>
      <c r="I12" s="16">
        <v>1</v>
      </c>
      <c r="J12" s="11" t="s">
        <v>211</v>
      </c>
      <c r="K12" s="11" t="s">
        <v>1394</v>
      </c>
      <c r="L12" s="11" t="s">
        <v>1451</v>
      </c>
      <c r="M12" s="11" t="s">
        <v>1452</v>
      </c>
      <c r="N12" s="11" t="s">
        <v>1453</v>
      </c>
      <c r="O12" s="11" t="s">
        <v>1454</v>
      </c>
      <c r="P12" s="11" t="s">
        <v>1455</v>
      </c>
      <c r="Q12" s="11" t="s">
        <v>1406</v>
      </c>
      <c r="R12" s="11" t="s">
        <v>1456</v>
      </c>
      <c r="S12" s="11" t="s">
        <v>15</v>
      </c>
      <c r="T12" s="11" t="s">
        <v>1416</v>
      </c>
      <c r="U12" s="29" t="s">
        <v>1457</v>
      </c>
    </row>
    <row r="13" spans="1:21" ht="110.4">
      <c r="A13" s="11" t="s">
        <v>1458</v>
      </c>
      <c r="B13" s="11" t="s">
        <v>10</v>
      </c>
      <c r="C13" s="11">
        <v>8</v>
      </c>
      <c r="D13" s="11" t="s">
        <v>914</v>
      </c>
      <c r="E13" s="11" t="s">
        <v>752</v>
      </c>
      <c r="F13" s="11" t="s">
        <v>1459</v>
      </c>
      <c r="G13" s="11" t="s">
        <v>1460</v>
      </c>
      <c r="H13" s="11" t="s">
        <v>1410</v>
      </c>
      <c r="I13" s="16">
        <v>1</v>
      </c>
      <c r="J13" s="11" t="s">
        <v>221</v>
      </c>
      <c r="K13" s="11" t="s">
        <v>751</v>
      </c>
      <c r="L13" s="11" t="s">
        <v>1461</v>
      </c>
      <c r="M13" s="11" t="s">
        <v>379</v>
      </c>
      <c r="N13" s="11" t="s">
        <v>1462</v>
      </c>
      <c r="O13" s="11" t="s">
        <v>381</v>
      </c>
      <c r="P13" s="11" t="s">
        <v>676</v>
      </c>
      <c r="Q13" s="11" t="s">
        <v>220</v>
      </c>
      <c r="R13" s="11" t="s">
        <v>1463</v>
      </c>
      <c r="S13" s="11" t="s">
        <v>15</v>
      </c>
      <c r="T13" s="11" t="s">
        <v>1416</v>
      </c>
      <c r="U13" s="29" t="s">
        <v>1464</v>
      </c>
    </row>
    <row r="14" spans="1:21" ht="125.4">
      <c r="A14" s="11" t="s">
        <v>1465</v>
      </c>
      <c r="B14" s="11" t="s">
        <v>10</v>
      </c>
      <c r="C14" s="11">
        <v>9</v>
      </c>
      <c r="D14" s="11" t="s">
        <v>914</v>
      </c>
      <c r="E14" s="11" t="s">
        <v>1466</v>
      </c>
      <c r="F14" s="11" t="s">
        <v>1467</v>
      </c>
      <c r="G14" s="11" t="s">
        <v>1468</v>
      </c>
      <c r="H14" s="11" t="s">
        <v>1410</v>
      </c>
      <c r="I14" s="16">
        <v>1.25</v>
      </c>
      <c r="J14" s="11" t="s">
        <v>226</v>
      </c>
      <c r="K14" s="11" t="s">
        <v>1469</v>
      </c>
      <c r="L14" s="11" t="s">
        <v>1470</v>
      </c>
      <c r="M14" s="11" t="s">
        <v>1471</v>
      </c>
      <c r="N14" s="11" t="s">
        <v>1472</v>
      </c>
      <c r="O14" s="11" t="s">
        <v>1473</v>
      </c>
      <c r="P14" s="11" t="s">
        <v>621</v>
      </c>
      <c r="Q14" s="11" t="s">
        <v>1406</v>
      </c>
      <c r="R14" s="11" t="s">
        <v>1474</v>
      </c>
      <c r="S14" s="11" t="s">
        <v>15</v>
      </c>
      <c r="T14" s="11" t="s">
        <v>1475</v>
      </c>
      <c r="U14" s="29" t="s">
        <v>1476</v>
      </c>
    </row>
    <row r="15" spans="1:21" ht="125.4">
      <c r="A15" s="11" t="s">
        <v>1477</v>
      </c>
      <c r="B15" s="11" t="s">
        <v>10</v>
      </c>
      <c r="C15" s="11">
        <v>10</v>
      </c>
      <c r="D15" s="11" t="s">
        <v>914</v>
      </c>
      <c r="E15" s="11" t="s">
        <v>1478</v>
      </c>
      <c r="F15" s="11" t="s">
        <v>1479</v>
      </c>
      <c r="G15" s="11" t="s">
        <v>1480</v>
      </c>
      <c r="H15" s="11" t="s">
        <v>1410</v>
      </c>
      <c r="I15" s="16">
        <v>1.5</v>
      </c>
      <c r="J15" s="11" t="s">
        <v>226</v>
      </c>
      <c r="K15" s="11" t="s">
        <v>1481</v>
      </c>
      <c r="L15" s="11" t="s">
        <v>1482</v>
      </c>
      <c r="M15" s="11" t="s">
        <v>1483</v>
      </c>
      <c r="N15" s="11" t="s">
        <v>1484</v>
      </c>
      <c r="O15" s="11" t="s">
        <v>1485</v>
      </c>
      <c r="P15" s="11" t="s">
        <v>1486</v>
      </c>
      <c r="Q15" s="11" t="s">
        <v>1465</v>
      </c>
      <c r="R15" s="11" t="s">
        <v>1487</v>
      </c>
      <c r="S15" s="11" t="s">
        <v>15</v>
      </c>
      <c r="T15" s="11" t="s">
        <v>1475</v>
      </c>
      <c r="U15" s="29" t="s">
        <v>1488</v>
      </c>
    </row>
    <row r="16" spans="1:21" ht="125.4">
      <c r="A16" s="11" t="s">
        <v>1489</v>
      </c>
      <c r="B16" s="11" t="s">
        <v>10</v>
      </c>
      <c r="C16" s="11">
        <v>11</v>
      </c>
      <c r="D16" s="11" t="s">
        <v>914</v>
      </c>
      <c r="E16" s="11" t="s">
        <v>1490</v>
      </c>
      <c r="F16" s="11" t="s">
        <v>1491</v>
      </c>
      <c r="G16" s="11" t="s">
        <v>1492</v>
      </c>
      <c r="H16" s="11" t="s">
        <v>1410</v>
      </c>
      <c r="I16" s="16">
        <v>1</v>
      </c>
      <c r="J16" s="11" t="s">
        <v>226</v>
      </c>
      <c r="K16" s="11" t="s">
        <v>1493</v>
      </c>
      <c r="L16" s="11" t="s">
        <v>1494</v>
      </c>
      <c r="M16" s="11" t="s">
        <v>387</v>
      </c>
      <c r="N16" s="11" t="s">
        <v>1495</v>
      </c>
      <c r="O16" s="11" t="s">
        <v>389</v>
      </c>
      <c r="P16" s="11" t="s">
        <v>1496</v>
      </c>
      <c r="Q16" s="11" t="s">
        <v>1477</v>
      </c>
      <c r="R16" s="11" t="s">
        <v>1497</v>
      </c>
      <c r="S16" s="11" t="s">
        <v>15</v>
      </c>
      <c r="T16" s="11" t="s">
        <v>1475</v>
      </c>
      <c r="U16" s="29" t="s">
        <v>1498</v>
      </c>
    </row>
    <row r="17" spans="1:21" ht="96.6">
      <c r="A17" s="11" t="s">
        <v>1499</v>
      </c>
      <c r="B17" s="11" t="s">
        <v>10</v>
      </c>
      <c r="C17" s="11">
        <v>12</v>
      </c>
      <c r="D17" s="11" t="s">
        <v>914</v>
      </c>
      <c r="E17" s="11" t="s">
        <v>1500</v>
      </c>
      <c r="F17" s="11" t="s">
        <v>1501</v>
      </c>
      <c r="G17" s="11" t="s">
        <v>1502</v>
      </c>
      <c r="H17" s="11" t="s">
        <v>577</v>
      </c>
      <c r="I17" s="16">
        <v>1</v>
      </c>
      <c r="J17" s="11" t="s">
        <v>328</v>
      </c>
      <c r="K17" s="11" t="s">
        <v>1503</v>
      </c>
      <c r="L17" s="11" t="s">
        <v>1504</v>
      </c>
      <c r="M17" s="11" t="s">
        <v>1505</v>
      </c>
      <c r="N17" s="11" t="s">
        <v>1506</v>
      </c>
      <c r="O17" s="11" t="s">
        <v>1507</v>
      </c>
      <c r="P17" s="11" t="s">
        <v>669</v>
      </c>
      <c r="Q17" s="11" t="s">
        <v>1508</v>
      </c>
      <c r="R17" s="11" t="s">
        <v>1509</v>
      </c>
      <c r="S17" s="11" t="s">
        <v>15</v>
      </c>
      <c r="T17" s="11" t="s">
        <v>1510</v>
      </c>
      <c r="U17" s="29" t="s">
        <v>1511</v>
      </c>
    </row>
    <row r="18" spans="1:21" ht="69" hidden="1">
      <c r="A18" s="11" t="s">
        <v>1512</v>
      </c>
      <c r="B18" s="11" t="s">
        <v>10</v>
      </c>
      <c r="C18" s="11">
        <v>13</v>
      </c>
      <c r="D18" s="11" t="s">
        <v>914</v>
      </c>
      <c r="E18" s="11" t="s">
        <v>1513</v>
      </c>
      <c r="F18" s="11" t="s">
        <v>1514</v>
      </c>
      <c r="G18" s="11" t="s">
        <v>1515</v>
      </c>
      <c r="H18" s="11" t="s">
        <v>1400</v>
      </c>
      <c r="I18" s="16">
        <v>1</v>
      </c>
      <c r="J18" s="11" t="s">
        <v>1516</v>
      </c>
      <c r="K18" s="11" t="s">
        <v>1394</v>
      </c>
      <c r="L18" s="11" t="s">
        <v>1517</v>
      </c>
      <c r="M18" s="11" t="s">
        <v>1518</v>
      </c>
      <c r="N18" s="11" t="s">
        <v>1519</v>
      </c>
      <c r="O18" s="11" t="s">
        <v>1520</v>
      </c>
      <c r="P18" s="11" t="s">
        <v>1521</v>
      </c>
      <c r="Q18" s="11" t="s">
        <v>1499</v>
      </c>
      <c r="R18" s="11" t="s">
        <v>1522</v>
      </c>
      <c r="S18" s="11" t="s">
        <v>711</v>
      </c>
      <c r="T18" s="11" t="s">
        <v>1523</v>
      </c>
      <c r="U18" s="29" t="s">
        <v>1524</v>
      </c>
    </row>
    <row r="19" spans="1:21" ht="110.4" hidden="1">
      <c r="A19" s="11" t="s">
        <v>1525</v>
      </c>
      <c r="B19" s="11" t="s">
        <v>25</v>
      </c>
      <c r="C19" s="11">
        <v>1</v>
      </c>
      <c r="D19" s="11" t="s">
        <v>914</v>
      </c>
      <c r="E19" s="11" t="s">
        <v>1526</v>
      </c>
      <c r="F19" s="11" t="s">
        <v>1527</v>
      </c>
      <c r="G19" s="11" t="s">
        <v>1528</v>
      </c>
      <c r="H19" s="11" t="s">
        <v>1410</v>
      </c>
      <c r="I19" s="16">
        <v>1</v>
      </c>
      <c r="J19" s="11" t="s">
        <v>231</v>
      </c>
      <c r="K19" s="11" t="s">
        <v>1529</v>
      </c>
      <c r="L19" s="11" t="s">
        <v>1530</v>
      </c>
      <c r="M19" s="11" t="s">
        <v>394</v>
      </c>
      <c r="N19" s="11" t="s">
        <v>1531</v>
      </c>
      <c r="O19" s="11" t="s">
        <v>1532</v>
      </c>
      <c r="P19" s="11" t="s">
        <v>81</v>
      </c>
      <c r="Q19" s="11" t="s">
        <v>1512</v>
      </c>
      <c r="R19" s="11" t="s">
        <v>1533</v>
      </c>
      <c r="S19" s="11" t="s">
        <v>711</v>
      </c>
      <c r="T19" s="11"/>
      <c r="U19" s="29" t="s">
        <v>1534</v>
      </c>
    </row>
    <row r="20" spans="1:21" ht="110.4" hidden="1">
      <c r="A20" s="11" t="s">
        <v>1535</v>
      </c>
      <c r="B20" s="11" t="s">
        <v>25</v>
      </c>
      <c r="C20" s="11">
        <v>2</v>
      </c>
      <c r="D20" s="11" t="s">
        <v>914</v>
      </c>
      <c r="E20" s="11" t="s">
        <v>1536</v>
      </c>
      <c r="F20" s="11" t="s">
        <v>1537</v>
      </c>
      <c r="G20" s="11" t="s">
        <v>1538</v>
      </c>
      <c r="H20" s="11" t="s">
        <v>1410</v>
      </c>
      <c r="I20" s="16">
        <v>1.25</v>
      </c>
      <c r="J20" s="11" t="s">
        <v>231</v>
      </c>
      <c r="K20" s="11" t="s">
        <v>1394</v>
      </c>
      <c r="L20" s="11" t="s">
        <v>1539</v>
      </c>
      <c r="M20" s="11" t="s">
        <v>1540</v>
      </c>
      <c r="N20" s="11" t="s">
        <v>1541</v>
      </c>
      <c r="O20" s="11" t="s">
        <v>1542</v>
      </c>
      <c r="P20" s="11" t="s">
        <v>113</v>
      </c>
      <c r="Q20" s="11" t="s">
        <v>1525</v>
      </c>
      <c r="R20" s="11" t="s">
        <v>1543</v>
      </c>
      <c r="S20" s="11" t="s">
        <v>711</v>
      </c>
      <c r="T20" s="11"/>
      <c r="U20" s="29" t="s">
        <v>1544</v>
      </c>
    </row>
    <row r="21" spans="1:21" ht="110.4" hidden="1">
      <c r="A21" s="11" t="s">
        <v>1545</v>
      </c>
      <c r="B21" s="11" t="s">
        <v>25</v>
      </c>
      <c r="C21" s="11">
        <v>3</v>
      </c>
      <c r="D21" s="11" t="s">
        <v>914</v>
      </c>
      <c r="E21" s="11" t="s">
        <v>1546</v>
      </c>
      <c r="F21" s="11" t="s">
        <v>1547</v>
      </c>
      <c r="G21" s="11" t="s">
        <v>1548</v>
      </c>
      <c r="H21" s="11" t="s">
        <v>1410</v>
      </c>
      <c r="I21" s="16">
        <v>1</v>
      </c>
      <c r="J21" s="11" t="s">
        <v>231</v>
      </c>
      <c r="K21" s="11" t="s">
        <v>1394</v>
      </c>
      <c r="L21" s="11" t="s">
        <v>1549</v>
      </c>
      <c r="M21" s="11" t="s">
        <v>1550</v>
      </c>
      <c r="N21" s="11" t="s">
        <v>1551</v>
      </c>
      <c r="O21" s="11" t="s">
        <v>1552</v>
      </c>
      <c r="P21" s="11" t="s">
        <v>87</v>
      </c>
      <c r="Q21" s="11" t="s">
        <v>1499</v>
      </c>
      <c r="R21" s="11" t="s">
        <v>1553</v>
      </c>
      <c r="S21" s="11" t="s">
        <v>711</v>
      </c>
      <c r="T21" s="11"/>
      <c r="U21" s="29" t="s">
        <v>1554</v>
      </c>
    </row>
    <row r="22" spans="1:21" ht="110.4" hidden="1">
      <c r="A22" s="11" t="s">
        <v>1555</v>
      </c>
      <c r="B22" s="11" t="s">
        <v>25</v>
      </c>
      <c r="C22" s="11">
        <v>4</v>
      </c>
      <c r="D22" s="11" t="s">
        <v>914</v>
      </c>
      <c r="E22" s="11" t="s">
        <v>1556</v>
      </c>
      <c r="F22" s="11" t="s">
        <v>1557</v>
      </c>
      <c r="G22" s="11" t="s">
        <v>1558</v>
      </c>
      <c r="H22" s="11" t="s">
        <v>1410</v>
      </c>
      <c r="I22" s="16">
        <v>1.5</v>
      </c>
      <c r="J22" s="11" t="s">
        <v>231</v>
      </c>
      <c r="K22" s="11" t="s">
        <v>1559</v>
      </c>
      <c r="L22" s="11" t="s">
        <v>1560</v>
      </c>
      <c r="M22" s="11" t="s">
        <v>1561</v>
      </c>
      <c r="N22" s="11" t="s">
        <v>1562</v>
      </c>
      <c r="O22" s="11" t="s">
        <v>1563</v>
      </c>
      <c r="P22" s="11" t="s">
        <v>87</v>
      </c>
      <c r="Q22" s="11" t="s">
        <v>1564</v>
      </c>
      <c r="R22" s="11" t="s">
        <v>1565</v>
      </c>
      <c r="S22" s="11" t="s">
        <v>711</v>
      </c>
      <c r="T22" s="11"/>
      <c r="U22" s="29" t="s">
        <v>1566</v>
      </c>
    </row>
    <row r="23" spans="1:21" ht="110.4" hidden="1">
      <c r="A23" s="11" t="s">
        <v>236</v>
      </c>
      <c r="B23" s="11" t="s">
        <v>25</v>
      </c>
      <c r="C23" s="11">
        <v>5</v>
      </c>
      <c r="D23" s="11" t="s">
        <v>914</v>
      </c>
      <c r="E23" s="11" t="s">
        <v>1013</v>
      </c>
      <c r="F23" s="11" t="s">
        <v>1567</v>
      </c>
      <c r="G23" s="11" t="s">
        <v>1568</v>
      </c>
      <c r="H23" s="11" t="s">
        <v>1410</v>
      </c>
      <c r="I23" s="16">
        <v>1.25</v>
      </c>
      <c r="J23" s="11" t="s">
        <v>232</v>
      </c>
      <c r="K23" s="11" t="s">
        <v>746</v>
      </c>
      <c r="L23" s="11" t="s">
        <v>1569</v>
      </c>
      <c r="M23" s="11" t="s">
        <v>406</v>
      </c>
      <c r="N23" s="11" t="s">
        <v>1570</v>
      </c>
      <c r="O23" s="11" t="s">
        <v>1571</v>
      </c>
      <c r="P23" s="11" t="s">
        <v>81</v>
      </c>
      <c r="Q23" s="11" t="s">
        <v>1525</v>
      </c>
      <c r="R23" s="11" t="s">
        <v>1572</v>
      </c>
      <c r="S23" s="11" t="s">
        <v>711</v>
      </c>
      <c r="T23" s="11"/>
      <c r="U23" s="29" t="s">
        <v>1573</v>
      </c>
    </row>
    <row r="24" spans="1:21" ht="110.4" hidden="1">
      <c r="A24" s="11" t="s">
        <v>1574</v>
      </c>
      <c r="B24" s="11" t="s">
        <v>25</v>
      </c>
      <c r="C24" s="11">
        <v>6</v>
      </c>
      <c r="D24" s="11" t="s">
        <v>914</v>
      </c>
      <c r="E24" s="11" t="s">
        <v>1232</v>
      </c>
      <c r="F24" s="11" t="s">
        <v>1575</v>
      </c>
      <c r="G24" s="11" t="s">
        <v>1576</v>
      </c>
      <c r="H24" s="11" t="s">
        <v>1410</v>
      </c>
      <c r="I24" s="16">
        <v>1.5</v>
      </c>
      <c r="J24" s="11" t="s">
        <v>237</v>
      </c>
      <c r="K24" s="11" t="s">
        <v>1577</v>
      </c>
      <c r="L24" s="11" t="s">
        <v>1578</v>
      </c>
      <c r="M24" s="11" t="s">
        <v>1579</v>
      </c>
      <c r="N24" s="11" t="s">
        <v>1580</v>
      </c>
      <c r="O24" s="11" t="s">
        <v>1581</v>
      </c>
      <c r="P24" s="11" t="s">
        <v>676</v>
      </c>
      <c r="Q24" s="11" t="s">
        <v>1582</v>
      </c>
      <c r="R24" s="11" t="s">
        <v>1583</v>
      </c>
      <c r="S24" s="11" t="s">
        <v>711</v>
      </c>
      <c r="T24" s="11"/>
      <c r="U24" s="29" t="s">
        <v>1584</v>
      </c>
    </row>
    <row r="25" spans="1:21" ht="96.6" hidden="1">
      <c r="A25" s="11" t="s">
        <v>1585</v>
      </c>
      <c r="B25" s="11" t="s">
        <v>25</v>
      </c>
      <c r="C25" s="11">
        <v>7</v>
      </c>
      <c r="D25" s="11" t="s">
        <v>914</v>
      </c>
      <c r="E25" s="11" t="s">
        <v>714</v>
      </c>
      <c r="F25" s="11" t="s">
        <v>1586</v>
      </c>
      <c r="G25" s="11" t="s">
        <v>1587</v>
      </c>
      <c r="H25" s="11" t="s">
        <v>1410</v>
      </c>
      <c r="I25" s="16">
        <v>1</v>
      </c>
      <c r="J25" s="11" t="s">
        <v>237</v>
      </c>
      <c r="K25" s="11" t="s">
        <v>713</v>
      </c>
      <c r="L25" s="11" t="s">
        <v>1588</v>
      </c>
      <c r="M25" s="11" t="s">
        <v>1589</v>
      </c>
      <c r="N25" s="11" t="s">
        <v>1590</v>
      </c>
      <c r="O25" s="11" t="s">
        <v>1591</v>
      </c>
      <c r="P25" s="11" t="s">
        <v>106</v>
      </c>
      <c r="Q25" s="11" t="s">
        <v>1574</v>
      </c>
      <c r="R25" s="11" t="s">
        <v>1592</v>
      </c>
      <c r="S25" s="11" t="s">
        <v>711</v>
      </c>
      <c r="T25" s="11"/>
      <c r="U25" s="29" t="s">
        <v>1593</v>
      </c>
    </row>
    <row r="26" spans="1:21" ht="110.4" hidden="1">
      <c r="A26" s="11" t="s">
        <v>1594</v>
      </c>
      <c r="B26" s="11" t="s">
        <v>25</v>
      </c>
      <c r="C26" s="11">
        <v>8</v>
      </c>
      <c r="D26" s="11" t="s">
        <v>914</v>
      </c>
      <c r="E26" s="11" t="s">
        <v>1595</v>
      </c>
      <c r="F26" s="11" t="s">
        <v>1596</v>
      </c>
      <c r="G26" s="11" t="s">
        <v>1597</v>
      </c>
      <c r="H26" s="11" t="s">
        <v>1410</v>
      </c>
      <c r="I26" s="16">
        <v>1</v>
      </c>
      <c r="J26" s="11" t="s">
        <v>231</v>
      </c>
      <c r="K26" s="11" t="s">
        <v>748</v>
      </c>
      <c r="L26" s="11" t="s">
        <v>1598</v>
      </c>
      <c r="M26" s="11" t="s">
        <v>1599</v>
      </c>
      <c r="N26" s="11" t="s">
        <v>1600</v>
      </c>
      <c r="O26" s="11" t="s">
        <v>1601</v>
      </c>
      <c r="P26" s="11" t="s">
        <v>106</v>
      </c>
      <c r="Q26" s="11" t="s">
        <v>1555</v>
      </c>
      <c r="R26" s="11" t="s">
        <v>1602</v>
      </c>
      <c r="S26" s="11" t="s">
        <v>711</v>
      </c>
      <c r="T26" s="11"/>
      <c r="U26" s="29" t="s">
        <v>1603</v>
      </c>
    </row>
    <row r="27" spans="1:21" ht="110.4" hidden="1">
      <c r="A27" s="11" t="s">
        <v>1604</v>
      </c>
      <c r="B27" s="11" t="s">
        <v>25</v>
      </c>
      <c r="C27" s="11">
        <v>9</v>
      </c>
      <c r="D27" s="11" t="s">
        <v>914</v>
      </c>
      <c r="E27" s="11" t="s">
        <v>1605</v>
      </c>
      <c r="F27" s="11" t="s">
        <v>1606</v>
      </c>
      <c r="G27" s="11" t="s">
        <v>1607</v>
      </c>
      <c r="H27" s="11" t="s">
        <v>1400</v>
      </c>
      <c r="I27" s="16">
        <v>1</v>
      </c>
      <c r="J27" s="11" t="s">
        <v>242</v>
      </c>
      <c r="K27" s="11" t="s">
        <v>1608</v>
      </c>
      <c r="L27" s="11" t="s">
        <v>1609</v>
      </c>
      <c r="M27" s="11" t="s">
        <v>1610</v>
      </c>
      <c r="N27" s="11" t="s">
        <v>1611</v>
      </c>
      <c r="O27" s="11" t="s">
        <v>1612</v>
      </c>
      <c r="P27" s="11" t="s">
        <v>1613</v>
      </c>
      <c r="Q27" s="11" t="s">
        <v>1614</v>
      </c>
      <c r="R27" s="11" t="s">
        <v>1615</v>
      </c>
      <c r="S27" s="11" t="s">
        <v>711</v>
      </c>
      <c r="T27" s="11"/>
      <c r="U27" s="29" t="s">
        <v>1616</v>
      </c>
    </row>
    <row r="28" spans="1:21" ht="110.4" hidden="1">
      <c r="A28" s="11" t="s">
        <v>1617</v>
      </c>
      <c r="B28" s="11" t="s">
        <v>25</v>
      </c>
      <c r="C28" s="11">
        <v>10</v>
      </c>
      <c r="D28" s="11" t="s">
        <v>914</v>
      </c>
      <c r="E28" s="11" t="s">
        <v>1478</v>
      </c>
      <c r="F28" s="11" t="s">
        <v>1618</v>
      </c>
      <c r="G28" s="11" t="s">
        <v>1619</v>
      </c>
      <c r="H28" s="11" t="s">
        <v>1400</v>
      </c>
      <c r="I28" s="16">
        <v>1</v>
      </c>
      <c r="J28" s="11" t="s">
        <v>242</v>
      </c>
      <c r="K28" s="11" t="s">
        <v>781</v>
      </c>
      <c r="L28" s="11" t="s">
        <v>1620</v>
      </c>
      <c r="M28" s="11" t="s">
        <v>1621</v>
      </c>
      <c r="N28" s="11" t="s">
        <v>1622</v>
      </c>
      <c r="O28" s="11" t="s">
        <v>1623</v>
      </c>
      <c r="P28" s="11" t="s">
        <v>1624</v>
      </c>
      <c r="Q28" s="11" t="s">
        <v>1604</v>
      </c>
      <c r="R28" s="11" t="s">
        <v>1625</v>
      </c>
      <c r="S28" s="11" t="s">
        <v>711</v>
      </c>
      <c r="T28" s="11"/>
      <c r="U28" s="29" t="s">
        <v>1626</v>
      </c>
    </row>
    <row r="29" spans="1:21" ht="110.4" hidden="1">
      <c r="A29" s="11" t="s">
        <v>247</v>
      </c>
      <c r="B29" s="11" t="s">
        <v>25</v>
      </c>
      <c r="C29" s="11">
        <v>11</v>
      </c>
      <c r="D29" s="11" t="s">
        <v>954</v>
      </c>
      <c r="E29" s="11" t="s">
        <v>1627</v>
      </c>
      <c r="F29" s="11" t="s">
        <v>1628</v>
      </c>
      <c r="G29" s="11" t="s">
        <v>1629</v>
      </c>
      <c r="H29" s="11" t="s">
        <v>577</v>
      </c>
      <c r="I29" s="16">
        <v>0.75</v>
      </c>
      <c r="J29" s="11" t="s">
        <v>243</v>
      </c>
      <c r="K29" s="11" t="s">
        <v>1394</v>
      </c>
      <c r="L29" s="11" t="s">
        <v>1630</v>
      </c>
      <c r="M29" s="11" t="s">
        <v>1631</v>
      </c>
      <c r="N29" s="11" t="s">
        <v>1632</v>
      </c>
      <c r="O29" s="11" t="s">
        <v>1633</v>
      </c>
      <c r="P29" s="11" t="s">
        <v>1634</v>
      </c>
      <c r="Q29" s="11" t="s">
        <v>1604</v>
      </c>
      <c r="R29" s="11" t="s">
        <v>1635</v>
      </c>
      <c r="S29" s="11" t="s">
        <v>711</v>
      </c>
      <c r="T29" s="11"/>
      <c r="U29" s="29" t="s">
        <v>1636</v>
      </c>
    </row>
    <row r="30" spans="1:21" ht="96.6" hidden="1">
      <c r="A30" s="11" t="s">
        <v>1637</v>
      </c>
      <c r="B30" s="11" t="s">
        <v>25</v>
      </c>
      <c r="C30" s="11">
        <v>12</v>
      </c>
      <c r="D30" s="11" t="s">
        <v>914</v>
      </c>
      <c r="E30" s="11" t="s">
        <v>1500</v>
      </c>
      <c r="F30" s="11" t="s">
        <v>1638</v>
      </c>
      <c r="G30" s="11" t="s">
        <v>1639</v>
      </c>
      <c r="H30" s="11" t="s">
        <v>577</v>
      </c>
      <c r="I30" s="16">
        <v>0.75</v>
      </c>
      <c r="J30" s="11" t="s">
        <v>328</v>
      </c>
      <c r="K30" s="11" t="s">
        <v>1640</v>
      </c>
      <c r="L30" s="11" t="s">
        <v>1641</v>
      </c>
      <c r="M30" s="11" t="s">
        <v>1642</v>
      </c>
      <c r="N30" s="11" t="s">
        <v>1643</v>
      </c>
      <c r="O30" s="11" t="s">
        <v>1644</v>
      </c>
      <c r="P30" s="11" t="s">
        <v>669</v>
      </c>
      <c r="Q30" s="11" t="s">
        <v>1645</v>
      </c>
      <c r="R30" s="11" t="s">
        <v>1646</v>
      </c>
      <c r="S30" s="11" t="s">
        <v>711</v>
      </c>
      <c r="T30" s="11"/>
      <c r="U30" s="29" t="s">
        <v>1647</v>
      </c>
    </row>
    <row r="31" spans="1:21" ht="69" hidden="1">
      <c r="A31" s="11" t="s">
        <v>1648</v>
      </c>
      <c r="B31" s="11" t="s">
        <v>25</v>
      </c>
      <c r="C31" s="11">
        <v>13</v>
      </c>
      <c r="D31" s="11" t="s">
        <v>914</v>
      </c>
      <c r="E31" s="11" t="s">
        <v>1513</v>
      </c>
      <c r="F31" s="11" t="s">
        <v>1649</v>
      </c>
      <c r="G31" s="11" t="s">
        <v>1650</v>
      </c>
      <c r="H31" s="11" t="s">
        <v>1400</v>
      </c>
      <c r="I31" s="16">
        <v>1</v>
      </c>
      <c r="J31" s="11" t="s">
        <v>1516</v>
      </c>
      <c r="K31" s="11" t="s">
        <v>1394</v>
      </c>
      <c r="L31" s="11" t="s">
        <v>1651</v>
      </c>
      <c r="M31" s="11" t="s">
        <v>1518</v>
      </c>
      <c r="N31" s="11" t="s">
        <v>1519</v>
      </c>
      <c r="O31" s="11" t="s">
        <v>1652</v>
      </c>
      <c r="P31" s="11" t="s">
        <v>1634</v>
      </c>
      <c r="Q31" s="11" t="s">
        <v>1637</v>
      </c>
      <c r="R31" s="11" t="s">
        <v>1522</v>
      </c>
      <c r="S31" s="11" t="s">
        <v>711</v>
      </c>
      <c r="T31" s="11" t="s">
        <v>1653</v>
      </c>
      <c r="U31" s="29" t="s">
        <v>1654</v>
      </c>
    </row>
    <row r="32" spans="1:21" ht="110.4" hidden="1">
      <c r="A32" s="11" t="s">
        <v>1655</v>
      </c>
      <c r="B32" s="11" t="s">
        <v>26</v>
      </c>
      <c r="C32" s="11">
        <v>1</v>
      </c>
      <c r="D32" s="11" t="s">
        <v>914</v>
      </c>
      <c r="E32" s="11" t="s">
        <v>1656</v>
      </c>
      <c r="F32" s="11" t="s">
        <v>1657</v>
      </c>
      <c r="G32" s="11" t="s">
        <v>1658</v>
      </c>
      <c r="H32" s="11" t="s">
        <v>1410</v>
      </c>
      <c r="I32" s="16">
        <v>1</v>
      </c>
      <c r="J32" s="11" t="s">
        <v>248</v>
      </c>
      <c r="K32" s="11" t="s">
        <v>742</v>
      </c>
      <c r="L32" s="11" t="s">
        <v>1659</v>
      </c>
      <c r="M32" s="11" t="s">
        <v>1660</v>
      </c>
      <c r="N32" s="11" t="s">
        <v>1661</v>
      </c>
      <c r="O32" s="11" t="s">
        <v>1662</v>
      </c>
      <c r="P32" s="11" t="s">
        <v>1663</v>
      </c>
      <c r="Q32" s="11" t="s">
        <v>1648</v>
      </c>
      <c r="R32" s="11" t="s">
        <v>1664</v>
      </c>
      <c r="S32" s="11" t="s">
        <v>711</v>
      </c>
      <c r="T32" s="11"/>
      <c r="U32" s="29" t="s">
        <v>1665</v>
      </c>
    </row>
    <row r="33" spans="1:21" ht="110.4" hidden="1">
      <c r="A33" s="11" t="s">
        <v>1666</v>
      </c>
      <c r="B33" s="11" t="s">
        <v>26</v>
      </c>
      <c r="C33" s="11">
        <v>2</v>
      </c>
      <c r="D33" s="11" t="s">
        <v>914</v>
      </c>
      <c r="E33" s="11" t="s">
        <v>1667</v>
      </c>
      <c r="F33" s="11" t="s">
        <v>1668</v>
      </c>
      <c r="G33" s="11" t="s">
        <v>1669</v>
      </c>
      <c r="H33" s="11" t="s">
        <v>1410</v>
      </c>
      <c r="I33" s="16">
        <v>1.25</v>
      </c>
      <c r="J33" s="11" t="s">
        <v>248</v>
      </c>
      <c r="K33" s="11" t="s">
        <v>1670</v>
      </c>
      <c r="L33" s="11" t="s">
        <v>1671</v>
      </c>
      <c r="M33" s="11" t="s">
        <v>1672</v>
      </c>
      <c r="N33" s="11" t="s">
        <v>1673</v>
      </c>
      <c r="O33" s="11" t="s">
        <v>1674</v>
      </c>
      <c r="P33" s="11" t="s">
        <v>119</v>
      </c>
      <c r="Q33" s="11" t="s">
        <v>1655</v>
      </c>
      <c r="R33" s="11" t="s">
        <v>1675</v>
      </c>
      <c r="S33" s="11" t="s">
        <v>711</v>
      </c>
      <c r="T33" s="11"/>
      <c r="U33" s="29" t="s">
        <v>1676</v>
      </c>
    </row>
    <row r="34" spans="1:21" ht="96.6" hidden="1">
      <c r="A34" s="11" t="s">
        <v>1677</v>
      </c>
      <c r="B34" s="11" t="s">
        <v>26</v>
      </c>
      <c r="C34" s="11">
        <v>3</v>
      </c>
      <c r="D34" s="11" t="s">
        <v>914</v>
      </c>
      <c r="E34" s="11" t="s">
        <v>1678</v>
      </c>
      <c r="F34" s="11" t="s">
        <v>1679</v>
      </c>
      <c r="G34" s="11" t="s">
        <v>1680</v>
      </c>
      <c r="H34" s="11" t="s">
        <v>1410</v>
      </c>
      <c r="I34" s="16">
        <v>0.75</v>
      </c>
      <c r="J34" s="11" t="s">
        <v>248</v>
      </c>
      <c r="K34" s="11" t="s">
        <v>1394</v>
      </c>
      <c r="L34" s="11" t="s">
        <v>1681</v>
      </c>
      <c r="M34" s="11" t="s">
        <v>1682</v>
      </c>
      <c r="N34" s="11" t="s">
        <v>1683</v>
      </c>
      <c r="O34" s="11" t="s">
        <v>1684</v>
      </c>
      <c r="P34" s="11" t="s">
        <v>75</v>
      </c>
      <c r="Q34" s="11" t="s">
        <v>1655</v>
      </c>
      <c r="R34" s="11" t="s">
        <v>1685</v>
      </c>
      <c r="S34" s="11" t="s">
        <v>711</v>
      </c>
      <c r="T34" s="11"/>
      <c r="U34" s="29" t="s">
        <v>1686</v>
      </c>
    </row>
    <row r="35" spans="1:21" ht="110.4" hidden="1">
      <c r="A35" s="11" t="s">
        <v>1687</v>
      </c>
      <c r="B35" s="11" t="s">
        <v>26</v>
      </c>
      <c r="C35" s="11">
        <v>4</v>
      </c>
      <c r="D35" s="11" t="s">
        <v>914</v>
      </c>
      <c r="E35" s="11" t="s">
        <v>1688</v>
      </c>
      <c r="F35" s="11" t="s">
        <v>1689</v>
      </c>
      <c r="G35" s="11" t="s">
        <v>1690</v>
      </c>
      <c r="H35" s="11" t="s">
        <v>1410</v>
      </c>
      <c r="I35" s="16">
        <v>1.5</v>
      </c>
      <c r="J35" s="11" t="s">
        <v>248</v>
      </c>
      <c r="K35" s="11" t="s">
        <v>789</v>
      </c>
      <c r="L35" s="11" t="s">
        <v>1691</v>
      </c>
      <c r="M35" s="11" t="s">
        <v>426</v>
      </c>
      <c r="N35" s="11" t="s">
        <v>1692</v>
      </c>
      <c r="O35" s="11" t="s">
        <v>1693</v>
      </c>
      <c r="P35" s="11" t="s">
        <v>75</v>
      </c>
      <c r="Q35" s="11" t="s">
        <v>1694</v>
      </c>
      <c r="R35" s="11" t="s">
        <v>1695</v>
      </c>
      <c r="S35" s="11" t="s">
        <v>711</v>
      </c>
      <c r="T35" s="11"/>
      <c r="U35" s="29" t="s">
        <v>1696</v>
      </c>
    </row>
    <row r="36" spans="1:21" ht="110.4" hidden="1">
      <c r="A36" s="11" t="s">
        <v>1697</v>
      </c>
      <c r="B36" s="11" t="s">
        <v>26</v>
      </c>
      <c r="C36" s="11">
        <v>5</v>
      </c>
      <c r="D36" s="11" t="s">
        <v>914</v>
      </c>
      <c r="E36" s="11" t="s">
        <v>948</v>
      </c>
      <c r="F36" s="11" t="s">
        <v>1698</v>
      </c>
      <c r="G36" s="11" t="s">
        <v>1699</v>
      </c>
      <c r="H36" s="11" t="s">
        <v>1410</v>
      </c>
      <c r="I36" s="16">
        <v>1</v>
      </c>
      <c r="J36" s="11" t="s">
        <v>258</v>
      </c>
      <c r="K36" s="11" t="s">
        <v>1700</v>
      </c>
      <c r="L36" s="11" t="s">
        <v>1701</v>
      </c>
      <c r="M36" s="11" t="s">
        <v>1702</v>
      </c>
      <c r="N36" s="11" t="s">
        <v>1703</v>
      </c>
      <c r="O36" s="11" t="s">
        <v>1704</v>
      </c>
      <c r="P36" s="11" t="s">
        <v>106</v>
      </c>
      <c r="Q36" s="11" t="s">
        <v>1687</v>
      </c>
      <c r="R36" s="11" t="s">
        <v>1705</v>
      </c>
      <c r="S36" s="11" t="s">
        <v>711</v>
      </c>
      <c r="T36" s="11"/>
      <c r="U36" s="29" t="s">
        <v>1706</v>
      </c>
    </row>
    <row r="37" spans="1:21" ht="110.4" hidden="1">
      <c r="A37" s="11" t="s">
        <v>1707</v>
      </c>
      <c r="B37" s="11" t="s">
        <v>26</v>
      </c>
      <c r="C37" s="11">
        <v>6</v>
      </c>
      <c r="D37" s="11" t="s">
        <v>914</v>
      </c>
      <c r="E37" s="11" t="s">
        <v>1708</v>
      </c>
      <c r="F37" s="11" t="s">
        <v>1709</v>
      </c>
      <c r="G37" s="11" t="s">
        <v>1710</v>
      </c>
      <c r="H37" s="11" t="s">
        <v>577</v>
      </c>
      <c r="I37" s="16">
        <v>1.25</v>
      </c>
      <c r="J37" s="11" t="s">
        <v>253</v>
      </c>
      <c r="K37" s="11" t="s">
        <v>1711</v>
      </c>
      <c r="L37" s="11" t="s">
        <v>1712</v>
      </c>
      <c r="M37" s="11" t="s">
        <v>1713</v>
      </c>
      <c r="N37" s="11" t="s">
        <v>1714</v>
      </c>
      <c r="O37" s="11" t="s">
        <v>1715</v>
      </c>
      <c r="P37" s="11" t="s">
        <v>676</v>
      </c>
      <c r="Q37" s="11" t="s">
        <v>1604</v>
      </c>
      <c r="R37" s="11" t="s">
        <v>1716</v>
      </c>
      <c r="S37" s="11" t="s">
        <v>711</v>
      </c>
      <c r="T37" s="11"/>
      <c r="U37" s="29" t="s">
        <v>1717</v>
      </c>
    </row>
    <row r="38" spans="1:21" ht="110.4" hidden="1">
      <c r="A38" s="11" t="s">
        <v>1718</v>
      </c>
      <c r="B38" s="11" t="s">
        <v>26</v>
      </c>
      <c r="C38" s="11">
        <v>7</v>
      </c>
      <c r="D38" s="11" t="s">
        <v>914</v>
      </c>
      <c r="E38" s="11" t="s">
        <v>1719</v>
      </c>
      <c r="F38" s="11" t="s">
        <v>1720</v>
      </c>
      <c r="G38" s="11" t="s">
        <v>1721</v>
      </c>
      <c r="H38" s="11" t="s">
        <v>1410</v>
      </c>
      <c r="I38" s="16">
        <v>1.5</v>
      </c>
      <c r="J38" s="11" t="s">
        <v>253</v>
      </c>
      <c r="K38" s="11" t="s">
        <v>717</v>
      </c>
      <c r="L38" s="11" t="s">
        <v>1722</v>
      </c>
      <c r="M38" s="11" t="s">
        <v>1723</v>
      </c>
      <c r="N38" s="11" t="s">
        <v>1724</v>
      </c>
      <c r="O38" s="11" t="s">
        <v>439</v>
      </c>
      <c r="P38" s="11" t="s">
        <v>676</v>
      </c>
      <c r="Q38" s="11" t="s">
        <v>1725</v>
      </c>
      <c r="R38" s="11" t="s">
        <v>1726</v>
      </c>
      <c r="S38" s="11" t="s">
        <v>711</v>
      </c>
      <c r="T38" s="11"/>
      <c r="U38" s="29" t="s">
        <v>1727</v>
      </c>
    </row>
    <row r="39" spans="1:21" ht="110.4" hidden="1">
      <c r="A39" s="11" t="s">
        <v>1728</v>
      </c>
      <c r="B39" s="11" t="s">
        <v>26</v>
      </c>
      <c r="C39" s="11">
        <v>8</v>
      </c>
      <c r="D39" s="11" t="s">
        <v>914</v>
      </c>
      <c r="E39" s="11" t="s">
        <v>1729</v>
      </c>
      <c r="F39" s="11" t="s">
        <v>1730</v>
      </c>
      <c r="G39" s="11" t="s">
        <v>1731</v>
      </c>
      <c r="H39" s="11" t="s">
        <v>1410</v>
      </c>
      <c r="I39" s="16">
        <v>1</v>
      </c>
      <c r="J39" s="11" t="s">
        <v>258</v>
      </c>
      <c r="K39" s="11" t="s">
        <v>748</v>
      </c>
      <c r="L39" s="11" t="s">
        <v>1732</v>
      </c>
      <c r="M39" s="11" t="s">
        <v>431</v>
      </c>
      <c r="N39" s="11" t="s">
        <v>1733</v>
      </c>
      <c r="O39" s="11" t="s">
        <v>1734</v>
      </c>
      <c r="P39" s="11" t="s">
        <v>106</v>
      </c>
      <c r="Q39" s="11" t="s">
        <v>1697</v>
      </c>
      <c r="R39" s="11" t="s">
        <v>1735</v>
      </c>
      <c r="S39" s="11" t="s">
        <v>711</v>
      </c>
      <c r="T39" s="11"/>
      <c r="U39" s="29" t="s">
        <v>1736</v>
      </c>
    </row>
    <row r="40" spans="1:21" ht="110.4" hidden="1">
      <c r="A40" s="11" t="s">
        <v>1737</v>
      </c>
      <c r="B40" s="11" t="s">
        <v>26</v>
      </c>
      <c r="C40" s="11">
        <v>9</v>
      </c>
      <c r="D40" s="11" t="s">
        <v>914</v>
      </c>
      <c r="E40" s="11" t="s">
        <v>1285</v>
      </c>
      <c r="F40" s="11" t="s">
        <v>1738</v>
      </c>
      <c r="G40" s="11" t="s">
        <v>1739</v>
      </c>
      <c r="H40" s="11" t="s">
        <v>1410</v>
      </c>
      <c r="I40" s="16">
        <v>0.75</v>
      </c>
      <c r="J40" s="11" t="s">
        <v>278</v>
      </c>
      <c r="K40" s="11" t="s">
        <v>761</v>
      </c>
      <c r="L40" s="11" t="s">
        <v>1740</v>
      </c>
      <c r="M40" s="11" t="s">
        <v>1741</v>
      </c>
      <c r="N40" s="11" t="s">
        <v>1742</v>
      </c>
      <c r="O40" s="11" t="s">
        <v>1743</v>
      </c>
      <c r="P40" s="11" t="s">
        <v>167</v>
      </c>
      <c r="Q40" s="11" t="s">
        <v>1687</v>
      </c>
      <c r="R40" s="11" t="s">
        <v>1744</v>
      </c>
      <c r="S40" s="11" t="s">
        <v>711</v>
      </c>
      <c r="T40" s="11"/>
      <c r="U40" s="29" t="s">
        <v>1745</v>
      </c>
    </row>
    <row r="41" spans="1:21" ht="110.4" hidden="1">
      <c r="A41" s="11" t="s">
        <v>1746</v>
      </c>
      <c r="B41" s="11" t="s">
        <v>26</v>
      </c>
      <c r="C41" s="11">
        <v>10</v>
      </c>
      <c r="D41" s="11" t="s">
        <v>914</v>
      </c>
      <c r="E41" s="11" t="s">
        <v>1747</v>
      </c>
      <c r="F41" s="11" t="s">
        <v>1748</v>
      </c>
      <c r="G41" s="11" t="s">
        <v>1749</v>
      </c>
      <c r="H41" s="11" t="s">
        <v>1400</v>
      </c>
      <c r="I41" s="16">
        <v>0.75</v>
      </c>
      <c r="J41" s="11" t="s">
        <v>253</v>
      </c>
      <c r="K41" s="11" t="s">
        <v>765</v>
      </c>
      <c r="L41" s="11" t="s">
        <v>1750</v>
      </c>
      <c r="M41" s="11" t="s">
        <v>437</v>
      </c>
      <c r="N41" s="11" t="s">
        <v>1751</v>
      </c>
      <c r="O41" s="11" t="s">
        <v>1752</v>
      </c>
      <c r="P41" s="11" t="s">
        <v>676</v>
      </c>
      <c r="Q41" s="11" t="s">
        <v>1718</v>
      </c>
      <c r="R41" s="11" t="s">
        <v>1753</v>
      </c>
      <c r="S41" s="11" t="s">
        <v>711</v>
      </c>
      <c r="T41" s="11"/>
      <c r="U41" s="29" t="s">
        <v>1754</v>
      </c>
    </row>
    <row r="42" spans="1:21" ht="110.4" hidden="1">
      <c r="A42" s="11" t="s">
        <v>267</v>
      </c>
      <c r="B42" s="11" t="s">
        <v>26</v>
      </c>
      <c r="C42" s="11">
        <v>11</v>
      </c>
      <c r="D42" s="11" t="s">
        <v>914</v>
      </c>
      <c r="E42" s="11" t="s">
        <v>1755</v>
      </c>
      <c r="F42" s="11" t="s">
        <v>1756</v>
      </c>
      <c r="G42" s="11" t="s">
        <v>1757</v>
      </c>
      <c r="H42" s="11" t="s">
        <v>1400</v>
      </c>
      <c r="I42" s="16">
        <v>1</v>
      </c>
      <c r="J42" s="11" t="s">
        <v>263</v>
      </c>
      <c r="K42" s="11" t="s">
        <v>1394</v>
      </c>
      <c r="L42" s="11" t="s">
        <v>1758</v>
      </c>
      <c r="M42" s="11" t="s">
        <v>443</v>
      </c>
      <c r="N42" s="11" t="s">
        <v>1759</v>
      </c>
      <c r="O42" s="11" t="s">
        <v>445</v>
      </c>
      <c r="P42" s="11" t="s">
        <v>642</v>
      </c>
      <c r="Q42" s="11" t="s">
        <v>1746</v>
      </c>
      <c r="R42" s="11" t="s">
        <v>1760</v>
      </c>
      <c r="S42" s="11" t="s">
        <v>711</v>
      </c>
      <c r="T42" s="11"/>
      <c r="U42" s="29" t="s">
        <v>1761</v>
      </c>
    </row>
    <row r="43" spans="1:21" ht="96.6" hidden="1">
      <c r="A43" s="11" t="s">
        <v>1762</v>
      </c>
      <c r="B43" s="11" t="s">
        <v>26</v>
      </c>
      <c r="C43" s="11">
        <v>12</v>
      </c>
      <c r="D43" s="11" t="s">
        <v>914</v>
      </c>
      <c r="E43" s="11" t="s">
        <v>1500</v>
      </c>
      <c r="F43" s="11" t="s">
        <v>1763</v>
      </c>
      <c r="G43" s="11" t="s">
        <v>1764</v>
      </c>
      <c r="H43" s="11" t="s">
        <v>577</v>
      </c>
      <c r="I43" s="16">
        <v>0.75</v>
      </c>
      <c r="J43" s="11" t="s">
        <v>328</v>
      </c>
      <c r="K43" s="11" t="s">
        <v>757</v>
      </c>
      <c r="L43" s="11" t="s">
        <v>1765</v>
      </c>
      <c r="M43" s="11" t="s">
        <v>1766</v>
      </c>
      <c r="N43" s="11" t="s">
        <v>1767</v>
      </c>
      <c r="O43" s="11" t="s">
        <v>1768</v>
      </c>
      <c r="P43" s="11" t="s">
        <v>669</v>
      </c>
      <c r="Q43" s="11" t="s">
        <v>1769</v>
      </c>
      <c r="R43" s="11" t="s">
        <v>1770</v>
      </c>
      <c r="S43" s="11" t="s">
        <v>711</v>
      </c>
      <c r="T43" s="11"/>
      <c r="U43" s="29" t="s">
        <v>1771</v>
      </c>
    </row>
    <row r="44" spans="1:21" ht="69" hidden="1">
      <c r="A44" s="11" t="s">
        <v>1772</v>
      </c>
      <c r="B44" s="11" t="s">
        <v>26</v>
      </c>
      <c r="C44" s="11">
        <v>13</v>
      </c>
      <c r="D44" s="11" t="s">
        <v>914</v>
      </c>
      <c r="E44" s="11" t="s">
        <v>1513</v>
      </c>
      <c r="F44" s="11" t="s">
        <v>1773</v>
      </c>
      <c r="G44" s="11" t="s">
        <v>1774</v>
      </c>
      <c r="H44" s="11" t="s">
        <v>1400</v>
      </c>
      <c r="I44" s="16">
        <v>1</v>
      </c>
      <c r="J44" s="11" t="s">
        <v>1516</v>
      </c>
      <c r="K44" s="11" t="s">
        <v>1394</v>
      </c>
      <c r="L44" s="11" t="s">
        <v>1775</v>
      </c>
      <c r="M44" s="11" t="s">
        <v>1518</v>
      </c>
      <c r="N44" s="11" t="s">
        <v>1519</v>
      </c>
      <c r="O44" s="11" t="s">
        <v>1776</v>
      </c>
      <c r="P44" s="11" t="s">
        <v>1777</v>
      </c>
      <c r="Q44" s="11" t="s">
        <v>1762</v>
      </c>
      <c r="R44" s="11" t="s">
        <v>1522</v>
      </c>
      <c r="S44" s="11" t="s">
        <v>711</v>
      </c>
      <c r="T44" s="11" t="s">
        <v>1778</v>
      </c>
      <c r="U44" s="29" t="s">
        <v>1779</v>
      </c>
    </row>
    <row r="45" spans="1:21" ht="110.4" hidden="1">
      <c r="A45" s="11" t="s">
        <v>1780</v>
      </c>
      <c r="B45" s="11" t="s">
        <v>27</v>
      </c>
      <c r="C45" s="11">
        <v>1</v>
      </c>
      <c r="D45" s="11" t="s">
        <v>914</v>
      </c>
      <c r="E45" s="11" t="s">
        <v>1781</v>
      </c>
      <c r="F45" s="11" t="s">
        <v>1782</v>
      </c>
      <c r="G45" s="11" t="s">
        <v>1783</v>
      </c>
      <c r="H45" s="11" t="s">
        <v>1410</v>
      </c>
      <c r="I45" s="16">
        <v>1.5</v>
      </c>
      <c r="J45" s="11" t="s">
        <v>268</v>
      </c>
      <c r="K45" s="11" t="s">
        <v>748</v>
      </c>
      <c r="L45" s="11" t="s">
        <v>1784</v>
      </c>
      <c r="M45" s="11" t="s">
        <v>448</v>
      </c>
      <c r="N45" s="11" t="s">
        <v>1785</v>
      </c>
      <c r="O45" s="11" t="s">
        <v>1786</v>
      </c>
      <c r="P45" s="11" t="s">
        <v>99</v>
      </c>
      <c r="Q45" s="11" t="s">
        <v>1772</v>
      </c>
      <c r="R45" s="11" t="s">
        <v>1787</v>
      </c>
      <c r="S45" s="11" t="s">
        <v>711</v>
      </c>
      <c r="T45" s="11"/>
      <c r="U45" s="29" t="s">
        <v>1788</v>
      </c>
    </row>
    <row r="46" spans="1:21" ht="110.4" hidden="1">
      <c r="A46" s="11" t="s">
        <v>1789</v>
      </c>
      <c r="B46" s="11" t="s">
        <v>27</v>
      </c>
      <c r="C46" s="11">
        <v>2</v>
      </c>
      <c r="D46" s="11" t="s">
        <v>914</v>
      </c>
      <c r="E46" s="11" t="s">
        <v>1595</v>
      </c>
      <c r="F46" s="11" t="s">
        <v>1790</v>
      </c>
      <c r="G46" s="11" t="s">
        <v>1791</v>
      </c>
      <c r="H46" s="11" t="s">
        <v>1410</v>
      </c>
      <c r="I46" s="16">
        <v>1</v>
      </c>
      <c r="J46" s="11" t="s">
        <v>268</v>
      </c>
      <c r="K46" s="11" t="s">
        <v>748</v>
      </c>
      <c r="L46" s="11" t="s">
        <v>1792</v>
      </c>
      <c r="M46" s="11" t="s">
        <v>1793</v>
      </c>
      <c r="N46" s="11" t="s">
        <v>1794</v>
      </c>
      <c r="O46" s="11" t="s">
        <v>1795</v>
      </c>
      <c r="P46" s="11" t="s">
        <v>106</v>
      </c>
      <c r="Q46" s="11" t="s">
        <v>1780</v>
      </c>
      <c r="R46" s="11" t="s">
        <v>1796</v>
      </c>
      <c r="S46" s="11" t="s">
        <v>711</v>
      </c>
      <c r="T46" s="11"/>
      <c r="U46" s="29" t="s">
        <v>1797</v>
      </c>
    </row>
    <row r="47" spans="1:21" ht="110.4" hidden="1">
      <c r="A47" s="11" t="s">
        <v>1798</v>
      </c>
      <c r="B47" s="11" t="s">
        <v>27</v>
      </c>
      <c r="C47" s="11">
        <v>3</v>
      </c>
      <c r="D47" s="11" t="s">
        <v>914</v>
      </c>
      <c r="E47" s="11" t="s">
        <v>1799</v>
      </c>
      <c r="F47" s="11" t="s">
        <v>1800</v>
      </c>
      <c r="G47" s="11" t="s">
        <v>1801</v>
      </c>
      <c r="H47" s="11" t="s">
        <v>1410</v>
      </c>
      <c r="I47" s="16">
        <v>1.25</v>
      </c>
      <c r="J47" s="11" t="s">
        <v>273</v>
      </c>
      <c r="K47" s="11" t="s">
        <v>757</v>
      </c>
      <c r="L47" s="11" t="s">
        <v>1802</v>
      </c>
      <c r="M47" s="11" t="s">
        <v>1803</v>
      </c>
      <c r="N47" s="11" t="s">
        <v>1804</v>
      </c>
      <c r="O47" s="11" t="s">
        <v>1805</v>
      </c>
      <c r="P47" s="11" t="s">
        <v>131</v>
      </c>
      <c r="Q47" s="11" t="s">
        <v>1789</v>
      </c>
      <c r="R47" s="11" t="s">
        <v>1806</v>
      </c>
      <c r="S47" s="11" t="s">
        <v>711</v>
      </c>
      <c r="T47" s="11"/>
      <c r="U47" s="29" t="s">
        <v>1807</v>
      </c>
    </row>
    <row r="48" spans="1:21" ht="96.6" hidden="1">
      <c r="A48" s="11" t="s">
        <v>1808</v>
      </c>
      <c r="B48" s="11" t="s">
        <v>27</v>
      </c>
      <c r="C48" s="11">
        <v>4</v>
      </c>
      <c r="D48" s="11" t="s">
        <v>914</v>
      </c>
      <c r="E48" s="11" t="s">
        <v>1809</v>
      </c>
      <c r="F48" s="11" t="s">
        <v>1810</v>
      </c>
      <c r="G48" s="11" t="s">
        <v>1811</v>
      </c>
      <c r="H48" s="11" t="s">
        <v>1410</v>
      </c>
      <c r="I48" s="16">
        <v>0.75</v>
      </c>
      <c r="J48" s="11" t="s">
        <v>273</v>
      </c>
      <c r="K48" s="11" t="s">
        <v>1394</v>
      </c>
      <c r="L48" s="11" t="s">
        <v>1812</v>
      </c>
      <c r="M48" s="11" t="s">
        <v>1813</v>
      </c>
      <c r="N48" s="11" t="s">
        <v>1814</v>
      </c>
      <c r="O48" s="11" t="s">
        <v>1815</v>
      </c>
      <c r="P48" s="11" t="s">
        <v>131</v>
      </c>
      <c r="Q48" s="11" t="s">
        <v>1798</v>
      </c>
      <c r="R48" s="11" t="s">
        <v>1816</v>
      </c>
      <c r="S48" s="11" t="s">
        <v>711</v>
      </c>
      <c r="T48" s="11"/>
      <c r="U48" s="29" t="s">
        <v>1817</v>
      </c>
    </row>
    <row r="49" spans="1:21" ht="96.6" hidden="1">
      <c r="A49" s="11" t="s">
        <v>1818</v>
      </c>
      <c r="B49" s="11" t="s">
        <v>27</v>
      </c>
      <c r="C49" s="11">
        <v>5</v>
      </c>
      <c r="D49" s="11" t="s">
        <v>914</v>
      </c>
      <c r="E49" s="11" t="s">
        <v>1819</v>
      </c>
      <c r="F49" s="11" t="s">
        <v>1820</v>
      </c>
      <c r="G49" s="11" t="s">
        <v>1821</v>
      </c>
      <c r="H49" s="11" t="s">
        <v>1410</v>
      </c>
      <c r="I49" s="16">
        <v>1.25</v>
      </c>
      <c r="J49" s="11" t="s">
        <v>273</v>
      </c>
      <c r="K49" s="11" t="s">
        <v>757</v>
      </c>
      <c r="L49" s="11" t="s">
        <v>1822</v>
      </c>
      <c r="M49" s="11" t="s">
        <v>453</v>
      </c>
      <c r="N49" s="11" t="s">
        <v>1823</v>
      </c>
      <c r="O49" s="11" t="s">
        <v>1824</v>
      </c>
      <c r="P49" s="11" t="s">
        <v>137</v>
      </c>
      <c r="Q49" s="11" t="s">
        <v>1825</v>
      </c>
      <c r="R49" s="11" t="s">
        <v>1826</v>
      </c>
      <c r="S49" s="11" t="s">
        <v>711</v>
      </c>
      <c r="T49" s="11"/>
      <c r="U49" s="29" t="s">
        <v>1827</v>
      </c>
    </row>
    <row r="50" spans="1:21" ht="110.4" hidden="1">
      <c r="A50" s="11" t="s">
        <v>1828</v>
      </c>
      <c r="B50" s="11" t="s">
        <v>27</v>
      </c>
      <c r="C50" s="11">
        <v>6</v>
      </c>
      <c r="D50" s="11" t="s">
        <v>914</v>
      </c>
      <c r="E50" s="11" t="s">
        <v>1829</v>
      </c>
      <c r="F50" s="11" t="s">
        <v>1830</v>
      </c>
      <c r="G50" s="11" t="s">
        <v>1831</v>
      </c>
      <c r="H50" s="11" t="s">
        <v>1410</v>
      </c>
      <c r="I50" s="16">
        <v>1</v>
      </c>
      <c r="J50" s="11" t="s">
        <v>273</v>
      </c>
      <c r="K50" s="11" t="s">
        <v>768</v>
      </c>
      <c r="L50" s="11" t="s">
        <v>1832</v>
      </c>
      <c r="M50" s="11" t="s">
        <v>1833</v>
      </c>
      <c r="N50" s="11" t="s">
        <v>1834</v>
      </c>
      <c r="O50" s="11" t="s">
        <v>1835</v>
      </c>
      <c r="P50" s="11" t="s">
        <v>131</v>
      </c>
      <c r="Q50" s="11" t="s">
        <v>1798</v>
      </c>
      <c r="R50" s="11" t="s">
        <v>1836</v>
      </c>
      <c r="S50" s="11" t="s">
        <v>711</v>
      </c>
      <c r="T50" s="11"/>
      <c r="U50" s="29" t="s">
        <v>1837</v>
      </c>
    </row>
    <row r="51" spans="1:21" ht="96.6" hidden="1">
      <c r="A51" s="11" t="s">
        <v>1838</v>
      </c>
      <c r="B51" s="11" t="s">
        <v>27</v>
      </c>
      <c r="C51" s="11">
        <v>7</v>
      </c>
      <c r="D51" s="11" t="s">
        <v>914</v>
      </c>
      <c r="E51" s="11" t="s">
        <v>1839</v>
      </c>
      <c r="F51" s="11" t="s">
        <v>1840</v>
      </c>
      <c r="G51" s="11" t="s">
        <v>1841</v>
      </c>
      <c r="H51" s="11" t="s">
        <v>1410</v>
      </c>
      <c r="I51" s="16">
        <v>0.75</v>
      </c>
      <c r="J51" s="11" t="s">
        <v>273</v>
      </c>
      <c r="K51" s="11" t="s">
        <v>775</v>
      </c>
      <c r="L51" s="11" t="s">
        <v>1842</v>
      </c>
      <c r="M51" s="11" t="s">
        <v>1843</v>
      </c>
      <c r="N51" s="11" t="s">
        <v>1844</v>
      </c>
      <c r="O51" s="11" t="s">
        <v>1845</v>
      </c>
      <c r="P51" s="11" t="s">
        <v>106</v>
      </c>
      <c r="Q51" s="11" t="s">
        <v>1818</v>
      </c>
      <c r="R51" s="11" t="s">
        <v>1846</v>
      </c>
      <c r="S51" s="11" t="s">
        <v>711</v>
      </c>
      <c r="T51" s="11"/>
      <c r="U51" s="29" t="s">
        <v>1847</v>
      </c>
    </row>
    <row r="52" spans="1:21" ht="110.4" hidden="1">
      <c r="A52" s="11" t="s">
        <v>1848</v>
      </c>
      <c r="B52" s="11" t="s">
        <v>27</v>
      </c>
      <c r="C52" s="11">
        <v>8</v>
      </c>
      <c r="D52" s="11" t="s">
        <v>914</v>
      </c>
      <c r="E52" s="11" t="s">
        <v>462</v>
      </c>
      <c r="F52" s="11" t="s">
        <v>1849</v>
      </c>
      <c r="G52" s="11" t="s">
        <v>1850</v>
      </c>
      <c r="H52" s="11" t="s">
        <v>1410</v>
      </c>
      <c r="I52" s="16">
        <v>1</v>
      </c>
      <c r="J52" s="11" t="s">
        <v>278</v>
      </c>
      <c r="K52" s="11" t="s">
        <v>761</v>
      </c>
      <c r="L52" s="11" t="s">
        <v>1851</v>
      </c>
      <c r="M52" s="11" t="s">
        <v>1852</v>
      </c>
      <c r="N52" s="11" t="s">
        <v>1853</v>
      </c>
      <c r="O52" s="11" t="s">
        <v>1854</v>
      </c>
      <c r="P52" s="11" t="s">
        <v>167</v>
      </c>
      <c r="Q52" s="11" t="s">
        <v>1855</v>
      </c>
      <c r="R52" s="11" t="s">
        <v>1856</v>
      </c>
      <c r="S52" s="11" t="s">
        <v>711</v>
      </c>
      <c r="T52" s="11"/>
      <c r="U52" s="29" t="s">
        <v>1857</v>
      </c>
    </row>
    <row r="53" spans="1:21" ht="110.4" hidden="1">
      <c r="A53" s="11" t="s">
        <v>1858</v>
      </c>
      <c r="B53" s="11" t="s">
        <v>27</v>
      </c>
      <c r="C53" s="11">
        <v>9</v>
      </c>
      <c r="D53" s="11" t="s">
        <v>914</v>
      </c>
      <c r="E53" s="11" t="s">
        <v>1859</v>
      </c>
      <c r="F53" s="11" t="s">
        <v>1860</v>
      </c>
      <c r="G53" s="11" t="s">
        <v>1861</v>
      </c>
      <c r="H53" s="11" t="s">
        <v>1410</v>
      </c>
      <c r="I53" s="16">
        <v>1</v>
      </c>
      <c r="J53" s="11" t="s">
        <v>273</v>
      </c>
      <c r="K53" s="11" t="s">
        <v>1394</v>
      </c>
      <c r="L53" s="11" t="s">
        <v>1862</v>
      </c>
      <c r="M53" s="11" t="s">
        <v>1863</v>
      </c>
      <c r="N53" s="11" t="s">
        <v>1864</v>
      </c>
      <c r="O53" s="11" t="s">
        <v>1865</v>
      </c>
      <c r="P53" s="11" t="s">
        <v>1866</v>
      </c>
      <c r="Q53" s="11" t="s">
        <v>1867</v>
      </c>
      <c r="R53" s="11" t="s">
        <v>1868</v>
      </c>
      <c r="S53" s="11" t="s">
        <v>711</v>
      </c>
      <c r="T53" s="11"/>
      <c r="U53" s="29" t="s">
        <v>1869</v>
      </c>
    </row>
    <row r="54" spans="1:21" ht="110.4" hidden="1">
      <c r="A54" s="11" t="s">
        <v>1870</v>
      </c>
      <c r="B54" s="11" t="s">
        <v>27</v>
      </c>
      <c r="C54" s="11">
        <v>10</v>
      </c>
      <c r="D54" s="11" t="s">
        <v>954</v>
      </c>
      <c r="E54" s="11" t="s">
        <v>1871</v>
      </c>
      <c r="F54" s="11" t="s">
        <v>1872</v>
      </c>
      <c r="G54" s="11" t="s">
        <v>1873</v>
      </c>
      <c r="H54" s="11" t="s">
        <v>1410</v>
      </c>
      <c r="I54" s="16">
        <v>0.75</v>
      </c>
      <c r="J54" s="11" t="s">
        <v>268</v>
      </c>
      <c r="K54" s="11" t="s">
        <v>768</v>
      </c>
      <c r="L54" s="11" t="s">
        <v>1874</v>
      </c>
      <c r="M54" s="11" t="s">
        <v>1875</v>
      </c>
      <c r="N54" s="11" t="s">
        <v>1876</v>
      </c>
      <c r="O54" s="11" t="s">
        <v>1877</v>
      </c>
      <c r="P54" s="11" t="s">
        <v>1878</v>
      </c>
      <c r="Q54" s="11" t="s">
        <v>1879</v>
      </c>
      <c r="R54" s="11" t="s">
        <v>1880</v>
      </c>
      <c r="S54" s="11" t="s">
        <v>711</v>
      </c>
      <c r="T54" s="11"/>
      <c r="U54" s="29" t="s">
        <v>1881</v>
      </c>
    </row>
    <row r="55" spans="1:21" ht="110.4" hidden="1">
      <c r="A55" s="11" t="s">
        <v>287</v>
      </c>
      <c r="B55" s="11" t="s">
        <v>27</v>
      </c>
      <c r="C55" s="11">
        <v>11</v>
      </c>
      <c r="D55" s="11" t="s">
        <v>914</v>
      </c>
      <c r="E55" s="11" t="s">
        <v>803</v>
      </c>
      <c r="F55" s="11" t="s">
        <v>1882</v>
      </c>
      <c r="G55" s="11" t="s">
        <v>1883</v>
      </c>
      <c r="H55" s="11" t="s">
        <v>1400</v>
      </c>
      <c r="I55" s="16">
        <v>1</v>
      </c>
      <c r="J55" s="11" t="s">
        <v>283</v>
      </c>
      <c r="K55" s="11" t="s">
        <v>1394</v>
      </c>
      <c r="L55" s="11" t="s">
        <v>1884</v>
      </c>
      <c r="M55" s="11" t="s">
        <v>469</v>
      </c>
      <c r="N55" s="11" t="s">
        <v>1885</v>
      </c>
      <c r="O55" s="11" t="s">
        <v>471</v>
      </c>
      <c r="P55" s="11" t="s">
        <v>642</v>
      </c>
      <c r="Q55" s="11" t="s">
        <v>1886</v>
      </c>
      <c r="R55" s="11" t="s">
        <v>1887</v>
      </c>
      <c r="S55" s="11" t="s">
        <v>711</v>
      </c>
      <c r="T55" s="11"/>
      <c r="U55" s="29" t="s">
        <v>1888</v>
      </c>
    </row>
    <row r="56" spans="1:21" ht="96.6" hidden="1">
      <c r="A56" s="11" t="s">
        <v>1889</v>
      </c>
      <c r="B56" s="11" t="s">
        <v>27</v>
      </c>
      <c r="C56" s="11">
        <v>12</v>
      </c>
      <c r="D56" s="11" t="s">
        <v>914</v>
      </c>
      <c r="E56" s="11" t="s">
        <v>1500</v>
      </c>
      <c r="F56" s="11" t="s">
        <v>1890</v>
      </c>
      <c r="G56" s="11" t="s">
        <v>1891</v>
      </c>
      <c r="H56" s="11" t="s">
        <v>577</v>
      </c>
      <c r="I56" s="16">
        <v>0.75</v>
      </c>
      <c r="J56" s="11" t="s">
        <v>328</v>
      </c>
      <c r="K56" s="11" t="s">
        <v>1892</v>
      </c>
      <c r="L56" s="11" t="s">
        <v>1893</v>
      </c>
      <c r="M56" s="11" t="s">
        <v>1894</v>
      </c>
      <c r="N56" s="11" t="s">
        <v>1895</v>
      </c>
      <c r="O56" s="11" t="s">
        <v>1896</v>
      </c>
      <c r="P56" s="11" t="s">
        <v>669</v>
      </c>
      <c r="Q56" s="11" t="s">
        <v>1897</v>
      </c>
      <c r="R56" s="11" t="s">
        <v>1898</v>
      </c>
      <c r="S56" s="11" t="s">
        <v>711</v>
      </c>
      <c r="T56" s="11"/>
      <c r="U56" s="29" t="s">
        <v>1899</v>
      </c>
    </row>
    <row r="57" spans="1:21" ht="69" hidden="1">
      <c r="A57" s="11" t="s">
        <v>1900</v>
      </c>
      <c r="B57" s="11" t="s">
        <v>27</v>
      </c>
      <c r="C57" s="11">
        <v>13</v>
      </c>
      <c r="D57" s="11" t="s">
        <v>914</v>
      </c>
      <c r="E57" s="11" t="s">
        <v>1513</v>
      </c>
      <c r="F57" s="11" t="s">
        <v>1901</v>
      </c>
      <c r="G57" s="11" t="s">
        <v>1902</v>
      </c>
      <c r="H57" s="11" t="s">
        <v>1400</v>
      </c>
      <c r="I57" s="16">
        <v>1</v>
      </c>
      <c r="J57" s="11" t="s">
        <v>1516</v>
      </c>
      <c r="K57" s="11" t="s">
        <v>1394</v>
      </c>
      <c r="L57" s="11" t="s">
        <v>1903</v>
      </c>
      <c r="M57" s="11" t="s">
        <v>1518</v>
      </c>
      <c r="N57" s="11" t="s">
        <v>1519</v>
      </c>
      <c r="O57" s="11" t="s">
        <v>1904</v>
      </c>
      <c r="P57" s="11" t="s">
        <v>1905</v>
      </c>
      <c r="Q57" s="11" t="s">
        <v>1889</v>
      </c>
      <c r="R57" s="11" t="s">
        <v>1522</v>
      </c>
      <c r="S57" s="11" t="s">
        <v>711</v>
      </c>
      <c r="T57" s="11" t="s">
        <v>1906</v>
      </c>
      <c r="U57" s="29" t="s">
        <v>1907</v>
      </c>
    </row>
    <row r="58" spans="1:21" ht="96.6" hidden="1">
      <c r="A58" s="11" t="s">
        <v>292</v>
      </c>
      <c r="B58" s="11" t="s">
        <v>28</v>
      </c>
      <c r="C58" s="11">
        <v>1</v>
      </c>
      <c r="D58" s="11" t="s">
        <v>914</v>
      </c>
      <c r="E58" s="11" t="s">
        <v>1908</v>
      </c>
      <c r="F58" s="11" t="s">
        <v>1909</v>
      </c>
      <c r="G58" s="11" t="s">
        <v>1910</v>
      </c>
      <c r="H58" s="11" t="s">
        <v>577</v>
      </c>
      <c r="I58" s="16">
        <v>1</v>
      </c>
      <c r="J58" s="11" t="s">
        <v>288</v>
      </c>
      <c r="K58" s="11" t="s">
        <v>1911</v>
      </c>
      <c r="L58" s="11" t="s">
        <v>1912</v>
      </c>
      <c r="M58" s="11" t="s">
        <v>1913</v>
      </c>
      <c r="N58" s="11" t="s">
        <v>1914</v>
      </c>
      <c r="O58" s="11" t="s">
        <v>1915</v>
      </c>
      <c r="P58" s="11" t="s">
        <v>1455</v>
      </c>
      <c r="Q58" s="11" t="s">
        <v>1900</v>
      </c>
      <c r="R58" s="11" t="s">
        <v>1916</v>
      </c>
      <c r="S58" s="11" t="s">
        <v>711</v>
      </c>
      <c r="T58" s="11"/>
      <c r="U58" s="29" t="s">
        <v>1917</v>
      </c>
    </row>
    <row r="59" spans="1:21" ht="110.4" hidden="1">
      <c r="A59" s="11" t="s">
        <v>1918</v>
      </c>
      <c r="B59" s="11" t="s">
        <v>28</v>
      </c>
      <c r="C59" s="11">
        <v>2</v>
      </c>
      <c r="D59" s="11" t="s">
        <v>914</v>
      </c>
      <c r="E59" s="11" t="s">
        <v>1919</v>
      </c>
      <c r="F59" s="11" t="s">
        <v>1920</v>
      </c>
      <c r="G59" s="11" t="s">
        <v>1921</v>
      </c>
      <c r="H59" s="11" t="s">
        <v>1410</v>
      </c>
      <c r="I59" s="16">
        <v>1.25</v>
      </c>
      <c r="J59" s="11" t="s">
        <v>293</v>
      </c>
      <c r="K59" s="11" t="s">
        <v>1469</v>
      </c>
      <c r="L59" s="11" t="s">
        <v>1922</v>
      </c>
      <c r="M59" s="11" t="s">
        <v>1923</v>
      </c>
      <c r="N59" s="11" t="s">
        <v>1924</v>
      </c>
      <c r="O59" s="11" t="s">
        <v>1925</v>
      </c>
      <c r="P59" s="11" t="s">
        <v>621</v>
      </c>
      <c r="Q59" s="11" t="s">
        <v>292</v>
      </c>
      <c r="R59" s="11" t="s">
        <v>1926</v>
      </c>
      <c r="S59" s="11" t="s">
        <v>711</v>
      </c>
      <c r="T59" s="11"/>
      <c r="U59" s="29" t="s">
        <v>1927</v>
      </c>
    </row>
    <row r="60" spans="1:21" ht="110.4" hidden="1">
      <c r="A60" s="11" t="s">
        <v>1928</v>
      </c>
      <c r="B60" s="11" t="s">
        <v>28</v>
      </c>
      <c r="C60" s="11">
        <v>3</v>
      </c>
      <c r="D60" s="11" t="s">
        <v>914</v>
      </c>
      <c r="E60" s="11" t="s">
        <v>1929</v>
      </c>
      <c r="F60" s="11" t="s">
        <v>1930</v>
      </c>
      <c r="G60" s="11" t="s">
        <v>1931</v>
      </c>
      <c r="H60" s="11" t="s">
        <v>1410</v>
      </c>
      <c r="I60" s="16">
        <v>1.25</v>
      </c>
      <c r="J60" s="11" t="s">
        <v>293</v>
      </c>
      <c r="K60" s="11" t="s">
        <v>1932</v>
      </c>
      <c r="L60" s="11" t="s">
        <v>1933</v>
      </c>
      <c r="M60" s="11" t="s">
        <v>1934</v>
      </c>
      <c r="N60" s="11" t="s">
        <v>1935</v>
      </c>
      <c r="O60" s="11" t="s">
        <v>1936</v>
      </c>
      <c r="P60" s="11" t="s">
        <v>1937</v>
      </c>
      <c r="Q60" s="11" t="s">
        <v>1938</v>
      </c>
      <c r="R60" s="11" t="s">
        <v>1939</v>
      </c>
      <c r="S60" s="11" t="s">
        <v>711</v>
      </c>
      <c r="T60" s="11"/>
      <c r="U60" s="29" t="s">
        <v>1940</v>
      </c>
    </row>
    <row r="61" spans="1:21" ht="96.6" hidden="1">
      <c r="A61" s="11" t="s">
        <v>1941</v>
      </c>
      <c r="B61" s="11" t="s">
        <v>28</v>
      </c>
      <c r="C61" s="11">
        <v>4</v>
      </c>
      <c r="D61" s="11" t="s">
        <v>914</v>
      </c>
      <c r="E61" s="11" t="s">
        <v>1942</v>
      </c>
      <c r="F61" s="11" t="s">
        <v>1943</v>
      </c>
      <c r="G61" s="11" t="s">
        <v>1944</v>
      </c>
      <c r="H61" s="11" t="s">
        <v>1410</v>
      </c>
      <c r="I61" s="16">
        <v>1.25</v>
      </c>
      <c r="J61" s="11" t="s">
        <v>293</v>
      </c>
      <c r="K61" s="11" t="s">
        <v>1945</v>
      </c>
      <c r="L61" s="11" t="s">
        <v>1946</v>
      </c>
      <c r="M61" s="11" t="s">
        <v>1947</v>
      </c>
      <c r="N61" s="11" t="s">
        <v>1948</v>
      </c>
      <c r="O61" s="11" t="s">
        <v>1949</v>
      </c>
      <c r="P61" s="11" t="s">
        <v>1950</v>
      </c>
      <c r="Q61" s="11" t="s">
        <v>292</v>
      </c>
      <c r="R61" s="11" t="s">
        <v>1951</v>
      </c>
      <c r="S61" s="11" t="s">
        <v>711</v>
      </c>
      <c r="T61" s="11"/>
      <c r="U61" s="29" t="s">
        <v>1952</v>
      </c>
    </row>
    <row r="62" spans="1:21" ht="110.4" hidden="1">
      <c r="A62" s="11" t="s">
        <v>1953</v>
      </c>
      <c r="B62" s="11" t="s">
        <v>28</v>
      </c>
      <c r="C62" s="11">
        <v>5</v>
      </c>
      <c r="D62" s="11" t="s">
        <v>914</v>
      </c>
      <c r="E62" s="11" t="s">
        <v>1954</v>
      </c>
      <c r="F62" s="11" t="s">
        <v>1955</v>
      </c>
      <c r="G62" s="11" t="s">
        <v>1956</v>
      </c>
      <c r="H62" s="11" t="s">
        <v>1410</v>
      </c>
      <c r="I62" s="16">
        <v>1.5</v>
      </c>
      <c r="J62" s="11" t="s">
        <v>293</v>
      </c>
      <c r="K62" s="11" t="s">
        <v>1957</v>
      </c>
      <c r="L62" s="11" t="s">
        <v>1958</v>
      </c>
      <c r="M62" s="11" t="s">
        <v>1959</v>
      </c>
      <c r="N62" s="11" t="s">
        <v>1960</v>
      </c>
      <c r="O62" s="11" t="s">
        <v>1961</v>
      </c>
      <c r="P62" s="11" t="s">
        <v>1962</v>
      </c>
      <c r="Q62" s="11" t="s">
        <v>1963</v>
      </c>
      <c r="R62" s="11" t="s">
        <v>1964</v>
      </c>
      <c r="S62" s="11" t="s">
        <v>711</v>
      </c>
      <c r="T62" s="11"/>
      <c r="U62" s="29" t="s">
        <v>1965</v>
      </c>
    </row>
    <row r="63" spans="1:21" ht="110.4" hidden="1">
      <c r="A63" s="11" t="s">
        <v>307</v>
      </c>
      <c r="B63" s="11" t="s">
        <v>28</v>
      </c>
      <c r="C63" s="11">
        <v>6</v>
      </c>
      <c r="D63" s="11" t="s">
        <v>914</v>
      </c>
      <c r="E63" s="11" t="s">
        <v>1966</v>
      </c>
      <c r="F63" s="11" t="s">
        <v>1967</v>
      </c>
      <c r="G63" s="11" t="s">
        <v>1968</v>
      </c>
      <c r="H63" s="11" t="s">
        <v>1410</v>
      </c>
      <c r="I63" s="16">
        <v>1</v>
      </c>
      <c r="J63" s="11" t="s">
        <v>303</v>
      </c>
      <c r="K63" s="11" t="s">
        <v>1969</v>
      </c>
      <c r="L63" s="11" t="s">
        <v>1970</v>
      </c>
      <c r="M63" s="11" t="s">
        <v>1971</v>
      </c>
      <c r="N63" s="11" t="s">
        <v>1972</v>
      </c>
      <c r="O63" s="11" t="s">
        <v>1973</v>
      </c>
      <c r="P63" s="11" t="s">
        <v>1974</v>
      </c>
      <c r="Q63" s="11" t="s">
        <v>1975</v>
      </c>
      <c r="R63" s="11" t="s">
        <v>1976</v>
      </c>
      <c r="S63" s="11" t="s">
        <v>711</v>
      </c>
      <c r="T63" s="11"/>
      <c r="U63" s="29" t="s">
        <v>1977</v>
      </c>
    </row>
    <row r="64" spans="1:21" ht="110.4" hidden="1">
      <c r="A64" s="11" t="s">
        <v>1978</v>
      </c>
      <c r="B64" s="11" t="s">
        <v>28</v>
      </c>
      <c r="C64" s="11">
        <v>7</v>
      </c>
      <c r="D64" s="11" t="s">
        <v>914</v>
      </c>
      <c r="E64" s="11" t="s">
        <v>739</v>
      </c>
      <c r="F64" s="11" t="s">
        <v>1979</v>
      </c>
      <c r="G64" s="11" t="s">
        <v>1980</v>
      </c>
      <c r="H64" s="11" t="s">
        <v>1410</v>
      </c>
      <c r="I64" s="16">
        <v>1.5</v>
      </c>
      <c r="J64" s="11" t="s">
        <v>298</v>
      </c>
      <c r="K64" s="11" t="s">
        <v>738</v>
      </c>
      <c r="L64" s="11" t="s">
        <v>1981</v>
      </c>
      <c r="M64" s="11" t="s">
        <v>1982</v>
      </c>
      <c r="N64" s="11" t="s">
        <v>1983</v>
      </c>
      <c r="O64" s="11" t="s">
        <v>1984</v>
      </c>
      <c r="P64" s="11" t="s">
        <v>1455</v>
      </c>
      <c r="Q64" s="11" t="s">
        <v>1985</v>
      </c>
      <c r="R64" s="11" t="s">
        <v>1986</v>
      </c>
      <c r="S64" s="11" t="s">
        <v>711</v>
      </c>
      <c r="T64" s="11"/>
      <c r="U64" s="29" t="s">
        <v>1987</v>
      </c>
    </row>
    <row r="65" spans="1:21" ht="110.4" hidden="1">
      <c r="A65" s="11" t="s">
        <v>1988</v>
      </c>
      <c r="B65" s="11" t="s">
        <v>28</v>
      </c>
      <c r="C65" s="11">
        <v>8</v>
      </c>
      <c r="D65" s="11" t="s">
        <v>914</v>
      </c>
      <c r="E65" s="11" t="s">
        <v>490</v>
      </c>
      <c r="F65" s="11" t="s">
        <v>1989</v>
      </c>
      <c r="G65" s="11" t="s">
        <v>1990</v>
      </c>
      <c r="H65" s="11" t="s">
        <v>1410</v>
      </c>
      <c r="I65" s="16">
        <v>1</v>
      </c>
      <c r="J65" s="11" t="s">
        <v>298</v>
      </c>
      <c r="K65" s="11" t="s">
        <v>1394</v>
      </c>
      <c r="L65" s="11" t="s">
        <v>1991</v>
      </c>
      <c r="M65" s="11" t="s">
        <v>1992</v>
      </c>
      <c r="N65" s="11" t="s">
        <v>1993</v>
      </c>
      <c r="O65" s="11" t="s">
        <v>1994</v>
      </c>
      <c r="P65" s="11" t="s">
        <v>676</v>
      </c>
      <c r="Q65" s="11" t="s">
        <v>1978</v>
      </c>
      <c r="R65" s="11" t="s">
        <v>1995</v>
      </c>
      <c r="S65" s="11" t="s">
        <v>711</v>
      </c>
      <c r="T65" s="11"/>
      <c r="U65" s="29" t="s">
        <v>1996</v>
      </c>
    </row>
    <row r="66" spans="1:21" ht="110.4" hidden="1">
      <c r="A66" s="11" t="s">
        <v>1997</v>
      </c>
      <c r="B66" s="11" t="s">
        <v>28</v>
      </c>
      <c r="C66" s="11">
        <v>9</v>
      </c>
      <c r="D66" s="11" t="s">
        <v>914</v>
      </c>
      <c r="E66" s="11" t="s">
        <v>1998</v>
      </c>
      <c r="F66" s="11" t="s">
        <v>1999</v>
      </c>
      <c r="G66" s="11" t="s">
        <v>2000</v>
      </c>
      <c r="H66" s="11" t="s">
        <v>1400</v>
      </c>
      <c r="I66" s="16">
        <v>1</v>
      </c>
      <c r="J66" s="11" t="s">
        <v>308</v>
      </c>
      <c r="K66" s="11" t="s">
        <v>768</v>
      </c>
      <c r="L66" s="11" t="s">
        <v>2001</v>
      </c>
      <c r="M66" s="11" t="s">
        <v>486</v>
      </c>
      <c r="N66" s="11" t="s">
        <v>2002</v>
      </c>
      <c r="O66" s="11" t="s">
        <v>488</v>
      </c>
      <c r="P66" s="11" t="s">
        <v>1455</v>
      </c>
      <c r="Q66" s="11" t="s">
        <v>2003</v>
      </c>
      <c r="R66" s="11" t="s">
        <v>2004</v>
      </c>
      <c r="S66" s="11" t="s">
        <v>711</v>
      </c>
      <c r="T66" s="11"/>
      <c r="U66" s="29" t="s">
        <v>2005</v>
      </c>
    </row>
    <row r="67" spans="1:21" ht="124.2" hidden="1">
      <c r="A67" s="11" t="s">
        <v>2006</v>
      </c>
      <c r="B67" s="11" t="s">
        <v>28</v>
      </c>
      <c r="C67" s="11">
        <v>10</v>
      </c>
      <c r="D67" s="11" t="s">
        <v>914</v>
      </c>
      <c r="E67" s="11" t="s">
        <v>2007</v>
      </c>
      <c r="F67" s="11" t="s">
        <v>2008</v>
      </c>
      <c r="G67" s="11" t="s">
        <v>2009</v>
      </c>
      <c r="H67" s="11" t="s">
        <v>577</v>
      </c>
      <c r="I67" s="16">
        <v>1.5</v>
      </c>
      <c r="J67" s="11" t="s">
        <v>308</v>
      </c>
      <c r="K67" s="11" t="s">
        <v>781</v>
      </c>
      <c r="L67" s="11" t="s">
        <v>2010</v>
      </c>
      <c r="M67" s="11" t="s">
        <v>2011</v>
      </c>
      <c r="N67" s="11" t="s">
        <v>2012</v>
      </c>
      <c r="O67" s="11" t="s">
        <v>2013</v>
      </c>
      <c r="P67" s="11" t="s">
        <v>642</v>
      </c>
      <c r="Q67" s="11" t="s">
        <v>1997</v>
      </c>
      <c r="R67" s="11" t="s">
        <v>2014</v>
      </c>
      <c r="S67" s="11" t="s">
        <v>711</v>
      </c>
      <c r="T67" s="11"/>
      <c r="U67" s="29" t="s">
        <v>2015</v>
      </c>
    </row>
    <row r="68" spans="1:21" ht="110.4" hidden="1">
      <c r="A68" s="11" t="s">
        <v>2016</v>
      </c>
      <c r="B68" s="11" t="s">
        <v>28</v>
      </c>
      <c r="C68" s="11">
        <v>11</v>
      </c>
      <c r="D68" s="11" t="s">
        <v>914</v>
      </c>
      <c r="E68" s="11" t="s">
        <v>2017</v>
      </c>
      <c r="F68" s="11" t="s">
        <v>2018</v>
      </c>
      <c r="G68" s="11" t="s">
        <v>2019</v>
      </c>
      <c r="H68" s="11" t="s">
        <v>1400</v>
      </c>
      <c r="I68" s="16">
        <v>0.75</v>
      </c>
      <c r="J68" s="11" t="s">
        <v>308</v>
      </c>
      <c r="K68" s="11" t="s">
        <v>781</v>
      </c>
      <c r="L68" s="11" t="s">
        <v>2020</v>
      </c>
      <c r="M68" s="11" t="s">
        <v>2021</v>
      </c>
      <c r="N68" s="11" t="s">
        <v>2022</v>
      </c>
      <c r="O68" s="11" t="s">
        <v>2023</v>
      </c>
      <c r="P68" s="11" t="s">
        <v>2024</v>
      </c>
      <c r="Q68" s="11" t="s">
        <v>2006</v>
      </c>
      <c r="R68" s="11" t="s">
        <v>2025</v>
      </c>
      <c r="S68" s="11" t="s">
        <v>711</v>
      </c>
      <c r="T68" s="11"/>
      <c r="U68" s="29" t="s">
        <v>2026</v>
      </c>
    </row>
    <row r="69" spans="1:21" ht="110.4" hidden="1">
      <c r="A69" s="11" t="s">
        <v>2027</v>
      </c>
      <c r="B69" s="11" t="s">
        <v>28</v>
      </c>
      <c r="C69" s="11">
        <v>12</v>
      </c>
      <c r="D69" s="11" t="s">
        <v>914</v>
      </c>
      <c r="E69" s="11" t="s">
        <v>2028</v>
      </c>
      <c r="F69" s="11" t="s">
        <v>2029</v>
      </c>
      <c r="G69" s="11" t="s">
        <v>2030</v>
      </c>
      <c r="H69" s="11" t="s">
        <v>1400</v>
      </c>
      <c r="I69" s="16">
        <v>1</v>
      </c>
      <c r="J69" s="11" t="s">
        <v>308</v>
      </c>
      <c r="K69" s="11" t="s">
        <v>1493</v>
      </c>
      <c r="L69" s="11" t="s">
        <v>2031</v>
      </c>
      <c r="M69" s="11" t="s">
        <v>2032</v>
      </c>
      <c r="N69" s="11" t="s">
        <v>2033</v>
      </c>
      <c r="O69" s="11" t="s">
        <v>505</v>
      </c>
      <c r="P69" s="11" t="s">
        <v>1496</v>
      </c>
      <c r="Q69" s="11" t="s">
        <v>2016</v>
      </c>
      <c r="R69" s="11" t="s">
        <v>2034</v>
      </c>
      <c r="S69" s="11" t="s">
        <v>711</v>
      </c>
      <c r="T69" s="11"/>
      <c r="U69" s="29" t="s">
        <v>2035</v>
      </c>
    </row>
    <row r="70" spans="1:21" ht="96.6" hidden="1">
      <c r="A70" s="11" t="s">
        <v>2036</v>
      </c>
      <c r="B70" s="11" t="s">
        <v>28</v>
      </c>
      <c r="C70" s="11">
        <v>13</v>
      </c>
      <c r="D70" s="11" t="s">
        <v>914</v>
      </c>
      <c r="E70" s="11" t="s">
        <v>1500</v>
      </c>
      <c r="F70" s="11" t="s">
        <v>2037</v>
      </c>
      <c r="G70" s="11" t="s">
        <v>2038</v>
      </c>
      <c r="H70" s="11" t="s">
        <v>577</v>
      </c>
      <c r="I70" s="16">
        <v>0.75</v>
      </c>
      <c r="J70" s="11" t="s">
        <v>328</v>
      </c>
      <c r="K70" s="11" t="s">
        <v>2039</v>
      </c>
      <c r="L70" s="11" t="s">
        <v>2040</v>
      </c>
      <c r="M70" s="11" t="s">
        <v>2041</v>
      </c>
      <c r="N70" s="11" t="s">
        <v>2042</v>
      </c>
      <c r="O70" s="11" t="s">
        <v>2043</v>
      </c>
      <c r="P70" s="11" t="s">
        <v>669</v>
      </c>
      <c r="Q70" s="11" t="s">
        <v>2044</v>
      </c>
      <c r="R70" s="11" t="s">
        <v>2045</v>
      </c>
      <c r="S70" s="11" t="s">
        <v>711</v>
      </c>
      <c r="T70" s="11"/>
      <c r="U70" s="29" t="s">
        <v>2046</v>
      </c>
    </row>
    <row r="71" spans="1:21" ht="69" hidden="1">
      <c r="A71" s="11" t="s">
        <v>2047</v>
      </c>
      <c r="B71" s="11" t="s">
        <v>28</v>
      </c>
      <c r="C71" s="11">
        <v>14</v>
      </c>
      <c r="D71" s="11" t="s">
        <v>914</v>
      </c>
      <c r="E71" s="11" t="s">
        <v>1513</v>
      </c>
      <c r="F71" s="11" t="s">
        <v>2048</v>
      </c>
      <c r="G71" s="11" t="s">
        <v>2049</v>
      </c>
      <c r="H71" s="11" t="s">
        <v>1400</v>
      </c>
      <c r="I71" s="16">
        <v>1</v>
      </c>
      <c r="J71" s="11" t="s">
        <v>1516</v>
      </c>
      <c r="K71" s="11" t="s">
        <v>1394</v>
      </c>
      <c r="L71" s="11" t="s">
        <v>2050</v>
      </c>
      <c r="M71" s="11" t="s">
        <v>1518</v>
      </c>
      <c r="N71" s="11" t="s">
        <v>1519</v>
      </c>
      <c r="O71" s="11" t="s">
        <v>2051</v>
      </c>
      <c r="P71" s="11" t="s">
        <v>2052</v>
      </c>
      <c r="Q71" s="11" t="s">
        <v>2036</v>
      </c>
      <c r="R71" s="11" t="s">
        <v>1522</v>
      </c>
      <c r="S71" s="11" t="s">
        <v>711</v>
      </c>
      <c r="T71" s="11" t="s">
        <v>2053</v>
      </c>
      <c r="U71" s="29" t="s">
        <v>2054</v>
      </c>
    </row>
    <row r="72" spans="1:21" ht="110.4" hidden="1">
      <c r="A72" s="11" t="s">
        <v>2055</v>
      </c>
      <c r="B72" s="11" t="s">
        <v>29</v>
      </c>
      <c r="C72" s="11">
        <v>1</v>
      </c>
      <c r="D72" s="11" t="s">
        <v>914</v>
      </c>
      <c r="E72" s="11" t="s">
        <v>2056</v>
      </c>
      <c r="F72" s="11" t="s">
        <v>2057</v>
      </c>
      <c r="G72" s="11" t="s">
        <v>2058</v>
      </c>
      <c r="H72" s="11" t="s">
        <v>1400</v>
      </c>
      <c r="I72" s="16">
        <v>0.75</v>
      </c>
      <c r="J72" s="11" t="s">
        <v>298</v>
      </c>
      <c r="K72" s="11" t="s">
        <v>772</v>
      </c>
      <c r="L72" s="11" t="s">
        <v>2059</v>
      </c>
      <c r="M72" s="11" t="s">
        <v>2060</v>
      </c>
      <c r="N72" s="11" t="s">
        <v>2061</v>
      </c>
      <c r="O72" s="11" t="s">
        <v>2062</v>
      </c>
      <c r="P72" s="11" t="s">
        <v>2063</v>
      </c>
      <c r="Q72" s="11" t="s">
        <v>2047</v>
      </c>
      <c r="R72" s="11" t="s">
        <v>2064</v>
      </c>
      <c r="S72" s="11" t="s">
        <v>711</v>
      </c>
      <c r="T72" s="11"/>
      <c r="U72" s="29" t="s">
        <v>2065</v>
      </c>
    </row>
    <row r="73" spans="1:21" ht="110.4" hidden="1">
      <c r="A73" s="11" t="s">
        <v>2066</v>
      </c>
      <c r="B73" s="11" t="s">
        <v>29</v>
      </c>
      <c r="C73" s="11">
        <v>2</v>
      </c>
      <c r="D73" s="11" t="s">
        <v>914</v>
      </c>
      <c r="E73" s="11" t="s">
        <v>507</v>
      </c>
      <c r="F73" s="11" t="s">
        <v>2067</v>
      </c>
      <c r="G73" s="11" t="s">
        <v>2068</v>
      </c>
      <c r="H73" s="11" t="s">
        <v>1410</v>
      </c>
      <c r="I73" s="16">
        <v>1.5</v>
      </c>
      <c r="J73" s="11" t="s">
        <v>313</v>
      </c>
      <c r="K73" s="11" t="s">
        <v>772</v>
      </c>
      <c r="L73" s="11" t="s">
        <v>2069</v>
      </c>
      <c r="M73" s="11" t="s">
        <v>509</v>
      </c>
      <c r="N73" s="11" t="s">
        <v>2070</v>
      </c>
      <c r="O73" s="11" t="s">
        <v>2071</v>
      </c>
      <c r="P73" s="11" t="s">
        <v>144</v>
      </c>
      <c r="Q73" s="11" t="s">
        <v>2055</v>
      </c>
      <c r="R73" s="11" t="s">
        <v>2072</v>
      </c>
      <c r="S73" s="11" t="s">
        <v>711</v>
      </c>
      <c r="T73" s="11"/>
      <c r="U73" s="29" t="s">
        <v>2073</v>
      </c>
    </row>
    <row r="74" spans="1:21" ht="110.4" hidden="1">
      <c r="A74" s="11" t="s">
        <v>2074</v>
      </c>
      <c r="B74" s="11" t="s">
        <v>29</v>
      </c>
      <c r="C74" s="11">
        <v>3</v>
      </c>
      <c r="D74" s="11" t="s">
        <v>914</v>
      </c>
      <c r="E74" s="11" t="s">
        <v>2075</v>
      </c>
      <c r="F74" s="11" t="s">
        <v>2076</v>
      </c>
      <c r="G74" s="11" t="s">
        <v>2077</v>
      </c>
      <c r="H74" s="11" t="s">
        <v>1410</v>
      </c>
      <c r="I74" s="16">
        <v>1</v>
      </c>
      <c r="J74" s="11" t="s">
        <v>313</v>
      </c>
      <c r="K74" s="11" t="s">
        <v>2078</v>
      </c>
      <c r="L74" s="11" t="s">
        <v>2079</v>
      </c>
      <c r="M74" s="11" t="s">
        <v>2080</v>
      </c>
      <c r="N74" s="11" t="s">
        <v>2081</v>
      </c>
      <c r="O74" s="11" t="s">
        <v>2082</v>
      </c>
      <c r="P74" s="11" t="s">
        <v>106</v>
      </c>
      <c r="Q74" s="11" t="s">
        <v>2083</v>
      </c>
      <c r="R74" s="11" t="s">
        <v>2084</v>
      </c>
      <c r="S74" s="11" t="s">
        <v>711</v>
      </c>
      <c r="T74" s="11"/>
      <c r="U74" s="29" t="s">
        <v>2085</v>
      </c>
    </row>
    <row r="75" spans="1:21" ht="110.4" hidden="1">
      <c r="A75" s="11" t="s">
        <v>2086</v>
      </c>
      <c r="B75" s="11" t="s">
        <v>29</v>
      </c>
      <c r="C75" s="11">
        <v>4</v>
      </c>
      <c r="D75" s="11" t="s">
        <v>914</v>
      </c>
      <c r="E75" s="11" t="s">
        <v>2087</v>
      </c>
      <c r="F75" s="11" t="s">
        <v>2088</v>
      </c>
      <c r="G75" s="11" t="s">
        <v>2089</v>
      </c>
      <c r="H75" s="11" t="s">
        <v>1410</v>
      </c>
      <c r="I75" s="16">
        <v>1</v>
      </c>
      <c r="J75" s="11" t="s">
        <v>313</v>
      </c>
      <c r="K75" s="11" t="s">
        <v>2090</v>
      </c>
      <c r="L75" s="11" t="s">
        <v>2091</v>
      </c>
      <c r="M75" s="11" t="s">
        <v>2092</v>
      </c>
      <c r="N75" s="11" t="s">
        <v>2093</v>
      </c>
      <c r="O75" s="11" t="s">
        <v>2094</v>
      </c>
      <c r="P75" s="11" t="s">
        <v>2095</v>
      </c>
      <c r="Q75" s="11" t="s">
        <v>2074</v>
      </c>
      <c r="R75" s="11" t="s">
        <v>2096</v>
      </c>
      <c r="S75" s="11" t="s">
        <v>711</v>
      </c>
      <c r="T75" s="11"/>
      <c r="U75" s="29" t="s">
        <v>2097</v>
      </c>
    </row>
    <row r="76" spans="1:21" ht="110.4" hidden="1">
      <c r="A76" s="11" t="s">
        <v>2098</v>
      </c>
      <c r="B76" s="11" t="s">
        <v>29</v>
      </c>
      <c r="C76" s="11">
        <v>5</v>
      </c>
      <c r="D76" s="11" t="s">
        <v>914</v>
      </c>
      <c r="E76" s="11" t="s">
        <v>2099</v>
      </c>
      <c r="F76" s="11" t="s">
        <v>2100</v>
      </c>
      <c r="G76" s="11" t="s">
        <v>2101</v>
      </c>
      <c r="H76" s="11" t="s">
        <v>1410</v>
      </c>
      <c r="I76" s="16">
        <v>1</v>
      </c>
      <c r="J76" s="11" t="s">
        <v>313</v>
      </c>
      <c r="K76" s="11" t="s">
        <v>765</v>
      </c>
      <c r="L76" s="11" t="s">
        <v>2102</v>
      </c>
      <c r="M76" s="11" t="s">
        <v>509</v>
      </c>
      <c r="N76" s="11" t="s">
        <v>2103</v>
      </c>
      <c r="O76" s="11" t="s">
        <v>2104</v>
      </c>
      <c r="P76" s="11" t="s">
        <v>144</v>
      </c>
      <c r="Q76" s="11" t="s">
        <v>2066</v>
      </c>
      <c r="R76" s="11" t="s">
        <v>2105</v>
      </c>
      <c r="S76" s="11" t="s">
        <v>711</v>
      </c>
      <c r="T76" s="11"/>
      <c r="U76" s="29" t="s">
        <v>2106</v>
      </c>
    </row>
    <row r="77" spans="1:21" ht="110.4" hidden="1">
      <c r="A77" s="11" t="s">
        <v>2107</v>
      </c>
      <c r="B77" s="11" t="s">
        <v>29</v>
      </c>
      <c r="C77" s="11">
        <v>6</v>
      </c>
      <c r="D77" s="11" t="s">
        <v>914</v>
      </c>
      <c r="E77" s="11" t="s">
        <v>2108</v>
      </c>
      <c r="F77" s="11" t="s">
        <v>2109</v>
      </c>
      <c r="G77" s="11" t="s">
        <v>2110</v>
      </c>
      <c r="H77" s="11" t="s">
        <v>1410</v>
      </c>
      <c r="I77" s="16">
        <v>1.25</v>
      </c>
      <c r="J77" s="11" t="s">
        <v>318</v>
      </c>
      <c r="K77" s="11" t="s">
        <v>761</v>
      </c>
      <c r="L77" s="11" t="s">
        <v>2111</v>
      </c>
      <c r="M77" s="11" t="s">
        <v>1852</v>
      </c>
      <c r="N77" s="11" t="s">
        <v>2112</v>
      </c>
      <c r="O77" s="11" t="s">
        <v>2113</v>
      </c>
      <c r="P77" s="11" t="s">
        <v>167</v>
      </c>
      <c r="Q77" s="11" t="s">
        <v>2114</v>
      </c>
      <c r="R77" s="11" t="s">
        <v>2115</v>
      </c>
      <c r="S77" s="11" t="s">
        <v>711</v>
      </c>
      <c r="T77" s="11"/>
      <c r="U77" s="29" t="s">
        <v>2116</v>
      </c>
    </row>
    <row r="78" spans="1:21" ht="110.4" hidden="1">
      <c r="A78" s="11" t="s">
        <v>2117</v>
      </c>
      <c r="B78" s="11" t="s">
        <v>29</v>
      </c>
      <c r="C78" s="11">
        <v>7</v>
      </c>
      <c r="D78" s="11" t="s">
        <v>914</v>
      </c>
      <c r="E78" s="11" t="s">
        <v>2118</v>
      </c>
      <c r="F78" s="11" t="s">
        <v>2119</v>
      </c>
      <c r="G78" s="11" t="s">
        <v>2120</v>
      </c>
      <c r="H78" s="11" t="s">
        <v>1400</v>
      </c>
      <c r="I78" s="16">
        <v>1</v>
      </c>
      <c r="J78" s="11" t="s">
        <v>318</v>
      </c>
      <c r="K78" s="11" t="s">
        <v>2121</v>
      </c>
      <c r="L78" s="11" t="s">
        <v>2122</v>
      </c>
      <c r="M78" s="11" t="s">
        <v>520</v>
      </c>
      <c r="N78" s="11" t="s">
        <v>2123</v>
      </c>
      <c r="O78" s="11" t="s">
        <v>767</v>
      </c>
      <c r="P78" s="11" t="s">
        <v>676</v>
      </c>
      <c r="Q78" s="11" t="s">
        <v>2107</v>
      </c>
      <c r="R78" s="11" t="s">
        <v>2124</v>
      </c>
      <c r="S78" s="11" t="s">
        <v>711</v>
      </c>
      <c r="T78" s="11"/>
      <c r="U78" s="29" t="s">
        <v>2125</v>
      </c>
    </row>
    <row r="79" spans="1:21" ht="96.6" hidden="1">
      <c r="A79" s="11" t="s">
        <v>2126</v>
      </c>
      <c r="B79" s="11" t="s">
        <v>29</v>
      </c>
      <c r="C79" s="11">
        <v>8</v>
      </c>
      <c r="D79" s="11" t="s">
        <v>914</v>
      </c>
      <c r="E79" s="11" t="s">
        <v>2127</v>
      </c>
      <c r="F79" s="11" t="s">
        <v>2128</v>
      </c>
      <c r="G79" s="11" t="s">
        <v>2129</v>
      </c>
      <c r="H79" s="11" t="s">
        <v>2130</v>
      </c>
      <c r="I79" s="16">
        <v>1</v>
      </c>
      <c r="J79" s="11" t="s">
        <v>318</v>
      </c>
      <c r="K79" s="11" t="s">
        <v>761</v>
      </c>
      <c r="L79" s="11" t="s">
        <v>2131</v>
      </c>
      <c r="M79" s="11" t="s">
        <v>2132</v>
      </c>
      <c r="N79" s="11" t="s">
        <v>2133</v>
      </c>
      <c r="O79" s="11" t="s">
        <v>2134</v>
      </c>
      <c r="P79" s="11" t="s">
        <v>2135</v>
      </c>
      <c r="Q79" s="11" t="s">
        <v>2136</v>
      </c>
      <c r="R79" s="11" t="s">
        <v>2137</v>
      </c>
      <c r="S79" s="11" t="s">
        <v>711</v>
      </c>
      <c r="T79" s="11"/>
      <c r="U79" s="29" t="s">
        <v>2138</v>
      </c>
    </row>
    <row r="80" spans="1:21" ht="110.4">
      <c r="A80" t="s">
        <v>2139</v>
      </c>
      <c r="B80" t="s">
        <v>29</v>
      </c>
      <c r="C80">
        <v>9</v>
      </c>
      <c r="D80" t="s">
        <v>914</v>
      </c>
      <c r="E80" t="s">
        <v>2140</v>
      </c>
      <c r="F80" t="s">
        <v>2141</v>
      </c>
      <c r="G80" t="s">
        <v>2142</v>
      </c>
      <c r="H80" t="s">
        <v>1400</v>
      </c>
      <c r="I80">
        <v>1</v>
      </c>
      <c r="J80" t="s">
        <v>318</v>
      </c>
      <c r="K80" t="s">
        <v>778</v>
      </c>
      <c r="L80" t="s">
        <v>2143</v>
      </c>
      <c r="M80" t="s">
        <v>526</v>
      </c>
      <c r="N80" t="s">
        <v>2144</v>
      </c>
      <c r="O80" t="s">
        <v>2145</v>
      </c>
      <c r="P80" t="s">
        <v>676</v>
      </c>
      <c r="Q80" t="s">
        <v>2146</v>
      </c>
      <c r="R80" t="s">
        <v>2147</v>
      </c>
      <c r="S80" t="s">
        <v>711</v>
      </c>
      <c r="U80" s="29" t="s">
        <v>2148</v>
      </c>
    </row>
    <row r="81" spans="1:21" ht="110.4">
      <c r="A81" t="s">
        <v>2149</v>
      </c>
      <c r="B81" t="s">
        <v>29</v>
      </c>
      <c r="C81">
        <v>10</v>
      </c>
      <c r="D81" t="s">
        <v>914</v>
      </c>
      <c r="E81" t="s">
        <v>2150</v>
      </c>
      <c r="F81" t="s">
        <v>2151</v>
      </c>
      <c r="G81" t="s">
        <v>2152</v>
      </c>
      <c r="H81" t="s">
        <v>1400</v>
      </c>
      <c r="I81">
        <v>1.25</v>
      </c>
      <c r="J81" t="s">
        <v>323</v>
      </c>
      <c r="K81" t="s">
        <v>717</v>
      </c>
      <c r="L81" t="s">
        <v>2153</v>
      </c>
      <c r="M81" t="s">
        <v>531</v>
      </c>
      <c r="N81" t="s">
        <v>2154</v>
      </c>
      <c r="O81" t="s">
        <v>533</v>
      </c>
      <c r="P81" t="s">
        <v>676</v>
      </c>
      <c r="Q81" t="s">
        <v>2155</v>
      </c>
      <c r="R81" t="s">
        <v>2156</v>
      </c>
      <c r="S81" t="s">
        <v>711</v>
      </c>
      <c r="U81" s="29" t="s">
        <v>2157</v>
      </c>
    </row>
    <row r="82" spans="1:21" ht="110.4">
      <c r="A82" t="s">
        <v>2158</v>
      </c>
      <c r="B82" t="s">
        <v>29</v>
      </c>
      <c r="C82">
        <v>11</v>
      </c>
      <c r="D82" t="s">
        <v>914</v>
      </c>
      <c r="E82" t="s">
        <v>2159</v>
      </c>
      <c r="F82" t="s">
        <v>2160</v>
      </c>
      <c r="G82" t="s">
        <v>2161</v>
      </c>
      <c r="H82" t="s">
        <v>577</v>
      </c>
      <c r="I82">
        <v>0.75</v>
      </c>
      <c r="J82" t="s">
        <v>323</v>
      </c>
      <c r="K82" t="s">
        <v>781</v>
      </c>
      <c r="L82" t="s">
        <v>2162</v>
      </c>
      <c r="M82" t="s">
        <v>536</v>
      </c>
      <c r="N82" t="s">
        <v>2163</v>
      </c>
      <c r="O82" t="s">
        <v>538</v>
      </c>
      <c r="P82" t="s">
        <v>642</v>
      </c>
      <c r="Q82" t="s">
        <v>2149</v>
      </c>
      <c r="R82" t="s">
        <v>2164</v>
      </c>
      <c r="S82" t="s">
        <v>711</v>
      </c>
      <c r="U82" s="29" t="s">
        <v>2165</v>
      </c>
    </row>
    <row r="83" spans="1:21" ht="110.4">
      <c r="A83" t="s">
        <v>2166</v>
      </c>
      <c r="B83" t="s">
        <v>29</v>
      </c>
      <c r="C83">
        <v>12</v>
      </c>
      <c r="D83" t="s">
        <v>914</v>
      </c>
      <c r="E83" t="s">
        <v>2167</v>
      </c>
      <c r="F83" t="s">
        <v>2168</v>
      </c>
      <c r="G83" t="s">
        <v>2169</v>
      </c>
      <c r="H83" t="s">
        <v>577</v>
      </c>
      <c r="I83">
        <v>1.25</v>
      </c>
      <c r="J83" t="s">
        <v>308</v>
      </c>
      <c r="K83" t="s">
        <v>1481</v>
      </c>
      <c r="L83" t="s">
        <v>2170</v>
      </c>
      <c r="M83" t="s">
        <v>503</v>
      </c>
      <c r="N83" t="s">
        <v>2171</v>
      </c>
      <c r="O83" t="s">
        <v>542</v>
      </c>
      <c r="P83" t="s">
        <v>2172</v>
      </c>
      <c r="Q83" t="s">
        <v>2158</v>
      </c>
      <c r="R83" t="s">
        <v>2173</v>
      </c>
      <c r="S83" t="s">
        <v>711</v>
      </c>
      <c r="U83" s="29" t="s">
        <v>2174</v>
      </c>
    </row>
    <row r="84" spans="1:21" ht="110.4">
      <c r="A84" t="s">
        <v>2175</v>
      </c>
      <c r="B84" t="s">
        <v>29</v>
      </c>
      <c r="C84">
        <v>13</v>
      </c>
      <c r="D84" t="s">
        <v>914</v>
      </c>
      <c r="E84" t="s">
        <v>2176</v>
      </c>
      <c r="F84" t="s">
        <v>2177</v>
      </c>
      <c r="G84" t="s">
        <v>2178</v>
      </c>
      <c r="H84" t="s">
        <v>577</v>
      </c>
      <c r="I84">
        <v>1</v>
      </c>
      <c r="J84" t="s">
        <v>323</v>
      </c>
      <c r="K84" t="s">
        <v>1394</v>
      </c>
      <c r="L84" t="s">
        <v>2179</v>
      </c>
      <c r="M84" t="s">
        <v>2180</v>
      </c>
      <c r="N84" t="s">
        <v>2181</v>
      </c>
      <c r="O84" t="s">
        <v>2182</v>
      </c>
      <c r="P84" t="s">
        <v>669</v>
      </c>
      <c r="Q84" t="s">
        <v>2183</v>
      </c>
      <c r="R84" t="s">
        <v>2184</v>
      </c>
      <c r="S84" t="s">
        <v>711</v>
      </c>
      <c r="U84" s="29" t="s">
        <v>2185</v>
      </c>
    </row>
    <row r="85" spans="1:21" ht="69">
      <c r="A85" t="s">
        <v>2186</v>
      </c>
      <c r="B85" t="s">
        <v>29</v>
      </c>
      <c r="C85">
        <v>14</v>
      </c>
      <c r="D85" t="s">
        <v>914</v>
      </c>
      <c r="E85" t="s">
        <v>1513</v>
      </c>
      <c r="F85" t="s">
        <v>2187</v>
      </c>
      <c r="G85" t="s">
        <v>2188</v>
      </c>
      <c r="H85" t="s">
        <v>1400</v>
      </c>
      <c r="I85">
        <v>1.5</v>
      </c>
      <c r="J85" t="s">
        <v>1516</v>
      </c>
      <c r="K85" t="s">
        <v>1394</v>
      </c>
      <c r="L85" t="s">
        <v>2189</v>
      </c>
      <c r="M85" t="s">
        <v>1518</v>
      </c>
      <c r="N85" t="s">
        <v>2190</v>
      </c>
      <c r="O85" t="s">
        <v>2191</v>
      </c>
      <c r="P85" t="s">
        <v>2192</v>
      </c>
      <c r="Q85" t="s">
        <v>2175</v>
      </c>
      <c r="R85" t="s">
        <v>1522</v>
      </c>
      <c r="S85" t="s">
        <v>711</v>
      </c>
      <c r="T85" t="s">
        <v>2193</v>
      </c>
      <c r="U85" s="29" t="s">
        <v>2194</v>
      </c>
    </row>
  </sheetData>
  <mergeCells count="2">
    <mergeCell ref="A1:T1"/>
    <mergeCell ref="A2:T2"/>
  </mergeCells>
  <conditionalFormatting sqref="S6:S79">
    <cfRule type="containsText" dxfId="62" priority="1" operator="containsText" text="Done"/>
    <cfRule type="containsText" dxfId="61" priority="2" operator="containsText" text="Blocked"/>
    <cfRule type="containsText" dxfId="60" priority="3" operator="containsText" text="In Progress"/>
    <cfRule type="containsText" dxfId="59" priority="4" operator="containsText" text="Ready for Review"/>
  </conditionalFormatting>
  <dataValidations count="1">
    <dataValidation type="list" sqref="S6:S79" xr:uid="{00000000-0002-0000-0200-000000000000}">
      <formula1>"Not Started,In Progress,Blocked,Ready for Review,Done,Deferred"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34</v>
      </c>
      <c r="B1" s="51"/>
      <c r="C1" s="51"/>
      <c r="D1" s="51"/>
      <c r="E1" s="51"/>
      <c r="F1" s="51"/>
      <c r="G1" s="51"/>
      <c r="H1" s="51"/>
      <c r="I1" s="51"/>
      <c r="J1" s="51"/>
      <c r="K1" s="51"/>
      <c r="L1" s="51"/>
      <c r="M1" s="51"/>
      <c r="N1" s="51"/>
      <c r="O1" s="51"/>
    </row>
    <row r="2" spans="1:16" ht="31.95" customHeight="1">
      <c r="A2" s="52" t="s">
        <v>35</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0.52173913043478259</v>
      </c>
      <c r="B5" s="92"/>
      <c r="D5" s="95">
        <f>COUNTIF(O10:O40,"Blocked")</f>
        <v>0</v>
      </c>
      <c r="E5" s="96"/>
      <c r="G5" s="99" t="s">
        <v>37</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96.6">
      <c r="A10" s="10" t="s">
        <v>205</v>
      </c>
      <c r="B10" s="10">
        <v>1</v>
      </c>
      <c r="C10" s="10" t="s">
        <v>914</v>
      </c>
      <c r="D10" s="10" t="s">
        <v>351</v>
      </c>
      <c r="E10" s="10" t="s">
        <v>1388</v>
      </c>
      <c r="F10" s="10" t="s">
        <v>1389</v>
      </c>
      <c r="G10" s="10" t="s">
        <v>577</v>
      </c>
      <c r="H10" s="15">
        <v>1</v>
      </c>
      <c r="I10" s="10" t="s">
        <v>201</v>
      </c>
      <c r="J10" s="10" t="s">
        <v>1390</v>
      </c>
      <c r="K10" s="10" t="s">
        <v>1391</v>
      </c>
      <c r="L10" s="10" t="s">
        <v>1392</v>
      </c>
      <c r="M10" s="10" t="s">
        <v>548</v>
      </c>
      <c r="N10" s="10" t="s">
        <v>1395</v>
      </c>
      <c r="O10" s="10" t="s">
        <v>15</v>
      </c>
      <c r="P10" s="29" t="s">
        <v>1397</v>
      </c>
    </row>
    <row r="11" spans="1:16" ht="96.6">
      <c r="A11" s="11" t="s">
        <v>210</v>
      </c>
      <c r="B11" s="11">
        <v>2</v>
      </c>
      <c r="C11" s="11" t="s">
        <v>914</v>
      </c>
      <c r="D11" s="11" t="s">
        <v>552</v>
      </c>
      <c r="E11" s="11" t="s">
        <v>1398</v>
      </c>
      <c r="F11" s="11" t="s">
        <v>1399</v>
      </c>
      <c r="G11" s="11" t="s">
        <v>1400</v>
      </c>
      <c r="H11" s="16">
        <v>0.5</v>
      </c>
      <c r="I11" s="11" t="s">
        <v>206</v>
      </c>
      <c r="J11" s="11" t="s">
        <v>1394</v>
      </c>
      <c r="K11" s="11" t="s">
        <v>1401</v>
      </c>
      <c r="L11" s="11" t="s">
        <v>554</v>
      </c>
      <c r="M11" s="11" t="s">
        <v>556</v>
      </c>
      <c r="N11" s="11" t="s">
        <v>1403</v>
      </c>
      <c r="O11" s="11" t="s">
        <v>15</v>
      </c>
      <c r="P11" s="29" t="s">
        <v>1405</v>
      </c>
    </row>
    <row r="12" spans="1:16" ht="110.4">
      <c r="A12" s="11" t="s">
        <v>1406</v>
      </c>
      <c r="B12" s="11">
        <v>3</v>
      </c>
      <c r="C12" s="11" t="s">
        <v>914</v>
      </c>
      <c r="D12" s="11" t="s">
        <v>1407</v>
      </c>
      <c r="E12" s="11" t="s">
        <v>1408</v>
      </c>
      <c r="F12" s="11" t="s">
        <v>1409</v>
      </c>
      <c r="G12" s="11" t="s">
        <v>1410</v>
      </c>
      <c r="H12" s="16">
        <v>1.5</v>
      </c>
      <c r="I12" s="11" t="s">
        <v>211</v>
      </c>
      <c r="J12" s="11" t="s">
        <v>732</v>
      </c>
      <c r="K12" s="11" t="s">
        <v>1411</v>
      </c>
      <c r="L12" s="11" t="s">
        <v>1412</v>
      </c>
      <c r="M12" s="11" t="s">
        <v>1414</v>
      </c>
      <c r="N12" s="11" t="s">
        <v>1415</v>
      </c>
      <c r="O12" s="11" t="s">
        <v>15</v>
      </c>
      <c r="P12" s="29" t="s">
        <v>1417</v>
      </c>
    </row>
    <row r="13" spans="1:16" ht="110.4">
      <c r="A13" s="11" t="s">
        <v>1418</v>
      </c>
      <c r="B13" s="11">
        <v>4</v>
      </c>
      <c r="C13" s="11" t="s">
        <v>914</v>
      </c>
      <c r="D13" s="11" t="s">
        <v>1419</v>
      </c>
      <c r="E13" s="11" t="s">
        <v>1420</v>
      </c>
      <c r="F13" s="11" t="s">
        <v>1421</v>
      </c>
      <c r="G13" s="11" t="s">
        <v>1410</v>
      </c>
      <c r="H13" s="16">
        <v>1</v>
      </c>
      <c r="I13" s="11" t="s">
        <v>211</v>
      </c>
      <c r="J13" s="11" t="s">
        <v>1422</v>
      </c>
      <c r="K13" s="11" t="s">
        <v>1423</v>
      </c>
      <c r="L13" s="11" t="s">
        <v>372</v>
      </c>
      <c r="M13" s="11" t="s">
        <v>374</v>
      </c>
      <c r="N13" s="11" t="s">
        <v>1425</v>
      </c>
      <c r="O13" s="11" t="s">
        <v>15</v>
      </c>
      <c r="P13" s="29" t="s">
        <v>1426</v>
      </c>
    </row>
    <row r="14" spans="1:16" ht="124.2">
      <c r="A14" s="11" t="s">
        <v>220</v>
      </c>
      <c r="B14" s="11">
        <v>5</v>
      </c>
      <c r="C14" s="11" t="s">
        <v>914</v>
      </c>
      <c r="D14" s="11" t="s">
        <v>1427</v>
      </c>
      <c r="E14" s="11" t="s">
        <v>1428</v>
      </c>
      <c r="F14" s="11" t="s">
        <v>1429</v>
      </c>
      <c r="G14" s="11" t="s">
        <v>1410</v>
      </c>
      <c r="H14" s="16">
        <v>1.5</v>
      </c>
      <c r="I14" s="11" t="s">
        <v>216</v>
      </c>
      <c r="J14" s="11" t="s">
        <v>1430</v>
      </c>
      <c r="K14" s="11" t="s">
        <v>1431</v>
      </c>
      <c r="L14" s="11" t="s">
        <v>1432</v>
      </c>
      <c r="M14" s="11" t="s">
        <v>365</v>
      </c>
      <c r="N14" s="11" t="s">
        <v>1434</v>
      </c>
      <c r="O14" s="11" t="s">
        <v>15</v>
      </c>
      <c r="P14" s="29" t="s">
        <v>1435</v>
      </c>
    </row>
    <row r="15" spans="1:16" ht="110.4">
      <c r="A15" s="11" t="s">
        <v>1436</v>
      </c>
      <c r="B15" s="11">
        <v>6</v>
      </c>
      <c r="C15" s="11" t="s">
        <v>914</v>
      </c>
      <c r="D15" s="11" t="s">
        <v>1437</v>
      </c>
      <c r="E15" s="11" t="s">
        <v>1438</v>
      </c>
      <c r="F15" s="11" t="s">
        <v>1439</v>
      </c>
      <c r="G15" s="11" t="s">
        <v>1410</v>
      </c>
      <c r="H15" s="16">
        <v>1.25</v>
      </c>
      <c r="I15" s="11" t="s">
        <v>221</v>
      </c>
      <c r="J15" s="11" t="s">
        <v>1394</v>
      </c>
      <c r="K15" s="11" t="s">
        <v>1440</v>
      </c>
      <c r="L15" s="11" t="s">
        <v>1441</v>
      </c>
      <c r="M15" s="11" t="s">
        <v>1443</v>
      </c>
      <c r="N15" s="11" t="s">
        <v>1445</v>
      </c>
      <c r="O15" s="11" t="s">
        <v>15</v>
      </c>
      <c r="P15" s="29" t="s">
        <v>1446</v>
      </c>
    </row>
    <row r="16" spans="1:16" ht="124.2">
      <c r="A16" s="11" t="s">
        <v>1447</v>
      </c>
      <c r="B16" s="11">
        <v>7</v>
      </c>
      <c r="C16" s="11" t="s">
        <v>914</v>
      </c>
      <c r="D16" s="11" t="s">
        <v>1448</v>
      </c>
      <c r="E16" s="11" t="s">
        <v>1449</v>
      </c>
      <c r="F16" s="11" t="s">
        <v>1450</v>
      </c>
      <c r="G16" s="11" t="s">
        <v>1410</v>
      </c>
      <c r="H16" s="16">
        <v>1</v>
      </c>
      <c r="I16" s="11" t="s">
        <v>211</v>
      </c>
      <c r="J16" s="11" t="s">
        <v>1394</v>
      </c>
      <c r="K16" s="11" t="s">
        <v>1451</v>
      </c>
      <c r="L16" s="11" t="s">
        <v>1452</v>
      </c>
      <c r="M16" s="11" t="s">
        <v>1454</v>
      </c>
      <c r="N16" s="11" t="s">
        <v>1456</v>
      </c>
      <c r="O16" s="11" t="s">
        <v>15</v>
      </c>
      <c r="P16" s="29" t="s">
        <v>1457</v>
      </c>
    </row>
    <row r="17" spans="1:16" ht="110.4">
      <c r="A17" s="11" t="s">
        <v>1458</v>
      </c>
      <c r="B17" s="11">
        <v>8</v>
      </c>
      <c r="C17" s="11" t="s">
        <v>914</v>
      </c>
      <c r="D17" s="11" t="s">
        <v>752</v>
      </c>
      <c r="E17" s="11" t="s">
        <v>1459</v>
      </c>
      <c r="F17" s="11" t="s">
        <v>1460</v>
      </c>
      <c r="G17" s="11" t="s">
        <v>1410</v>
      </c>
      <c r="H17" s="16">
        <v>1</v>
      </c>
      <c r="I17" s="11" t="s">
        <v>221</v>
      </c>
      <c r="J17" s="11" t="s">
        <v>751</v>
      </c>
      <c r="K17" s="11" t="s">
        <v>1461</v>
      </c>
      <c r="L17" s="11" t="s">
        <v>379</v>
      </c>
      <c r="M17" s="11" t="s">
        <v>381</v>
      </c>
      <c r="N17" s="11" t="s">
        <v>1463</v>
      </c>
      <c r="O17" s="11" t="s">
        <v>15</v>
      </c>
      <c r="P17" s="29" t="s">
        <v>1464</v>
      </c>
    </row>
    <row r="18" spans="1:16" ht="124.2">
      <c r="A18" s="11" t="s">
        <v>1465</v>
      </c>
      <c r="B18" s="11">
        <v>9</v>
      </c>
      <c r="C18" s="11" t="s">
        <v>914</v>
      </c>
      <c r="D18" s="11" t="s">
        <v>1466</v>
      </c>
      <c r="E18" s="11" t="s">
        <v>1467</v>
      </c>
      <c r="F18" s="11" t="s">
        <v>1468</v>
      </c>
      <c r="G18" s="11" t="s">
        <v>1410</v>
      </c>
      <c r="H18" s="16">
        <v>1.25</v>
      </c>
      <c r="I18" s="11" t="s">
        <v>226</v>
      </c>
      <c r="J18" s="11" t="s">
        <v>1469</v>
      </c>
      <c r="K18" s="11" t="s">
        <v>1470</v>
      </c>
      <c r="L18" s="11" t="s">
        <v>1471</v>
      </c>
      <c r="M18" s="11" t="s">
        <v>1473</v>
      </c>
      <c r="N18" s="11" t="s">
        <v>1474</v>
      </c>
      <c r="O18" s="11" t="s">
        <v>15</v>
      </c>
      <c r="P18" s="29" t="s">
        <v>1476</v>
      </c>
    </row>
    <row r="19" spans="1:16" ht="110.4">
      <c r="A19" s="11" t="s">
        <v>1477</v>
      </c>
      <c r="B19" s="11">
        <v>10</v>
      </c>
      <c r="C19" s="11" t="s">
        <v>914</v>
      </c>
      <c r="D19" s="11" t="s">
        <v>1478</v>
      </c>
      <c r="E19" s="11" t="s">
        <v>1479</v>
      </c>
      <c r="F19" s="11" t="s">
        <v>1480</v>
      </c>
      <c r="G19" s="11" t="s">
        <v>1410</v>
      </c>
      <c r="H19" s="16">
        <v>1.5</v>
      </c>
      <c r="I19" s="11" t="s">
        <v>226</v>
      </c>
      <c r="J19" s="11" t="s">
        <v>1481</v>
      </c>
      <c r="K19" s="11" t="s">
        <v>1482</v>
      </c>
      <c r="L19" s="11" t="s">
        <v>1483</v>
      </c>
      <c r="M19" s="11" t="s">
        <v>1485</v>
      </c>
      <c r="N19" s="11" t="s">
        <v>1487</v>
      </c>
      <c r="O19" s="11" t="s">
        <v>15</v>
      </c>
      <c r="P19" s="29" t="s">
        <v>1488</v>
      </c>
    </row>
    <row r="20" spans="1:16" ht="110.4">
      <c r="A20" s="11" t="s">
        <v>1489</v>
      </c>
      <c r="B20" s="11">
        <v>11</v>
      </c>
      <c r="C20" s="11" t="s">
        <v>914</v>
      </c>
      <c r="D20" s="11" t="s">
        <v>1490</v>
      </c>
      <c r="E20" s="11" t="s">
        <v>1491</v>
      </c>
      <c r="F20" s="11" t="s">
        <v>1492</v>
      </c>
      <c r="G20" s="11" t="s">
        <v>1410</v>
      </c>
      <c r="H20" s="16">
        <v>1</v>
      </c>
      <c r="I20" s="11" t="s">
        <v>226</v>
      </c>
      <c r="J20" s="11" t="s">
        <v>1493</v>
      </c>
      <c r="K20" s="11" t="s">
        <v>1494</v>
      </c>
      <c r="L20" s="11" t="s">
        <v>387</v>
      </c>
      <c r="M20" s="11" t="s">
        <v>389</v>
      </c>
      <c r="N20" s="11" t="s">
        <v>1497</v>
      </c>
      <c r="O20" s="11" t="s">
        <v>15</v>
      </c>
      <c r="P20" s="29" t="s">
        <v>1498</v>
      </c>
    </row>
    <row r="21" spans="1:16" ht="96.6">
      <c r="A21" s="11" t="s">
        <v>1499</v>
      </c>
      <c r="B21" s="11">
        <v>12</v>
      </c>
      <c r="C21" s="11" t="s">
        <v>914</v>
      </c>
      <c r="D21" s="11" t="s">
        <v>1500</v>
      </c>
      <c r="E21" s="11" t="s">
        <v>1501</v>
      </c>
      <c r="F21" s="11" t="s">
        <v>1502</v>
      </c>
      <c r="G21" s="11" t="s">
        <v>577</v>
      </c>
      <c r="H21" s="16">
        <v>1</v>
      </c>
      <c r="I21" s="11" t="s">
        <v>328</v>
      </c>
      <c r="J21" s="11" t="s">
        <v>1503</v>
      </c>
      <c r="K21" s="11" t="s">
        <v>1504</v>
      </c>
      <c r="L21" s="11" t="s">
        <v>1505</v>
      </c>
      <c r="M21" s="11" t="s">
        <v>1507</v>
      </c>
      <c r="N21" s="11" t="s">
        <v>1509</v>
      </c>
      <c r="O21" s="11" t="s">
        <v>15</v>
      </c>
      <c r="P21" s="29" t="s">
        <v>1511</v>
      </c>
    </row>
    <row r="22" spans="1:16" ht="82.8">
      <c r="A22" t="s">
        <v>1512</v>
      </c>
      <c r="B22">
        <v>13</v>
      </c>
      <c r="C22" t="s">
        <v>914</v>
      </c>
      <c r="D22" t="s">
        <v>1513</v>
      </c>
      <c r="E22" t="s">
        <v>1514</v>
      </c>
      <c r="F22" t="s">
        <v>1515</v>
      </c>
      <c r="G22" t="s">
        <v>1400</v>
      </c>
      <c r="H22">
        <v>1</v>
      </c>
      <c r="I22" t="s">
        <v>1516</v>
      </c>
      <c r="J22" t="s">
        <v>1394</v>
      </c>
      <c r="K22" t="s">
        <v>1517</v>
      </c>
      <c r="L22" t="s">
        <v>1518</v>
      </c>
      <c r="M22" t="s">
        <v>1520</v>
      </c>
      <c r="N22" t="s">
        <v>1522</v>
      </c>
      <c r="O22" t="s">
        <v>711</v>
      </c>
      <c r="P22" s="29" t="s">
        <v>1524</v>
      </c>
    </row>
    <row r="23" spans="1:16" ht="24" customHeight="1">
      <c r="A23" s="89"/>
      <c r="B23" s="89"/>
      <c r="C23" s="89"/>
      <c r="D23" s="89"/>
      <c r="E23" s="89"/>
      <c r="F23" s="89"/>
      <c r="G23" s="89"/>
      <c r="H23" s="90"/>
      <c r="I23" s="90"/>
      <c r="J23" s="90"/>
      <c r="K23" s="90"/>
      <c r="L23" s="90"/>
      <c r="M23" s="90"/>
      <c r="N23" s="90"/>
      <c r="O23" s="90"/>
    </row>
    <row r="24" spans="1:16" ht="34.049999999999997" customHeight="1">
      <c r="A24" s="30" t="s">
        <v>2203</v>
      </c>
      <c r="B24" s="30"/>
      <c r="C24" s="30"/>
      <c r="D24" s="30"/>
      <c r="E24" s="30"/>
      <c r="F24" s="30"/>
      <c r="G24" s="30"/>
      <c r="H24" s="31"/>
      <c r="I24" s="31"/>
      <c r="J24" s="31"/>
      <c r="K24" s="31"/>
      <c r="L24" s="31"/>
      <c r="M24" s="31"/>
      <c r="N24" s="31"/>
      <c r="O24" s="31"/>
      <c r="P24" s="31"/>
    </row>
    <row r="25" spans="1:16" ht="48" customHeight="1">
      <c r="A25" s="33" t="s">
        <v>826</v>
      </c>
      <c r="B25" s="33" t="s">
        <v>184</v>
      </c>
      <c r="C25" s="33" t="s">
        <v>185</v>
      </c>
      <c r="D25" s="33" t="s">
        <v>186</v>
      </c>
      <c r="E25" s="33" t="s">
        <v>187</v>
      </c>
      <c r="F25" s="33" t="s">
        <v>188</v>
      </c>
      <c r="G25" s="33" t="s">
        <v>190</v>
      </c>
    </row>
    <row r="26" spans="1:16" ht="52.05" customHeight="1">
      <c r="A26" s="22">
        <v>1</v>
      </c>
      <c r="B26" s="22" t="s">
        <v>201</v>
      </c>
      <c r="C26" s="22" t="s">
        <v>202</v>
      </c>
      <c r="D26" s="22" t="s">
        <v>203</v>
      </c>
      <c r="E26" s="22" t="s">
        <v>204</v>
      </c>
      <c r="F26" s="22" t="s">
        <v>2204</v>
      </c>
      <c r="G26" s="22" t="s">
        <v>2205</v>
      </c>
    </row>
    <row r="27" spans="1:16" ht="52.05" customHeight="1">
      <c r="A27" s="34">
        <v>2</v>
      </c>
      <c r="B27" s="34" t="s">
        <v>206</v>
      </c>
      <c r="C27" s="34" t="s">
        <v>207</v>
      </c>
      <c r="D27" s="34" t="s">
        <v>208</v>
      </c>
      <c r="E27" s="34" t="s">
        <v>209</v>
      </c>
      <c r="F27" s="34" t="s">
        <v>2206</v>
      </c>
      <c r="G27" s="34" t="s">
        <v>2205</v>
      </c>
    </row>
    <row r="28" spans="1:16" ht="52.05" customHeight="1">
      <c r="A28" s="22">
        <v>3</v>
      </c>
      <c r="B28" s="22" t="s">
        <v>211</v>
      </c>
      <c r="C28" s="22" t="s">
        <v>212</v>
      </c>
      <c r="D28" s="22" t="s">
        <v>213</v>
      </c>
      <c r="E28" s="22" t="s">
        <v>214</v>
      </c>
      <c r="F28" s="22" t="s">
        <v>2207</v>
      </c>
      <c r="G28" s="22" t="s">
        <v>2208</v>
      </c>
    </row>
    <row r="29" spans="1:16" ht="52.05" customHeight="1">
      <c r="A29" s="34">
        <v>4</v>
      </c>
      <c r="B29" s="34" t="s">
        <v>216</v>
      </c>
      <c r="C29" s="34" t="s">
        <v>217</v>
      </c>
      <c r="D29" s="34" t="s">
        <v>218</v>
      </c>
      <c r="E29" s="34" t="s">
        <v>219</v>
      </c>
      <c r="F29" s="34" t="s">
        <v>2209</v>
      </c>
      <c r="G29" s="34" t="s">
        <v>2208</v>
      </c>
    </row>
    <row r="30" spans="1:16" ht="52.05" customHeight="1">
      <c r="A30" s="22">
        <v>5</v>
      </c>
      <c r="B30" s="22" t="s">
        <v>221</v>
      </c>
      <c r="C30" s="22" t="s">
        <v>222</v>
      </c>
      <c r="D30" s="22" t="s">
        <v>223</v>
      </c>
      <c r="E30" s="22" t="s">
        <v>224</v>
      </c>
      <c r="F30" s="22" t="s">
        <v>2210</v>
      </c>
      <c r="G30" s="22" t="s">
        <v>2208</v>
      </c>
    </row>
    <row r="31" spans="1:16" ht="52.05" customHeight="1">
      <c r="A31" s="34">
        <v>6</v>
      </c>
      <c r="B31" s="34" t="s">
        <v>226</v>
      </c>
      <c r="C31" s="34" t="s">
        <v>227</v>
      </c>
      <c r="D31" s="34" t="s">
        <v>228</v>
      </c>
      <c r="E31" s="34" t="s">
        <v>229</v>
      </c>
      <c r="F31" s="34" t="s">
        <v>2211</v>
      </c>
      <c r="G31" s="34" t="s">
        <v>2208</v>
      </c>
    </row>
    <row r="32" spans="1:16" ht="52.05" customHeight="1">
      <c r="A32" s="35">
        <v>7</v>
      </c>
      <c r="B32" s="35" t="s">
        <v>328</v>
      </c>
      <c r="C32" s="35" t="s">
        <v>330</v>
      </c>
      <c r="D32" s="35" t="s">
        <v>2212</v>
      </c>
      <c r="E32" s="35" t="s">
        <v>332</v>
      </c>
      <c r="F32" s="35" t="s">
        <v>2213</v>
      </c>
      <c r="G32" s="35" t="s">
        <v>2205</v>
      </c>
    </row>
    <row r="33" spans="1:7" ht="52.05" customHeight="1">
      <c r="A33" s="35">
        <v>8</v>
      </c>
      <c r="B33" s="35" t="s">
        <v>1516</v>
      </c>
      <c r="C33" s="35" t="s">
        <v>2214</v>
      </c>
      <c r="D33" s="35" t="s">
        <v>2215</v>
      </c>
      <c r="E33" s="35" t="s">
        <v>2216</v>
      </c>
      <c r="F33" s="35" t="s">
        <v>2217</v>
      </c>
      <c r="G33" s="35" t="s">
        <v>2218</v>
      </c>
    </row>
  </sheetData>
  <mergeCells count="9">
    <mergeCell ref="A23:O23"/>
    <mergeCell ref="A1:O1"/>
    <mergeCell ref="A2:O2"/>
    <mergeCell ref="A4:B4"/>
    <mergeCell ref="A5:B6"/>
    <mergeCell ref="D4:E4"/>
    <mergeCell ref="D5:E6"/>
    <mergeCell ref="G4:O4"/>
    <mergeCell ref="G5:O6"/>
  </mergeCells>
  <conditionalFormatting sqref="O10:O21">
    <cfRule type="containsText" dxfId="58" priority="1" operator="containsText" text="Done"/>
    <cfRule type="containsText" dxfId="57" priority="2" operator="containsText" text="Blocked"/>
    <cfRule type="containsText" dxfId="56" priority="3" operator="containsText" text="In Progress"/>
    <cfRule type="containsText" dxfId="55" priority="4" operator="containsText" text="Ready for Review"/>
  </conditionalFormatting>
  <dataValidations count="1">
    <dataValidation type="list" sqref="O10:O21"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38</v>
      </c>
      <c r="B1" s="51"/>
      <c r="C1" s="51"/>
      <c r="D1" s="51"/>
      <c r="E1" s="51"/>
      <c r="F1" s="51"/>
      <c r="G1" s="51"/>
      <c r="H1" s="51"/>
      <c r="I1" s="51"/>
      <c r="J1" s="51"/>
      <c r="K1" s="51"/>
      <c r="L1" s="51"/>
      <c r="M1" s="51"/>
      <c r="N1" s="51"/>
      <c r="O1" s="51"/>
    </row>
    <row r="2" spans="1:16" ht="31.95" customHeight="1">
      <c r="A2" s="52" t="s">
        <v>39</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v>
      </c>
      <c r="B5" s="92"/>
      <c r="D5" s="95">
        <f>COUNTIF(O10:O40,"Blocked")</f>
        <v>0</v>
      </c>
      <c r="E5" s="96"/>
      <c r="G5" s="99" t="s">
        <v>40</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110.4" hidden="1">
      <c r="A10" s="10" t="s">
        <v>1525</v>
      </c>
      <c r="B10" s="10">
        <v>1</v>
      </c>
      <c r="C10" s="10" t="s">
        <v>914</v>
      </c>
      <c r="D10" s="10" t="s">
        <v>1526</v>
      </c>
      <c r="E10" s="10" t="s">
        <v>1527</v>
      </c>
      <c r="F10" s="10" t="s">
        <v>1528</v>
      </c>
      <c r="G10" s="10" t="s">
        <v>1410</v>
      </c>
      <c r="H10" s="15">
        <v>1</v>
      </c>
      <c r="I10" s="10" t="s">
        <v>231</v>
      </c>
      <c r="J10" s="10" t="s">
        <v>1529</v>
      </c>
      <c r="K10" s="10" t="s">
        <v>1530</v>
      </c>
      <c r="L10" s="10" t="s">
        <v>394</v>
      </c>
      <c r="M10" s="10" t="s">
        <v>1532</v>
      </c>
      <c r="N10" s="10" t="s">
        <v>1533</v>
      </c>
      <c r="O10" s="10" t="s">
        <v>711</v>
      </c>
      <c r="P10" s="29" t="s">
        <v>1534</v>
      </c>
    </row>
    <row r="11" spans="1:16" ht="124.2" hidden="1">
      <c r="A11" s="11" t="s">
        <v>1535</v>
      </c>
      <c r="B11" s="11">
        <v>2</v>
      </c>
      <c r="C11" s="11" t="s">
        <v>914</v>
      </c>
      <c r="D11" s="11" t="s">
        <v>1536</v>
      </c>
      <c r="E11" s="11" t="s">
        <v>1537</v>
      </c>
      <c r="F11" s="11" t="s">
        <v>1538</v>
      </c>
      <c r="G11" s="11" t="s">
        <v>1410</v>
      </c>
      <c r="H11" s="16">
        <v>1.25</v>
      </c>
      <c r="I11" s="11" t="s">
        <v>231</v>
      </c>
      <c r="J11" s="11" t="s">
        <v>1394</v>
      </c>
      <c r="K11" s="11" t="s">
        <v>1539</v>
      </c>
      <c r="L11" s="11" t="s">
        <v>1540</v>
      </c>
      <c r="M11" s="11" t="s">
        <v>1542</v>
      </c>
      <c r="N11" s="11" t="s">
        <v>1543</v>
      </c>
      <c r="O11" s="11" t="s">
        <v>711</v>
      </c>
      <c r="P11" s="29" t="s">
        <v>1544</v>
      </c>
    </row>
    <row r="12" spans="1:16" ht="110.4" hidden="1">
      <c r="A12" s="11" t="s">
        <v>1545</v>
      </c>
      <c r="B12" s="11">
        <v>3</v>
      </c>
      <c r="C12" s="11" t="s">
        <v>914</v>
      </c>
      <c r="D12" s="11" t="s">
        <v>1546</v>
      </c>
      <c r="E12" s="11" t="s">
        <v>1547</v>
      </c>
      <c r="F12" s="11" t="s">
        <v>1548</v>
      </c>
      <c r="G12" s="11" t="s">
        <v>1410</v>
      </c>
      <c r="H12" s="16">
        <v>1</v>
      </c>
      <c r="I12" s="11" t="s">
        <v>231</v>
      </c>
      <c r="J12" s="11" t="s">
        <v>1394</v>
      </c>
      <c r="K12" s="11" t="s">
        <v>1549</v>
      </c>
      <c r="L12" s="11" t="s">
        <v>1550</v>
      </c>
      <c r="M12" s="11" t="s">
        <v>1552</v>
      </c>
      <c r="N12" s="11" t="s">
        <v>1553</v>
      </c>
      <c r="O12" s="11" t="s">
        <v>711</v>
      </c>
      <c r="P12" s="29" t="s">
        <v>1554</v>
      </c>
    </row>
    <row r="13" spans="1:16" ht="110.4" hidden="1">
      <c r="A13" s="11" t="s">
        <v>1555</v>
      </c>
      <c r="B13" s="11">
        <v>4</v>
      </c>
      <c r="C13" s="11" t="s">
        <v>914</v>
      </c>
      <c r="D13" s="11" t="s">
        <v>1556</v>
      </c>
      <c r="E13" s="11" t="s">
        <v>1557</v>
      </c>
      <c r="F13" s="11" t="s">
        <v>1558</v>
      </c>
      <c r="G13" s="11" t="s">
        <v>1410</v>
      </c>
      <c r="H13" s="16">
        <v>1.5</v>
      </c>
      <c r="I13" s="11" t="s">
        <v>231</v>
      </c>
      <c r="J13" s="11" t="s">
        <v>1559</v>
      </c>
      <c r="K13" s="11" t="s">
        <v>1560</v>
      </c>
      <c r="L13" s="11" t="s">
        <v>1561</v>
      </c>
      <c r="M13" s="11" t="s">
        <v>1563</v>
      </c>
      <c r="N13" s="11" t="s">
        <v>1565</v>
      </c>
      <c r="O13" s="11" t="s">
        <v>711</v>
      </c>
      <c r="P13" s="29" t="s">
        <v>1566</v>
      </c>
    </row>
    <row r="14" spans="1:16" ht="124.2" hidden="1">
      <c r="A14" s="11" t="s">
        <v>236</v>
      </c>
      <c r="B14" s="11">
        <v>5</v>
      </c>
      <c r="C14" s="11" t="s">
        <v>914</v>
      </c>
      <c r="D14" s="11" t="s">
        <v>1013</v>
      </c>
      <c r="E14" s="11" t="s">
        <v>1567</v>
      </c>
      <c r="F14" s="11" t="s">
        <v>1568</v>
      </c>
      <c r="G14" s="11" t="s">
        <v>1410</v>
      </c>
      <c r="H14" s="16">
        <v>1.25</v>
      </c>
      <c r="I14" s="11" t="s">
        <v>232</v>
      </c>
      <c r="J14" s="11" t="s">
        <v>746</v>
      </c>
      <c r="K14" s="11" t="s">
        <v>1569</v>
      </c>
      <c r="L14" s="11" t="s">
        <v>406</v>
      </c>
      <c r="M14" s="11" t="s">
        <v>1571</v>
      </c>
      <c r="N14" s="11" t="s">
        <v>1572</v>
      </c>
      <c r="O14" s="11" t="s">
        <v>711</v>
      </c>
      <c r="P14" s="29" t="s">
        <v>1573</v>
      </c>
    </row>
    <row r="15" spans="1:16" ht="124.2" hidden="1">
      <c r="A15" s="11" t="s">
        <v>1574</v>
      </c>
      <c r="B15" s="11">
        <v>6</v>
      </c>
      <c r="C15" s="11" t="s">
        <v>914</v>
      </c>
      <c r="D15" s="11" t="s">
        <v>1232</v>
      </c>
      <c r="E15" s="11" t="s">
        <v>1575</v>
      </c>
      <c r="F15" s="11" t="s">
        <v>1576</v>
      </c>
      <c r="G15" s="11" t="s">
        <v>1410</v>
      </c>
      <c r="H15" s="16">
        <v>1.5</v>
      </c>
      <c r="I15" s="11" t="s">
        <v>237</v>
      </c>
      <c r="J15" s="11" t="s">
        <v>1577</v>
      </c>
      <c r="K15" s="11" t="s">
        <v>1578</v>
      </c>
      <c r="L15" s="11" t="s">
        <v>1579</v>
      </c>
      <c r="M15" s="11" t="s">
        <v>1581</v>
      </c>
      <c r="N15" s="11" t="s">
        <v>1583</v>
      </c>
      <c r="O15" s="11" t="s">
        <v>711</v>
      </c>
      <c r="P15" s="29" t="s">
        <v>1584</v>
      </c>
    </row>
    <row r="16" spans="1:16" ht="110.4" hidden="1">
      <c r="A16" s="11" t="s">
        <v>1585</v>
      </c>
      <c r="B16" s="11">
        <v>7</v>
      </c>
      <c r="C16" s="11" t="s">
        <v>914</v>
      </c>
      <c r="D16" s="11" t="s">
        <v>714</v>
      </c>
      <c r="E16" s="11" t="s">
        <v>1586</v>
      </c>
      <c r="F16" s="11" t="s">
        <v>1587</v>
      </c>
      <c r="G16" s="11" t="s">
        <v>1410</v>
      </c>
      <c r="H16" s="16">
        <v>1</v>
      </c>
      <c r="I16" s="11" t="s">
        <v>237</v>
      </c>
      <c r="J16" s="11" t="s">
        <v>713</v>
      </c>
      <c r="K16" s="11" t="s">
        <v>1588</v>
      </c>
      <c r="L16" s="11" t="s">
        <v>1589</v>
      </c>
      <c r="M16" s="11" t="s">
        <v>1591</v>
      </c>
      <c r="N16" s="11" t="s">
        <v>1592</v>
      </c>
      <c r="O16" s="11" t="s">
        <v>711</v>
      </c>
      <c r="P16" s="29" t="s">
        <v>1593</v>
      </c>
    </row>
    <row r="17" spans="1:16" ht="110.4" hidden="1">
      <c r="A17" s="11" t="s">
        <v>1594</v>
      </c>
      <c r="B17" s="11">
        <v>8</v>
      </c>
      <c r="C17" s="11" t="s">
        <v>914</v>
      </c>
      <c r="D17" s="11" t="s">
        <v>1595</v>
      </c>
      <c r="E17" s="11" t="s">
        <v>1596</v>
      </c>
      <c r="F17" s="11" t="s">
        <v>1597</v>
      </c>
      <c r="G17" s="11" t="s">
        <v>1410</v>
      </c>
      <c r="H17" s="16">
        <v>1</v>
      </c>
      <c r="I17" s="11" t="s">
        <v>231</v>
      </c>
      <c r="J17" s="11" t="s">
        <v>748</v>
      </c>
      <c r="K17" s="11" t="s">
        <v>1598</v>
      </c>
      <c r="L17" s="11" t="s">
        <v>1599</v>
      </c>
      <c r="M17" s="11" t="s">
        <v>1601</v>
      </c>
      <c r="N17" s="11" t="s">
        <v>1602</v>
      </c>
      <c r="O17" s="11" t="s">
        <v>711</v>
      </c>
      <c r="P17" s="29" t="s">
        <v>1603</v>
      </c>
    </row>
    <row r="18" spans="1:16" ht="110.4" hidden="1">
      <c r="A18" s="11" t="s">
        <v>1604</v>
      </c>
      <c r="B18" s="11">
        <v>9</v>
      </c>
      <c r="C18" s="11" t="s">
        <v>914</v>
      </c>
      <c r="D18" s="11" t="s">
        <v>1605</v>
      </c>
      <c r="E18" s="11" t="s">
        <v>1606</v>
      </c>
      <c r="F18" s="11" t="s">
        <v>1607</v>
      </c>
      <c r="G18" s="11" t="s">
        <v>1400</v>
      </c>
      <c r="H18" s="16">
        <v>1</v>
      </c>
      <c r="I18" s="11" t="s">
        <v>242</v>
      </c>
      <c r="J18" s="11" t="s">
        <v>1608</v>
      </c>
      <c r="K18" s="11" t="s">
        <v>1609</v>
      </c>
      <c r="L18" s="11" t="s">
        <v>1610</v>
      </c>
      <c r="M18" s="11" t="s">
        <v>1612</v>
      </c>
      <c r="N18" s="11" t="s">
        <v>1615</v>
      </c>
      <c r="O18" s="11" t="s">
        <v>711</v>
      </c>
      <c r="P18" s="29" t="s">
        <v>1616</v>
      </c>
    </row>
    <row r="19" spans="1:16" ht="110.4" hidden="1">
      <c r="A19" s="11" t="s">
        <v>1617</v>
      </c>
      <c r="B19" s="11">
        <v>10</v>
      </c>
      <c r="C19" s="11" t="s">
        <v>914</v>
      </c>
      <c r="D19" s="11" t="s">
        <v>1478</v>
      </c>
      <c r="E19" s="11" t="s">
        <v>1618</v>
      </c>
      <c r="F19" s="11" t="s">
        <v>1619</v>
      </c>
      <c r="G19" s="11" t="s">
        <v>1400</v>
      </c>
      <c r="H19" s="16">
        <v>1</v>
      </c>
      <c r="I19" s="11" t="s">
        <v>242</v>
      </c>
      <c r="J19" s="11" t="s">
        <v>781</v>
      </c>
      <c r="K19" s="11" t="s">
        <v>1620</v>
      </c>
      <c r="L19" s="11" t="s">
        <v>1621</v>
      </c>
      <c r="M19" s="11" t="s">
        <v>1623</v>
      </c>
      <c r="N19" s="11" t="s">
        <v>1625</v>
      </c>
      <c r="O19" s="11" t="s">
        <v>711</v>
      </c>
      <c r="P19" s="29" t="s">
        <v>1626</v>
      </c>
    </row>
    <row r="20" spans="1:16" ht="124.2">
      <c r="A20" s="11" t="s">
        <v>247</v>
      </c>
      <c r="B20" s="11">
        <v>11</v>
      </c>
      <c r="C20" s="11" t="s">
        <v>954</v>
      </c>
      <c r="D20" s="11" t="s">
        <v>1627</v>
      </c>
      <c r="E20" s="11" t="s">
        <v>1628</v>
      </c>
      <c r="F20" s="11" t="s">
        <v>1629</v>
      </c>
      <c r="G20" s="11" t="s">
        <v>577</v>
      </c>
      <c r="H20" s="16">
        <v>0.75</v>
      </c>
      <c r="I20" s="11" t="s">
        <v>243</v>
      </c>
      <c r="J20" s="11" t="s">
        <v>1394</v>
      </c>
      <c r="K20" s="11" t="s">
        <v>1630</v>
      </c>
      <c r="L20" s="11" t="s">
        <v>1631</v>
      </c>
      <c r="M20" s="11" t="s">
        <v>1633</v>
      </c>
      <c r="N20" s="11" t="s">
        <v>1635</v>
      </c>
      <c r="O20" s="11" t="s">
        <v>711</v>
      </c>
      <c r="P20" s="29" t="s">
        <v>1636</v>
      </c>
    </row>
    <row r="21" spans="1:16" ht="96.6" hidden="1">
      <c r="A21" s="11" t="s">
        <v>1637</v>
      </c>
      <c r="B21" s="11">
        <v>12</v>
      </c>
      <c r="C21" s="11" t="s">
        <v>914</v>
      </c>
      <c r="D21" s="11" t="s">
        <v>1500</v>
      </c>
      <c r="E21" s="11" t="s">
        <v>1638</v>
      </c>
      <c r="F21" s="11" t="s">
        <v>1639</v>
      </c>
      <c r="G21" s="11" t="s">
        <v>577</v>
      </c>
      <c r="H21" s="16">
        <v>0.75</v>
      </c>
      <c r="I21" s="11" t="s">
        <v>328</v>
      </c>
      <c r="J21" s="11" t="s">
        <v>1640</v>
      </c>
      <c r="K21" s="11" t="s">
        <v>1641</v>
      </c>
      <c r="L21" s="11" t="s">
        <v>1642</v>
      </c>
      <c r="M21" s="11" t="s">
        <v>1644</v>
      </c>
      <c r="N21" s="11" t="s">
        <v>1646</v>
      </c>
      <c r="O21" s="11" t="s">
        <v>711</v>
      </c>
      <c r="P21" s="29" t="s">
        <v>1647</v>
      </c>
    </row>
    <row r="22" spans="1:16" ht="82.8">
      <c r="A22" t="s">
        <v>1648</v>
      </c>
      <c r="B22">
        <v>13</v>
      </c>
      <c r="C22" t="s">
        <v>914</v>
      </c>
      <c r="D22" t="s">
        <v>1513</v>
      </c>
      <c r="E22" t="s">
        <v>1649</v>
      </c>
      <c r="F22" t="s">
        <v>1650</v>
      </c>
      <c r="G22" t="s">
        <v>1400</v>
      </c>
      <c r="H22">
        <v>1</v>
      </c>
      <c r="I22" t="s">
        <v>1516</v>
      </c>
      <c r="J22" t="s">
        <v>1394</v>
      </c>
      <c r="K22" t="s">
        <v>1651</v>
      </c>
      <c r="L22" t="s">
        <v>1518</v>
      </c>
      <c r="M22" t="s">
        <v>1652</v>
      </c>
      <c r="N22" t="s">
        <v>1522</v>
      </c>
      <c r="O22" t="s">
        <v>711</v>
      </c>
      <c r="P22" s="29" t="s">
        <v>1654</v>
      </c>
    </row>
    <row r="23" spans="1:16" ht="24" customHeight="1">
      <c r="A23" s="89"/>
      <c r="B23" s="89"/>
      <c r="C23" s="89"/>
      <c r="D23" s="89"/>
      <c r="E23" s="89"/>
      <c r="F23" s="89"/>
      <c r="G23" s="89"/>
      <c r="H23" s="90"/>
      <c r="I23" s="90"/>
      <c r="J23" s="90"/>
      <c r="K23" s="90"/>
      <c r="L23" s="90"/>
      <c r="M23" s="90"/>
      <c r="N23" s="90"/>
      <c r="O23" s="90"/>
    </row>
    <row r="24" spans="1:16" ht="34.049999999999997" customHeight="1">
      <c r="A24" s="30" t="s">
        <v>2203</v>
      </c>
      <c r="B24" s="30"/>
      <c r="C24" s="30"/>
      <c r="D24" s="30"/>
      <c r="E24" s="30"/>
      <c r="F24" s="30"/>
      <c r="G24" s="30"/>
      <c r="H24" s="31"/>
      <c r="I24" s="31"/>
      <c r="J24" s="31"/>
      <c r="K24" s="31"/>
      <c r="L24" s="31"/>
      <c r="M24" s="31"/>
      <c r="N24" s="31"/>
      <c r="O24" s="31"/>
      <c r="P24" s="31"/>
    </row>
    <row r="25" spans="1:16" ht="48" customHeight="1">
      <c r="A25" s="33" t="s">
        <v>826</v>
      </c>
      <c r="B25" s="33" t="s">
        <v>184</v>
      </c>
      <c r="C25" s="33" t="s">
        <v>185</v>
      </c>
      <c r="D25" s="33" t="s">
        <v>186</v>
      </c>
      <c r="E25" s="33" t="s">
        <v>187</v>
      </c>
      <c r="F25" s="33" t="s">
        <v>188</v>
      </c>
      <c r="G25" s="33" t="s">
        <v>190</v>
      </c>
    </row>
    <row r="26" spans="1:16" ht="52.05" customHeight="1">
      <c r="A26" s="22">
        <v>1</v>
      </c>
      <c r="B26" s="22" t="s">
        <v>231</v>
      </c>
      <c r="C26" s="22" t="s">
        <v>2219</v>
      </c>
      <c r="D26" s="22" t="s">
        <v>2220</v>
      </c>
      <c r="E26" s="22" t="s">
        <v>2221</v>
      </c>
      <c r="F26" s="22" t="s">
        <v>2222</v>
      </c>
      <c r="G26" s="22" t="s">
        <v>2208</v>
      </c>
    </row>
    <row r="27" spans="1:16" ht="52.05" customHeight="1">
      <c r="A27" s="34">
        <v>2</v>
      </c>
      <c r="B27" s="34" t="s">
        <v>232</v>
      </c>
      <c r="C27" s="34" t="s">
        <v>233</v>
      </c>
      <c r="D27" s="34" t="s">
        <v>234</v>
      </c>
      <c r="E27" s="34" t="s">
        <v>235</v>
      </c>
      <c r="F27" s="34" t="s">
        <v>2223</v>
      </c>
      <c r="G27" s="34" t="s">
        <v>2208</v>
      </c>
    </row>
    <row r="28" spans="1:16" ht="52.05" customHeight="1">
      <c r="A28" s="22">
        <v>3</v>
      </c>
      <c r="B28" s="22" t="s">
        <v>237</v>
      </c>
      <c r="C28" s="22" t="s">
        <v>238</v>
      </c>
      <c r="D28" s="22" t="s">
        <v>239</v>
      </c>
      <c r="E28" s="22" t="s">
        <v>240</v>
      </c>
      <c r="F28" s="22" t="s">
        <v>2224</v>
      </c>
      <c r="G28" s="22" t="s">
        <v>2208</v>
      </c>
    </row>
    <row r="29" spans="1:16" ht="52.05" customHeight="1">
      <c r="A29" s="34">
        <v>4</v>
      </c>
      <c r="B29" s="34" t="s">
        <v>242</v>
      </c>
      <c r="C29" s="34" t="s">
        <v>2225</v>
      </c>
      <c r="D29" s="34" t="s">
        <v>2226</v>
      </c>
      <c r="E29" s="34" t="s">
        <v>2227</v>
      </c>
      <c r="F29" s="34" t="s">
        <v>2228</v>
      </c>
      <c r="G29" s="34" t="s">
        <v>2208</v>
      </c>
    </row>
    <row r="30" spans="1:16" ht="52.05" customHeight="1">
      <c r="A30" s="22">
        <v>5</v>
      </c>
      <c r="B30" s="22" t="s">
        <v>243</v>
      </c>
      <c r="C30" s="22" t="s">
        <v>244</v>
      </c>
      <c r="D30" s="22" t="s">
        <v>245</v>
      </c>
      <c r="E30" s="22" t="s">
        <v>246</v>
      </c>
      <c r="F30" s="22" t="s">
        <v>1633</v>
      </c>
      <c r="G30" s="22" t="s">
        <v>2229</v>
      </c>
    </row>
    <row r="31" spans="1:16" ht="52.05" customHeight="1">
      <c r="A31" s="35">
        <v>6</v>
      </c>
      <c r="B31" s="35" t="s">
        <v>328</v>
      </c>
      <c r="C31" s="35" t="s">
        <v>330</v>
      </c>
      <c r="D31" s="35" t="s">
        <v>2212</v>
      </c>
      <c r="E31" s="35" t="s">
        <v>332</v>
      </c>
      <c r="F31" s="35" t="s">
        <v>2213</v>
      </c>
      <c r="G31" s="35" t="s">
        <v>2205</v>
      </c>
    </row>
    <row r="32" spans="1:16" ht="52.05" customHeight="1">
      <c r="A32" s="35">
        <v>7</v>
      </c>
      <c r="B32" s="35" t="s">
        <v>1516</v>
      </c>
      <c r="C32" s="35" t="s">
        <v>2230</v>
      </c>
      <c r="D32" s="35" t="s">
        <v>2215</v>
      </c>
      <c r="E32" s="35" t="s">
        <v>2216</v>
      </c>
      <c r="F32" s="35" t="s">
        <v>2231</v>
      </c>
      <c r="G32" s="35" t="s">
        <v>2218</v>
      </c>
    </row>
  </sheetData>
  <mergeCells count="9">
    <mergeCell ref="A23:O23"/>
    <mergeCell ref="A1:O1"/>
    <mergeCell ref="A2:O2"/>
    <mergeCell ref="A4:B4"/>
    <mergeCell ref="A5:B6"/>
    <mergeCell ref="D4:E4"/>
    <mergeCell ref="D5:E6"/>
    <mergeCell ref="G4:O4"/>
    <mergeCell ref="G5:O6"/>
  </mergeCells>
  <conditionalFormatting sqref="O10:O21">
    <cfRule type="containsText" dxfId="54" priority="1" operator="containsText" text="Done"/>
    <cfRule type="containsText" dxfId="53" priority="2" operator="containsText" text="Blocked"/>
    <cfRule type="containsText" dxfId="52" priority="3" operator="containsText" text="In Progress"/>
    <cfRule type="containsText" dxfId="51" priority="4" operator="containsText" text="Ready for Review"/>
  </conditionalFormatting>
  <dataValidations count="1">
    <dataValidation type="list" sqref="O10:O21"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41</v>
      </c>
      <c r="B1" s="51"/>
      <c r="C1" s="51"/>
      <c r="D1" s="51"/>
      <c r="E1" s="51"/>
      <c r="F1" s="51"/>
      <c r="G1" s="51"/>
      <c r="H1" s="51"/>
      <c r="I1" s="51"/>
      <c r="J1" s="51"/>
      <c r="K1" s="51"/>
      <c r="L1" s="51"/>
      <c r="M1" s="51"/>
      <c r="N1" s="51"/>
      <c r="O1" s="51"/>
    </row>
    <row r="2" spans="1:16" ht="31.95" customHeight="1">
      <c r="A2" s="52" t="s">
        <v>42</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v>
      </c>
      <c r="B5" s="92"/>
      <c r="D5" s="95">
        <f>COUNTIF(O10:O40,"Blocked")</f>
        <v>0</v>
      </c>
      <c r="E5" s="96"/>
      <c r="G5" s="99" t="s">
        <v>43</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110.4">
      <c r="A10" s="10" t="s">
        <v>1655</v>
      </c>
      <c r="B10" s="10">
        <v>1</v>
      </c>
      <c r="C10" s="10" t="s">
        <v>914</v>
      </c>
      <c r="D10" s="10" t="s">
        <v>1656</v>
      </c>
      <c r="E10" s="10" t="s">
        <v>1657</v>
      </c>
      <c r="F10" s="10" t="s">
        <v>1658</v>
      </c>
      <c r="G10" s="10" t="s">
        <v>1410</v>
      </c>
      <c r="H10" s="15">
        <v>1</v>
      </c>
      <c r="I10" s="10" t="s">
        <v>248</v>
      </c>
      <c r="J10" s="10" t="s">
        <v>742</v>
      </c>
      <c r="K10" s="10" t="s">
        <v>1659</v>
      </c>
      <c r="L10" s="10" t="s">
        <v>1660</v>
      </c>
      <c r="M10" s="10" t="s">
        <v>1662</v>
      </c>
      <c r="N10" s="10" t="s">
        <v>1664</v>
      </c>
      <c r="O10" s="10" t="s">
        <v>711</v>
      </c>
      <c r="P10" s="29" t="s">
        <v>1665</v>
      </c>
    </row>
    <row r="11" spans="1:16" ht="110.4">
      <c r="A11" s="11" t="s">
        <v>1666</v>
      </c>
      <c r="B11" s="11">
        <v>2</v>
      </c>
      <c r="C11" s="11" t="s">
        <v>914</v>
      </c>
      <c r="D11" s="11" t="s">
        <v>1667</v>
      </c>
      <c r="E11" s="11" t="s">
        <v>1668</v>
      </c>
      <c r="F11" s="11" t="s">
        <v>1669</v>
      </c>
      <c r="G11" s="11" t="s">
        <v>1410</v>
      </c>
      <c r="H11" s="16">
        <v>1.25</v>
      </c>
      <c r="I11" s="11" t="s">
        <v>248</v>
      </c>
      <c r="J11" s="11" t="s">
        <v>1670</v>
      </c>
      <c r="K11" s="11" t="s">
        <v>1671</v>
      </c>
      <c r="L11" s="11" t="s">
        <v>1672</v>
      </c>
      <c r="M11" s="11" t="s">
        <v>1674</v>
      </c>
      <c r="N11" s="11" t="s">
        <v>1675</v>
      </c>
      <c r="O11" s="11" t="s">
        <v>711</v>
      </c>
      <c r="P11" s="29" t="s">
        <v>1676</v>
      </c>
    </row>
    <row r="12" spans="1:16" ht="110.4">
      <c r="A12" s="11" t="s">
        <v>1677</v>
      </c>
      <c r="B12" s="11">
        <v>3</v>
      </c>
      <c r="C12" s="11" t="s">
        <v>914</v>
      </c>
      <c r="D12" s="11" t="s">
        <v>1678</v>
      </c>
      <c r="E12" s="11" t="s">
        <v>1679</v>
      </c>
      <c r="F12" s="11" t="s">
        <v>1680</v>
      </c>
      <c r="G12" s="11" t="s">
        <v>1410</v>
      </c>
      <c r="H12" s="16">
        <v>0.75</v>
      </c>
      <c r="I12" s="11" t="s">
        <v>248</v>
      </c>
      <c r="J12" s="11" t="s">
        <v>1394</v>
      </c>
      <c r="K12" s="11" t="s">
        <v>1681</v>
      </c>
      <c r="L12" s="11" t="s">
        <v>1682</v>
      </c>
      <c r="M12" s="11" t="s">
        <v>1684</v>
      </c>
      <c r="N12" s="11" t="s">
        <v>1685</v>
      </c>
      <c r="O12" s="11" t="s">
        <v>711</v>
      </c>
      <c r="P12" s="29" t="s">
        <v>1686</v>
      </c>
    </row>
    <row r="13" spans="1:16" ht="110.4">
      <c r="A13" s="11" t="s">
        <v>1687</v>
      </c>
      <c r="B13" s="11">
        <v>4</v>
      </c>
      <c r="C13" s="11" t="s">
        <v>914</v>
      </c>
      <c r="D13" s="11" t="s">
        <v>1688</v>
      </c>
      <c r="E13" s="11" t="s">
        <v>1689</v>
      </c>
      <c r="F13" s="11" t="s">
        <v>1690</v>
      </c>
      <c r="G13" s="11" t="s">
        <v>1410</v>
      </c>
      <c r="H13" s="16">
        <v>1.5</v>
      </c>
      <c r="I13" s="11" t="s">
        <v>248</v>
      </c>
      <c r="J13" s="11" t="s">
        <v>789</v>
      </c>
      <c r="K13" s="11" t="s">
        <v>1691</v>
      </c>
      <c r="L13" s="11" t="s">
        <v>426</v>
      </c>
      <c r="M13" s="11" t="s">
        <v>1693</v>
      </c>
      <c r="N13" s="11" t="s">
        <v>1695</v>
      </c>
      <c r="O13" s="11" t="s">
        <v>711</v>
      </c>
      <c r="P13" s="29" t="s">
        <v>1696</v>
      </c>
    </row>
    <row r="14" spans="1:16" ht="110.4">
      <c r="A14" s="11" t="s">
        <v>1697</v>
      </c>
      <c r="B14" s="11">
        <v>5</v>
      </c>
      <c r="C14" s="11" t="s">
        <v>914</v>
      </c>
      <c r="D14" s="11" t="s">
        <v>948</v>
      </c>
      <c r="E14" s="11" t="s">
        <v>1698</v>
      </c>
      <c r="F14" s="11" t="s">
        <v>1699</v>
      </c>
      <c r="G14" s="11" t="s">
        <v>1410</v>
      </c>
      <c r="H14" s="16">
        <v>1</v>
      </c>
      <c r="I14" s="11" t="s">
        <v>258</v>
      </c>
      <c r="J14" s="11" t="s">
        <v>1700</v>
      </c>
      <c r="K14" s="11" t="s">
        <v>1701</v>
      </c>
      <c r="L14" s="11" t="s">
        <v>1702</v>
      </c>
      <c r="M14" s="11" t="s">
        <v>1704</v>
      </c>
      <c r="N14" s="11" t="s">
        <v>1705</v>
      </c>
      <c r="O14" s="11" t="s">
        <v>711</v>
      </c>
      <c r="P14" s="29" t="s">
        <v>1706</v>
      </c>
    </row>
    <row r="15" spans="1:16" ht="110.4">
      <c r="A15" s="11" t="s">
        <v>1707</v>
      </c>
      <c r="B15" s="11">
        <v>6</v>
      </c>
      <c r="C15" s="11" t="s">
        <v>914</v>
      </c>
      <c r="D15" s="11" t="s">
        <v>1708</v>
      </c>
      <c r="E15" s="11" t="s">
        <v>1709</v>
      </c>
      <c r="F15" s="11" t="s">
        <v>1710</v>
      </c>
      <c r="G15" s="11" t="s">
        <v>577</v>
      </c>
      <c r="H15" s="16">
        <v>1.25</v>
      </c>
      <c r="I15" s="11" t="s">
        <v>253</v>
      </c>
      <c r="J15" s="11" t="s">
        <v>1711</v>
      </c>
      <c r="K15" s="11" t="s">
        <v>1712</v>
      </c>
      <c r="L15" s="11" t="s">
        <v>1713</v>
      </c>
      <c r="M15" s="11" t="s">
        <v>1715</v>
      </c>
      <c r="N15" s="11" t="s">
        <v>1716</v>
      </c>
      <c r="O15" s="11" t="s">
        <v>711</v>
      </c>
      <c r="P15" s="29" t="s">
        <v>1717</v>
      </c>
    </row>
    <row r="16" spans="1:16" ht="110.4">
      <c r="A16" s="11" t="s">
        <v>1718</v>
      </c>
      <c r="B16" s="11">
        <v>7</v>
      </c>
      <c r="C16" s="11" t="s">
        <v>914</v>
      </c>
      <c r="D16" s="11" t="s">
        <v>1719</v>
      </c>
      <c r="E16" s="11" t="s">
        <v>1720</v>
      </c>
      <c r="F16" s="11" t="s">
        <v>1721</v>
      </c>
      <c r="G16" s="11" t="s">
        <v>1410</v>
      </c>
      <c r="H16" s="16">
        <v>1.5</v>
      </c>
      <c r="I16" s="11" t="s">
        <v>253</v>
      </c>
      <c r="J16" s="11" t="s">
        <v>717</v>
      </c>
      <c r="K16" s="11" t="s">
        <v>1722</v>
      </c>
      <c r="L16" s="11" t="s">
        <v>1723</v>
      </c>
      <c r="M16" s="11" t="s">
        <v>439</v>
      </c>
      <c r="N16" s="11" t="s">
        <v>1726</v>
      </c>
      <c r="O16" s="11" t="s">
        <v>711</v>
      </c>
      <c r="P16" s="29" t="s">
        <v>1727</v>
      </c>
    </row>
    <row r="17" spans="1:16" ht="110.4">
      <c r="A17" s="11" t="s">
        <v>1728</v>
      </c>
      <c r="B17" s="11">
        <v>8</v>
      </c>
      <c r="C17" s="11" t="s">
        <v>914</v>
      </c>
      <c r="D17" s="11" t="s">
        <v>1729</v>
      </c>
      <c r="E17" s="11" t="s">
        <v>1730</v>
      </c>
      <c r="F17" s="11" t="s">
        <v>1731</v>
      </c>
      <c r="G17" s="11" t="s">
        <v>1410</v>
      </c>
      <c r="H17" s="16">
        <v>1</v>
      </c>
      <c r="I17" s="11" t="s">
        <v>258</v>
      </c>
      <c r="J17" s="11" t="s">
        <v>748</v>
      </c>
      <c r="K17" s="11" t="s">
        <v>1732</v>
      </c>
      <c r="L17" s="11" t="s">
        <v>431</v>
      </c>
      <c r="M17" s="11" t="s">
        <v>1734</v>
      </c>
      <c r="N17" s="11" t="s">
        <v>1735</v>
      </c>
      <c r="O17" s="11" t="s">
        <v>711</v>
      </c>
      <c r="P17" s="29" t="s">
        <v>1736</v>
      </c>
    </row>
    <row r="18" spans="1:16" ht="110.4">
      <c r="A18" s="11" t="s">
        <v>1737</v>
      </c>
      <c r="B18" s="11">
        <v>9</v>
      </c>
      <c r="C18" s="11" t="s">
        <v>914</v>
      </c>
      <c r="D18" s="11" t="s">
        <v>1285</v>
      </c>
      <c r="E18" s="11" t="s">
        <v>1738</v>
      </c>
      <c r="F18" s="11" t="s">
        <v>1739</v>
      </c>
      <c r="G18" s="11" t="s">
        <v>1410</v>
      </c>
      <c r="H18" s="16">
        <v>0.75</v>
      </c>
      <c r="I18" s="11" t="s">
        <v>278</v>
      </c>
      <c r="J18" s="11" t="s">
        <v>761</v>
      </c>
      <c r="K18" s="11" t="s">
        <v>1740</v>
      </c>
      <c r="L18" s="11" t="s">
        <v>1741</v>
      </c>
      <c r="M18" s="11" t="s">
        <v>1743</v>
      </c>
      <c r="N18" s="11" t="s">
        <v>1744</v>
      </c>
      <c r="O18" s="11" t="s">
        <v>711</v>
      </c>
      <c r="P18" s="29" t="s">
        <v>1745</v>
      </c>
    </row>
    <row r="19" spans="1:16" ht="110.4">
      <c r="A19" s="11" t="s">
        <v>1746</v>
      </c>
      <c r="B19" s="11">
        <v>10</v>
      </c>
      <c r="C19" s="11" t="s">
        <v>914</v>
      </c>
      <c r="D19" s="11" t="s">
        <v>1747</v>
      </c>
      <c r="E19" s="11" t="s">
        <v>1748</v>
      </c>
      <c r="F19" s="11" t="s">
        <v>1749</v>
      </c>
      <c r="G19" s="11" t="s">
        <v>1400</v>
      </c>
      <c r="H19" s="16">
        <v>0.75</v>
      </c>
      <c r="I19" s="11" t="s">
        <v>253</v>
      </c>
      <c r="J19" s="11" t="s">
        <v>765</v>
      </c>
      <c r="K19" s="11" t="s">
        <v>1750</v>
      </c>
      <c r="L19" s="11" t="s">
        <v>437</v>
      </c>
      <c r="M19" s="11" t="s">
        <v>1752</v>
      </c>
      <c r="N19" s="11" t="s">
        <v>1753</v>
      </c>
      <c r="O19" s="11" t="s">
        <v>711</v>
      </c>
      <c r="P19" s="29" t="s">
        <v>1754</v>
      </c>
    </row>
    <row r="20" spans="1:16" ht="110.4">
      <c r="A20" s="11" t="s">
        <v>267</v>
      </c>
      <c r="B20" s="11">
        <v>11</v>
      </c>
      <c r="C20" s="11" t="s">
        <v>914</v>
      </c>
      <c r="D20" s="11" t="s">
        <v>1755</v>
      </c>
      <c r="E20" s="11" t="s">
        <v>1756</v>
      </c>
      <c r="F20" s="11" t="s">
        <v>1757</v>
      </c>
      <c r="G20" s="11" t="s">
        <v>1400</v>
      </c>
      <c r="H20" s="16">
        <v>1</v>
      </c>
      <c r="I20" s="11" t="s">
        <v>263</v>
      </c>
      <c r="J20" s="11" t="s">
        <v>1394</v>
      </c>
      <c r="K20" s="11" t="s">
        <v>1758</v>
      </c>
      <c r="L20" s="11" t="s">
        <v>443</v>
      </c>
      <c r="M20" s="11" t="s">
        <v>445</v>
      </c>
      <c r="N20" s="11" t="s">
        <v>1760</v>
      </c>
      <c r="O20" s="11" t="s">
        <v>711</v>
      </c>
      <c r="P20" s="29" t="s">
        <v>1761</v>
      </c>
    </row>
    <row r="21" spans="1:16" ht="96.6">
      <c r="A21" s="11" t="s">
        <v>1762</v>
      </c>
      <c r="B21" s="11">
        <v>12</v>
      </c>
      <c r="C21" s="11" t="s">
        <v>914</v>
      </c>
      <c r="D21" s="11" t="s">
        <v>1500</v>
      </c>
      <c r="E21" s="11" t="s">
        <v>1763</v>
      </c>
      <c r="F21" s="11" t="s">
        <v>1764</v>
      </c>
      <c r="G21" s="11" t="s">
        <v>577</v>
      </c>
      <c r="H21" s="16">
        <v>0.75</v>
      </c>
      <c r="I21" s="11" t="s">
        <v>328</v>
      </c>
      <c r="J21" s="11" t="s">
        <v>757</v>
      </c>
      <c r="K21" s="11" t="s">
        <v>1765</v>
      </c>
      <c r="L21" s="11" t="s">
        <v>1766</v>
      </c>
      <c r="M21" s="11" t="s">
        <v>1768</v>
      </c>
      <c r="N21" s="11" t="s">
        <v>1770</v>
      </c>
      <c r="O21" s="11" t="s">
        <v>711</v>
      </c>
      <c r="P21" s="29" t="s">
        <v>1771</v>
      </c>
    </row>
    <row r="22" spans="1:16" ht="82.8">
      <c r="A22" t="s">
        <v>1772</v>
      </c>
      <c r="B22">
        <v>13</v>
      </c>
      <c r="C22" t="s">
        <v>914</v>
      </c>
      <c r="D22" t="s">
        <v>1513</v>
      </c>
      <c r="E22" t="s">
        <v>1773</v>
      </c>
      <c r="F22" t="s">
        <v>1774</v>
      </c>
      <c r="G22" t="s">
        <v>1400</v>
      </c>
      <c r="H22">
        <v>1</v>
      </c>
      <c r="I22" t="s">
        <v>1516</v>
      </c>
      <c r="J22" t="s">
        <v>1394</v>
      </c>
      <c r="K22" t="s">
        <v>1775</v>
      </c>
      <c r="L22" t="s">
        <v>1518</v>
      </c>
      <c r="M22" t="s">
        <v>1776</v>
      </c>
      <c r="N22" t="s">
        <v>1522</v>
      </c>
      <c r="O22" t="s">
        <v>711</v>
      </c>
      <c r="P22" s="29" t="s">
        <v>1779</v>
      </c>
    </row>
    <row r="23" spans="1:16" ht="24" customHeight="1">
      <c r="A23" s="89"/>
      <c r="B23" s="89"/>
      <c r="C23" s="89"/>
      <c r="D23" s="89"/>
      <c r="E23" s="89"/>
      <c r="F23" s="89"/>
      <c r="G23" s="89"/>
      <c r="H23" s="90"/>
      <c r="I23" s="90"/>
      <c r="J23" s="90"/>
      <c r="K23" s="90"/>
      <c r="L23" s="90"/>
      <c r="M23" s="90"/>
      <c r="N23" s="90"/>
      <c r="O23" s="90"/>
    </row>
    <row r="24" spans="1:16" ht="34.049999999999997" customHeight="1">
      <c r="A24" s="30" t="s">
        <v>2203</v>
      </c>
      <c r="B24" s="30"/>
      <c r="C24" s="30"/>
      <c r="D24" s="30"/>
      <c r="E24" s="30"/>
      <c r="F24" s="30"/>
      <c r="G24" s="30"/>
      <c r="H24" s="31"/>
      <c r="I24" s="31"/>
      <c r="J24" s="31"/>
      <c r="K24" s="31"/>
      <c r="L24" s="31"/>
      <c r="M24" s="31"/>
      <c r="N24" s="31"/>
      <c r="O24" s="31"/>
      <c r="P24" s="31"/>
    </row>
    <row r="25" spans="1:16" ht="48" customHeight="1">
      <c r="A25" s="33" t="s">
        <v>826</v>
      </c>
      <c r="B25" s="33" t="s">
        <v>184</v>
      </c>
      <c r="C25" s="33" t="s">
        <v>185</v>
      </c>
      <c r="D25" s="33" t="s">
        <v>186</v>
      </c>
      <c r="E25" s="33" t="s">
        <v>187</v>
      </c>
      <c r="F25" s="33" t="s">
        <v>188</v>
      </c>
      <c r="G25" s="33" t="s">
        <v>190</v>
      </c>
    </row>
    <row r="26" spans="1:16" ht="52.05" customHeight="1">
      <c r="A26" s="22">
        <v>1</v>
      </c>
      <c r="B26" s="22" t="s">
        <v>248</v>
      </c>
      <c r="C26" s="22" t="s">
        <v>249</v>
      </c>
      <c r="D26" s="22" t="s">
        <v>250</v>
      </c>
      <c r="E26" s="22" t="s">
        <v>251</v>
      </c>
      <c r="F26" s="22" t="s">
        <v>2232</v>
      </c>
      <c r="G26" s="22" t="s">
        <v>2208</v>
      </c>
    </row>
    <row r="27" spans="1:16" ht="52.05" customHeight="1">
      <c r="A27" s="34">
        <v>2</v>
      </c>
      <c r="B27" s="34" t="s">
        <v>253</v>
      </c>
      <c r="C27" s="34" t="s">
        <v>254</v>
      </c>
      <c r="D27" s="34" t="s">
        <v>255</v>
      </c>
      <c r="E27" s="34" t="s">
        <v>256</v>
      </c>
      <c r="F27" s="34" t="s">
        <v>2233</v>
      </c>
      <c r="G27" s="34" t="s">
        <v>2208</v>
      </c>
    </row>
    <row r="28" spans="1:16" ht="52.05" customHeight="1">
      <c r="A28" s="22">
        <v>3</v>
      </c>
      <c r="B28" s="22" t="s">
        <v>258</v>
      </c>
      <c r="C28" s="22" t="s">
        <v>259</v>
      </c>
      <c r="D28" s="22" t="s">
        <v>260</v>
      </c>
      <c r="E28" s="22" t="s">
        <v>261</v>
      </c>
      <c r="F28" s="22" t="s">
        <v>2234</v>
      </c>
      <c r="G28" s="22" t="s">
        <v>2208</v>
      </c>
    </row>
    <row r="29" spans="1:16" ht="52.05" customHeight="1">
      <c r="A29" s="34">
        <v>4</v>
      </c>
      <c r="B29" s="34" t="s">
        <v>263</v>
      </c>
      <c r="C29" s="34" t="s">
        <v>264</v>
      </c>
      <c r="D29" s="34" t="s">
        <v>265</v>
      </c>
      <c r="E29" s="34" t="s">
        <v>266</v>
      </c>
      <c r="F29" s="34" t="s">
        <v>2235</v>
      </c>
      <c r="G29" s="34" t="s">
        <v>2208</v>
      </c>
    </row>
    <row r="30" spans="1:16" ht="52.05" customHeight="1">
      <c r="A30" s="35">
        <v>5</v>
      </c>
      <c r="B30" s="35" t="s">
        <v>328</v>
      </c>
      <c r="C30" s="35" t="s">
        <v>330</v>
      </c>
      <c r="D30" s="35" t="s">
        <v>2212</v>
      </c>
      <c r="E30" s="35" t="s">
        <v>332</v>
      </c>
      <c r="F30" s="35" t="s">
        <v>2213</v>
      </c>
      <c r="G30" s="35" t="s">
        <v>2205</v>
      </c>
    </row>
    <row r="31" spans="1:16" ht="52.05" customHeight="1">
      <c r="A31" s="35">
        <v>6</v>
      </c>
      <c r="B31" s="35" t="s">
        <v>1516</v>
      </c>
      <c r="C31" s="35" t="s">
        <v>2236</v>
      </c>
      <c r="D31" s="35" t="s">
        <v>2215</v>
      </c>
      <c r="E31" s="35" t="s">
        <v>2216</v>
      </c>
      <c r="F31" s="35" t="s">
        <v>2237</v>
      </c>
      <c r="G31" s="35" t="s">
        <v>2218</v>
      </c>
    </row>
  </sheetData>
  <mergeCells count="9">
    <mergeCell ref="A23:O23"/>
    <mergeCell ref="A1:O1"/>
    <mergeCell ref="A2:O2"/>
    <mergeCell ref="A4:B4"/>
    <mergeCell ref="A5:B6"/>
    <mergeCell ref="D4:E4"/>
    <mergeCell ref="D5:E6"/>
    <mergeCell ref="G4:O4"/>
    <mergeCell ref="G5:O6"/>
  </mergeCells>
  <conditionalFormatting sqref="O10:O21">
    <cfRule type="containsText" dxfId="50" priority="1" operator="containsText" text="Done"/>
    <cfRule type="containsText" dxfId="49" priority="2" operator="containsText" text="Blocked"/>
    <cfRule type="containsText" dxfId="48" priority="3" operator="containsText" text="In Progress"/>
    <cfRule type="containsText" dxfId="47" priority="4" operator="containsText" text="Ready for Review"/>
  </conditionalFormatting>
  <dataValidations count="1">
    <dataValidation type="list" sqref="O10:O21"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44</v>
      </c>
      <c r="B1" s="51"/>
      <c r="C1" s="51"/>
      <c r="D1" s="51"/>
      <c r="E1" s="51"/>
      <c r="F1" s="51"/>
      <c r="G1" s="51"/>
      <c r="H1" s="51"/>
      <c r="I1" s="51"/>
      <c r="J1" s="51"/>
      <c r="K1" s="51"/>
      <c r="L1" s="51"/>
      <c r="M1" s="51"/>
      <c r="N1" s="51"/>
      <c r="O1" s="51"/>
    </row>
    <row r="2" spans="1:16" ht="31.95" customHeight="1">
      <c r="A2" s="52" t="s">
        <v>45</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v>
      </c>
      <c r="B5" s="92"/>
      <c r="D5" s="95">
        <f>COUNTIF(O10:O40,"Blocked")</f>
        <v>0</v>
      </c>
      <c r="E5" s="96"/>
      <c r="G5" s="99" t="s">
        <v>46</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110.4">
      <c r="A10" s="10" t="s">
        <v>1780</v>
      </c>
      <c r="B10" s="10">
        <v>1</v>
      </c>
      <c r="C10" s="10" t="s">
        <v>914</v>
      </c>
      <c r="D10" s="10" t="s">
        <v>1781</v>
      </c>
      <c r="E10" s="10" t="s">
        <v>1782</v>
      </c>
      <c r="F10" s="10" t="s">
        <v>1783</v>
      </c>
      <c r="G10" s="10" t="s">
        <v>1410</v>
      </c>
      <c r="H10" s="15">
        <v>1.5</v>
      </c>
      <c r="I10" s="10" t="s">
        <v>268</v>
      </c>
      <c r="J10" s="10" t="s">
        <v>748</v>
      </c>
      <c r="K10" s="10" t="s">
        <v>1784</v>
      </c>
      <c r="L10" s="10" t="s">
        <v>448</v>
      </c>
      <c r="M10" s="10" t="s">
        <v>1786</v>
      </c>
      <c r="N10" s="10" t="s">
        <v>1787</v>
      </c>
      <c r="O10" s="10" t="s">
        <v>711</v>
      </c>
      <c r="P10" s="29" t="s">
        <v>1788</v>
      </c>
    </row>
    <row r="11" spans="1:16" ht="110.4">
      <c r="A11" s="11" t="s">
        <v>1789</v>
      </c>
      <c r="B11" s="11">
        <v>2</v>
      </c>
      <c r="C11" s="11" t="s">
        <v>914</v>
      </c>
      <c r="D11" s="11" t="s">
        <v>1595</v>
      </c>
      <c r="E11" s="11" t="s">
        <v>1790</v>
      </c>
      <c r="F11" s="11" t="s">
        <v>1791</v>
      </c>
      <c r="G11" s="11" t="s">
        <v>1410</v>
      </c>
      <c r="H11" s="16">
        <v>1</v>
      </c>
      <c r="I11" s="11" t="s">
        <v>268</v>
      </c>
      <c r="J11" s="11" t="s">
        <v>748</v>
      </c>
      <c r="K11" s="11" t="s">
        <v>1792</v>
      </c>
      <c r="L11" s="11" t="s">
        <v>1793</v>
      </c>
      <c r="M11" s="11" t="s">
        <v>1795</v>
      </c>
      <c r="N11" s="11" t="s">
        <v>1796</v>
      </c>
      <c r="O11" s="11" t="s">
        <v>711</v>
      </c>
      <c r="P11" s="29" t="s">
        <v>1797</v>
      </c>
    </row>
    <row r="12" spans="1:16" ht="110.4">
      <c r="A12" s="11" t="s">
        <v>1798</v>
      </c>
      <c r="B12" s="11">
        <v>3</v>
      </c>
      <c r="C12" s="11" t="s">
        <v>914</v>
      </c>
      <c r="D12" s="11" t="s">
        <v>1799</v>
      </c>
      <c r="E12" s="11" t="s">
        <v>1800</v>
      </c>
      <c r="F12" s="11" t="s">
        <v>1801</v>
      </c>
      <c r="G12" s="11" t="s">
        <v>1410</v>
      </c>
      <c r="H12" s="16">
        <v>1.25</v>
      </c>
      <c r="I12" s="11" t="s">
        <v>273</v>
      </c>
      <c r="J12" s="11" t="s">
        <v>757</v>
      </c>
      <c r="K12" s="11" t="s">
        <v>1802</v>
      </c>
      <c r="L12" s="11" t="s">
        <v>1803</v>
      </c>
      <c r="M12" s="11" t="s">
        <v>1805</v>
      </c>
      <c r="N12" s="11" t="s">
        <v>1806</v>
      </c>
      <c r="O12" s="11" t="s">
        <v>711</v>
      </c>
      <c r="P12" s="29" t="s">
        <v>1807</v>
      </c>
    </row>
    <row r="13" spans="1:16" ht="110.4">
      <c r="A13" s="11" t="s">
        <v>1808</v>
      </c>
      <c r="B13" s="11">
        <v>4</v>
      </c>
      <c r="C13" s="11" t="s">
        <v>914</v>
      </c>
      <c r="D13" s="11" t="s">
        <v>1809</v>
      </c>
      <c r="E13" s="11" t="s">
        <v>1810</v>
      </c>
      <c r="F13" s="11" t="s">
        <v>1811</v>
      </c>
      <c r="G13" s="11" t="s">
        <v>1410</v>
      </c>
      <c r="H13" s="16">
        <v>0.75</v>
      </c>
      <c r="I13" s="11" t="s">
        <v>273</v>
      </c>
      <c r="J13" s="11" t="s">
        <v>1394</v>
      </c>
      <c r="K13" s="11" t="s">
        <v>1812</v>
      </c>
      <c r="L13" s="11" t="s">
        <v>1813</v>
      </c>
      <c r="M13" s="11" t="s">
        <v>1815</v>
      </c>
      <c r="N13" s="11" t="s">
        <v>1816</v>
      </c>
      <c r="O13" s="11" t="s">
        <v>711</v>
      </c>
      <c r="P13" s="29" t="s">
        <v>1817</v>
      </c>
    </row>
    <row r="14" spans="1:16" ht="110.4">
      <c r="A14" s="11" t="s">
        <v>1818</v>
      </c>
      <c r="B14" s="11">
        <v>5</v>
      </c>
      <c r="C14" s="11" t="s">
        <v>914</v>
      </c>
      <c r="D14" s="11" t="s">
        <v>1819</v>
      </c>
      <c r="E14" s="11" t="s">
        <v>1820</v>
      </c>
      <c r="F14" s="11" t="s">
        <v>1821</v>
      </c>
      <c r="G14" s="11" t="s">
        <v>1410</v>
      </c>
      <c r="H14" s="16">
        <v>1.25</v>
      </c>
      <c r="I14" s="11" t="s">
        <v>273</v>
      </c>
      <c r="J14" s="11" t="s">
        <v>757</v>
      </c>
      <c r="K14" s="11" t="s">
        <v>1822</v>
      </c>
      <c r="L14" s="11" t="s">
        <v>453</v>
      </c>
      <c r="M14" s="11" t="s">
        <v>1824</v>
      </c>
      <c r="N14" s="11" t="s">
        <v>1826</v>
      </c>
      <c r="O14" s="11" t="s">
        <v>711</v>
      </c>
      <c r="P14" s="29" t="s">
        <v>1827</v>
      </c>
    </row>
    <row r="15" spans="1:16" ht="110.4">
      <c r="A15" s="11" t="s">
        <v>1828</v>
      </c>
      <c r="B15" s="11">
        <v>6</v>
      </c>
      <c r="C15" s="11" t="s">
        <v>914</v>
      </c>
      <c r="D15" s="11" t="s">
        <v>1829</v>
      </c>
      <c r="E15" s="11" t="s">
        <v>1830</v>
      </c>
      <c r="F15" s="11" t="s">
        <v>1831</v>
      </c>
      <c r="G15" s="11" t="s">
        <v>1410</v>
      </c>
      <c r="H15" s="16">
        <v>1</v>
      </c>
      <c r="I15" s="11" t="s">
        <v>273</v>
      </c>
      <c r="J15" s="11" t="s">
        <v>768</v>
      </c>
      <c r="K15" s="11" t="s">
        <v>1832</v>
      </c>
      <c r="L15" s="11" t="s">
        <v>1833</v>
      </c>
      <c r="M15" s="11" t="s">
        <v>1835</v>
      </c>
      <c r="N15" s="11" t="s">
        <v>1836</v>
      </c>
      <c r="O15" s="11" t="s">
        <v>711</v>
      </c>
      <c r="P15" s="29" t="s">
        <v>1837</v>
      </c>
    </row>
    <row r="16" spans="1:16" ht="110.4">
      <c r="A16" s="11" t="s">
        <v>1838</v>
      </c>
      <c r="B16" s="11">
        <v>7</v>
      </c>
      <c r="C16" s="11" t="s">
        <v>914</v>
      </c>
      <c r="D16" s="11" t="s">
        <v>1839</v>
      </c>
      <c r="E16" s="11" t="s">
        <v>1840</v>
      </c>
      <c r="F16" s="11" t="s">
        <v>1841</v>
      </c>
      <c r="G16" s="11" t="s">
        <v>1410</v>
      </c>
      <c r="H16" s="16">
        <v>0.75</v>
      </c>
      <c r="I16" s="11" t="s">
        <v>273</v>
      </c>
      <c r="J16" s="11" t="s">
        <v>775</v>
      </c>
      <c r="K16" s="11" t="s">
        <v>1842</v>
      </c>
      <c r="L16" s="11" t="s">
        <v>1843</v>
      </c>
      <c r="M16" s="11" t="s">
        <v>1845</v>
      </c>
      <c r="N16" s="11" t="s">
        <v>1846</v>
      </c>
      <c r="O16" s="11" t="s">
        <v>711</v>
      </c>
      <c r="P16" s="29" t="s">
        <v>1847</v>
      </c>
    </row>
    <row r="17" spans="1:16" ht="110.4">
      <c r="A17" s="11" t="s">
        <v>1848</v>
      </c>
      <c r="B17" s="11">
        <v>8</v>
      </c>
      <c r="C17" s="11" t="s">
        <v>914</v>
      </c>
      <c r="D17" s="11" t="s">
        <v>462</v>
      </c>
      <c r="E17" s="11" t="s">
        <v>1849</v>
      </c>
      <c r="F17" s="11" t="s">
        <v>1850</v>
      </c>
      <c r="G17" s="11" t="s">
        <v>1410</v>
      </c>
      <c r="H17" s="16">
        <v>1</v>
      </c>
      <c r="I17" s="11" t="s">
        <v>278</v>
      </c>
      <c r="J17" s="11" t="s">
        <v>761</v>
      </c>
      <c r="K17" s="11" t="s">
        <v>1851</v>
      </c>
      <c r="L17" s="11" t="s">
        <v>1852</v>
      </c>
      <c r="M17" s="11" t="s">
        <v>1854</v>
      </c>
      <c r="N17" s="11" t="s">
        <v>1856</v>
      </c>
      <c r="O17" s="11" t="s">
        <v>711</v>
      </c>
      <c r="P17" s="29" t="s">
        <v>1857</v>
      </c>
    </row>
    <row r="18" spans="1:16" ht="110.4">
      <c r="A18" s="11" t="s">
        <v>1858</v>
      </c>
      <c r="B18" s="11">
        <v>9</v>
      </c>
      <c r="C18" s="11" t="s">
        <v>914</v>
      </c>
      <c r="D18" s="11" t="s">
        <v>1859</v>
      </c>
      <c r="E18" s="11" t="s">
        <v>1860</v>
      </c>
      <c r="F18" s="11" t="s">
        <v>1861</v>
      </c>
      <c r="G18" s="11" t="s">
        <v>1410</v>
      </c>
      <c r="H18" s="16">
        <v>1</v>
      </c>
      <c r="I18" s="11" t="s">
        <v>273</v>
      </c>
      <c r="J18" s="11" t="s">
        <v>1394</v>
      </c>
      <c r="K18" s="11" t="s">
        <v>1862</v>
      </c>
      <c r="L18" s="11" t="s">
        <v>1863</v>
      </c>
      <c r="M18" s="11" t="s">
        <v>1865</v>
      </c>
      <c r="N18" s="11" t="s">
        <v>1868</v>
      </c>
      <c r="O18" s="11" t="s">
        <v>711</v>
      </c>
      <c r="P18" s="29" t="s">
        <v>1869</v>
      </c>
    </row>
    <row r="19" spans="1:16" ht="110.4">
      <c r="A19" s="11" t="s">
        <v>1870</v>
      </c>
      <c r="B19" s="11">
        <v>10</v>
      </c>
      <c r="C19" s="11" t="s">
        <v>954</v>
      </c>
      <c r="D19" s="11" t="s">
        <v>1871</v>
      </c>
      <c r="E19" s="11" t="s">
        <v>1872</v>
      </c>
      <c r="F19" s="11" t="s">
        <v>1873</v>
      </c>
      <c r="G19" s="11" t="s">
        <v>1410</v>
      </c>
      <c r="H19" s="16">
        <v>0.75</v>
      </c>
      <c r="I19" s="11" t="s">
        <v>268</v>
      </c>
      <c r="J19" s="11" t="s">
        <v>768</v>
      </c>
      <c r="K19" s="11" t="s">
        <v>1874</v>
      </c>
      <c r="L19" s="11" t="s">
        <v>1875</v>
      </c>
      <c r="M19" s="11" t="s">
        <v>1877</v>
      </c>
      <c r="N19" s="11" t="s">
        <v>1880</v>
      </c>
      <c r="O19" s="11" t="s">
        <v>711</v>
      </c>
      <c r="P19" s="29" t="s">
        <v>1881</v>
      </c>
    </row>
    <row r="20" spans="1:16" ht="110.4">
      <c r="A20" s="11" t="s">
        <v>287</v>
      </c>
      <c r="B20" s="11">
        <v>11</v>
      </c>
      <c r="C20" s="11" t="s">
        <v>914</v>
      </c>
      <c r="D20" s="11" t="s">
        <v>803</v>
      </c>
      <c r="E20" s="11" t="s">
        <v>1882</v>
      </c>
      <c r="F20" s="11" t="s">
        <v>1883</v>
      </c>
      <c r="G20" s="11" t="s">
        <v>1400</v>
      </c>
      <c r="H20" s="16">
        <v>1</v>
      </c>
      <c r="I20" s="11" t="s">
        <v>283</v>
      </c>
      <c r="J20" s="11" t="s">
        <v>1394</v>
      </c>
      <c r="K20" s="11" t="s">
        <v>1884</v>
      </c>
      <c r="L20" s="11" t="s">
        <v>469</v>
      </c>
      <c r="M20" s="11" t="s">
        <v>471</v>
      </c>
      <c r="N20" s="11" t="s">
        <v>1887</v>
      </c>
      <c r="O20" s="11" t="s">
        <v>711</v>
      </c>
      <c r="P20" s="29" t="s">
        <v>1888</v>
      </c>
    </row>
    <row r="21" spans="1:16" ht="96.6">
      <c r="A21" s="11" t="s">
        <v>1889</v>
      </c>
      <c r="B21" s="11">
        <v>12</v>
      </c>
      <c r="C21" s="11" t="s">
        <v>914</v>
      </c>
      <c r="D21" s="11" t="s">
        <v>1500</v>
      </c>
      <c r="E21" s="11" t="s">
        <v>1890</v>
      </c>
      <c r="F21" s="11" t="s">
        <v>1891</v>
      </c>
      <c r="G21" s="11" t="s">
        <v>577</v>
      </c>
      <c r="H21" s="16">
        <v>0.75</v>
      </c>
      <c r="I21" s="11" t="s">
        <v>328</v>
      </c>
      <c r="J21" s="11" t="s">
        <v>1892</v>
      </c>
      <c r="K21" s="11" t="s">
        <v>1893</v>
      </c>
      <c r="L21" s="11" t="s">
        <v>1894</v>
      </c>
      <c r="M21" s="11" t="s">
        <v>1896</v>
      </c>
      <c r="N21" s="11" t="s">
        <v>1898</v>
      </c>
      <c r="O21" s="11" t="s">
        <v>711</v>
      </c>
      <c r="P21" s="29" t="s">
        <v>1899</v>
      </c>
    </row>
    <row r="22" spans="1:16" ht="82.8">
      <c r="A22" t="s">
        <v>1900</v>
      </c>
      <c r="B22">
        <v>13</v>
      </c>
      <c r="C22" t="s">
        <v>914</v>
      </c>
      <c r="D22" t="s">
        <v>1513</v>
      </c>
      <c r="E22" t="s">
        <v>1901</v>
      </c>
      <c r="F22" t="s">
        <v>1902</v>
      </c>
      <c r="G22" t="s">
        <v>1400</v>
      </c>
      <c r="H22">
        <v>1</v>
      </c>
      <c r="I22" t="s">
        <v>1516</v>
      </c>
      <c r="J22" t="s">
        <v>1394</v>
      </c>
      <c r="K22" t="s">
        <v>1903</v>
      </c>
      <c r="L22" t="s">
        <v>1518</v>
      </c>
      <c r="M22" t="s">
        <v>1904</v>
      </c>
      <c r="N22" t="s">
        <v>1522</v>
      </c>
      <c r="O22" t="s">
        <v>711</v>
      </c>
      <c r="P22" s="29" t="s">
        <v>1907</v>
      </c>
    </row>
    <row r="23" spans="1:16" ht="24" customHeight="1">
      <c r="A23" s="89"/>
      <c r="B23" s="89"/>
      <c r="C23" s="89"/>
      <c r="D23" s="89"/>
      <c r="E23" s="89"/>
      <c r="F23" s="89"/>
      <c r="G23" s="89"/>
      <c r="H23" s="90"/>
      <c r="I23" s="90"/>
      <c r="J23" s="90"/>
      <c r="K23" s="90"/>
      <c r="L23" s="90"/>
      <c r="M23" s="90"/>
      <c r="N23" s="90"/>
      <c r="O23" s="90"/>
    </row>
    <row r="24" spans="1:16" ht="34.049999999999997" customHeight="1">
      <c r="A24" s="30" t="s">
        <v>2203</v>
      </c>
      <c r="B24" s="30"/>
      <c r="C24" s="30"/>
      <c r="D24" s="30"/>
      <c r="E24" s="30"/>
      <c r="F24" s="30"/>
      <c r="G24" s="30"/>
      <c r="H24" s="31"/>
      <c r="I24" s="31"/>
      <c r="J24" s="31"/>
      <c r="K24" s="31"/>
      <c r="L24" s="31"/>
      <c r="M24" s="31"/>
      <c r="N24" s="31"/>
      <c r="O24" s="31"/>
      <c r="P24" s="31"/>
    </row>
    <row r="25" spans="1:16" ht="48" customHeight="1">
      <c r="A25" s="33" t="s">
        <v>826</v>
      </c>
      <c r="B25" s="33" t="s">
        <v>184</v>
      </c>
      <c r="C25" s="33" t="s">
        <v>185</v>
      </c>
      <c r="D25" s="33" t="s">
        <v>186</v>
      </c>
      <c r="E25" s="33" t="s">
        <v>187</v>
      </c>
      <c r="F25" s="33" t="s">
        <v>188</v>
      </c>
      <c r="G25" s="33" t="s">
        <v>190</v>
      </c>
    </row>
    <row r="26" spans="1:16" ht="52.05" customHeight="1">
      <c r="A26" s="22">
        <v>1</v>
      </c>
      <c r="B26" s="22" t="s">
        <v>268</v>
      </c>
      <c r="C26" s="22" t="s">
        <v>269</v>
      </c>
      <c r="D26" s="22" t="s">
        <v>270</v>
      </c>
      <c r="E26" s="22" t="s">
        <v>271</v>
      </c>
      <c r="F26" s="22" t="s">
        <v>2238</v>
      </c>
      <c r="G26" s="22" t="s">
        <v>2208</v>
      </c>
    </row>
    <row r="27" spans="1:16" ht="52.05" customHeight="1">
      <c r="A27" s="34">
        <v>2</v>
      </c>
      <c r="B27" s="34" t="s">
        <v>273</v>
      </c>
      <c r="C27" s="34" t="s">
        <v>274</v>
      </c>
      <c r="D27" s="34" t="s">
        <v>275</v>
      </c>
      <c r="E27" s="34" t="s">
        <v>276</v>
      </c>
      <c r="F27" s="34" t="s">
        <v>2239</v>
      </c>
      <c r="G27" s="34" t="s">
        <v>2208</v>
      </c>
    </row>
    <row r="28" spans="1:16" ht="52.05" customHeight="1">
      <c r="A28" s="22">
        <v>3</v>
      </c>
      <c r="B28" s="22" t="s">
        <v>278</v>
      </c>
      <c r="C28" s="22" t="s">
        <v>279</v>
      </c>
      <c r="D28" s="22" t="s">
        <v>280</v>
      </c>
      <c r="E28" s="22" t="s">
        <v>281</v>
      </c>
      <c r="F28" s="22" t="s">
        <v>2240</v>
      </c>
      <c r="G28" s="22" t="s">
        <v>2208</v>
      </c>
    </row>
    <row r="29" spans="1:16" ht="52.05" customHeight="1">
      <c r="A29" s="34">
        <v>4</v>
      </c>
      <c r="B29" s="34" t="s">
        <v>283</v>
      </c>
      <c r="C29" s="34" t="s">
        <v>284</v>
      </c>
      <c r="D29" s="34" t="s">
        <v>285</v>
      </c>
      <c r="E29" s="34" t="s">
        <v>286</v>
      </c>
      <c r="F29" s="34" t="s">
        <v>2241</v>
      </c>
      <c r="G29" s="34" t="s">
        <v>2208</v>
      </c>
    </row>
    <row r="30" spans="1:16" ht="52.05" customHeight="1">
      <c r="A30" s="35">
        <v>5</v>
      </c>
      <c r="B30" s="35" t="s">
        <v>328</v>
      </c>
      <c r="C30" s="35" t="s">
        <v>330</v>
      </c>
      <c r="D30" s="35" t="s">
        <v>2212</v>
      </c>
      <c r="E30" s="35" t="s">
        <v>332</v>
      </c>
      <c r="F30" s="35" t="s">
        <v>2213</v>
      </c>
      <c r="G30" s="35" t="s">
        <v>2205</v>
      </c>
    </row>
    <row r="31" spans="1:16" ht="52.05" customHeight="1">
      <c r="A31" s="35">
        <v>6</v>
      </c>
      <c r="B31" s="35" t="s">
        <v>1516</v>
      </c>
      <c r="C31" s="35" t="s">
        <v>2242</v>
      </c>
      <c r="D31" s="35" t="s">
        <v>2215</v>
      </c>
      <c r="E31" s="35" t="s">
        <v>2216</v>
      </c>
      <c r="F31" s="35" t="s">
        <v>2243</v>
      </c>
      <c r="G31" s="35" t="s">
        <v>2218</v>
      </c>
    </row>
  </sheetData>
  <mergeCells count="9">
    <mergeCell ref="A23:O23"/>
    <mergeCell ref="A1:O1"/>
    <mergeCell ref="A2:O2"/>
    <mergeCell ref="A4:B4"/>
    <mergeCell ref="A5:B6"/>
    <mergeCell ref="D4:E4"/>
    <mergeCell ref="D5:E6"/>
    <mergeCell ref="G4:O4"/>
    <mergeCell ref="G5:O6"/>
  </mergeCells>
  <conditionalFormatting sqref="O10:O21">
    <cfRule type="containsText" dxfId="46" priority="1" operator="containsText" text="Done"/>
    <cfRule type="containsText" dxfId="45" priority="2" operator="containsText" text="Blocked"/>
    <cfRule type="containsText" dxfId="44" priority="3" operator="containsText" text="In Progress"/>
    <cfRule type="containsText" dxfId="43" priority="4" operator="containsText" text="Ready for Review"/>
  </conditionalFormatting>
  <dataValidations count="1">
    <dataValidation type="list" sqref="O10:O21"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47</v>
      </c>
      <c r="B1" s="51"/>
      <c r="C1" s="51"/>
      <c r="D1" s="51"/>
      <c r="E1" s="51"/>
      <c r="F1" s="51"/>
      <c r="G1" s="51"/>
      <c r="H1" s="51"/>
      <c r="I1" s="51"/>
      <c r="J1" s="51"/>
      <c r="K1" s="51"/>
      <c r="L1" s="51"/>
      <c r="M1" s="51"/>
      <c r="N1" s="51"/>
      <c r="O1" s="51"/>
    </row>
    <row r="2" spans="1:16" ht="31.95" customHeight="1">
      <c r="A2" s="52" t="s">
        <v>48</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v>
      </c>
      <c r="B5" s="92"/>
      <c r="D5" s="95">
        <f>COUNTIF(O10:O40,"Blocked")</f>
        <v>0</v>
      </c>
      <c r="E5" s="96"/>
      <c r="G5" s="99" t="s">
        <v>49</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96.6">
      <c r="A10" s="10" t="s">
        <v>292</v>
      </c>
      <c r="B10" s="10">
        <v>1</v>
      </c>
      <c r="C10" s="10" t="s">
        <v>914</v>
      </c>
      <c r="D10" s="10" t="s">
        <v>1908</v>
      </c>
      <c r="E10" s="10" t="s">
        <v>1909</v>
      </c>
      <c r="F10" s="10" t="s">
        <v>1910</v>
      </c>
      <c r="G10" s="10" t="s">
        <v>577</v>
      </c>
      <c r="H10" s="15">
        <v>1</v>
      </c>
      <c r="I10" s="10" t="s">
        <v>288</v>
      </c>
      <c r="J10" s="10" t="s">
        <v>1911</v>
      </c>
      <c r="K10" s="10" t="s">
        <v>1912</v>
      </c>
      <c r="L10" s="10" t="s">
        <v>1913</v>
      </c>
      <c r="M10" s="10" t="s">
        <v>1915</v>
      </c>
      <c r="N10" s="10" t="s">
        <v>1916</v>
      </c>
      <c r="O10" s="10" t="s">
        <v>711</v>
      </c>
      <c r="P10" s="29" t="s">
        <v>1917</v>
      </c>
    </row>
    <row r="11" spans="1:16" ht="124.2">
      <c r="A11" s="11" t="s">
        <v>1918</v>
      </c>
      <c r="B11" s="11">
        <v>2</v>
      </c>
      <c r="C11" s="11" t="s">
        <v>914</v>
      </c>
      <c r="D11" s="11" t="s">
        <v>1919</v>
      </c>
      <c r="E11" s="11" t="s">
        <v>1920</v>
      </c>
      <c r="F11" s="11" t="s">
        <v>1921</v>
      </c>
      <c r="G11" s="11" t="s">
        <v>1410</v>
      </c>
      <c r="H11" s="16">
        <v>1.25</v>
      </c>
      <c r="I11" s="11" t="s">
        <v>293</v>
      </c>
      <c r="J11" s="11" t="s">
        <v>1469</v>
      </c>
      <c r="K11" s="11" t="s">
        <v>1922</v>
      </c>
      <c r="L11" s="11" t="s">
        <v>1923</v>
      </c>
      <c r="M11" s="11" t="s">
        <v>1925</v>
      </c>
      <c r="N11" s="11" t="s">
        <v>1926</v>
      </c>
      <c r="O11" s="11" t="s">
        <v>711</v>
      </c>
      <c r="P11" s="29" t="s">
        <v>1927</v>
      </c>
    </row>
    <row r="12" spans="1:16" ht="110.4">
      <c r="A12" s="11" t="s">
        <v>1928</v>
      </c>
      <c r="B12" s="11">
        <v>3</v>
      </c>
      <c r="C12" s="11" t="s">
        <v>914</v>
      </c>
      <c r="D12" s="11" t="s">
        <v>1929</v>
      </c>
      <c r="E12" s="11" t="s">
        <v>1930</v>
      </c>
      <c r="F12" s="11" t="s">
        <v>1931</v>
      </c>
      <c r="G12" s="11" t="s">
        <v>1410</v>
      </c>
      <c r="H12" s="16">
        <v>1.25</v>
      </c>
      <c r="I12" s="11" t="s">
        <v>293</v>
      </c>
      <c r="J12" s="11" t="s">
        <v>1932</v>
      </c>
      <c r="K12" s="11" t="s">
        <v>1933</v>
      </c>
      <c r="L12" s="11" t="s">
        <v>1934</v>
      </c>
      <c r="M12" s="11" t="s">
        <v>1936</v>
      </c>
      <c r="N12" s="11" t="s">
        <v>1939</v>
      </c>
      <c r="O12" s="11" t="s">
        <v>711</v>
      </c>
      <c r="P12" s="29" t="s">
        <v>1940</v>
      </c>
    </row>
    <row r="13" spans="1:16" ht="110.4">
      <c r="A13" s="11" t="s">
        <v>1941</v>
      </c>
      <c r="B13" s="11">
        <v>4</v>
      </c>
      <c r="C13" s="11" t="s">
        <v>914</v>
      </c>
      <c r="D13" s="11" t="s">
        <v>1942</v>
      </c>
      <c r="E13" s="11" t="s">
        <v>1943</v>
      </c>
      <c r="F13" s="11" t="s">
        <v>1944</v>
      </c>
      <c r="G13" s="11" t="s">
        <v>1410</v>
      </c>
      <c r="H13" s="16">
        <v>1.25</v>
      </c>
      <c r="I13" s="11" t="s">
        <v>293</v>
      </c>
      <c r="J13" s="11" t="s">
        <v>1945</v>
      </c>
      <c r="K13" s="11" t="s">
        <v>1946</v>
      </c>
      <c r="L13" s="11" t="s">
        <v>1947</v>
      </c>
      <c r="M13" s="11" t="s">
        <v>1949</v>
      </c>
      <c r="N13" s="11" t="s">
        <v>1951</v>
      </c>
      <c r="O13" s="11" t="s">
        <v>711</v>
      </c>
      <c r="P13" s="29" t="s">
        <v>1952</v>
      </c>
    </row>
    <row r="14" spans="1:16" ht="110.4">
      <c r="A14" s="11" t="s">
        <v>1953</v>
      </c>
      <c r="B14" s="11">
        <v>5</v>
      </c>
      <c r="C14" s="11" t="s">
        <v>914</v>
      </c>
      <c r="D14" s="11" t="s">
        <v>1954</v>
      </c>
      <c r="E14" s="11" t="s">
        <v>1955</v>
      </c>
      <c r="F14" s="11" t="s">
        <v>1956</v>
      </c>
      <c r="G14" s="11" t="s">
        <v>1410</v>
      </c>
      <c r="H14" s="16">
        <v>1.5</v>
      </c>
      <c r="I14" s="11" t="s">
        <v>293</v>
      </c>
      <c r="J14" s="11" t="s">
        <v>1957</v>
      </c>
      <c r="K14" s="11" t="s">
        <v>1958</v>
      </c>
      <c r="L14" s="11" t="s">
        <v>1959</v>
      </c>
      <c r="M14" s="11" t="s">
        <v>1961</v>
      </c>
      <c r="N14" s="11" t="s">
        <v>1964</v>
      </c>
      <c r="O14" s="11" t="s">
        <v>711</v>
      </c>
      <c r="P14" s="29" t="s">
        <v>1965</v>
      </c>
    </row>
    <row r="15" spans="1:16" ht="110.4">
      <c r="A15" s="11" t="s">
        <v>307</v>
      </c>
      <c r="B15" s="11">
        <v>6</v>
      </c>
      <c r="C15" s="11" t="s">
        <v>914</v>
      </c>
      <c r="D15" s="11" t="s">
        <v>1966</v>
      </c>
      <c r="E15" s="11" t="s">
        <v>1967</v>
      </c>
      <c r="F15" s="11" t="s">
        <v>1968</v>
      </c>
      <c r="G15" s="11" t="s">
        <v>1410</v>
      </c>
      <c r="H15" s="16">
        <v>1</v>
      </c>
      <c r="I15" s="11" t="s">
        <v>303</v>
      </c>
      <c r="J15" s="11" t="s">
        <v>1969</v>
      </c>
      <c r="K15" s="11" t="s">
        <v>1970</v>
      </c>
      <c r="L15" s="11" t="s">
        <v>1971</v>
      </c>
      <c r="M15" s="11" t="s">
        <v>1973</v>
      </c>
      <c r="N15" s="11" t="s">
        <v>1976</v>
      </c>
      <c r="O15" s="11" t="s">
        <v>711</v>
      </c>
      <c r="P15" s="29" t="s">
        <v>1977</v>
      </c>
    </row>
    <row r="16" spans="1:16" ht="124.2">
      <c r="A16" s="11" t="s">
        <v>1978</v>
      </c>
      <c r="B16" s="11">
        <v>7</v>
      </c>
      <c r="C16" s="11" t="s">
        <v>914</v>
      </c>
      <c r="D16" s="11" t="s">
        <v>739</v>
      </c>
      <c r="E16" s="11" t="s">
        <v>1979</v>
      </c>
      <c r="F16" s="11" t="s">
        <v>1980</v>
      </c>
      <c r="G16" s="11" t="s">
        <v>1410</v>
      </c>
      <c r="H16" s="16">
        <v>1.5</v>
      </c>
      <c r="I16" s="11" t="s">
        <v>298</v>
      </c>
      <c r="J16" s="11" t="s">
        <v>738</v>
      </c>
      <c r="K16" s="11" t="s">
        <v>1981</v>
      </c>
      <c r="L16" s="11" t="s">
        <v>1982</v>
      </c>
      <c r="M16" s="11" t="s">
        <v>1984</v>
      </c>
      <c r="N16" s="11" t="s">
        <v>1986</v>
      </c>
      <c r="O16" s="11" t="s">
        <v>711</v>
      </c>
      <c r="P16" s="29" t="s">
        <v>1987</v>
      </c>
    </row>
    <row r="17" spans="1:16" ht="110.4">
      <c r="A17" s="11" t="s">
        <v>1988</v>
      </c>
      <c r="B17" s="11">
        <v>8</v>
      </c>
      <c r="C17" s="11" t="s">
        <v>914</v>
      </c>
      <c r="D17" s="11" t="s">
        <v>490</v>
      </c>
      <c r="E17" s="11" t="s">
        <v>1989</v>
      </c>
      <c r="F17" s="11" t="s">
        <v>1990</v>
      </c>
      <c r="G17" s="11" t="s">
        <v>1410</v>
      </c>
      <c r="H17" s="16">
        <v>1</v>
      </c>
      <c r="I17" s="11" t="s">
        <v>298</v>
      </c>
      <c r="J17" s="11" t="s">
        <v>1394</v>
      </c>
      <c r="K17" s="11" t="s">
        <v>1991</v>
      </c>
      <c r="L17" s="11" t="s">
        <v>1992</v>
      </c>
      <c r="M17" s="11" t="s">
        <v>1994</v>
      </c>
      <c r="N17" s="11" t="s">
        <v>1995</v>
      </c>
      <c r="O17" s="11" t="s">
        <v>711</v>
      </c>
      <c r="P17" s="29" t="s">
        <v>1996</v>
      </c>
    </row>
    <row r="18" spans="1:16" ht="110.4">
      <c r="A18" s="11" t="s">
        <v>1997</v>
      </c>
      <c r="B18" s="11">
        <v>9</v>
      </c>
      <c r="C18" s="11" t="s">
        <v>914</v>
      </c>
      <c r="D18" s="11" t="s">
        <v>1998</v>
      </c>
      <c r="E18" s="11" t="s">
        <v>1999</v>
      </c>
      <c r="F18" s="11" t="s">
        <v>2000</v>
      </c>
      <c r="G18" s="11" t="s">
        <v>1400</v>
      </c>
      <c r="H18" s="16">
        <v>1</v>
      </c>
      <c r="I18" s="11" t="s">
        <v>308</v>
      </c>
      <c r="J18" s="11" t="s">
        <v>768</v>
      </c>
      <c r="K18" s="11" t="s">
        <v>2001</v>
      </c>
      <c r="L18" s="11" t="s">
        <v>486</v>
      </c>
      <c r="M18" s="11" t="s">
        <v>488</v>
      </c>
      <c r="N18" s="11" t="s">
        <v>2004</v>
      </c>
      <c r="O18" s="11" t="s">
        <v>711</v>
      </c>
      <c r="P18" s="29" t="s">
        <v>2005</v>
      </c>
    </row>
    <row r="19" spans="1:16" ht="124.2">
      <c r="A19" s="11" t="s">
        <v>2006</v>
      </c>
      <c r="B19" s="11">
        <v>10</v>
      </c>
      <c r="C19" s="11" t="s">
        <v>914</v>
      </c>
      <c r="D19" s="11" t="s">
        <v>2007</v>
      </c>
      <c r="E19" s="11" t="s">
        <v>2008</v>
      </c>
      <c r="F19" s="11" t="s">
        <v>2009</v>
      </c>
      <c r="G19" s="11" t="s">
        <v>577</v>
      </c>
      <c r="H19" s="16">
        <v>1.5</v>
      </c>
      <c r="I19" s="11" t="s">
        <v>308</v>
      </c>
      <c r="J19" s="11" t="s">
        <v>781</v>
      </c>
      <c r="K19" s="11" t="s">
        <v>2010</v>
      </c>
      <c r="L19" s="11" t="s">
        <v>2011</v>
      </c>
      <c r="M19" s="11" t="s">
        <v>2013</v>
      </c>
      <c r="N19" s="11" t="s">
        <v>2014</v>
      </c>
      <c r="O19" s="11" t="s">
        <v>711</v>
      </c>
      <c r="P19" s="29" t="s">
        <v>2015</v>
      </c>
    </row>
    <row r="20" spans="1:16" ht="110.4">
      <c r="A20" s="11" t="s">
        <v>2016</v>
      </c>
      <c r="B20" s="11">
        <v>11</v>
      </c>
      <c r="C20" s="11" t="s">
        <v>914</v>
      </c>
      <c r="D20" s="11" t="s">
        <v>2017</v>
      </c>
      <c r="E20" s="11" t="s">
        <v>2018</v>
      </c>
      <c r="F20" s="11" t="s">
        <v>2019</v>
      </c>
      <c r="G20" s="11" t="s">
        <v>1400</v>
      </c>
      <c r="H20" s="16">
        <v>0.75</v>
      </c>
      <c r="I20" s="11" t="s">
        <v>308</v>
      </c>
      <c r="J20" s="11" t="s">
        <v>781</v>
      </c>
      <c r="K20" s="11" t="s">
        <v>2020</v>
      </c>
      <c r="L20" s="11" t="s">
        <v>2021</v>
      </c>
      <c r="M20" s="11" t="s">
        <v>2023</v>
      </c>
      <c r="N20" s="11" t="s">
        <v>2025</v>
      </c>
      <c r="O20" s="11" t="s">
        <v>711</v>
      </c>
      <c r="P20" s="29" t="s">
        <v>2026</v>
      </c>
    </row>
    <row r="21" spans="1:16" ht="124.2">
      <c r="A21" s="11" t="s">
        <v>2027</v>
      </c>
      <c r="B21" s="11">
        <v>12</v>
      </c>
      <c r="C21" s="11" t="s">
        <v>914</v>
      </c>
      <c r="D21" s="11" t="s">
        <v>2028</v>
      </c>
      <c r="E21" s="11" t="s">
        <v>2029</v>
      </c>
      <c r="F21" s="11" t="s">
        <v>2030</v>
      </c>
      <c r="G21" s="11" t="s">
        <v>1400</v>
      </c>
      <c r="H21" s="16">
        <v>1</v>
      </c>
      <c r="I21" s="11" t="s">
        <v>308</v>
      </c>
      <c r="J21" s="11" t="s">
        <v>1493</v>
      </c>
      <c r="K21" s="11" t="s">
        <v>2031</v>
      </c>
      <c r="L21" s="11" t="s">
        <v>2032</v>
      </c>
      <c r="M21" s="11" t="s">
        <v>505</v>
      </c>
      <c r="N21" s="11" t="s">
        <v>2034</v>
      </c>
      <c r="O21" s="11" t="s">
        <v>711</v>
      </c>
      <c r="P21" s="29" t="s">
        <v>2035</v>
      </c>
    </row>
    <row r="22" spans="1:16" ht="110.4">
      <c r="A22" s="11" t="s">
        <v>2036</v>
      </c>
      <c r="B22" s="11">
        <v>13</v>
      </c>
      <c r="C22" s="11" t="s">
        <v>914</v>
      </c>
      <c r="D22" s="11" t="s">
        <v>1500</v>
      </c>
      <c r="E22" s="11" t="s">
        <v>2037</v>
      </c>
      <c r="F22" s="11" t="s">
        <v>2038</v>
      </c>
      <c r="G22" s="11" t="s">
        <v>577</v>
      </c>
      <c r="H22" s="16">
        <v>0.75</v>
      </c>
      <c r="I22" s="11" t="s">
        <v>328</v>
      </c>
      <c r="J22" s="11" t="s">
        <v>2039</v>
      </c>
      <c r="K22" s="11" t="s">
        <v>2040</v>
      </c>
      <c r="L22" s="11" t="s">
        <v>2041</v>
      </c>
      <c r="M22" s="11" t="s">
        <v>2043</v>
      </c>
      <c r="N22" s="11" t="s">
        <v>2045</v>
      </c>
      <c r="O22" s="11" t="s">
        <v>711</v>
      </c>
      <c r="P22" s="29" t="s">
        <v>2046</v>
      </c>
    </row>
    <row r="23" spans="1:16" ht="24" customHeight="1">
      <c r="A23" s="24" t="s">
        <v>2047</v>
      </c>
      <c r="B23" s="24">
        <v>14</v>
      </c>
      <c r="C23" s="24" t="s">
        <v>914</v>
      </c>
      <c r="D23" s="24" t="s">
        <v>1513</v>
      </c>
      <c r="E23" s="24" t="s">
        <v>2048</v>
      </c>
      <c r="F23" s="24" t="s">
        <v>2049</v>
      </c>
      <c r="G23" s="24" t="s">
        <v>1400</v>
      </c>
      <c r="H23">
        <v>1</v>
      </c>
      <c r="I23" t="s">
        <v>1516</v>
      </c>
      <c r="J23" t="s">
        <v>1394</v>
      </c>
      <c r="K23" t="s">
        <v>2050</v>
      </c>
      <c r="L23" t="s">
        <v>1518</v>
      </c>
      <c r="M23" t="s">
        <v>2051</v>
      </c>
      <c r="N23" t="s">
        <v>1522</v>
      </c>
      <c r="O23" t="s">
        <v>711</v>
      </c>
      <c r="P23" s="29" t="s">
        <v>2054</v>
      </c>
    </row>
    <row r="24" spans="1:16" ht="34.049999999999997" customHeight="1">
      <c r="A24" s="105"/>
      <c r="B24" s="105"/>
      <c r="C24" s="105"/>
      <c r="D24" s="105"/>
      <c r="E24" s="105"/>
      <c r="F24" s="105"/>
      <c r="G24" s="105"/>
      <c r="H24" s="90"/>
      <c r="I24" s="90"/>
      <c r="J24" s="90"/>
      <c r="K24" s="90"/>
      <c r="L24" s="90"/>
      <c r="M24" s="90"/>
      <c r="N24" s="90"/>
      <c r="O24" s="90"/>
    </row>
    <row r="25" spans="1:16" ht="48" customHeight="1">
      <c r="A25" s="32" t="s">
        <v>2203</v>
      </c>
      <c r="B25" s="32"/>
      <c r="C25" s="32"/>
      <c r="D25" s="32"/>
      <c r="E25" s="32"/>
      <c r="F25" s="32"/>
      <c r="G25" s="32"/>
      <c r="H25" s="31"/>
      <c r="I25" s="31"/>
      <c r="J25" s="31"/>
      <c r="K25" s="31"/>
      <c r="L25" s="31"/>
      <c r="M25" s="31"/>
      <c r="N25" s="31"/>
      <c r="O25" s="31"/>
      <c r="P25" s="31"/>
    </row>
    <row r="26" spans="1:16" ht="48" customHeight="1">
      <c r="A26" s="33" t="s">
        <v>826</v>
      </c>
      <c r="B26" s="33" t="s">
        <v>184</v>
      </c>
      <c r="C26" s="33" t="s">
        <v>185</v>
      </c>
      <c r="D26" s="33" t="s">
        <v>186</v>
      </c>
      <c r="E26" s="33" t="s">
        <v>187</v>
      </c>
      <c r="F26" s="33" t="s">
        <v>188</v>
      </c>
      <c r="G26" s="33" t="s">
        <v>190</v>
      </c>
    </row>
    <row r="27" spans="1:16" ht="52.05" customHeight="1">
      <c r="A27" s="34">
        <v>1</v>
      </c>
      <c r="B27" s="34" t="s">
        <v>288</v>
      </c>
      <c r="C27" s="34" t="s">
        <v>289</v>
      </c>
      <c r="D27" s="34" t="s">
        <v>290</v>
      </c>
      <c r="E27" s="34" t="s">
        <v>291</v>
      </c>
      <c r="F27" s="34" t="s">
        <v>2244</v>
      </c>
      <c r="G27" s="34" t="s">
        <v>2205</v>
      </c>
    </row>
    <row r="28" spans="1:16" ht="52.05" customHeight="1">
      <c r="A28" s="22">
        <v>2</v>
      </c>
      <c r="B28" s="22" t="s">
        <v>293</v>
      </c>
      <c r="C28" s="22" t="s">
        <v>294</v>
      </c>
      <c r="D28" s="22" t="s">
        <v>295</v>
      </c>
      <c r="E28" s="22" t="s">
        <v>296</v>
      </c>
      <c r="F28" s="22" t="s">
        <v>2245</v>
      </c>
      <c r="G28" s="22" t="s">
        <v>2208</v>
      </c>
    </row>
    <row r="29" spans="1:16" ht="52.05" customHeight="1">
      <c r="A29" s="34">
        <v>3</v>
      </c>
      <c r="B29" s="34" t="s">
        <v>298</v>
      </c>
      <c r="C29" s="34" t="s">
        <v>299</v>
      </c>
      <c r="D29" s="34" t="s">
        <v>300</v>
      </c>
      <c r="E29" s="34" t="s">
        <v>301</v>
      </c>
      <c r="F29" s="34" t="s">
        <v>2246</v>
      </c>
      <c r="G29" s="34" t="s">
        <v>2208</v>
      </c>
    </row>
    <row r="30" spans="1:16" ht="52.05" customHeight="1">
      <c r="A30" s="22">
        <v>4</v>
      </c>
      <c r="B30" s="22" t="s">
        <v>303</v>
      </c>
      <c r="C30" s="22" t="s">
        <v>304</v>
      </c>
      <c r="D30" s="22" t="s">
        <v>305</v>
      </c>
      <c r="E30" s="22" t="s">
        <v>306</v>
      </c>
      <c r="F30" s="22" t="s">
        <v>2247</v>
      </c>
      <c r="G30" s="22" t="s">
        <v>2208</v>
      </c>
    </row>
    <row r="31" spans="1:16" ht="52.05" customHeight="1">
      <c r="A31" s="35">
        <v>5</v>
      </c>
      <c r="B31" s="35" t="s">
        <v>308</v>
      </c>
      <c r="C31" s="35" t="s">
        <v>309</v>
      </c>
      <c r="D31" s="35" t="s">
        <v>310</v>
      </c>
      <c r="E31" s="35" t="s">
        <v>311</v>
      </c>
      <c r="F31" s="35" t="s">
        <v>2248</v>
      </c>
      <c r="G31" s="35" t="s">
        <v>2208</v>
      </c>
    </row>
    <row r="32" spans="1:16" ht="52.05" customHeight="1">
      <c r="A32" s="35">
        <v>6</v>
      </c>
      <c r="B32" s="35" t="s">
        <v>328</v>
      </c>
      <c r="C32" s="35" t="s">
        <v>330</v>
      </c>
      <c r="D32" s="35" t="s">
        <v>2212</v>
      </c>
      <c r="E32" s="35" t="s">
        <v>332</v>
      </c>
      <c r="F32" s="35" t="s">
        <v>2213</v>
      </c>
      <c r="G32" s="35" t="s">
        <v>2205</v>
      </c>
    </row>
    <row r="33" spans="1:7" ht="52.05" customHeight="1">
      <c r="A33" s="35">
        <v>7</v>
      </c>
      <c r="B33" s="35" t="s">
        <v>1516</v>
      </c>
      <c r="C33" s="35" t="s">
        <v>2249</v>
      </c>
      <c r="D33" s="35" t="s">
        <v>2215</v>
      </c>
      <c r="E33" s="35" t="s">
        <v>2216</v>
      </c>
      <c r="F33" s="35" t="s">
        <v>2250</v>
      </c>
      <c r="G33" s="35" t="s">
        <v>2218</v>
      </c>
    </row>
  </sheetData>
  <mergeCells count="9">
    <mergeCell ref="A24:O24"/>
    <mergeCell ref="A1:O1"/>
    <mergeCell ref="A2:O2"/>
    <mergeCell ref="A4:B4"/>
    <mergeCell ref="A5:B6"/>
    <mergeCell ref="D4:E4"/>
    <mergeCell ref="D5:E6"/>
    <mergeCell ref="G4:O4"/>
    <mergeCell ref="G5:O6"/>
  </mergeCells>
  <conditionalFormatting sqref="O10:O22">
    <cfRule type="containsText" dxfId="42" priority="1" operator="containsText" text="Done"/>
    <cfRule type="containsText" dxfId="41" priority="2" operator="containsText" text="Blocked"/>
    <cfRule type="containsText" dxfId="40" priority="3" operator="containsText" text="In Progress"/>
    <cfRule type="containsText" dxfId="39" priority="4" operator="containsText" text="Ready for Review"/>
  </conditionalFormatting>
  <dataValidations count="1">
    <dataValidation type="list" sqref="O10:O22"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51" t="s">
        <v>50</v>
      </c>
      <c r="B1" s="51"/>
      <c r="C1" s="51"/>
      <c r="D1" s="51"/>
      <c r="E1" s="51"/>
      <c r="F1" s="51"/>
      <c r="G1" s="51"/>
      <c r="H1" s="51"/>
      <c r="I1" s="51"/>
      <c r="J1" s="51"/>
      <c r="K1" s="51"/>
      <c r="L1" s="51"/>
      <c r="M1" s="51"/>
      <c r="N1" s="51"/>
      <c r="O1" s="51"/>
    </row>
    <row r="2" spans="1:16" ht="31.95" customHeight="1">
      <c r="A2" s="52" t="s">
        <v>51</v>
      </c>
      <c r="B2" s="52"/>
      <c r="C2" s="52"/>
      <c r="D2" s="52"/>
      <c r="E2" s="52"/>
      <c r="F2" s="52"/>
      <c r="G2" s="52"/>
      <c r="H2" s="52"/>
      <c r="I2" s="52"/>
      <c r="J2" s="52"/>
      <c r="K2" s="52"/>
      <c r="L2" s="52"/>
      <c r="M2" s="52"/>
      <c r="N2" s="52"/>
      <c r="O2" s="52"/>
    </row>
    <row r="4" spans="1:16" ht="28.05" customHeight="1">
      <c r="A4" s="53" t="s">
        <v>24</v>
      </c>
      <c r="B4" s="55"/>
      <c r="D4" s="53" t="s">
        <v>17</v>
      </c>
      <c r="E4" s="55"/>
      <c r="G4" s="53" t="s">
        <v>36</v>
      </c>
      <c r="H4" s="54"/>
      <c r="I4" s="54"/>
      <c r="J4" s="54"/>
      <c r="K4" s="54"/>
      <c r="L4" s="54"/>
      <c r="M4" s="54"/>
      <c r="N4" s="54"/>
      <c r="O4" s="55"/>
    </row>
    <row r="5" spans="1:16">
      <c r="A5" s="91">
        <f>IF(COUNTA(O10:O40)=0,0,COUNTIF(O10:O40,"Done")/COUNTA(A10:A40))</f>
        <v>0</v>
      </c>
      <c r="B5" s="92"/>
      <c r="D5" s="95">
        <f>COUNTIF(O10:O40,"Blocked")</f>
        <v>0</v>
      </c>
      <c r="E5" s="96"/>
      <c r="G5" s="99" t="s">
        <v>52</v>
      </c>
      <c r="H5" s="100"/>
      <c r="I5" s="100"/>
      <c r="J5" s="100"/>
      <c r="K5" s="100"/>
      <c r="L5" s="100"/>
      <c r="M5" s="100"/>
      <c r="N5" s="100"/>
      <c r="O5" s="101"/>
    </row>
    <row r="6" spans="1:16">
      <c r="A6" s="93"/>
      <c r="B6" s="94"/>
      <c r="D6" s="97"/>
      <c r="E6" s="98"/>
      <c r="G6" s="102"/>
      <c r="H6" s="103"/>
      <c r="I6" s="103"/>
      <c r="J6" s="103"/>
      <c r="K6" s="103"/>
      <c r="L6" s="103"/>
      <c r="M6" s="103"/>
      <c r="N6" s="103"/>
      <c r="O6" s="104"/>
    </row>
    <row r="9" spans="1:16" ht="28.05" customHeight="1">
      <c r="A9" s="1" t="s">
        <v>1375</v>
      </c>
      <c r="B9" s="2" t="s">
        <v>1376</v>
      </c>
      <c r="C9" s="2" t="s">
        <v>884</v>
      </c>
      <c r="D9" s="2" t="s">
        <v>1377</v>
      </c>
      <c r="E9" s="2" t="s">
        <v>827</v>
      </c>
      <c r="F9" s="2" t="s">
        <v>2195</v>
      </c>
      <c r="G9" s="2" t="s">
        <v>7</v>
      </c>
      <c r="H9" s="2" t="s">
        <v>2196</v>
      </c>
      <c r="I9" s="2" t="s">
        <v>2197</v>
      </c>
      <c r="J9" s="2" t="s">
        <v>2198</v>
      </c>
      <c r="K9" s="2" t="s">
        <v>2199</v>
      </c>
      <c r="L9" s="2" t="s">
        <v>2200</v>
      </c>
      <c r="M9" s="2" t="s">
        <v>2201</v>
      </c>
      <c r="N9" s="2" t="s">
        <v>2202</v>
      </c>
      <c r="O9" s="3" t="s">
        <v>355</v>
      </c>
      <c r="P9" s="29" t="s">
        <v>1387</v>
      </c>
    </row>
    <row r="10" spans="1:16" ht="110.4">
      <c r="A10" s="10" t="s">
        <v>2055</v>
      </c>
      <c r="B10" s="10">
        <v>1</v>
      </c>
      <c r="C10" s="10" t="s">
        <v>914</v>
      </c>
      <c r="D10" s="10" t="s">
        <v>2056</v>
      </c>
      <c r="E10" s="10" t="s">
        <v>2057</v>
      </c>
      <c r="F10" s="10" t="s">
        <v>2058</v>
      </c>
      <c r="G10" s="10" t="s">
        <v>1400</v>
      </c>
      <c r="H10" s="15">
        <v>0.75</v>
      </c>
      <c r="I10" s="10" t="s">
        <v>298</v>
      </c>
      <c r="J10" s="10" t="s">
        <v>772</v>
      </c>
      <c r="K10" s="10" t="s">
        <v>2059</v>
      </c>
      <c r="L10" s="10" t="s">
        <v>2060</v>
      </c>
      <c r="M10" s="10" t="s">
        <v>2062</v>
      </c>
      <c r="N10" s="10" t="s">
        <v>2064</v>
      </c>
      <c r="O10" s="10" t="s">
        <v>711</v>
      </c>
      <c r="P10" s="29" t="s">
        <v>2065</v>
      </c>
    </row>
    <row r="11" spans="1:16" ht="124.2">
      <c r="A11" s="11" t="s">
        <v>2066</v>
      </c>
      <c r="B11" s="11">
        <v>2</v>
      </c>
      <c r="C11" s="11" t="s">
        <v>914</v>
      </c>
      <c r="D11" s="11" t="s">
        <v>507</v>
      </c>
      <c r="E11" s="11" t="s">
        <v>2067</v>
      </c>
      <c r="F11" s="11" t="s">
        <v>2068</v>
      </c>
      <c r="G11" s="11" t="s">
        <v>1410</v>
      </c>
      <c r="H11" s="16">
        <v>1.5</v>
      </c>
      <c r="I11" s="11" t="s">
        <v>313</v>
      </c>
      <c r="J11" s="11" t="s">
        <v>772</v>
      </c>
      <c r="K11" s="11" t="s">
        <v>2069</v>
      </c>
      <c r="L11" s="11" t="s">
        <v>509</v>
      </c>
      <c r="M11" s="11" t="s">
        <v>2071</v>
      </c>
      <c r="N11" s="11" t="s">
        <v>2072</v>
      </c>
      <c r="O11" s="11" t="s">
        <v>711</v>
      </c>
      <c r="P11" s="29" t="s">
        <v>2073</v>
      </c>
    </row>
    <row r="12" spans="1:16" ht="110.4">
      <c r="A12" s="11" t="s">
        <v>2074</v>
      </c>
      <c r="B12" s="11">
        <v>3</v>
      </c>
      <c r="C12" s="11" t="s">
        <v>914</v>
      </c>
      <c r="D12" s="11" t="s">
        <v>2075</v>
      </c>
      <c r="E12" s="11" t="s">
        <v>2076</v>
      </c>
      <c r="F12" s="11" t="s">
        <v>2077</v>
      </c>
      <c r="G12" s="11" t="s">
        <v>1410</v>
      </c>
      <c r="H12" s="16">
        <v>1</v>
      </c>
      <c r="I12" s="11" t="s">
        <v>313</v>
      </c>
      <c r="J12" s="11" t="s">
        <v>2078</v>
      </c>
      <c r="K12" s="11" t="s">
        <v>2079</v>
      </c>
      <c r="L12" s="11" t="s">
        <v>2080</v>
      </c>
      <c r="M12" s="11" t="s">
        <v>2082</v>
      </c>
      <c r="N12" s="11" t="s">
        <v>2084</v>
      </c>
      <c r="O12" s="11" t="s">
        <v>711</v>
      </c>
      <c r="P12" s="29" t="s">
        <v>2085</v>
      </c>
    </row>
    <row r="13" spans="1:16" ht="110.4">
      <c r="A13" s="11" t="s">
        <v>2086</v>
      </c>
      <c r="B13" s="11">
        <v>4</v>
      </c>
      <c r="C13" s="11" t="s">
        <v>914</v>
      </c>
      <c r="D13" s="11" t="s">
        <v>2087</v>
      </c>
      <c r="E13" s="11" t="s">
        <v>2088</v>
      </c>
      <c r="F13" s="11" t="s">
        <v>2089</v>
      </c>
      <c r="G13" s="11" t="s">
        <v>1410</v>
      </c>
      <c r="H13" s="16">
        <v>1</v>
      </c>
      <c r="I13" s="11" t="s">
        <v>313</v>
      </c>
      <c r="J13" s="11" t="s">
        <v>2090</v>
      </c>
      <c r="K13" s="11" t="s">
        <v>2091</v>
      </c>
      <c r="L13" s="11" t="s">
        <v>2092</v>
      </c>
      <c r="M13" s="11" t="s">
        <v>2094</v>
      </c>
      <c r="N13" s="11" t="s">
        <v>2096</v>
      </c>
      <c r="O13" s="11" t="s">
        <v>711</v>
      </c>
      <c r="P13" s="29" t="s">
        <v>2097</v>
      </c>
    </row>
    <row r="14" spans="1:16" ht="110.4">
      <c r="A14" s="11" t="s">
        <v>2098</v>
      </c>
      <c r="B14" s="11">
        <v>5</v>
      </c>
      <c r="C14" s="11" t="s">
        <v>914</v>
      </c>
      <c r="D14" s="11" t="s">
        <v>2099</v>
      </c>
      <c r="E14" s="11" t="s">
        <v>2100</v>
      </c>
      <c r="F14" s="11" t="s">
        <v>2101</v>
      </c>
      <c r="G14" s="11" t="s">
        <v>1410</v>
      </c>
      <c r="H14" s="16">
        <v>1</v>
      </c>
      <c r="I14" s="11" t="s">
        <v>313</v>
      </c>
      <c r="J14" s="11" t="s">
        <v>765</v>
      </c>
      <c r="K14" s="11" t="s">
        <v>2102</v>
      </c>
      <c r="L14" s="11" t="s">
        <v>509</v>
      </c>
      <c r="M14" s="11" t="s">
        <v>2104</v>
      </c>
      <c r="N14" s="11" t="s">
        <v>2105</v>
      </c>
      <c r="O14" s="11" t="s">
        <v>711</v>
      </c>
      <c r="P14" s="29" t="s">
        <v>2106</v>
      </c>
    </row>
    <row r="15" spans="1:16" ht="124.2">
      <c r="A15" s="11" t="s">
        <v>2107</v>
      </c>
      <c r="B15" s="11">
        <v>6</v>
      </c>
      <c r="C15" s="11" t="s">
        <v>914</v>
      </c>
      <c r="D15" s="11" t="s">
        <v>2108</v>
      </c>
      <c r="E15" s="11" t="s">
        <v>2109</v>
      </c>
      <c r="F15" s="11" t="s">
        <v>2110</v>
      </c>
      <c r="G15" s="11" t="s">
        <v>1410</v>
      </c>
      <c r="H15" s="16">
        <v>1.25</v>
      </c>
      <c r="I15" s="11" t="s">
        <v>318</v>
      </c>
      <c r="J15" s="11" t="s">
        <v>761</v>
      </c>
      <c r="K15" s="11" t="s">
        <v>2111</v>
      </c>
      <c r="L15" s="11" t="s">
        <v>1852</v>
      </c>
      <c r="M15" s="11" t="s">
        <v>2113</v>
      </c>
      <c r="N15" s="11" t="s">
        <v>2115</v>
      </c>
      <c r="O15" s="11" t="s">
        <v>711</v>
      </c>
      <c r="P15" s="29" t="s">
        <v>2116</v>
      </c>
    </row>
    <row r="16" spans="1:16" ht="110.4">
      <c r="A16" s="11" t="s">
        <v>2117</v>
      </c>
      <c r="B16" s="11">
        <v>7</v>
      </c>
      <c r="C16" s="11" t="s">
        <v>914</v>
      </c>
      <c r="D16" s="11" t="s">
        <v>2118</v>
      </c>
      <c r="E16" s="11" t="s">
        <v>2119</v>
      </c>
      <c r="F16" s="11" t="s">
        <v>2120</v>
      </c>
      <c r="G16" s="11" t="s">
        <v>1400</v>
      </c>
      <c r="H16" s="16">
        <v>1</v>
      </c>
      <c r="I16" s="11" t="s">
        <v>318</v>
      </c>
      <c r="J16" s="11" t="s">
        <v>2121</v>
      </c>
      <c r="K16" s="11" t="s">
        <v>2122</v>
      </c>
      <c r="L16" s="11" t="s">
        <v>520</v>
      </c>
      <c r="M16" s="11" t="s">
        <v>767</v>
      </c>
      <c r="N16" s="11" t="s">
        <v>2124</v>
      </c>
      <c r="O16" s="11" t="s">
        <v>711</v>
      </c>
      <c r="P16" s="29" t="s">
        <v>2125</v>
      </c>
    </row>
    <row r="17" spans="1:16" ht="110.4">
      <c r="A17" s="11" t="s">
        <v>2126</v>
      </c>
      <c r="B17" s="11">
        <v>8</v>
      </c>
      <c r="C17" s="11" t="s">
        <v>914</v>
      </c>
      <c r="D17" s="11" t="s">
        <v>2127</v>
      </c>
      <c r="E17" s="11" t="s">
        <v>2128</v>
      </c>
      <c r="F17" s="11" t="s">
        <v>2129</v>
      </c>
      <c r="G17" s="11" t="s">
        <v>2130</v>
      </c>
      <c r="H17" s="16">
        <v>1</v>
      </c>
      <c r="I17" s="11" t="s">
        <v>318</v>
      </c>
      <c r="J17" s="11" t="s">
        <v>761</v>
      </c>
      <c r="K17" s="11" t="s">
        <v>2131</v>
      </c>
      <c r="L17" s="11" t="s">
        <v>2132</v>
      </c>
      <c r="M17" s="11" t="s">
        <v>2134</v>
      </c>
      <c r="N17" s="11" t="s">
        <v>2137</v>
      </c>
      <c r="O17" s="11" t="s">
        <v>711</v>
      </c>
      <c r="P17" s="29" t="s">
        <v>2138</v>
      </c>
    </row>
    <row r="18" spans="1:16" ht="110.4">
      <c r="A18" s="11" t="s">
        <v>2139</v>
      </c>
      <c r="B18" s="11">
        <v>9</v>
      </c>
      <c r="C18" s="11" t="s">
        <v>914</v>
      </c>
      <c r="D18" s="11" t="s">
        <v>2140</v>
      </c>
      <c r="E18" s="11" t="s">
        <v>2141</v>
      </c>
      <c r="F18" s="11" t="s">
        <v>2142</v>
      </c>
      <c r="G18" s="11" t="s">
        <v>1400</v>
      </c>
      <c r="H18" s="16">
        <v>1</v>
      </c>
      <c r="I18" s="11" t="s">
        <v>318</v>
      </c>
      <c r="J18" s="11" t="s">
        <v>778</v>
      </c>
      <c r="K18" s="11" t="s">
        <v>2143</v>
      </c>
      <c r="L18" s="11" t="s">
        <v>526</v>
      </c>
      <c r="M18" s="11" t="s">
        <v>2145</v>
      </c>
      <c r="N18" s="11" t="s">
        <v>2147</v>
      </c>
      <c r="O18" s="11" t="s">
        <v>711</v>
      </c>
      <c r="P18" s="29" t="s">
        <v>2148</v>
      </c>
    </row>
    <row r="19" spans="1:16" ht="124.2">
      <c r="A19" s="11" t="s">
        <v>2149</v>
      </c>
      <c r="B19" s="11">
        <v>10</v>
      </c>
      <c r="C19" s="11" t="s">
        <v>914</v>
      </c>
      <c r="D19" s="11" t="s">
        <v>2150</v>
      </c>
      <c r="E19" s="11" t="s">
        <v>2151</v>
      </c>
      <c r="F19" s="11" t="s">
        <v>2152</v>
      </c>
      <c r="G19" s="11" t="s">
        <v>1400</v>
      </c>
      <c r="H19" s="16">
        <v>1.25</v>
      </c>
      <c r="I19" s="11" t="s">
        <v>323</v>
      </c>
      <c r="J19" s="11" t="s">
        <v>717</v>
      </c>
      <c r="K19" s="11" t="s">
        <v>2153</v>
      </c>
      <c r="L19" s="11" t="s">
        <v>531</v>
      </c>
      <c r="M19" s="11" t="s">
        <v>533</v>
      </c>
      <c r="N19" s="11" t="s">
        <v>2156</v>
      </c>
      <c r="O19" s="11" t="s">
        <v>711</v>
      </c>
      <c r="P19" s="29" t="s">
        <v>2157</v>
      </c>
    </row>
    <row r="20" spans="1:16" ht="124.2">
      <c r="A20" s="11" t="s">
        <v>2158</v>
      </c>
      <c r="B20" s="11">
        <v>11</v>
      </c>
      <c r="C20" s="11" t="s">
        <v>914</v>
      </c>
      <c r="D20" s="11" t="s">
        <v>2159</v>
      </c>
      <c r="E20" s="11" t="s">
        <v>2160</v>
      </c>
      <c r="F20" s="11" t="s">
        <v>2161</v>
      </c>
      <c r="G20" s="11" t="s">
        <v>577</v>
      </c>
      <c r="H20" s="16">
        <v>0.75</v>
      </c>
      <c r="I20" s="11" t="s">
        <v>323</v>
      </c>
      <c r="J20" s="11" t="s">
        <v>781</v>
      </c>
      <c r="K20" s="11" t="s">
        <v>2162</v>
      </c>
      <c r="L20" s="11" t="s">
        <v>536</v>
      </c>
      <c r="M20" s="11" t="s">
        <v>538</v>
      </c>
      <c r="N20" s="11" t="s">
        <v>2164</v>
      </c>
      <c r="O20" s="11" t="s">
        <v>711</v>
      </c>
      <c r="P20" s="29" t="s">
        <v>2165</v>
      </c>
    </row>
    <row r="21" spans="1:16" ht="110.4">
      <c r="A21" s="11" t="s">
        <v>2166</v>
      </c>
      <c r="B21" s="11">
        <v>12</v>
      </c>
      <c r="C21" s="11" t="s">
        <v>914</v>
      </c>
      <c r="D21" s="11" t="s">
        <v>2167</v>
      </c>
      <c r="E21" s="11" t="s">
        <v>2168</v>
      </c>
      <c r="F21" s="11" t="s">
        <v>2169</v>
      </c>
      <c r="G21" s="11" t="s">
        <v>577</v>
      </c>
      <c r="H21" s="16">
        <v>1.25</v>
      </c>
      <c r="I21" s="11" t="s">
        <v>308</v>
      </c>
      <c r="J21" s="11" t="s">
        <v>1481</v>
      </c>
      <c r="K21" s="11" t="s">
        <v>2170</v>
      </c>
      <c r="L21" s="11" t="s">
        <v>503</v>
      </c>
      <c r="M21" s="11" t="s">
        <v>542</v>
      </c>
      <c r="N21" s="11" t="s">
        <v>2173</v>
      </c>
      <c r="O21" s="11" t="s">
        <v>711</v>
      </c>
      <c r="P21" s="29" t="s">
        <v>2174</v>
      </c>
    </row>
    <row r="22" spans="1:16" ht="124.2">
      <c r="A22" s="11" t="s">
        <v>2175</v>
      </c>
      <c r="B22" s="11">
        <v>13</v>
      </c>
      <c r="C22" s="11" t="s">
        <v>914</v>
      </c>
      <c r="D22" s="11" t="s">
        <v>2176</v>
      </c>
      <c r="E22" s="11" t="s">
        <v>2177</v>
      </c>
      <c r="F22" s="11" t="s">
        <v>2178</v>
      </c>
      <c r="G22" s="11" t="s">
        <v>577</v>
      </c>
      <c r="H22" s="16">
        <v>1</v>
      </c>
      <c r="I22" s="11" t="s">
        <v>323</v>
      </c>
      <c r="J22" s="11" t="s">
        <v>1394</v>
      </c>
      <c r="K22" s="11" t="s">
        <v>2179</v>
      </c>
      <c r="L22" s="11" t="s">
        <v>2180</v>
      </c>
      <c r="M22" s="11" t="s">
        <v>2182</v>
      </c>
      <c r="N22" s="11" t="s">
        <v>2184</v>
      </c>
      <c r="O22" s="11" t="s">
        <v>711</v>
      </c>
      <c r="P22" s="29" t="s">
        <v>2185</v>
      </c>
    </row>
    <row r="23" spans="1:16" ht="24" customHeight="1">
      <c r="A23" s="24" t="s">
        <v>2186</v>
      </c>
      <c r="B23" s="24">
        <v>14</v>
      </c>
      <c r="C23" s="24" t="s">
        <v>914</v>
      </c>
      <c r="D23" s="24" t="s">
        <v>1513</v>
      </c>
      <c r="E23" s="24" t="s">
        <v>2187</v>
      </c>
      <c r="F23" s="24" t="s">
        <v>2188</v>
      </c>
      <c r="G23" s="24" t="s">
        <v>1400</v>
      </c>
      <c r="H23">
        <v>1.5</v>
      </c>
      <c r="I23" t="s">
        <v>1516</v>
      </c>
      <c r="J23" t="s">
        <v>1394</v>
      </c>
      <c r="K23" t="s">
        <v>2189</v>
      </c>
      <c r="L23" t="s">
        <v>1518</v>
      </c>
      <c r="M23" t="s">
        <v>2191</v>
      </c>
      <c r="N23" t="s">
        <v>1522</v>
      </c>
      <c r="O23" t="s">
        <v>711</v>
      </c>
      <c r="P23" s="29" t="s">
        <v>2194</v>
      </c>
    </row>
    <row r="24" spans="1:16" ht="34.049999999999997" customHeight="1">
      <c r="A24" s="105"/>
      <c r="B24" s="105"/>
      <c r="C24" s="105"/>
      <c r="D24" s="105"/>
      <c r="E24" s="105"/>
      <c r="F24" s="105"/>
      <c r="G24" s="105"/>
      <c r="H24" s="90"/>
      <c r="I24" s="90"/>
      <c r="J24" s="90"/>
      <c r="K24" s="90"/>
      <c r="L24" s="90"/>
      <c r="M24" s="90"/>
      <c r="N24" s="90"/>
      <c r="O24" s="90"/>
    </row>
    <row r="25" spans="1:16" ht="48" customHeight="1">
      <c r="A25" s="32" t="s">
        <v>2203</v>
      </c>
      <c r="B25" s="32"/>
      <c r="C25" s="32"/>
      <c r="D25" s="32"/>
      <c r="E25" s="32"/>
      <c r="F25" s="32"/>
      <c r="G25" s="32"/>
      <c r="H25" s="31"/>
      <c r="I25" s="31"/>
      <c r="J25" s="31"/>
      <c r="K25" s="31"/>
      <c r="L25" s="31"/>
      <c r="M25" s="31"/>
      <c r="N25" s="31"/>
      <c r="O25" s="31"/>
      <c r="P25" s="31"/>
    </row>
    <row r="26" spans="1:16" ht="48" customHeight="1">
      <c r="A26" s="33" t="s">
        <v>826</v>
      </c>
      <c r="B26" s="33" t="s">
        <v>184</v>
      </c>
      <c r="C26" s="33" t="s">
        <v>185</v>
      </c>
      <c r="D26" s="33" t="s">
        <v>186</v>
      </c>
      <c r="E26" s="33" t="s">
        <v>187</v>
      </c>
      <c r="F26" s="33" t="s">
        <v>188</v>
      </c>
      <c r="G26" s="33" t="s">
        <v>190</v>
      </c>
    </row>
    <row r="27" spans="1:16" ht="52.05" customHeight="1">
      <c r="A27" s="34">
        <v>1</v>
      </c>
      <c r="B27" s="34" t="s">
        <v>313</v>
      </c>
      <c r="C27" s="34" t="s">
        <v>314</v>
      </c>
      <c r="D27" s="34" t="s">
        <v>315</v>
      </c>
      <c r="E27" s="34" t="s">
        <v>316</v>
      </c>
      <c r="F27" s="34" t="s">
        <v>2251</v>
      </c>
      <c r="G27" s="34" t="s">
        <v>2208</v>
      </c>
    </row>
    <row r="28" spans="1:16" ht="52.05" customHeight="1">
      <c r="A28" s="35">
        <v>2</v>
      </c>
      <c r="B28" s="35" t="s">
        <v>318</v>
      </c>
      <c r="C28" s="35" t="s">
        <v>319</v>
      </c>
      <c r="D28" s="35" t="s">
        <v>320</v>
      </c>
      <c r="E28" s="35" t="s">
        <v>321</v>
      </c>
      <c r="F28" s="35" t="s">
        <v>2252</v>
      </c>
      <c r="G28" s="35" t="s">
        <v>2208</v>
      </c>
    </row>
    <row r="29" spans="1:16" ht="52.05" customHeight="1">
      <c r="A29" s="35">
        <v>3</v>
      </c>
      <c r="B29" s="35" t="s">
        <v>323</v>
      </c>
      <c r="C29" s="35" t="s">
        <v>324</v>
      </c>
      <c r="D29" s="35" t="s">
        <v>325</v>
      </c>
      <c r="E29" s="35" t="s">
        <v>326</v>
      </c>
      <c r="F29" s="35" t="s">
        <v>2253</v>
      </c>
      <c r="G29" s="35" t="s">
        <v>2208</v>
      </c>
    </row>
    <row r="30" spans="1:16" ht="52.05" customHeight="1">
      <c r="A30" s="35">
        <v>4</v>
      </c>
      <c r="B30" s="35" t="s">
        <v>1516</v>
      </c>
      <c r="C30" s="35" t="s">
        <v>2254</v>
      </c>
      <c r="D30" s="35" t="s">
        <v>2215</v>
      </c>
      <c r="E30" s="35" t="s">
        <v>2216</v>
      </c>
      <c r="F30" s="35" t="s">
        <v>2255</v>
      </c>
      <c r="G30" s="35" t="s">
        <v>2218</v>
      </c>
    </row>
  </sheetData>
  <mergeCells count="9">
    <mergeCell ref="A24:O24"/>
    <mergeCell ref="A1:O1"/>
    <mergeCell ref="A2:O2"/>
    <mergeCell ref="A4:B4"/>
    <mergeCell ref="A5:B6"/>
    <mergeCell ref="D4:E4"/>
    <mergeCell ref="D5:E6"/>
    <mergeCell ref="G4:O4"/>
    <mergeCell ref="G5:O6"/>
  </mergeCells>
  <conditionalFormatting sqref="O10:O22">
    <cfRule type="containsText" dxfId="38" priority="1" operator="containsText" text="Done"/>
    <cfRule type="containsText" dxfId="37" priority="2" operator="containsText" text="Blocked"/>
    <cfRule type="containsText" dxfId="36" priority="3" operator="containsText" text="In Progress"/>
    <cfRule type="containsText" dxfId="35" priority="4" operator="containsText" text="Ready for Review"/>
  </conditionalFormatting>
  <dataValidations count="1">
    <dataValidation type="list" sqref="O10:O22"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
  <sheetViews>
    <sheetView showGridLines="0" workbookViewId="0"/>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51" t="s">
        <v>53</v>
      </c>
      <c r="B1" s="51"/>
      <c r="C1" s="51"/>
      <c r="D1" s="51"/>
      <c r="E1" s="51"/>
      <c r="F1" s="51"/>
      <c r="G1" s="51"/>
      <c r="H1" s="51"/>
    </row>
    <row r="2" spans="1:8" ht="31.95" customHeight="1">
      <c r="A2" s="52" t="s">
        <v>54</v>
      </c>
      <c r="B2" s="52"/>
      <c r="C2" s="52"/>
      <c r="D2" s="52"/>
      <c r="E2" s="52"/>
      <c r="F2" s="52"/>
      <c r="G2" s="52"/>
      <c r="H2" s="52"/>
    </row>
    <row r="4" spans="1:8" ht="46.05" customHeight="1">
      <c r="A4" s="106" t="s">
        <v>55</v>
      </c>
      <c r="B4" s="107"/>
      <c r="C4" s="107"/>
      <c r="D4" s="107"/>
      <c r="E4" s="107"/>
      <c r="F4" s="107"/>
      <c r="G4" s="107"/>
      <c r="H4" s="108"/>
    </row>
    <row r="6" spans="1:8" ht="28.05" customHeight="1">
      <c r="A6" s="1" t="s">
        <v>56</v>
      </c>
      <c r="B6" s="2" t="s">
        <v>57</v>
      </c>
      <c r="C6" s="2" t="s">
        <v>58</v>
      </c>
      <c r="D6" s="2" t="s">
        <v>59</v>
      </c>
      <c r="E6" s="2" t="s">
        <v>60</v>
      </c>
      <c r="F6" s="2" t="s">
        <v>61</v>
      </c>
      <c r="G6" s="2" t="s">
        <v>62</v>
      </c>
      <c r="H6" s="3" t="s">
        <v>63</v>
      </c>
    </row>
    <row r="7" spans="1:8">
      <c r="A7" s="10" t="s">
        <v>64</v>
      </c>
      <c r="B7" s="10" t="s">
        <v>65</v>
      </c>
      <c r="C7" s="10" t="s">
        <v>66</v>
      </c>
      <c r="D7" s="10" t="s">
        <v>67</v>
      </c>
      <c r="E7" s="10" t="s">
        <v>68</v>
      </c>
      <c r="F7" s="10" t="s">
        <v>69</v>
      </c>
      <c r="G7" s="10" t="s">
        <v>70</v>
      </c>
      <c r="H7" s="10" t="s">
        <v>71</v>
      </c>
    </row>
    <row r="8" spans="1:8" ht="22.8">
      <c r="A8" s="11" t="s">
        <v>64</v>
      </c>
      <c r="B8" s="11" t="s">
        <v>72</v>
      </c>
      <c r="C8" s="11" t="s">
        <v>73</v>
      </c>
      <c r="D8" s="11" t="s">
        <v>74</v>
      </c>
      <c r="E8" s="11" t="s">
        <v>25</v>
      </c>
      <c r="F8" s="11" t="s">
        <v>75</v>
      </c>
      <c r="G8" s="11" t="s">
        <v>76</v>
      </c>
      <c r="H8" s="11" t="s">
        <v>77</v>
      </c>
    </row>
    <row r="9" spans="1:8">
      <c r="A9" s="11" t="s">
        <v>64</v>
      </c>
      <c r="B9" s="11" t="s">
        <v>78</v>
      </c>
      <c r="C9" s="11" t="s">
        <v>79</v>
      </c>
      <c r="D9" s="11" t="s">
        <v>80</v>
      </c>
      <c r="E9" s="11" t="s">
        <v>25</v>
      </c>
      <c r="F9" s="11" t="s">
        <v>81</v>
      </c>
      <c r="G9" s="11" t="s">
        <v>82</v>
      </c>
      <c r="H9" s="11" t="s">
        <v>83</v>
      </c>
    </row>
    <row r="10" spans="1:8" ht="22.8">
      <c r="A10" s="11" t="s">
        <v>64</v>
      </c>
      <c r="B10" s="11" t="s">
        <v>84</v>
      </c>
      <c r="C10" s="11" t="s">
        <v>85</v>
      </c>
      <c r="D10" s="11" t="s">
        <v>86</v>
      </c>
      <c r="E10" s="11" t="s">
        <v>25</v>
      </c>
      <c r="F10" s="11" t="s">
        <v>87</v>
      </c>
      <c r="G10" s="11" t="s">
        <v>88</v>
      </c>
      <c r="H10" s="11" t="s">
        <v>89</v>
      </c>
    </row>
    <row r="11" spans="1:8">
      <c r="A11" s="11" t="s">
        <v>64</v>
      </c>
      <c r="B11" s="11" t="s">
        <v>90</v>
      </c>
      <c r="C11" s="11" t="s">
        <v>91</v>
      </c>
      <c r="D11" s="11" t="s">
        <v>92</v>
      </c>
      <c r="E11" s="11" t="s">
        <v>28</v>
      </c>
      <c r="F11" s="11" t="s">
        <v>87</v>
      </c>
      <c r="G11" s="11" t="s">
        <v>93</v>
      </c>
      <c r="H11" s="11" t="s">
        <v>94</v>
      </c>
    </row>
    <row r="12" spans="1:8">
      <c r="A12" s="11" t="s">
        <v>95</v>
      </c>
      <c r="B12" s="11" t="s">
        <v>96</v>
      </c>
      <c r="C12" s="11" t="s">
        <v>97</v>
      </c>
      <c r="D12" s="11" t="s">
        <v>98</v>
      </c>
      <c r="E12" s="11" t="s">
        <v>27</v>
      </c>
      <c r="F12" s="11" t="s">
        <v>99</v>
      </c>
      <c r="G12" s="11" t="s">
        <v>100</v>
      </c>
      <c r="H12" s="11" t="s">
        <v>101</v>
      </c>
    </row>
    <row r="13" spans="1:8">
      <c r="A13" s="11" t="s">
        <v>95</v>
      </c>
      <c r="B13" s="11" t="s">
        <v>102</v>
      </c>
      <c r="C13" s="11" t="s">
        <v>103</v>
      </c>
      <c r="D13" s="11" t="s">
        <v>104</v>
      </c>
      <c r="E13" s="11" t="s">
        <v>105</v>
      </c>
      <c r="F13" s="11" t="s">
        <v>106</v>
      </c>
      <c r="G13" s="11" t="s">
        <v>107</v>
      </c>
      <c r="H13" s="11" t="s">
        <v>108</v>
      </c>
    </row>
    <row r="14" spans="1:8" ht="22.8">
      <c r="A14" s="11" t="s">
        <v>95</v>
      </c>
      <c r="B14" s="11" t="s">
        <v>109</v>
      </c>
      <c r="C14" s="11" t="s">
        <v>110</v>
      </c>
      <c r="D14" s="11" t="s">
        <v>111</v>
      </c>
      <c r="E14" s="11" t="s">
        <v>112</v>
      </c>
      <c r="F14" s="11" t="s">
        <v>113</v>
      </c>
      <c r="G14" s="11" t="s">
        <v>114</v>
      </c>
      <c r="H14" s="11" t="s">
        <v>115</v>
      </c>
    </row>
    <row r="15" spans="1:8">
      <c r="A15" s="11" t="s">
        <v>95</v>
      </c>
      <c r="B15" s="11" t="s">
        <v>116</v>
      </c>
      <c r="C15" s="11" t="s">
        <v>117</v>
      </c>
      <c r="D15" s="11" t="s">
        <v>118</v>
      </c>
      <c r="E15" s="11" t="s">
        <v>26</v>
      </c>
      <c r="F15" s="11" t="s">
        <v>119</v>
      </c>
      <c r="G15" s="11" t="s">
        <v>120</v>
      </c>
      <c r="H15" s="11" t="s">
        <v>121</v>
      </c>
    </row>
    <row r="16" spans="1:8" ht="22.8">
      <c r="A16" s="11" t="s">
        <v>95</v>
      </c>
      <c r="B16" s="11" t="s">
        <v>122</v>
      </c>
      <c r="C16" s="11" t="s">
        <v>123</v>
      </c>
      <c r="D16" s="11" t="s">
        <v>124</v>
      </c>
      <c r="E16" s="11" t="s">
        <v>26</v>
      </c>
      <c r="F16" s="11" t="s">
        <v>75</v>
      </c>
      <c r="G16" s="11" t="s">
        <v>125</v>
      </c>
      <c r="H16" s="11" t="s">
        <v>126</v>
      </c>
    </row>
    <row r="17" spans="1:8">
      <c r="A17" s="11" t="s">
        <v>127</v>
      </c>
      <c r="B17" s="11" t="s">
        <v>128</v>
      </c>
      <c r="C17" s="11" t="s">
        <v>129</v>
      </c>
      <c r="D17" s="11" t="s">
        <v>130</v>
      </c>
      <c r="E17" s="11" t="s">
        <v>27</v>
      </c>
      <c r="F17" s="11" t="s">
        <v>131</v>
      </c>
      <c r="G17" s="11" t="s">
        <v>132</v>
      </c>
      <c r="H17" s="11" t="s">
        <v>133</v>
      </c>
    </row>
    <row r="18" spans="1:8">
      <c r="A18" s="11" t="s">
        <v>127</v>
      </c>
      <c r="B18" s="11" t="s">
        <v>134</v>
      </c>
      <c r="C18" s="11" t="s">
        <v>135</v>
      </c>
      <c r="D18" s="11" t="s">
        <v>136</v>
      </c>
      <c r="E18" s="11" t="s">
        <v>27</v>
      </c>
      <c r="F18" s="11" t="s">
        <v>137</v>
      </c>
      <c r="G18" s="11" t="s">
        <v>138</v>
      </c>
      <c r="H18" s="11" t="s">
        <v>139</v>
      </c>
    </row>
    <row r="19" spans="1:8">
      <c r="A19" s="11" t="s">
        <v>140</v>
      </c>
      <c r="B19" s="11" t="s">
        <v>141</v>
      </c>
      <c r="C19" s="11" t="s">
        <v>142</v>
      </c>
      <c r="D19" s="11" t="s">
        <v>143</v>
      </c>
      <c r="E19" s="11" t="s">
        <v>29</v>
      </c>
      <c r="F19" s="11" t="s">
        <v>144</v>
      </c>
      <c r="G19" s="11" t="s">
        <v>145</v>
      </c>
      <c r="H19" s="11" t="s">
        <v>146</v>
      </c>
    </row>
    <row r="20" spans="1:8">
      <c r="A20" s="11" t="s">
        <v>147</v>
      </c>
      <c r="B20" s="11" t="s">
        <v>148</v>
      </c>
      <c r="C20" s="11" t="s">
        <v>149</v>
      </c>
      <c r="D20" s="11" t="s">
        <v>150</v>
      </c>
      <c r="E20" s="11" t="s">
        <v>151</v>
      </c>
      <c r="F20" s="11" t="s">
        <v>69</v>
      </c>
      <c r="G20" s="11" t="s">
        <v>152</v>
      </c>
      <c r="H20" s="11" t="s">
        <v>153</v>
      </c>
    </row>
    <row r="21" spans="1:8" ht="22.8">
      <c r="A21" s="11" t="s">
        <v>154</v>
      </c>
      <c r="B21" s="11" t="s">
        <v>155</v>
      </c>
      <c r="C21" s="11" t="s">
        <v>156</v>
      </c>
      <c r="D21" s="11" t="s">
        <v>157</v>
      </c>
      <c r="E21" s="11" t="s">
        <v>158</v>
      </c>
      <c r="F21" s="11" t="s">
        <v>159</v>
      </c>
      <c r="G21" s="11" t="s">
        <v>160</v>
      </c>
      <c r="H21" s="11" t="s">
        <v>161</v>
      </c>
    </row>
    <row r="22" spans="1:8">
      <c r="A22" s="11" t="s">
        <v>162</v>
      </c>
      <c r="B22" s="11" t="s">
        <v>163</v>
      </c>
      <c r="C22" s="11" t="s">
        <v>164</v>
      </c>
      <c r="D22" s="11" t="s">
        <v>165</v>
      </c>
      <c r="E22" s="11" t="s">
        <v>166</v>
      </c>
      <c r="F22" s="11" t="s">
        <v>167</v>
      </c>
      <c r="G22" s="11" t="s">
        <v>168</v>
      </c>
      <c r="H22" s="11" t="s">
        <v>169</v>
      </c>
    </row>
    <row r="23" spans="1:8" ht="22.8">
      <c r="A23" s="11" t="s">
        <v>162</v>
      </c>
      <c r="B23" s="11" t="s">
        <v>170</v>
      </c>
      <c r="C23" s="11" t="s">
        <v>171</v>
      </c>
      <c r="D23" s="11" t="s">
        <v>172</v>
      </c>
      <c r="E23" s="11" t="s">
        <v>29</v>
      </c>
      <c r="F23" s="11" t="s">
        <v>173</v>
      </c>
      <c r="G23" s="11" t="s">
        <v>174</v>
      </c>
      <c r="H23" s="11" t="s">
        <v>175</v>
      </c>
    </row>
    <row r="24" spans="1:8">
      <c r="A24" s="11" t="s">
        <v>176</v>
      </c>
      <c r="B24" s="11" t="s">
        <v>177</v>
      </c>
      <c r="C24" s="11" t="s">
        <v>178</v>
      </c>
      <c r="D24" s="11" t="s">
        <v>179</v>
      </c>
      <c r="E24" s="11" t="s">
        <v>180</v>
      </c>
      <c r="F24" s="11" t="s">
        <v>181</v>
      </c>
      <c r="G24" s="11" t="s">
        <v>182</v>
      </c>
      <c r="H24" s="11" t="s">
        <v>183</v>
      </c>
    </row>
  </sheetData>
  <mergeCells count="3">
    <mergeCell ref="A1:H1"/>
    <mergeCell ref="A2:H2"/>
    <mergeCell ref="A4:H4"/>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40"/>
  <sheetViews>
    <sheetView showGridLines="0" tabSelected="1" topLeftCell="E11" workbookViewId="0">
      <selection activeCell="G11" sqref="G11"/>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4" width="71.8984375" style="27" customWidth="1"/>
    <col min="15" max="16384" width="8.796875" style="27"/>
  </cols>
  <sheetData>
    <row r="1" spans="1:14" ht="22.8">
      <c r="A1" s="115" t="s">
        <v>2256</v>
      </c>
      <c r="B1" s="115"/>
      <c r="C1" s="115"/>
      <c r="D1" s="115"/>
      <c r="E1" s="115"/>
      <c r="F1" s="115"/>
      <c r="G1" s="115"/>
      <c r="H1" s="115"/>
      <c r="I1" s="115"/>
      <c r="J1" s="115"/>
      <c r="K1" s="116"/>
      <c r="L1" s="116"/>
      <c r="M1" s="116"/>
    </row>
    <row r="2" spans="1:14">
      <c r="A2" s="117" t="s">
        <v>2257</v>
      </c>
      <c r="B2" s="117"/>
      <c r="C2" s="117"/>
      <c r="D2" s="117"/>
      <c r="E2" s="117"/>
      <c r="F2" s="117"/>
      <c r="G2" s="117"/>
      <c r="H2" s="117"/>
      <c r="I2" s="117"/>
      <c r="J2" s="117"/>
      <c r="K2" s="118"/>
      <c r="L2" s="118"/>
      <c r="M2" s="118"/>
    </row>
    <row r="5" spans="1:14">
      <c r="A5" s="119" t="s">
        <v>184</v>
      </c>
      <c r="B5" s="119" t="s">
        <v>22</v>
      </c>
      <c r="C5" s="119" t="s">
        <v>185</v>
      </c>
      <c r="D5" s="119" t="s">
        <v>186</v>
      </c>
      <c r="E5" s="119" t="s">
        <v>187</v>
      </c>
      <c r="F5" s="119" t="s">
        <v>188</v>
      </c>
      <c r="G5" s="119" t="s">
        <v>189</v>
      </c>
      <c r="H5" s="119" t="s">
        <v>190</v>
      </c>
      <c r="I5" s="119" t="s">
        <v>191</v>
      </c>
      <c r="J5" s="119" t="s">
        <v>192</v>
      </c>
      <c r="K5" s="119" t="s">
        <v>193</v>
      </c>
      <c r="L5" s="119" t="s">
        <v>2258</v>
      </c>
      <c r="M5" s="119" t="s">
        <v>2259</v>
      </c>
      <c r="N5" s="28" t="s">
        <v>2260</v>
      </c>
    </row>
    <row r="6" spans="1:14" ht="171">
      <c r="A6" s="23" t="s">
        <v>194</v>
      </c>
      <c r="B6" s="23" t="s">
        <v>195</v>
      </c>
      <c r="C6" s="23" t="s">
        <v>196</v>
      </c>
      <c r="D6" s="23" t="s">
        <v>2261</v>
      </c>
      <c r="E6" s="23" t="s">
        <v>2262</v>
      </c>
      <c r="F6" s="23" t="s">
        <v>2263</v>
      </c>
      <c r="G6" s="23" t="s">
        <v>2264</v>
      </c>
      <c r="H6" s="23" t="s">
        <v>2265</v>
      </c>
      <c r="I6" s="23" t="s">
        <v>2266</v>
      </c>
      <c r="J6" s="23" t="s">
        <v>2267</v>
      </c>
      <c r="K6" s="23" t="s">
        <v>195</v>
      </c>
      <c r="L6" s="23" t="s">
        <v>2267</v>
      </c>
      <c r="M6" s="23" t="s">
        <v>2267</v>
      </c>
      <c r="N6" s="28" t="s">
        <v>2267</v>
      </c>
    </row>
    <row r="7" spans="1:14" ht="285">
      <c r="A7" s="22" t="s">
        <v>197</v>
      </c>
      <c r="B7" s="22" t="s">
        <v>195</v>
      </c>
      <c r="C7" s="22" t="s">
        <v>198</v>
      </c>
      <c r="D7" s="22" t="s">
        <v>2268</v>
      </c>
      <c r="E7" s="22" t="s">
        <v>2269</v>
      </c>
      <c r="F7" s="22" t="s">
        <v>2270</v>
      </c>
      <c r="G7" s="22" t="s">
        <v>2271</v>
      </c>
      <c r="H7" s="22" t="s">
        <v>2272</v>
      </c>
      <c r="I7" s="22" t="s">
        <v>2273</v>
      </c>
      <c r="J7" s="22" t="s">
        <v>2274</v>
      </c>
      <c r="K7" s="22" t="s">
        <v>199</v>
      </c>
      <c r="L7" s="22" t="s">
        <v>2275</v>
      </c>
      <c r="M7" s="22" t="s">
        <v>2275</v>
      </c>
      <c r="N7" s="28" t="s">
        <v>2275</v>
      </c>
    </row>
    <row r="8" spans="1:14" ht="205.2">
      <c r="A8" s="23" t="s">
        <v>200</v>
      </c>
      <c r="B8" s="23" t="s">
        <v>195</v>
      </c>
      <c r="C8" s="23" t="s">
        <v>2276</v>
      </c>
      <c r="D8" s="23" t="s">
        <v>2277</v>
      </c>
      <c r="E8" s="23" t="s">
        <v>2278</v>
      </c>
      <c r="F8" s="23" t="s">
        <v>2279</v>
      </c>
      <c r="G8" s="23" t="s">
        <v>2280</v>
      </c>
      <c r="H8" s="23" t="s">
        <v>2281</v>
      </c>
      <c r="I8" s="23" t="s">
        <v>2282</v>
      </c>
      <c r="J8" s="23" t="s">
        <v>2283</v>
      </c>
      <c r="K8" s="23" t="s">
        <v>195</v>
      </c>
      <c r="L8" s="23" t="s">
        <v>2284</v>
      </c>
      <c r="M8" s="23" t="s">
        <v>2285</v>
      </c>
      <c r="N8" s="28" t="s">
        <v>2286</v>
      </c>
    </row>
    <row r="9" spans="1:14" ht="409.6">
      <c r="A9" s="22" t="s">
        <v>201</v>
      </c>
      <c r="B9" s="22" t="s">
        <v>10</v>
      </c>
      <c r="C9" s="22" t="s">
        <v>202</v>
      </c>
      <c r="D9" s="22" t="s">
        <v>203</v>
      </c>
      <c r="E9" s="22" t="s">
        <v>204</v>
      </c>
      <c r="F9" s="22" t="s">
        <v>2287</v>
      </c>
      <c r="G9" s="22" t="s">
        <v>2556</v>
      </c>
      <c r="H9" s="22" t="s">
        <v>2205</v>
      </c>
      <c r="I9" s="22" t="s">
        <v>2288</v>
      </c>
      <c r="J9" s="22" t="s">
        <v>2289</v>
      </c>
      <c r="K9" s="22" t="s">
        <v>205</v>
      </c>
      <c r="L9" s="22" t="s">
        <v>2290</v>
      </c>
      <c r="M9" s="22" t="s">
        <v>2291</v>
      </c>
      <c r="N9" s="28" t="s">
        <v>2292</v>
      </c>
    </row>
    <row r="10" spans="1:14" ht="409.6">
      <c r="A10" s="23" t="s">
        <v>206</v>
      </c>
      <c r="B10" s="23" t="s">
        <v>10</v>
      </c>
      <c r="C10" s="23" t="s">
        <v>207</v>
      </c>
      <c r="D10" s="23" t="s">
        <v>208</v>
      </c>
      <c r="E10" s="23" t="s">
        <v>209</v>
      </c>
      <c r="F10" s="23" t="s">
        <v>2287</v>
      </c>
      <c r="G10" s="23" t="s">
        <v>2557</v>
      </c>
      <c r="H10" s="23" t="s">
        <v>2205</v>
      </c>
      <c r="I10" s="23" t="s">
        <v>2293</v>
      </c>
      <c r="J10" s="23" t="s">
        <v>2289</v>
      </c>
      <c r="K10" s="23" t="s">
        <v>210</v>
      </c>
      <c r="L10" s="23" t="s">
        <v>2290</v>
      </c>
      <c r="M10" s="23" t="s">
        <v>2294</v>
      </c>
      <c r="N10" s="28" t="s">
        <v>2295</v>
      </c>
    </row>
    <row r="11" spans="1:14" ht="409.6">
      <c r="A11" s="22" t="s">
        <v>211</v>
      </c>
      <c r="B11" s="22" t="s">
        <v>10</v>
      </c>
      <c r="C11" s="22" t="s">
        <v>212</v>
      </c>
      <c r="D11" s="22" t="s">
        <v>213</v>
      </c>
      <c r="E11" s="22" t="s">
        <v>214</v>
      </c>
      <c r="F11" s="22" t="s">
        <v>2296</v>
      </c>
      <c r="G11" s="22" t="s">
        <v>2558</v>
      </c>
      <c r="H11" s="22" t="s">
        <v>2297</v>
      </c>
      <c r="I11" s="22" t="s">
        <v>2298</v>
      </c>
      <c r="J11" s="22" t="s">
        <v>2299</v>
      </c>
      <c r="K11" s="22" t="s">
        <v>215</v>
      </c>
      <c r="L11" s="22" t="s">
        <v>2300</v>
      </c>
      <c r="M11" s="22" t="s">
        <v>2301</v>
      </c>
      <c r="N11" s="28" t="s">
        <v>2302</v>
      </c>
    </row>
    <row r="12" spans="1:14" ht="409.6">
      <c r="A12" s="23" t="s">
        <v>216</v>
      </c>
      <c r="B12" s="23" t="s">
        <v>10</v>
      </c>
      <c r="C12" s="23" t="s">
        <v>217</v>
      </c>
      <c r="D12" s="23" t="s">
        <v>218</v>
      </c>
      <c r="E12" s="23" t="s">
        <v>219</v>
      </c>
      <c r="F12" s="23" t="s">
        <v>2296</v>
      </c>
      <c r="G12" s="23" t="s">
        <v>2559</v>
      </c>
      <c r="H12" s="23" t="s">
        <v>2297</v>
      </c>
      <c r="I12" s="23" t="s">
        <v>2303</v>
      </c>
      <c r="J12" s="23" t="s">
        <v>2299</v>
      </c>
      <c r="K12" s="23" t="s">
        <v>220</v>
      </c>
      <c r="L12" s="23" t="s">
        <v>2304</v>
      </c>
      <c r="M12" s="23" t="s">
        <v>2305</v>
      </c>
      <c r="N12" s="28" t="s">
        <v>2306</v>
      </c>
    </row>
    <row r="13" spans="1:14" ht="409.6">
      <c r="A13" s="22" t="s">
        <v>221</v>
      </c>
      <c r="B13" s="22" t="s">
        <v>10</v>
      </c>
      <c r="C13" s="22" t="s">
        <v>222</v>
      </c>
      <c r="D13" s="22" t="s">
        <v>223</v>
      </c>
      <c r="E13" s="22" t="s">
        <v>224</v>
      </c>
      <c r="F13" s="22" t="s">
        <v>2296</v>
      </c>
      <c r="G13" s="22" t="s">
        <v>2560</v>
      </c>
      <c r="H13" s="22" t="s">
        <v>2297</v>
      </c>
      <c r="I13" s="22" t="s">
        <v>2307</v>
      </c>
      <c r="J13" s="22" t="s">
        <v>2299</v>
      </c>
      <c r="K13" s="22" t="s">
        <v>225</v>
      </c>
      <c r="L13" s="22" t="s">
        <v>2308</v>
      </c>
      <c r="M13" s="22" t="s">
        <v>2309</v>
      </c>
      <c r="N13" s="28" t="s">
        <v>2310</v>
      </c>
    </row>
    <row r="14" spans="1:14" ht="409.6">
      <c r="A14" s="23" t="s">
        <v>226</v>
      </c>
      <c r="B14" s="23" t="s">
        <v>10</v>
      </c>
      <c r="C14" s="23" t="s">
        <v>227</v>
      </c>
      <c r="D14" s="23" t="s">
        <v>228</v>
      </c>
      <c r="E14" s="23" t="s">
        <v>229</v>
      </c>
      <c r="F14" s="23" t="s">
        <v>2296</v>
      </c>
      <c r="G14" s="23" t="s">
        <v>2561</v>
      </c>
      <c r="H14" s="23" t="s">
        <v>2297</v>
      </c>
      <c r="I14" s="23" t="s">
        <v>2311</v>
      </c>
      <c r="J14" s="23" t="s">
        <v>2299</v>
      </c>
      <c r="K14" s="23" t="s">
        <v>230</v>
      </c>
      <c r="L14" s="23" t="s">
        <v>2312</v>
      </c>
      <c r="M14" s="23" t="s">
        <v>2313</v>
      </c>
      <c r="N14" s="28" t="s">
        <v>2314</v>
      </c>
    </row>
    <row r="15" spans="1:14" ht="409.6">
      <c r="A15" s="22" t="s">
        <v>231</v>
      </c>
      <c r="B15" s="22" t="s">
        <v>25</v>
      </c>
      <c r="C15" s="22" t="s">
        <v>2315</v>
      </c>
      <c r="D15" s="22" t="s">
        <v>2316</v>
      </c>
      <c r="E15" s="22" t="s">
        <v>2317</v>
      </c>
      <c r="F15" s="22" t="s">
        <v>2296</v>
      </c>
      <c r="G15" s="22" t="s">
        <v>2318</v>
      </c>
      <c r="H15" s="22" t="s">
        <v>2297</v>
      </c>
      <c r="I15" s="22" t="s">
        <v>2319</v>
      </c>
      <c r="J15" s="22" t="s">
        <v>2299</v>
      </c>
      <c r="K15" s="22" t="s">
        <v>2320</v>
      </c>
      <c r="L15" s="22" t="s">
        <v>2321</v>
      </c>
      <c r="M15" s="22" t="s">
        <v>2322</v>
      </c>
      <c r="N15" s="28" t="s">
        <v>2323</v>
      </c>
    </row>
    <row r="16" spans="1:14" ht="409.6">
      <c r="A16" s="23" t="s">
        <v>232</v>
      </c>
      <c r="B16" s="23" t="s">
        <v>25</v>
      </c>
      <c r="C16" s="23" t="s">
        <v>233</v>
      </c>
      <c r="D16" s="23" t="s">
        <v>234</v>
      </c>
      <c r="E16" s="23" t="s">
        <v>235</v>
      </c>
      <c r="F16" s="23" t="s">
        <v>2296</v>
      </c>
      <c r="G16" s="23" t="s">
        <v>2324</v>
      </c>
      <c r="H16" s="23" t="s">
        <v>2297</v>
      </c>
      <c r="I16" s="23" t="s">
        <v>2325</v>
      </c>
      <c r="J16" s="23" t="s">
        <v>2299</v>
      </c>
      <c r="K16" s="23" t="s">
        <v>236</v>
      </c>
      <c r="L16" s="23" t="s">
        <v>2326</v>
      </c>
      <c r="M16" s="23" t="s">
        <v>2327</v>
      </c>
      <c r="N16" s="28" t="s">
        <v>2328</v>
      </c>
    </row>
    <row r="17" spans="1:14" ht="409.6">
      <c r="A17" s="22" t="s">
        <v>237</v>
      </c>
      <c r="B17" s="22" t="s">
        <v>25</v>
      </c>
      <c r="C17" s="22" t="s">
        <v>238</v>
      </c>
      <c r="D17" s="22" t="s">
        <v>239</v>
      </c>
      <c r="E17" s="22" t="s">
        <v>240</v>
      </c>
      <c r="F17" s="22" t="s">
        <v>2296</v>
      </c>
      <c r="G17" s="22" t="s">
        <v>2329</v>
      </c>
      <c r="H17" s="22" t="s">
        <v>2297</v>
      </c>
      <c r="I17" s="22" t="s">
        <v>2330</v>
      </c>
      <c r="J17" s="22" t="s">
        <v>2299</v>
      </c>
      <c r="K17" s="22" t="s">
        <v>241</v>
      </c>
      <c r="L17" s="22" t="s">
        <v>2331</v>
      </c>
      <c r="M17" s="22" t="s">
        <v>2332</v>
      </c>
      <c r="N17" s="28" t="s">
        <v>2333</v>
      </c>
    </row>
    <row r="18" spans="1:14" ht="409.6">
      <c r="A18" s="23" t="s">
        <v>242</v>
      </c>
      <c r="B18" s="23" t="s">
        <v>25</v>
      </c>
      <c r="C18" s="23" t="s">
        <v>2334</v>
      </c>
      <c r="D18" s="23" t="s">
        <v>2335</v>
      </c>
      <c r="E18" s="23" t="s">
        <v>2336</v>
      </c>
      <c r="F18" s="23" t="s">
        <v>2296</v>
      </c>
      <c r="G18" s="23" t="s">
        <v>2337</v>
      </c>
      <c r="H18" s="23" t="s">
        <v>2297</v>
      </c>
      <c r="I18" s="23" t="s">
        <v>2338</v>
      </c>
      <c r="J18" s="23" t="s">
        <v>2299</v>
      </c>
      <c r="K18" s="23" t="s">
        <v>2339</v>
      </c>
      <c r="L18" s="23" t="s">
        <v>2340</v>
      </c>
      <c r="M18" s="23" t="s">
        <v>2341</v>
      </c>
      <c r="N18" s="28" t="s">
        <v>2342</v>
      </c>
    </row>
    <row r="19" spans="1:14" ht="409.6">
      <c r="A19" s="22" t="s">
        <v>243</v>
      </c>
      <c r="B19" s="22" t="s">
        <v>25</v>
      </c>
      <c r="C19" s="22" t="s">
        <v>244</v>
      </c>
      <c r="D19" s="22" t="s">
        <v>245</v>
      </c>
      <c r="E19" s="22" t="s">
        <v>246</v>
      </c>
      <c r="F19" s="22" t="s">
        <v>2343</v>
      </c>
      <c r="G19" s="22" t="s">
        <v>2344</v>
      </c>
      <c r="H19" s="22" t="s">
        <v>2345</v>
      </c>
      <c r="I19" s="22" t="s">
        <v>2346</v>
      </c>
      <c r="J19" s="22" t="s">
        <v>2347</v>
      </c>
      <c r="K19" s="22" t="s">
        <v>247</v>
      </c>
      <c r="L19" s="22" t="s">
        <v>2348</v>
      </c>
      <c r="M19" s="22" t="s">
        <v>2349</v>
      </c>
      <c r="N19" s="28" t="s">
        <v>2350</v>
      </c>
    </row>
    <row r="20" spans="1:14" ht="409.6">
      <c r="A20" s="23" t="s">
        <v>248</v>
      </c>
      <c r="B20" s="23" t="s">
        <v>26</v>
      </c>
      <c r="C20" s="23" t="s">
        <v>249</v>
      </c>
      <c r="D20" s="23" t="s">
        <v>250</v>
      </c>
      <c r="E20" s="23" t="s">
        <v>251</v>
      </c>
      <c r="F20" s="23" t="s">
        <v>2296</v>
      </c>
      <c r="G20" s="23" t="s">
        <v>2351</v>
      </c>
      <c r="H20" s="23" t="s">
        <v>2297</v>
      </c>
      <c r="I20" s="23" t="s">
        <v>2352</v>
      </c>
      <c r="J20" s="23" t="s">
        <v>2299</v>
      </c>
      <c r="K20" s="23" t="s">
        <v>252</v>
      </c>
      <c r="L20" s="23" t="s">
        <v>2353</v>
      </c>
      <c r="M20" s="23" t="s">
        <v>2354</v>
      </c>
      <c r="N20" s="28" t="s">
        <v>2355</v>
      </c>
    </row>
    <row r="21" spans="1:14" ht="409.6">
      <c r="A21" s="22" t="s">
        <v>253</v>
      </c>
      <c r="B21" s="22" t="s">
        <v>26</v>
      </c>
      <c r="C21" s="22" t="s">
        <v>254</v>
      </c>
      <c r="D21" s="22" t="s">
        <v>255</v>
      </c>
      <c r="E21" s="22" t="s">
        <v>256</v>
      </c>
      <c r="F21" s="22" t="s">
        <v>2296</v>
      </c>
      <c r="G21" s="22" t="s">
        <v>2562</v>
      </c>
      <c r="H21" s="22" t="s">
        <v>2297</v>
      </c>
      <c r="I21" s="22" t="s">
        <v>2356</v>
      </c>
      <c r="J21" s="22" t="s">
        <v>2299</v>
      </c>
      <c r="K21" s="22" t="s">
        <v>257</v>
      </c>
      <c r="L21" s="22" t="s">
        <v>2357</v>
      </c>
      <c r="M21" s="22" t="s">
        <v>2358</v>
      </c>
      <c r="N21" s="28" t="s">
        <v>2359</v>
      </c>
    </row>
    <row r="22" spans="1:14" ht="409.6">
      <c r="A22" s="23" t="s">
        <v>258</v>
      </c>
      <c r="B22" s="23" t="s">
        <v>26</v>
      </c>
      <c r="C22" s="23" t="s">
        <v>259</v>
      </c>
      <c r="D22" s="23" t="s">
        <v>260</v>
      </c>
      <c r="E22" s="23" t="s">
        <v>261</v>
      </c>
      <c r="F22" s="23" t="s">
        <v>2296</v>
      </c>
      <c r="G22" s="23" t="s">
        <v>2360</v>
      </c>
      <c r="H22" s="23" t="s">
        <v>2297</v>
      </c>
      <c r="I22" s="23" t="s">
        <v>2361</v>
      </c>
      <c r="J22" s="23" t="s">
        <v>2299</v>
      </c>
      <c r="K22" s="23" t="s">
        <v>262</v>
      </c>
      <c r="L22" s="23" t="s">
        <v>2362</v>
      </c>
      <c r="M22" s="23" t="s">
        <v>2363</v>
      </c>
      <c r="N22" s="28" t="s">
        <v>2364</v>
      </c>
    </row>
    <row r="23" spans="1:14" ht="409.6">
      <c r="A23" s="22" t="s">
        <v>263</v>
      </c>
      <c r="B23" s="22" t="s">
        <v>26</v>
      </c>
      <c r="C23" s="22" t="s">
        <v>264</v>
      </c>
      <c r="D23" s="22" t="s">
        <v>265</v>
      </c>
      <c r="E23" s="22" t="s">
        <v>266</v>
      </c>
      <c r="F23" s="22" t="s">
        <v>2296</v>
      </c>
      <c r="G23" s="22" t="s">
        <v>2365</v>
      </c>
      <c r="H23" s="22" t="s">
        <v>2297</v>
      </c>
      <c r="I23" s="22" t="s">
        <v>2366</v>
      </c>
      <c r="J23" s="22" t="s">
        <v>2299</v>
      </c>
      <c r="K23" s="22" t="s">
        <v>267</v>
      </c>
      <c r="L23" s="22" t="s">
        <v>2367</v>
      </c>
      <c r="M23" s="22" t="s">
        <v>2368</v>
      </c>
      <c r="N23" s="28" t="s">
        <v>2369</v>
      </c>
    </row>
    <row r="24" spans="1:14" ht="409.6">
      <c r="A24" s="23" t="s">
        <v>268</v>
      </c>
      <c r="B24" s="23" t="s">
        <v>27</v>
      </c>
      <c r="C24" s="23" t="s">
        <v>269</v>
      </c>
      <c r="D24" s="23" t="s">
        <v>270</v>
      </c>
      <c r="E24" s="23" t="s">
        <v>271</v>
      </c>
      <c r="F24" s="23" t="s">
        <v>2296</v>
      </c>
      <c r="G24" s="23" t="s">
        <v>2370</v>
      </c>
      <c r="H24" s="23" t="s">
        <v>2297</v>
      </c>
      <c r="I24" s="23" t="s">
        <v>2371</v>
      </c>
      <c r="J24" s="23" t="s">
        <v>2299</v>
      </c>
      <c r="K24" s="23" t="s">
        <v>272</v>
      </c>
      <c r="L24" s="23" t="s">
        <v>2372</v>
      </c>
      <c r="M24" s="23" t="s">
        <v>2373</v>
      </c>
      <c r="N24" s="28" t="s">
        <v>2374</v>
      </c>
    </row>
    <row r="25" spans="1:14" ht="409.6">
      <c r="A25" s="22" t="s">
        <v>273</v>
      </c>
      <c r="B25" s="22" t="s">
        <v>27</v>
      </c>
      <c r="C25" s="22" t="s">
        <v>274</v>
      </c>
      <c r="D25" s="22" t="s">
        <v>275</v>
      </c>
      <c r="E25" s="22" t="s">
        <v>276</v>
      </c>
      <c r="F25" s="22" t="s">
        <v>2296</v>
      </c>
      <c r="G25" s="22" t="s">
        <v>2375</v>
      </c>
      <c r="H25" s="22" t="s">
        <v>2297</v>
      </c>
      <c r="I25" s="22" t="s">
        <v>2376</v>
      </c>
      <c r="J25" s="22" t="s">
        <v>2299</v>
      </c>
      <c r="K25" s="22" t="s">
        <v>277</v>
      </c>
      <c r="L25" s="22" t="s">
        <v>2377</v>
      </c>
      <c r="M25" s="22" t="s">
        <v>2378</v>
      </c>
      <c r="N25" s="28" t="s">
        <v>2379</v>
      </c>
    </row>
    <row r="26" spans="1:14" ht="409.6">
      <c r="A26" s="23" t="s">
        <v>278</v>
      </c>
      <c r="B26" s="23" t="s">
        <v>27</v>
      </c>
      <c r="C26" s="23" t="s">
        <v>279</v>
      </c>
      <c r="D26" s="23" t="s">
        <v>280</v>
      </c>
      <c r="E26" s="23" t="s">
        <v>281</v>
      </c>
      <c r="F26" s="23" t="s">
        <v>2296</v>
      </c>
      <c r="G26" s="23" t="s">
        <v>2380</v>
      </c>
      <c r="H26" s="23" t="s">
        <v>2297</v>
      </c>
      <c r="I26" s="23" t="s">
        <v>2381</v>
      </c>
      <c r="J26" s="23" t="s">
        <v>2299</v>
      </c>
      <c r="K26" s="23" t="s">
        <v>282</v>
      </c>
      <c r="L26" s="23" t="s">
        <v>2382</v>
      </c>
      <c r="M26" s="23" t="s">
        <v>2383</v>
      </c>
      <c r="N26" s="28" t="s">
        <v>2384</v>
      </c>
    </row>
    <row r="27" spans="1:14" ht="409.6">
      <c r="A27" s="22" t="s">
        <v>283</v>
      </c>
      <c r="B27" s="22" t="s">
        <v>27</v>
      </c>
      <c r="C27" s="22" t="s">
        <v>284</v>
      </c>
      <c r="D27" s="22" t="s">
        <v>285</v>
      </c>
      <c r="E27" s="22" t="s">
        <v>286</v>
      </c>
      <c r="F27" s="22" t="s">
        <v>2296</v>
      </c>
      <c r="G27" s="22" t="s">
        <v>2385</v>
      </c>
      <c r="H27" s="22" t="s">
        <v>2297</v>
      </c>
      <c r="I27" s="22" t="s">
        <v>2386</v>
      </c>
      <c r="J27" s="22" t="s">
        <v>2299</v>
      </c>
      <c r="K27" s="22" t="s">
        <v>287</v>
      </c>
      <c r="L27" s="22" t="s">
        <v>2387</v>
      </c>
      <c r="M27" s="22" t="s">
        <v>2388</v>
      </c>
      <c r="N27" s="28" t="s">
        <v>2389</v>
      </c>
    </row>
    <row r="28" spans="1:14" ht="409.6">
      <c r="A28" s="23" t="s">
        <v>288</v>
      </c>
      <c r="B28" s="23" t="s">
        <v>28</v>
      </c>
      <c r="C28" s="23" t="s">
        <v>289</v>
      </c>
      <c r="D28" s="23" t="s">
        <v>290</v>
      </c>
      <c r="E28" s="23" t="s">
        <v>291</v>
      </c>
      <c r="F28" s="23" t="s">
        <v>2287</v>
      </c>
      <c r="G28" s="23" t="s">
        <v>2390</v>
      </c>
      <c r="H28" s="23" t="s">
        <v>2205</v>
      </c>
      <c r="I28" s="23" t="s">
        <v>2391</v>
      </c>
      <c r="J28" s="23" t="s">
        <v>2289</v>
      </c>
      <c r="K28" s="23" t="s">
        <v>292</v>
      </c>
      <c r="L28" s="23" t="s">
        <v>2290</v>
      </c>
      <c r="M28" s="23" t="s">
        <v>2392</v>
      </c>
      <c r="N28" s="28" t="s">
        <v>2393</v>
      </c>
    </row>
    <row r="29" spans="1:14" ht="409.6">
      <c r="A29" s="22" t="s">
        <v>293</v>
      </c>
      <c r="B29" s="22" t="s">
        <v>28</v>
      </c>
      <c r="C29" s="22" t="s">
        <v>294</v>
      </c>
      <c r="D29" s="22" t="s">
        <v>295</v>
      </c>
      <c r="E29" s="22" t="s">
        <v>296</v>
      </c>
      <c r="F29" s="22" t="s">
        <v>2296</v>
      </c>
      <c r="G29" s="22" t="s">
        <v>2394</v>
      </c>
      <c r="H29" s="22" t="s">
        <v>2297</v>
      </c>
      <c r="I29" s="22" t="s">
        <v>2395</v>
      </c>
      <c r="J29" s="22" t="s">
        <v>2299</v>
      </c>
      <c r="K29" s="22" t="s">
        <v>297</v>
      </c>
      <c r="L29" s="22" t="s">
        <v>2396</v>
      </c>
      <c r="M29" s="22" t="s">
        <v>2397</v>
      </c>
      <c r="N29" s="28" t="s">
        <v>2398</v>
      </c>
    </row>
    <row r="30" spans="1:14" ht="409.6">
      <c r="A30" s="23" t="s">
        <v>298</v>
      </c>
      <c r="B30" s="23" t="s">
        <v>28</v>
      </c>
      <c r="C30" s="23" t="s">
        <v>299</v>
      </c>
      <c r="D30" s="23" t="s">
        <v>300</v>
      </c>
      <c r="E30" s="23" t="s">
        <v>301</v>
      </c>
      <c r="F30" s="23" t="s">
        <v>2296</v>
      </c>
      <c r="G30" s="23" t="s">
        <v>2399</v>
      </c>
      <c r="H30" s="23" t="s">
        <v>2297</v>
      </c>
      <c r="I30" s="23" t="s">
        <v>2400</v>
      </c>
      <c r="J30" s="23" t="s">
        <v>2299</v>
      </c>
      <c r="K30" s="23" t="s">
        <v>302</v>
      </c>
      <c r="L30" s="23" t="s">
        <v>2401</v>
      </c>
      <c r="M30" s="23" t="s">
        <v>2402</v>
      </c>
      <c r="N30" s="28" t="s">
        <v>2403</v>
      </c>
    </row>
    <row r="31" spans="1:14" ht="409.6">
      <c r="A31" s="22" t="s">
        <v>303</v>
      </c>
      <c r="B31" s="22" t="s">
        <v>28</v>
      </c>
      <c r="C31" s="22" t="s">
        <v>304</v>
      </c>
      <c r="D31" s="22" t="s">
        <v>305</v>
      </c>
      <c r="E31" s="22" t="s">
        <v>306</v>
      </c>
      <c r="F31" s="22" t="s">
        <v>2296</v>
      </c>
      <c r="G31" s="22" t="s">
        <v>2404</v>
      </c>
      <c r="H31" s="22" t="s">
        <v>2297</v>
      </c>
      <c r="I31" s="22" t="s">
        <v>2405</v>
      </c>
      <c r="J31" s="22" t="s">
        <v>2299</v>
      </c>
      <c r="K31" s="22" t="s">
        <v>307</v>
      </c>
      <c r="L31" s="22" t="s">
        <v>2406</v>
      </c>
      <c r="M31" s="22" t="s">
        <v>2407</v>
      </c>
      <c r="N31" s="28" t="s">
        <v>2408</v>
      </c>
    </row>
    <row r="32" spans="1:14" ht="409.6">
      <c r="A32" s="23" t="s">
        <v>308</v>
      </c>
      <c r="B32" s="23" t="s">
        <v>28</v>
      </c>
      <c r="C32" s="23" t="s">
        <v>309</v>
      </c>
      <c r="D32" s="23" t="s">
        <v>310</v>
      </c>
      <c r="E32" s="23" t="s">
        <v>311</v>
      </c>
      <c r="F32" s="23" t="s">
        <v>2296</v>
      </c>
      <c r="G32" s="23" t="s">
        <v>2409</v>
      </c>
      <c r="H32" s="23" t="s">
        <v>2297</v>
      </c>
      <c r="I32" s="23" t="s">
        <v>2410</v>
      </c>
      <c r="J32" s="23" t="s">
        <v>2299</v>
      </c>
      <c r="K32" s="23" t="s">
        <v>312</v>
      </c>
      <c r="L32" s="23" t="s">
        <v>2411</v>
      </c>
      <c r="M32" s="23" t="s">
        <v>2412</v>
      </c>
      <c r="N32" s="28" t="s">
        <v>2413</v>
      </c>
    </row>
    <row r="33" spans="1:14" ht="409.6">
      <c r="A33" s="22" t="s">
        <v>313</v>
      </c>
      <c r="B33" s="22" t="s">
        <v>29</v>
      </c>
      <c r="C33" s="22" t="s">
        <v>314</v>
      </c>
      <c r="D33" s="22" t="s">
        <v>315</v>
      </c>
      <c r="E33" s="22" t="s">
        <v>316</v>
      </c>
      <c r="F33" s="22" t="s">
        <v>2296</v>
      </c>
      <c r="G33" s="22" t="s">
        <v>2414</v>
      </c>
      <c r="H33" s="22" t="s">
        <v>2297</v>
      </c>
      <c r="I33" s="22" t="s">
        <v>2415</v>
      </c>
      <c r="J33" s="22" t="s">
        <v>2299</v>
      </c>
      <c r="K33" s="22" t="s">
        <v>317</v>
      </c>
      <c r="L33" s="22" t="s">
        <v>2416</v>
      </c>
      <c r="M33" s="22" t="s">
        <v>2417</v>
      </c>
      <c r="N33" s="28" t="s">
        <v>2418</v>
      </c>
    </row>
    <row r="34" spans="1:14" ht="409.6">
      <c r="A34" s="23" t="s">
        <v>318</v>
      </c>
      <c r="B34" s="23" t="s">
        <v>29</v>
      </c>
      <c r="C34" s="23" t="s">
        <v>319</v>
      </c>
      <c r="D34" s="23" t="s">
        <v>320</v>
      </c>
      <c r="E34" s="23" t="s">
        <v>321</v>
      </c>
      <c r="F34" s="23" t="s">
        <v>2296</v>
      </c>
      <c r="G34" s="23" t="s">
        <v>2419</v>
      </c>
      <c r="H34" s="23" t="s">
        <v>2297</v>
      </c>
      <c r="I34" s="23" t="s">
        <v>2420</v>
      </c>
      <c r="J34" s="23" t="s">
        <v>2299</v>
      </c>
      <c r="K34" s="23" t="s">
        <v>322</v>
      </c>
      <c r="L34" s="23" t="s">
        <v>2421</v>
      </c>
      <c r="M34" s="23" t="s">
        <v>2422</v>
      </c>
      <c r="N34" s="28" t="s">
        <v>2423</v>
      </c>
    </row>
    <row r="35" spans="1:14" ht="409.6">
      <c r="A35" s="22" t="s">
        <v>323</v>
      </c>
      <c r="B35" s="22" t="s">
        <v>29</v>
      </c>
      <c r="C35" s="22" t="s">
        <v>324</v>
      </c>
      <c r="D35" s="22" t="s">
        <v>325</v>
      </c>
      <c r="E35" s="22" t="s">
        <v>326</v>
      </c>
      <c r="F35" s="22" t="s">
        <v>2296</v>
      </c>
      <c r="G35" s="22" t="s">
        <v>2424</v>
      </c>
      <c r="H35" s="22" t="s">
        <v>2297</v>
      </c>
      <c r="I35" s="22" t="s">
        <v>2425</v>
      </c>
      <c r="J35" s="22" t="s">
        <v>2299</v>
      </c>
      <c r="K35" s="22" t="s">
        <v>327</v>
      </c>
      <c r="L35" s="22" t="s">
        <v>2426</v>
      </c>
      <c r="M35" s="22" t="s">
        <v>2427</v>
      </c>
      <c r="N35" s="28" t="s">
        <v>2428</v>
      </c>
    </row>
    <row r="36" spans="1:14" ht="409.6">
      <c r="A36" s="23" t="s">
        <v>328</v>
      </c>
      <c r="B36" s="23" t="s">
        <v>329</v>
      </c>
      <c r="C36" s="23" t="s">
        <v>330</v>
      </c>
      <c r="D36" s="23" t="s">
        <v>331</v>
      </c>
      <c r="E36" s="23" t="s">
        <v>332</v>
      </c>
      <c r="F36" s="23" t="s">
        <v>2287</v>
      </c>
      <c r="G36" s="23" t="s">
        <v>2429</v>
      </c>
      <c r="H36" s="23" t="s">
        <v>2205</v>
      </c>
      <c r="I36" s="23" t="s">
        <v>2430</v>
      </c>
      <c r="J36" s="23" t="s">
        <v>2289</v>
      </c>
      <c r="K36" s="23" t="s">
        <v>333</v>
      </c>
      <c r="L36" s="23" t="s">
        <v>2290</v>
      </c>
      <c r="M36" s="23" t="s">
        <v>2431</v>
      </c>
      <c r="N36" s="28" t="s">
        <v>2432</v>
      </c>
    </row>
    <row r="37" spans="1:14" ht="409.6">
      <c r="A37" s="22" t="s">
        <v>334</v>
      </c>
      <c r="B37" s="22" t="s">
        <v>335</v>
      </c>
      <c r="C37" s="22" t="s">
        <v>336</v>
      </c>
      <c r="D37" s="22" t="s">
        <v>337</v>
      </c>
      <c r="E37" s="22" t="s">
        <v>338</v>
      </c>
      <c r="F37" s="22" t="s">
        <v>2296</v>
      </c>
      <c r="G37" s="22" t="s">
        <v>2563</v>
      </c>
      <c r="H37" s="22" t="s">
        <v>2297</v>
      </c>
      <c r="I37" s="22" t="s">
        <v>2433</v>
      </c>
      <c r="J37" s="22" t="s">
        <v>2299</v>
      </c>
      <c r="K37" s="22" t="s">
        <v>335</v>
      </c>
      <c r="L37" s="22" t="s">
        <v>2434</v>
      </c>
      <c r="M37" s="22" t="s">
        <v>2435</v>
      </c>
      <c r="N37" s="28" t="s">
        <v>2436</v>
      </c>
    </row>
    <row r="38" spans="1:14" ht="409.6">
      <c r="A38" s="23" t="s">
        <v>339</v>
      </c>
      <c r="B38" s="23" t="s">
        <v>335</v>
      </c>
      <c r="C38" s="23" t="s">
        <v>340</v>
      </c>
      <c r="D38" s="23" t="s">
        <v>341</v>
      </c>
      <c r="E38" s="23" t="s">
        <v>342</v>
      </c>
      <c r="F38" s="23" t="s">
        <v>2296</v>
      </c>
      <c r="G38" s="23" t="s">
        <v>2564</v>
      </c>
      <c r="H38" s="23" t="s">
        <v>2297</v>
      </c>
      <c r="I38" s="23" t="s">
        <v>2437</v>
      </c>
      <c r="J38" s="23" t="s">
        <v>2299</v>
      </c>
      <c r="K38" s="23" t="s">
        <v>335</v>
      </c>
      <c r="L38" s="23" t="s">
        <v>2438</v>
      </c>
      <c r="M38" s="23" t="s">
        <v>2439</v>
      </c>
      <c r="N38" s="28" t="s">
        <v>2440</v>
      </c>
    </row>
    <row r="39" spans="1:14" ht="409.6" customHeight="1">
      <c r="A39" s="27" t="s">
        <v>343</v>
      </c>
      <c r="B39" s="27" t="s">
        <v>10</v>
      </c>
      <c r="C39" s="27" t="s">
        <v>344</v>
      </c>
      <c r="D39" s="27" t="s">
        <v>345</v>
      </c>
      <c r="E39" s="27" t="s">
        <v>346</v>
      </c>
      <c r="F39" s="27" t="s">
        <v>2343</v>
      </c>
      <c r="G39" s="28" t="s">
        <v>2441</v>
      </c>
      <c r="H39" s="27" t="s">
        <v>2345</v>
      </c>
      <c r="I39" s="27" t="s">
        <v>2442</v>
      </c>
      <c r="J39" s="27" t="s">
        <v>2347</v>
      </c>
      <c r="K39" s="27" t="s">
        <v>347</v>
      </c>
      <c r="L39" s="27" t="s">
        <v>2348</v>
      </c>
      <c r="M39" s="27" t="s">
        <v>2349</v>
      </c>
      <c r="N39" s="28" t="s">
        <v>2350</v>
      </c>
    </row>
    <row r="40" spans="1:14" ht="319.95" customHeight="1">
      <c r="A40" s="27" t="s">
        <v>1516</v>
      </c>
      <c r="B40" s="27" t="s">
        <v>2443</v>
      </c>
      <c r="C40" s="27" t="s">
        <v>2444</v>
      </c>
      <c r="D40" s="27" t="s">
        <v>2445</v>
      </c>
      <c r="E40" s="27" t="s">
        <v>2446</v>
      </c>
      <c r="F40" s="27" t="s">
        <v>2447</v>
      </c>
      <c r="G40" s="27" t="s">
        <v>2448</v>
      </c>
      <c r="H40" s="27" t="s">
        <v>2449</v>
      </c>
      <c r="I40" s="27" t="s">
        <v>2450</v>
      </c>
      <c r="J40" s="27" t="s">
        <v>2347</v>
      </c>
      <c r="K40" s="27" t="s">
        <v>2451</v>
      </c>
      <c r="L40" s="27" t="s">
        <v>2348</v>
      </c>
      <c r="M40" s="27" t="s">
        <v>2452</v>
      </c>
      <c r="N40" s="28" t="s">
        <v>2453</v>
      </c>
    </row>
  </sheetData>
  <mergeCells count="2">
    <mergeCell ref="A1:J1"/>
    <mergeCell ref="A2:J2"/>
  </mergeCells>
  <conditionalFormatting sqref="J6:J29">
    <cfRule type="containsText" dxfId="34" priority="1" operator="containsText" text="Approved"/>
    <cfRule type="containsText" dxfId="33" priority="2" operator="containsText" text="Blocked"/>
    <cfRule type="containsText" dxfId="32" priority="3" operator="containsText" text="In Progress"/>
    <cfRule type="containsText" dxfId="31" priority="4" operator="containsText" text="Ready for Review"/>
  </conditionalFormatting>
  <dataValidations count="1">
    <dataValidation type="list" sqref="J6:J29" xr:uid="{00000000-0002-0000-0A00-000000000000}">
      <formula1>"Required before next prompt,Approved,Changes Requested,Blocked"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9"/>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51" t="s">
        <v>348</v>
      </c>
      <c r="B1" s="51"/>
      <c r="C1" s="51"/>
      <c r="D1" s="51"/>
      <c r="E1" s="51"/>
      <c r="F1" s="51"/>
      <c r="G1" s="51"/>
      <c r="H1" s="51"/>
      <c r="I1" s="51"/>
      <c r="J1" s="51"/>
      <c r="K1" s="51"/>
      <c r="L1" s="51"/>
    </row>
    <row r="2" spans="1:12" ht="31.95" customHeight="1">
      <c r="A2" s="52" t="s">
        <v>2454</v>
      </c>
      <c r="B2" s="52"/>
      <c r="C2" s="52"/>
      <c r="D2" s="52"/>
      <c r="E2" s="52"/>
      <c r="F2" s="52"/>
      <c r="G2" s="52"/>
      <c r="H2" s="52"/>
      <c r="I2" s="52"/>
      <c r="J2" s="52"/>
      <c r="K2" s="52"/>
      <c r="L2" s="52"/>
    </row>
    <row r="5" spans="1:12" ht="28.05" customHeight="1">
      <c r="A5" s="1" t="s">
        <v>349</v>
      </c>
      <c r="B5" s="2" t="s">
        <v>22</v>
      </c>
      <c r="C5" s="2" t="s">
        <v>350</v>
      </c>
      <c r="D5" s="2" t="s">
        <v>351</v>
      </c>
      <c r="E5" s="2" t="s">
        <v>352</v>
      </c>
      <c r="F5" s="2" t="s">
        <v>353</v>
      </c>
      <c r="G5" s="2" t="s">
        <v>354</v>
      </c>
      <c r="H5" s="2" t="s">
        <v>355</v>
      </c>
      <c r="I5" s="2" t="s">
        <v>356</v>
      </c>
      <c r="J5" s="2" t="s">
        <v>357</v>
      </c>
      <c r="K5" s="2" t="s">
        <v>358</v>
      </c>
      <c r="L5" s="3" t="s">
        <v>359</v>
      </c>
    </row>
    <row r="6" spans="1:12" ht="45.6">
      <c r="A6" s="10" t="s">
        <v>360</v>
      </c>
      <c r="B6" s="10" t="s">
        <v>10</v>
      </c>
      <c r="C6" s="10" t="s">
        <v>361</v>
      </c>
      <c r="D6" s="10" t="s">
        <v>362</v>
      </c>
      <c r="E6" s="10" t="s">
        <v>363</v>
      </c>
      <c r="F6" s="10" t="s">
        <v>364</v>
      </c>
      <c r="G6" s="10" t="s">
        <v>365</v>
      </c>
      <c r="H6" s="10" t="s">
        <v>366</v>
      </c>
      <c r="I6" s="17">
        <v>46252</v>
      </c>
      <c r="J6" s="10" t="s">
        <v>367</v>
      </c>
      <c r="K6" s="10" t="s">
        <v>368</v>
      </c>
      <c r="L6" s="10" t="s">
        <v>369</v>
      </c>
    </row>
    <row r="7" spans="1:12" ht="45.6">
      <c r="A7" s="11" t="s">
        <v>370</v>
      </c>
      <c r="B7" s="11" t="s">
        <v>10</v>
      </c>
      <c r="C7" s="11" t="s">
        <v>185</v>
      </c>
      <c r="D7" s="11" t="s">
        <v>371</v>
      </c>
      <c r="E7" s="11" t="s">
        <v>372</v>
      </c>
      <c r="F7" s="11" t="s">
        <v>373</v>
      </c>
      <c r="G7" s="11" t="s">
        <v>374</v>
      </c>
      <c r="H7" s="11" t="s">
        <v>366</v>
      </c>
      <c r="I7" s="18">
        <v>46252</v>
      </c>
      <c r="J7" s="11" t="s">
        <v>375</v>
      </c>
      <c r="K7" s="11" t="s">
        <v>368</v>
      </c>
      <c r="L7" s="11" t="s">
        <v>369</v>
      </c>
    </row>
    <row r="8" spans="1:12" ht="57">
      <c r="A8" s="11" t="s">
        <v>376</v>
      </c>
      <c r="B8" s="11" t="s">
        <v>10</v>
      </c>
      <c r="C8" s="11" t="s">
        <v>377</v>
      </c>
      <c r="D8" s="11" t="s">
        <v>378</v>
      </c>
      <c r="E8" s="11" t="s">
        <v>379</v>
      </c>
      <c r="F8" s="11" t="s">
        <v>380</v>
      </c>
      <c r="G8" s="11" t="s">
        <v>381</v>
      </c>
      <c r="H8" s="11" t="s">
        <v>366</v>
      </c>
      <c r="I8" s="18">
        <v>46252</v>
      </c>
      <c r="J8" s="11" t="s">
        <v>382</v>
      </c>
      <c r="K8" s="11" t="s">
        <v>383</v>
      </c>
      <c r="L8" s="11" t="s">
        <v>369</v>
      </c>
    </row>
    <row r="9" spans="1:12" ht="45.6">
      <c r="A9" s="11" t="s">
        <v>384</v>
      </c>
      <c r="B9" s="11" t="s">
        <v>10</v>
      </c>
      <c r="C9" s="11" t="s">
        <v>385</v>
      </c>
      <c r="D9" s="11" t="s">
        <v>386</v>
      </c>
      <c r="E9" s="11" t="s">
        <v>387</v>
      </c>
      <c r="F9" s="11" t="s">
        <v>388</v>
      </c>
      <c r="G9" s="11" t="s">
        <v>389</v>
      </c>
      <c r="H9" s="11" t="s">
        <v>366</v>
      </c>
      <c r="I9" s="18">
        <v>46252</v>
      </c>
      <c r="J9" s="11" t="s">
        <v>390</v>
      </c>
      <c r="K9" s="11" t="s">
        <v>391</v>
      </c>
      <c r="L9" s="11" t="s">
        <v>369</v>
      </c>
    </row>
    <row r="10" spans="1:12">
      <c r="A10" s="11" t="s">
        <v>392</v>
      </c>
      <c r="B10" s="11" t="s">
        <v>25</v>
      </c>
      <c r="C10" s="11" t="s">
        <v>361</v>
      </c>
      <c r="D10" s="11" t="s">
        <v>393</v>
      </c>
      <c r="E10" s="11" t="s">
        <v>394</v>
      </c>
      <c r="F10" s="11" t="s">
        <v>395</v>
      </c>
      <c r="G10" s="11" t="s">
        <v>396</v>
      </c>
      <c r="H10" s="11" t="s">
        <v>397</v>
      </c>
      <c r="I10" s="18"/>
      <c r="J10" s="11"/>
      <c r="K10" s="11"/>
      <c r="L10" s="11"/>
    </row>
    <row r="11" spans="1:12">
      <c r="A11" s="11" t="s">
        <v>398</v>
      </c>
      <c r="B11" s="11" t="s">
        <v>25</v>
      </c>
      <c r="C11" s="11" t="s">
        <v>399</v>
      </c>
      <c r="D11" s="11" t="s">
        <v>400</v>
      </c>
      <c r="E11" s="11" t="s">
        <v>401</v>
      </c>
      <c r="F11" s="11" t="s">
        <v>402</v>
      </c>
      <c r="G11" s="11" t="s">
        <v>403</v>
      </c>
      <c r="H11" s="11" t="s">
        <v>397</v>
      </c>
      <c r="I11" s="18"/>
      <c r="J11" s="11"/>
      <c r="K11" s="11"/>
      <c r="L11" s="11"/>
    </row>
    <row r="12" spans="1:12">
      <c r="A12" s="11" t="s">
        <v>404</v>
      </c>
      <c r="B12" s="11" t="s">
        <v>25</v>
      </c>
      <c r="C12" s="11" t="s">
        <v>361</v>
      </c>
      <c r="D12" s="11" t="s">
        <v>405</v>
      </c>
      <c r="E12" s="11" t="s">
        <v>406</v>
      </c>
      <c r="F12" s="11" t="s">
        <v>407</v>
      </c>
      <c r="G12" s="11" t="s">
        <v>408</v>
      </c>
      <c r="H12" s="11" t="s">
        <v>397</v>
      </c>
      <c r="I12" s="18"/>
      <c r="J12" s="11"/>
      <c r="K12" s="11"/>
      <c r="L12" s="11"/>
    </row>
    <row r="13" spans="1:12" ht="22.8">
      <c r="A13" s="11" t="s">
        <v>409</v>
      </c>
      <c r="B13" s="11" t="s">
        <v>25</v>
      </c>
      <c r="C13" s="11" t="s">
        <v>377</v>
      </c>
      <c r="D13" s="11" t="s">
        <v>410</v>
      </c>
      <c r="E13" s="11" t="s">
        <v>411</v>
      </c>
      <c r="F13" s="11" t="s">
        <v>412</v>
      </c>
      <c r="G13" s="11" t="s">
        <v>413</v>
      </c>
      <c r="H13" s="11" t="s">
        <v>397</v>
      </c>
      <c r="I13" s="18"/>
      <c r="J13" s="11"/>
      <c r="K13" s="11"/>
      <c r="L13" s="11"/>
    </row>
    <row r="14" spans="1:12">
      <c r="A14" s="11" t="s">
        <v>414</v>
      </c>
      <c r="B14" s="11" t="s">
        <v>25</v>
      </c>
      <c r="C14" s="11" t="s">
        <v>185</v>
      </c>
      <c r="D14" s="11" t="s">
        <v>415</v>
      </c>
      <c r="E14" s="11" t="s">
        <v>416</v>
      </c>
      <c r="F14" s="11" t="s">
        <v>417</v>
      </c>
      <c r="G14" s="11" t="s">
        <v>418</v>
      </c>
      <c r="H14" s="11" t="s">
        <v>397</v>
      </c>
      <c r="I14" s="18"/>
      <c r="J14" s="11"/>
      <c r="K14" s="11"/>
      <c r="L14" s="11"/>
    </row>
    <row r="15" spans="1:12">
      <c r="A15" s="11" t="s">
        <v>419</v>
      </c>
      <c r="B15" s="11" t="s">
        <v>25</v>
      </c>
      <c r="C15" s="11" t="s">
        <v>385</v>
      </c>
      <c r="D15" s="11" t="s">
        <v>420</v>
      </c>
      <c r="E15" s="11" t="s">
        <v>421</v>
      </c>
      <c r="F15" s="11" t="s">
        <v>422</v>
      </c>
      <c r="G15" s="11" t="s">
        <v>423</v>
      </c>
      <c r="H15" s="11" t="s">
        <v>397</v>
      </c>
      <c r="I15" s="18"/>
      <c r="J15" s="11"/>
      <c r="K15" s="11"/>
      <c r="L15" s="11"/>
    </row>
    <row r="16" spans="1:12">
      <c r="A16" s="11" t="s">
        <v>424</v>
      </c>
      <c r="B16" s="11" t="s">
        <v>26</v>
      </c>
      <c r="C16" s="11" t="s">
        <v>361</v>
      </c>
      <c r="D16" s="11" t="s">
        <v>425</v>
      </c>
      <c r="E16" s="11" t="s">
        <v>426</v>
      </c>
      <c r="F16" s="11" t="s">
        <v>427</v>
      </c>
      <c r="G16" s="11" t="s">
        <v>428</v>
      </c>
      <c r="H16" s="11" t="s">
        <v>397</v>
      </c>
      <c r="I16" s="18"/>
      <c r="J16" s="11"/>
      <c r="K16" s="11"/>
      <c r="L16" s="11"/>
    </row>
    <row r="17" spans="1:12">
      <c r="A17" s="11" t="s">
        <v>429</v>
      </c>
      <c r="B17" s="11" t="s">
        <v>26</v>
      </c>
      <c r="C17" s="11" t="s">
        <v>377</v>
      </c>
      <c r="D17" s="11" t="s">
        <v>430</v>
      </c>
      <c r="E17" s="11" t="s">
        <v>431</v>
      </c>
      <c r="F17" s="11" t="s">
        <v>432</v>
      </c>
      <c r="G17" s="11" t="s">
        <v>433</v>
      </c>
      <c r="H17" s="11" t="s">
        <v>397</v>
      </c>
      <c r="I17" s="18"/>
      <c r="J17" s="11"/>
      <c r="K17" s="11"/>
      <c r="L17" s="11"/>
    </row>
    <row r="18" spans="1:12">
      <c r="A18" s="11" t="s">
        <v>434</v>
      </c>
      <c r="B18" s="11" t="s">
        <v>26</v>
      </c>
      <c r="C18" s="11" t="s">
        <v>435</v>
      </c>
      <c r="D18" s="11" t="s">
        <v>436</v>
      </c>
      <c r="E18" s="11" t="s">
        <v>437</v>
      </c>
      <c r="F18" s="11" t="s">
        <v>438</v>
      </c>
      <c r="G18" s="11" t="s">
        <v>439</v>
      </c>
      <c r="H18" s="11" t="s">
        <v>397</v>
      </c>
      <c r="I18" s="18"/>
      <c r="J18" s="11"/>
      <c r="K18" s="11"/>
      <c r="L18" s="11"/>
    </row>
    <row r="19" spans="1:12">
      <c r="A19" s="11" t="s">
        <v>440</v>
      </c>
      <c r="B19" s="11" t="s">
        <v>26</v>
      </c>
      <c r="C19" s="11" t="s">
        <v>441</v>
      </c>
      <c r="D19" s="11" t="s">
        <v>442</v>
      </c>
      <c r="E19" s="11" t="s">
        <v>443</v>
      </c>
      <c r="F19" s="11" t="s">
        <v>444</v>
      </c>
      <c r="G19" s="11" t="s">
        <v>445</v>
      </c>
      <c r="H19" s="11" t="s">
        <v>397</v>
      </c>
      <c r="I19" s="18"/>
      <c r="J19" s="11"/>
      <c r="K19" s="11"/>
      <c r="L19" s="11"/>
    </row>
    <row r="20" spans="1:12">
      <c r="A20" s="11" t="s">
        <v>446</v>
      </c>
      <c r="B20" s="11" t="s">
        <v>27</v>
      </c>
      <c r="C20" s="11" t="s">
        <v>361</v>
      </c>
      <c r="D20" s="11" t="s">
        <v>447</v>
      </c>
      <c r="E20" s="11" t="s">
        <v>448</v>
      </c>
      <c r="F20" s="11" t="s">
        <v>449</v>
      </c>
      <c r="G20" s="11" t="s">
        <v>450</v>
      </c>
      <c r="H20" s="11" t="s">
        <v>397</v>
      </c>
      <c r="I20" s="18"/>
      <c r="J20" s="11"/>
      <c r="K20" s="11"/>
      <c r="L20" s="11"/>
    </row>
    <row r="21" spans="1:12">
      <c r="A21" s="11" t="s">
        <v>451</v>
      </c>
      <c r="B21" s="11" t="s">
        <v>27</v>
      </c>
      <c r="C21" s="11" t="s">
        <v>377</v>
      </c>
      <c r="D21" s="11" t="s">
        <v>452</v>
      </c>
      <c r="E21" s="11" t="s">
        <v>453</v>
      </c>
      <c r="F21" s="11" t="s">
        <v>454</v>
      </c>
      <c r="G21" s="11" t="s">
        <v>455</v>
      </c>
      <c r="H21" s="11" t="s">
        <v>397</v>
      </c>
      <c r="I21" s="18"/>
      <c r="J21" s="11"/>
      <c r="K21" s="11"/>
      <c r="L21" s="11"/>
    </row>
    <row r="22" spans="1:12">
      <c r="A22" s="11" t="s">
        <v>456</v>
      </c>
      <c r="B22" s="11" t="s">
        <v>27</v>
      </c>
      <c r="C22" s="11" t="s">
        <v>185</v>
      </c>
      <c r="D22" s="11" t="s">
        <v>457</v>
      </c>
      <c r="E22" s="11" t="s">
        <v>458</v>
      </c>
      <c r="F22" s="11" t="s">
        <v>459</v>
      </c>
      <c r="G22" s="11" t="s">
        <v>460</v>
      </c>
      <c r="H22" s="11" t="s">
        <v>397</v>
      </c>
      <c r="I22" s="18"/>
      <c r="J22" s="11"/>
      <c r="K22" s="11"/>
      <c r="L22" s="11"/>
    </row>
    <row r="23" spans="1:12" ht="22.8">
      <c r="A23" s="11" t="s">
        <v>461</v>
      </c>
      <c r="B23" s="11" t="s">
        <v>27</v>
      </c>
      <c r="C23" s="11" t="s">
        <v>462</v>
      </c>
      <c r="D23" s="11" t="s">
        <v>463</v>
      </c>
      <c r="E23" s="11" t="s">
        <v>464</v>
      </c>
      <c r="F23" s="11" t="s">
        <v>465</v>
      </c>
      <c r="G23" s="11" t="s">
        <v>466</v>
      </c>
      <c r="H23" s="11" t="s">
        <v>397</v>
      </c>
      <c r="I23" s="18"/>
      <c r="J23" s="11"/>
      <c r="K23" s="11"/>
      <c r="L23" s="11"/>
    </row>
    <row r="24" spans="1:12">
      <c r="A24" s="11" t="s">
        <v>467</v>
      </c>
      <c r="B24" s="11" t="s">
        <v>27</v>
      </c>
      <c r="C24" s="11" t="s">
        <v>441</v>
      </c>
      <c r="D24" s="11" t="s">
        <v>468</v>
      </c>
      <c r="E24" s="11" t="s">
        <v>469</v>
      </c>
      <c r="F24" s="11" t="s">
        <v>470</v>
      </c>
      <c r="G24" s="11" t="s">
        <v>471</v>
      </c>
      <c r="H24" s="11" t="s">
        <v>397</v>
      </c>
      <c r="I24" s="18"/>
      <c r="J24" s="11"/>
      <c r="K24" s="11"/>
      <c r="L24" s="11"/>
    </row>
    <row r="25" spans="1:12" ht="22.8">
      <c r="A25" s="11" t="s">
        <v>472</v>
      </c>
      <c r="B25" s="11" t="s">
        <v>28</v>
      </c>
      <c r="C25" s="11" t="s">
        <v>473</v>
      </c>
      <c r="D25" s="11" t="s">
        <v>474</v>
      </c>
      <c r="E25" s="11" t="s">
        <v>475</v>
      </c>
      <c r="F25" s="11" t="s">
        <v>476</v>
      </c>
      <c r="G25" s="11" t="s">
        <v>477</v>
      </c>
      <c r="H25" s="11" t="s">
        <v>397</v>
      </c>
      <c r="I25" s="18"/>
      <c r="J25" s="11"/>
      <c r="K25" s="11"/>
      <c r="L25" s="11"/>
    </row>
    <row r="26" spans="1:12">
      <c r="A26" s="11" t="s">
        <v>478</v>
      </c>
      <c r="B26" s="11" t="s">
        <v>28</v>
      </c>
      <c r="C26" s="11" t="s">
        <v>479</v>
      </c>
      <c r="D26" s="11" t="s">
        <v>480</v>
      </c>
      <c r="E26" s="11" t="s">
        <v>481</v>
      </c>
      <c r="F26" s="11" t="s">
        <v>482</v>
      </c>
      <c r="G26" s="11" t="s">
        <v>483</v>
      </c>
      <c r="H26" s="11" t="s">
        <v>397</v>
      </c>
      <c r="I26" s="18"/>
      <c r="J26" s="11"/>
      <c r="K26" s="11"/>
      <c r="L26" s="11"/>
    </row>
    <row r="27" spans="1:12">
      <c r="A27" s="11" t="s">
        <v>484</v>
      </c>
      <c r="B27" s="11" t="s">
        <v>28</v>
      </c>
      <c r="C27" s="11" t="s">
        <v>473</v>
      </c>
      <c r="D27" s="11" t="s">
        <v>485</v>
      </c>
      <c r="E27" s="11" t="s">
        <v>486</v>
      </c>
      <c r="F27" s="11" t="s">
        <v>487</v>
      </c>
      <c r="G27" s="11" t="s">
        <v>488</v>
      </c>
      <c r="H27" s="11" t="s">
        <v>397</v>
      </c>
      <c r="I27" s="18"/>
      <c r="J27" s="11"/>
      <c r="K27" s="11"/>
      <c r="L27" s="11"/>
    </row>
    <row r="28" spans="1:12">
      <c r="A28" s="11" t="s">
        <v>489</v>
      </c>
      <c r="B28" s="11" t="s">
        <v>28</v>
      </c>
      <c r="C28" s="11" t="s">
        <v>490</v>
      </c>
      <c r="D28" s="11" t="s">
        <v>491</v>
      </c>
      <c r="E28" s="11" t="s">
        <v>492</v>
      </c>
      <c r="F28" s="11" t="s">
        <v>493</v>
      </c>
      <c r="G28" s="11" t="s">
        <v>494</v>
      </c>
      <c r="H28" s="11" t="s">
        <v>397</v>
      </c>
      <c r="I28" s="18"/>
      <c r="J28" s="11"/>
      <c r="K28" s="11"/>
      <c r="L28" s="11"/>
    </row>
    <row r="29" spans="1:12">
      <c r="A29" s="11" t="s">
        <v>495</v>
      </c>
      <c r="B29" s="11" t="s">
        <v>28</v>
      </c>
      <c r="C29" s="11" t="s">
        <v>496</v>
      </c>
      <c r="D29" s="11" t="s">
        <v>497</v>
      </c>
      <c r="E29" s="11" t="s">
        <v>498</v>
      </c>
      <c r="F29" s="11" t="s">
        <v>499</v>
      </c>
      <c r="G29" s="11" t="s">
        <v>500</v>
      </c>
      <c r="H29" s="11" t="s">
        <v>397</v>
      </c>
      <c r="I29" s="18"/>
      <c r="J29" s="11"/>
      <c r="K29" s="11"/>
      <c r="L29" s="11"/>
    </row>
    <row r="30" spans="1:12" ht="22.8">
      <c r="A30" s="11" t="s">
        <v>501</v>
      </c>
      <c r="B30" s="11" t="s">
        <v>28</v>
      </c>
      <c r="C30" s="11" t="s">
        <v>385</v>
      </c>
      <c r="D30" s="11" t="s">
        <v>502</v>
      </c>
      <c r="E30" s="11" t="s">
        <v>503</v>
      </c>
      <c r="F30" s="11" t="s">
        <v>504</v>
      </c>
      <c r="G30" s="11" t="s">
        <v>505</v>
      </c>
      <c r="H30" s="11" t="s">
        <v>397</v>
      </c>
      <c r="I30" s="18"/>
      <c r="J30" s="11"/>
      <c r="K30" s="11"/>
      <c r="L30" s="11"/>
    </row>
    <row r="31" spans="1:12">
      <c r="A31" s="11" t="s">
        <v>506</v>
      </c>
      <c r="B31" s="11" t="s">
        <v>29</v>
      </c>
      <c r="C31" s="11" t="s">
        <v>507</v>
      </c>
      <c r="D31" s="11" t="s">
        <v>508</v>
      </c>
      <c r="E31" s="11" t="s">
        <v>509</v>
      </c>
      <c r="F31" s="11" t="s">
        <v>510</v>
      </c>
      <c r="G31" s="11" t="s">
        <v>511</v>
      </c>
      <c r="H31" s="11" t="s">
        <v>397</v>
      </c>
      <c r="I31" s="18"/>
      <c r="J31" s="11"/>
      <c r="K31" s="11"/>
      <c r="L31" s="11"/>
    </row>
    <row r="32" spans="1:12">
      <c r="A32" s="11" t="s">
        <v>512</v>
      </c>
      <c r="B32" s="11" t="s">
        <v>29</v>
      </c>
      <c r="C32" s="11" t="s">
        <v>496</v>
      </c>
      <c r="D32" s="11" t="s">
        <v>513</v>
      </c>
      <c r="E32" s="11" t="s">
        <v>514</v>
      </c>
      <c r="F32" s="11" t="s">
        <v>515</v>
      </c>
      <c r="G32" s="11" t="s">
        <v>516</v>
      </c>
      <c r="H32" s="11" t="s">
        <v>397</v>
      </c>
      <c r="I32" s="18"/>
      <c r="J32" s="11"/>
      <c r="K32" s="11"/>
      <c r="L32" s="11"/>
    </row>
    <row r="33" spans="1:12">
      <c r="A33" s="11" t="s">
        <v>517</v>
      </c>
      <c r="B33" s="11" t="s">
        <v>29</v>
      </c>
      <c r="C33" s="11" t="s">
        <v>518</v>
      </c>
      <c r="D33" s="11" t="s">
        <v>519</v>
      </c>
      <c r="E33" s="11" t="s">
        <v>520</v>
      </c>
      <c r="F33" s="11" t="s">
        <v>521</v>
      </c>
      <c r="G33" s="11" t="s">
        <v>522</v>
      </c>
      <c r="H33" s="11" t="s">
        <v>397</v>
      </c>
      <c r="I33" s="18"/>
      <c r="J33" s="11"/>
      <c r="K33" s="11"/>
      <c r="L33" s="11"/>
    </row>
    <row r="34" spans="1:12">
      <c r="A34" s="11" t="s">
        <v>523</v>
      </c>
      <c r="B34" s="11" t="s">
        <v>29</v>
      </c>
      <c r="C34" s="11" t="s">
        <v>524</v>
      </c>
      <c r="D34" s="11" t="s">
        <v>525</v>
      </c>
      <c r="E34" s="11" t="s">
        <v>526</v>
      </c>
      <c r="F34" s="11" t="s">
        <v>527</v>
      </c>
      <c r="G34" s="11" t="s">
        <v>528</v>
      </c>
      <c r="H34" s="11" t="s">
        <v>397</v>
      </c>
      <c r="I34" s="18"/>
      <c r="J34" s="11"/>
      <c r="K34" s="11"/>
      <c r="L34" s="11"/>
    </row>
    <row r="35" spans="1:12">
      <c r="A35" s="11" t="s">
        <v>529</v>
      </c>
      <c r="B35" s="11" t="s">
        <v>29</v>
      </c>
      <c r="C35" s="11" t="s">
        <v>435</v>
      </c>
      <c r="D35" s="11" t="s">
        <v>530</v>
      </c>
      <c r="E35" s="11" t="s">
        <v>531</v>
      </c>
      <c r="F35" s="11" t="s">
        <v>532</v>
      </c>
      <c r="G35" s="11" t="s">
        <v>533</v>
      </c>
      <c r="H35" s="11" t="s">
        <v>397</v>
      </c>
      <c r="I35" s="18"/>
      <c r="J35" s="11"/>
      <c r="K35" s="11"/>
      <c r="L35" s="11"/>
    </row>
    <row r="36" spans="1:12">
      <c r="A36" s="11" t="s">
        <v>534</v>
      </c>
      <c r="B36" s="11" t="s">
        <v>29</v>
      </c>
      <c r="C36" s="11" t="s">
        <v>441</v>
      </c>
      <c r="D36" s="11" t="s">
        <v>535</v>
      </c>
      <c r="E36" s="11" t="s">
        <v>536</v>
      </c>
      <c r="F36" s="11" t="s">
        <v>537</v>
      </c>
      <c r="G36" s="11" t="s">
        <v>538</v>
      </c>
      <c r="H36" s="11" t="s">
        <v>397</v>
      </c>
      <c r="I36" s="18"/>
      <c r="J36" s="11"/>
      <c r="K36" s="11"/>
      <c r="L36" s="11"/>
    </row>
    <row r="37" spans="1:12" ht="22.8">
      <c r="A37" s="11" t="s">
        <v>539</v>
      </c>
      <c r="B37" s="11" t="s">
        <v>29</v>
      </c>
      <c r="C37" s="11" t="s">
        <v>385</v>
      </c>
      <c r="D37" s="11" t="s">
        <v>540</v>
      </c>
      <c r="E37" s="11" t="s">
        <v>503</v>
      </c>
      <c r="F37" s="11" t="s">
        <v>541</v>
      </c>
      <c r="G37" s="11" t="s">
        <v>542</v>
      </c>
      <c r="H37" s="11" t="s">
        <v>397</v>
      </c>
      <c r="I37" s="18"/>
      <c r="J37" s="11"/>
      <c r="K37" s="11"/>
      <c r="L37" s="11"/>
    </row>
    <row r="38" spans="1:12" ht="42" customHeight="1">
      <c r="A38" s="23" t="s">
        <v>543</v>
      </c>
      <c r="B38" s="23" t="s">
        <v>10</v>
      </c>
      <c r="C38" s="23" t="s">
        <v>544</v>
      </c>
      <c r="D38" s="23" t="s">
        <v>545</v>
      </c>
      <c r="E38" s="23" t="s">
        <v>546</v>
      </c>
      <c r="F38" s="23" t="s">
        <v>547</v>
      </c>
      <c r="G38" s="23" t="s">
        <v>548</v>
      </c>
      <c r="H38" s="23" t="s">
        <v>366</v>
      </c>
      <c r="I38" s="25">
        <v>46252</v>
      </c>
      <c r="J38" s="23" t="s">
        <v>549</v>
      </c>
      <c r="K38" s="23" t="s">
        <v>550</v>
      </c>
      <c r="L38" s="23" t="s">
        <v>369</v>
      </c>
    </row>
    <row r="39" spans="1:12" ht="42" customHeight="1">
      <c r="A39" s="22" t="s">
        <v>551</v>
      </c>
      <c r="B39" s="22" t="s">
        <v>10</v>
      </c>
      <c r="C39" s="22" t="s">
        <v>552</v>
      </c>
      <c r="D39" s="22" t="s">
        <v>553</v>
      </c>
      <c r="E39" s="22" t="s">
        <v>554</v>
      </c>
      <c r="F39" s="22" t="s">
        <v>555</v>
      </c>
      <c r="G39" s="22" t="s">
        <v>556</v>
      </c>
      <c r="H39" s="22" t="s">
        <v>366</v>
      </c>
      <c r="I39" s="26">
        <v>46252</v>
      </c>
      <c r="J39" s="22" t="s">
        <v>557</v>
      </c>
      <c r="K39" s="22" t="s">
        <v>558</v>
      </c>
      <c r="L39" s="22" t="s">
        <v>369</v>
      </c>
    </row>
  </sheetData>
  <mergeCells count="2">
    <mergeCell ref="A1:L1"/>
    <mergeCell ref="A2:L2"/>
  </mergeCells>
  <conditionalFormatting sqref="H6:H37">
    <cfRule type="containsText" dxfId="30" priority="1" operator="containsText" text="Pass"/>
    <cfRule type="containsText" dxfId="29" priority="2" operator="containsText" text="Blocked"/>
    <cfRule type="containsText" dxfId="28" priority="3" operator="containsText" text="In Progress"/>
    <cfRule type="containsText" dxfId="27" priority="4" operator="containsText" text="Ready for Review"/>
  </conditionalFormatting>
  <dataValidations count="2">
    <dataValidation type="list" sqref="H6:H37" xr:uid="{00000000-0002-0000-0B00-000000000000}">
      <formula1>"Not Run,Pass,Fail,Blocked"</formula1>
    </dataValidation>
    <dataValidation type="list" sqref="L6:L37" xr:uid="{00000000-0002-0000-0B00-000001000000}">
      <formula1>"Pending,Approved,Rejected"</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3"/>
  <sheetViews>
    <sheetView showGridLines="0" workbookViewId="0"/>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51" t="s">
        <v>559</v>
      </c>
      <c r="B1" s="51"/>
      <c r="C1" s="51"/>
      <c r="D1" s="51"/>
      <c r="E1" s="51"/>
      <c r="F1" s="51"/>
      <c r="G1" s="51"/>
      <c r="H1" s="51"/>
      <c r="I1" s="51"/>
      <c r="J1" s="51"/>
      <c r="K1" s="51"/>
    </row>
    <row r="2" spans="1:11" ht="31.95" customHeight="1">
      <c r="A2" s="52" t="s">
        <v>560</v>
      </c>
      <c r="B2" s="52"/>
      <c r="C2" s="52"/>
      <c r="D2" s="52"/>
      <c r="E2" s="52"/>
      <c r="F2" s="52"/>
      <c r="G2" s="52"/>
      <c r="H2" s="52"/>
      <c r="I2" s="52"/>
      <c r="J2" s="52"/>
      <c r="K2" s="52"/>
    </row>
    <row r="5" spans="1:11" ht="28.05" customHeight="1">
      <c r="A5" s="1" t="s">
        <v>561</v>
      </c>
      <c r="B5" s="2" t="s">
        <v>562</v>
      </c>
      <c r="C5" s="2" t="s">
        <v>355</v>
      </c>
      <c r="D5" s="2" t="s">
        <v>563</v>
      </c>
      <c r="E5" s="2" t="s">
        <v>564</v>
      </c>
      <c r="F5" s="2" t="s">
        <v>565</v>
      </c>
      <c r="G5" s="2" t="s">
        <v>566</v>
      </c>
      <c r="H5" s="2" t="s">
        <v>567</v>
      </c>
      <c r="I5" s="2" t="s">
        <v>7</v>
      </c>
      <c r="J5" s="2" t="s">
        <v>568</v>
      </c>
      <c r="K5" s="3" t="s">
        <v>569</v>
      </c>
    </row>
    <row r="6" spans="1:11" ht="22.8">
      <c r="A6" s="10" t="s">
        <v>570</v>
      </c>
      <c r="B6" s="10" t="s">
        <v>571</v>
      </c>
      <c r="C6" s="10" t="s">
        <v>572</v>
      </c>
      <c r="D6" s="10" t="s">
        <v>10</v>
      </c>
      <c r="E6" s="10" t="s">
        <v>573</v>
      </c>
      <c r="F6" s="10" t="s">
        <v>574</v>
      </c>
      <c r="G6" s="10" t="s">
        <v>575</v>
      </c>
      <c r="H6" s="10" t="s">
        <v>576</v>
      </c>
      <c r="I6" s="10" t="s">
        <v>577</v>
      </c>
      <c r="J6" s="10" t="s">
        <v>578</v>
      </c>
      <c r="K6" s="10"/>
    </row>
    <row r="7" spans="1:11" ht="22.8">
      <c r="A7" s="11" t="s">
        <v>81</v>
      </c>
      <c r="B7" s="11" t="s">
        <v>579</v>
      </c>
      <c r="C7" s="11" t="s">
        <v>572</v>
      </c>
      <c r="D7" s="11" t="s">
        <v>10</v>
      </c>
      <c r="E7" s="11" t="s">
        <v>580</v>
      </c>
      <c r="F7" s="11" t="s">
        <v>581</v>
      </c>
      <c r="G7" s="11" t="s">
        <v>582</v>
      </c>
      <c r="H7" s="11" t="s">
        <v>583</v>
      </c>
      <c r="I7" s="11" t="s">
        <v>577</v>
      </c>
      <c r="J7" s="11" t="s">
        <v>584</v>
      </c>
      <c r="K7" s="11"/>
    </row>
    <row r="8" spans="1:11" ht="22.8">
      <c r="A8" s="11" t="s">
        <v>87</v>
      </c>
      <c r="B8" s="11" t="s">
        <v>585</v>
      </c>
      <c r="C8" s="11" t="s">
        <v>572</v>
      </c>
      <c r="D8" s="11" t="s">
        <v>25</v>
      </c>
      <c r="E8" s="11" t="s">
        <v>586</v>
      </c>
      <c r="F8" s="11" t="s">
        <v>587</v>
      </c>
      <c r="G8" s="11" t="s">
        <v>588</v>
      </c>
      <c r="H8" s="11" t="s">
        <v>589</v>
      </c>
      <c r="I8" s="11" t="s">
        <v>577</v>
      </c>
      <c r="J8" s="11" t="s">
        <v>590</v>
      </c>
      <c r="K8" s="11"/>
    </row>
    <row r="9" spans="1:11" ht="22.8">
      <c r="A9" s="11" t="s">
        <v>119</v>
      </c>
      <c r="B9" s="11" t="s">
        <v>591</v>
      </c>
      <c r="C9" s="11" t="s">
        <v>572</v>
      </c>
      <c r="D9" s="11" t="s">
        <v>26</v>
      </c>
      <c r="E9" s="11" t="s">
        <v>592</v>
      </c>
      <c r="F9" s="11" t="s">
        <v>593</v>
      </c>
      <c r="G9" s="11" t="s">
        <v>594</v>
      </c>
      <c r="H9" s="11" t="s">
        <v>595</v>
      </c>
      <c r="I9" s="11" t="s">
        <v>577</v>
      </c>
      <c r="J9" s="11" t="s">
        <v>596</v>
      </c>
      <c r="K9" s="11"/>
    </row>
    <row r="10" spans="1:11" ht="22.8">
      <c r="A10" s="11" t="s">
        <v>131</v>
      </c>
      <c r="B10" s="11" t="s">
        <v>597</v>
      </c>
      <c r="C10" s="11" t="s">
        <v>572</v>
      </c>
      <c r="D10" s="11" t="s">
        <v>27</v>
      </c>
      <c r="E10" s="11" t="s">
        <v>598</v>
      </c>
      <c r="F10" s="11" t="s">
        <v>599</v>
      </c>
      <c r="G10" s="11" t="s">
        <v>600</v>
      </c>
      <c r="H10" s="11" t="s">
        <v>601</v>
      </c>
      <c r="I10" s="11" t="s">
        <v>577</v>
      </c>
      <c r="J10" s="11" t="s">
        <v>602</v>
      </c>
      <c r="K10" s="11"/>
    </row>
    <row r="11" spans="1:11" ht="22.8">
      <c r="A11" s="11" t="s">
        <v>106</v>
      </c>
      <c r="B11" s="11" t="s">
        <v>603</v>
      </c>
      <c r="C11" s="11" t="s">
        <v>572</v>
      </c>
      <c r="D11" s="11" t="s">
        <v>25</v>
      </c>
      <c r="E11" s="11" t="s">
        <v>604</v>
      </c>
      <c r="F11" s="11" t="s">
        <v>605</v>
      </c>
      <c r="G11" s="11" t="s">
        <v>606</v>
      </c>
      <c r="H11" s="11" t="s">
        <v>607</v>
      </c>
      <c r="I11" s="11" t="s">
        <v>577</v>
      </c>
      <c r="J11" s="11" t="s">
        <v>608</v>
      </c>
      <c r="K11" s="11"/>
    </row>
    <row r="12" spans="1:11" ht="22.8">
      <c r="A12" s="11" t="s">
        <v>99</v>
      </c>
      <c r="B12" s="11" t="s">
        <v>609</v>
      </c>
      <c r="C12" s="11" t="s">
        <v>572</v>
      </c>
      <c r="D12" s="11" t="s">
        <v>27</v>
      </c>
      <c r="E12" s="11" t="s">
        <v>610</v>
      </c>
      <c r="F12" s="11" t="s">
        <v>611</v>
      </c>
      <c r="G12" s="11" t="s">
        <v>612</v>
      </c>
      <c r="H12" s="11" t="s">
        <v>613</v>
      </c>
      <c r="I12" s="11" t="s">
        <v>577</v>
      </c>
      <c r="J12" s="11" t="s">
        <v>614</v>
      </c>
      <c r="K12" s="11"/>
    </row>
    <row r="13" spans="1:11" ht="22.8">
      <c r="A13" s="11" t="s">
        <v>167</v>
      </c>
      <c r="B13" s="11" t="s">
        <v>615</v>
      </c>
      <c r="C13" s="11" t="s">
        <v>572</v>
      </c>
      <c r="D13" s="11" t="s">
        <v>26</v>
      </c>
      <c r="E13" s="11" t="s">
        <v>616</v>
      </c>
      <c r="F13" s="11" t="s">
        <v>617</v>
      </c>
      <c r="G13" s="11" t="s">
        <v>618</v>
      </c>
      <c r="H13" s="11" t="s">
        <v>619</v>
      </c>
      <c r="I13" s="11" t="s">
        <v>577</v>
      </c>
      <c r="J13" s="11" t="s">
        <v>620</v>
      </c>
      <c r="K13" s="11"/>
    </row>
    <row r="14" spans="1:11" ht="22.8">
      <c r="A14" s="11" t="s">
        <v>621</v>
      </c>
      <c r="B14" s="11" t="s">
        <v>622</v>
      </c>
      <c r="C14" s="11" t="s">
        <v>572</v>
      </c>
      <c r="D14" s="11" t="s">
        <v>10</v>
      </c>
      <c r="E14" s="11" t="s">
        <v>623</v>
      </c>
      <c r="F14" s="11" t="s">
        <v>624</v>
      </c>
      <c r="G14" s="11" t="s">
        <v>625</v>
      </c>
      <c r="H14" s="11" t="s">
        <v>626</v>
      </c>
      <c r="I14" s="11" t="s">
        <v>577</v>
      </c>
      <c r="J14" s="11" t="s">
        <v>627</v>
      </c>
      <c r="K14" s="11"/>
    </row>
    <row r="15" spans="1:11" ht="22.8">
      <c r="A15" s="11" t="s">
        <v>628</v>
      </c>
      <c r="B15" s="11" t="s">
        <v>629</v>
      </c>
      <c r="C15" s="11" t="s">
        <v>572</v>
      </c>
      <c r="D15" s="11" t="s">
        <v>10</v>
      </c>
      <c r="E15" s="11" t="s">
        <v>630</v>
      </c>
      <c r="F15" s="11" t="s">
        <v>631</v>
      </c>
      <c r="G15" s="11" t="s">
        <v>632</v>
      </c>
      <c r="H15" s="11" t="s">
        <v>633</v>
      </c>
      <c r="I15" s="11" t="s">
        <v>577</v>
      </c>
      <c r="J15" s="11" t="s">
        <v>634</v>
      </c>
      <c r="K15" s="11"/>
    </row>
    <row r="16" spans="1:11" ht="22.8">
      <c r="A16" s="11" t="s">
        <v>635</v>
      </c>
      <c r="B16" s="11" t="s">
        <v>636</v>
      </c>
      <c r="C16" s="11" t="s">
        <v>572</v>
      </c>
      <c r="D16" s="11" t="s">
        <v>10</v>
      </c>
      <c r="E16" s="11" t="s">
        <v>637</v>
      </c>
      <c r="F16" s="11" t="s">
        <v>638</v>
      </c>
      <c r="G16" s="11" t="s">
        <v>639</v>
      </c>
      <c r="H16" s="11" t="s">
        <v>640</v>
      </c>
      <c r="I16" s="11" t="s">
        <v>577</v>
      </c>
      <c r="J16" s="11" t="s">
        <v>641</v>
      </c>
      <c r="K16" s="11"/>
    </row>
    <row r="17" spans="1:11" ht="22.8">
      <c r="A17" s="11" t="s">
        <v>642</v>
      </c>
      <c r="B17" s="11" t="s">
        <v>643</v>
      </c>
      <c r="C17" s="11" t="s">
        <v>572</v>
      </c>
      <c r="D17" s="11" t="s">
        <v>10</v>
      </c>
      <c r="E17" s="11" t="s">
        <v>644</v>
      </c>
      <c r="F17" s="11" t="s">
        <v>645</v>
      </c>
      <c r="G17" s="11" t="s">
        <v>646</v>
      </c>
      <c r="H17" s="11" t="s">
        <v>647</v>
      </c>
      <c r="I17" s="11" t="s">
        <v>577</v>
      </c>
      <c r="J17" s="11" t="s">
        <v>648</v>
      </c>
      <c r="K17" s="11"/>
    </row>
    <row r="18" spans="1:11" ht="22.8">
      <c r="A18" s="11" t="s">
        <v>649</v>
      </c>
      <c r="B18" s="11" t="s">
        <v>650</v>
      </c>
      <c r="C18" s="11" t="s">
        <v>572</v>
      </c>
      <c r="D18" s="11" t="s">
        <v>10</v>
      </c>
      <c r="E18" s="11" t="s">
        <v>651</v>
      </c>
      <c r="F18" s="11" t="s">
        <v>652</v>
      </c>
      <c r="G18" s="11" t="s">
        <v>653</v>
      </c>
      <c r="H18" s="11" t="s">
        <v>654</v>
      </c>
      <c r="I18" s="11" t="s">
        <v>577</v>
      </c>
      <c r="J18" s="11" t="s">
        <v>655</v>
      </c>
      <c r="K18" s="11"/>
    </row>
    <row r="19" spans="1:11" ht="22.8">
      <c r="A19" s="11" t="s">
        <v>656</v>
      </c>
      <c r="B19" s="11" t="s">
        <v>657</v>
      </c>
      <c r="C19" s="11" t="s">
        <v>572</v>
      </c>
      <c r="D19" s="11" t="s">
        <v>10</v>
      </c>
      <c r="E19" s="11" t="s">
        <v>658</v>
      </c>
      <c r="F19" s="11" t="s">
        <v>659</v>
      </c>
      <c r="G19" s="11" t="s">
        <v>660</v>
      </c>
      <c r="H19" s="11" t="s">
        <v>661</v>
      </c>
      <c r="I19" s="11" t="s">
        <v>577</v>
      </c>
      <c r="J19" s="11" t="s">
        <v>662</v>
      </c>
      <c r="K19" s="11"/>
    </row>
    <row r="20" spans="1:11">
      <c r="A20" s="11" t="s">
        <v>144</v>
      </c>
      <c r="B20" s="11" t="s">
        <v>663</v>
      </c>
      <c r="C20" s="11" t="s">
        <v>572</v>
      </c>
      <c r="D20" s="11" t="s">
        <v>29</v>
      </c>
      <c r="E20" s="11" t="s">
        <v>664</v>
      </c>
      <c r="F20" s="11" t="s">
        <v>665</v>
      </c>
      <c r="G20" s="11" t="s">
        <v>666</v>
      </c>
      <c r="H20" s="11" t="s">
        <v>667</v>
      </c>
      <c r="I20" s="11" t="s">
        <v>577</v>
      </c>
      <c r="J20" s="11" t="s">
        <v>668</v>
      </c>
      <c r="K20" s="11"/>
    </row>
    <row r="21" spans="1:11">
      <c r="A21" s="11" t="s">
        <v>669</v>
      </c>
      <c r="B21" s="11" t="s">
        <v>670</v>
      </c>
      <c r="C21" s="11" t="s">
        <v>572</v>
      </c>
      <c r="D21" s="11" t="s">
        <v>10</v>
      </c>
      <c r="E21" s="11" t="s">
        <v>671</v>
      </c>
      <c r="F21" s="11" t="s">
        <v>672</v>
      </c>
      <c r="G21" s="11" t="s">
        <v>673</v>
      </c>
      <c r="H21" s="11" t="s">
        <v>674</v>
      </c>
      <c r="I21" s="11" t="s">
        <v>577</v>
      </c>
      <c r="J21" s="11" t="s">
        <v>675</v>
      </c>
      <c r="K21" s="11"/>
    </row>
    <row r="22" spans="1:11" ht="22.8">
      <c r="A22" s="11" t="s">
        <v>676</v>
      </c>
      <c r="B22" s="11" t="s">
        <v>677</v>
      </c>
      <c r="C22" s="11" t="s">
        <v>572</v>
      </c>
      <c r="D22" s="11" t="s">
        <v>10</v>
      </c>
      <c r="E22" s="11" t="s">
        <v>678</v>
      </c>
      <c r="F22" s="11" t="s">
        <v>679</v>
      </c>
      <c r="G22" s="11" t="s">
        <v>680</v>
      </c>
      <c r="H22" s="11" t="s">
        <v>681</v>
      </c>
      <c r="I22" s="11" t="s">
        <v>577</v>
      </c>
      <c r="J22" s="11" t="s">
        <v>682</v>
      </c>
      <c r="K22" s="11"/>
    </row>
    <row r="23" spans="1:11" ht="22.8">
      <c r="A23" s="11" t="s">
        <v>683</v>
      </c>
      <c r="B23" s="11" t="s">
        <v>684</v>
      </c>
      <c r="C23" s="11" t="s">
        <v>572</v>
      </c>
      <c r="D23" s="11" t="s">
        <v>335</v>
      </c>
      <c r="E23" s="11" t="s">
        <v>685</v>
      </c>
      <c r="F23" s="11" t="s">
        <v>686</v>
      </c>
      <c r="G23" s="11" t="s">
        <v>687</v>
      </c>
      <c r="H23" s="11" t="s">
        <v>688</v>
      </c>
      <c r="I23" s="11" t="s">
        <v>577</v>
      </c>
      <c r="J23" s="11" t="s">
        <v>689</v>
      </c>
      <c r="K23" s="11"/>
    </row>
  </sheetData>
  <mergeCells count="2">
    <mergeCell ref="A1:K1"/>
    <mergeCell ref="A2:K2"/>
  </mergeCells>
  <conditionalFormatting sqref="C6:C23">
    <cfRule type="containsText" dxfId="26" priority="1" operator="containsText" text="Approved"/>
    <cfRule type="containsText" dxfId="25" priority="2" operator="containsText" text="Blocked"/>
    <cfRule type="containsText" dxfId="24" priority="3" operator="containsText" text="In Progress"/>
    <cfRule type="containsText" dxfId="23" priority="4" operator="containsText" text="Ready for Review"/>
  </conditionalFormatting>
  <dataValidations count="1">
    <dataValidation type="list" sqref="C6:C23" xr:uid="{00000000-0002-0000-0C00-000000000000}">
      <formula1>"Baseline Approved,Proposed,Approved,Rejected,Superseded,Revisit"</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0"/>
  <sheetViews>
    <sheetView showGridLines="0" workbookViewId="0"/>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51" t="s">
        <v>690</v>
      </c>
      <c r="B1" s="51"/>
      <c r="C1" s="51"/>
      <c r="D1" s="51"/>
      <c r="E1" s="51"/>
      <c r="F1" s="51"/>
      <c r="G1" s="51"/>
      <c r="H1" s="51"/>
      <c r="I1" s="51"/>
      <c r="J1" s="51"/>
    </row>
    <row r="2" spans="1:10" ht="31.95" customHeight="1">
      <c r="A2" s="52" t="s">
        <v>691</v>
      </c>
      <c r="B2" s="52"/>
      <c r="C2" s="52"/>
      <c r="D2" s="52"/>
      <c r="E2" s="52"/>
      <c r="F2" s="52"/>
      <c r="G2" s="52"/>
      <c r="H2" s="52"/>
      <c r="I2" s="52"/>
      <c r="J2" s="52"/>
    </row>
    <row r="5" spans="1:10" ht="28.05" customHeight="1">
      <c r="A5" s="1" t="s">
        <v>692</v>
      </c>
      <c r="B5" s="2" t="s">
        <v>693</v>
      </c>
      <c r="C5" s="2" t="s">
        <v>694</v>
      </c>
      <c r="D5" s="2" t="s">
        <v>695</v>
      </c>
      <c r="E5" s="2" t="s">
        <v>696</v>
      </c>
      <c r="F5" s="2" t="s">
        <v>355</v>
      </c>
      <c r="G5" s="2" t="s">
        <v>7</v>
      </c>
      <c r="H5" s="2" t="s">
        <v>697</v>
      </c>
      <c r="I5" s="2" t="s">
        <v>698</v>
      </c>
      <c r="J5" s="3" t="s">
        <v>699</v>
      </c>
    </row>
    <row r="6" spans="1:10" ht="68.400000000000006" hidden="1">
      <c r="A6" s="10" t="s">
        <v>700</v>
      </c>
      <c r="B6" s="10" t="s">
        <v>701</v>
      </c>
      <c r="C6" s="19" t="s">
        <v>702</v>
      </c>
      <c r="D6" s="10" t="s">
        <v>10</v>
      </c>
      <c r="E6" s="10" t="s">
        <v>703</v>
      </c>
      <c r="F6" s="10" t="s">
        <v>15</v>
      </c>
      <c r="G6" s="10" t="s">
        <v>8</v>
      </c>
      <c r="H6" s="10" t="s">
        <v>548</v>
      </c>
      <c r="I6" s="19" t="s">
        <v>704</v>
      </c>
      <c r="J6" s="17">
        <v>46252</v>
      </c>
    </row>
    <row r="7" spans="1:10" ht="68.400000000000006" hidden="1">
      <c r="A7" s="11" t="s">
        <v>705</v>
      </c>
      <c r="B7" s="11" t="s">
        <v>706</v>
      </c>
      <c r="C7" s="20" t="s">
        <v>707</v>
      </c>
      <c r="D7" s="11" t="s">
        <v>10</v>
      </c>
      <c r="E7" s="11" t="s">
        <v>703</v>
      </c>
      <c r="F7" s="11" t="s">
        <v>15</v>
      </c>
      <c r="G7" s="11" t="s">
        <v>8</v>
      </c>
      <c r="H7" s="11" t="s">
        <v>548</v>
      </c>
      <c r="I7" s="20" t="s">
        <v>708</v>
      </c>
      <c r="J7" s="18">
        <v>46252</v>
      </c>
    </row>
    <row r="8" spans="1:10">
      <c r="A8" s="11" t="s">
        <v>709</v>
      </c>
      <c r="B8" s="11" t="s">
        <v>552</v>
      </c>
      <c r="C8" s="20" t="s">
        <v>710</v>
      </c>
      <c r="D8" s="11" t="s">
        <v>25</v>
      </c>
      <c r="E8" s="11" t="s">
        <v>703</v>
      </c>
      <c r="F8" s="11" t="s">
        <v>711</v>
      </c>
      <c r="G8" s="11" t="s">
        <v>577</v>
      </c>
      <c r="H8" s="11" t="s">
        <v>712</v>
      </c>
      <c r="I8" s="20"/>
      <c r="J8" s="18"/>
    </row>
    <row r="9" spans="1:10">
      <c r="A9" s="11" t="s">
        <v>713</v>
      </c>
      <c r="B9" s="11" t="s">
        <v>714</v>
      </c>
      <c r="C9" s="20" t="s">
        <v>715</v>
      </c>
      <c r="D9" s="11" t="s">
        <v>25</v>
      </c>
      <c r="E9" s="11" t="s">
        <v>703</v>
      </c>
      <c r="F9" s="11" t="s">
        <v>711</v>
      </c>
      <c r="G9" s="11" t="s">
        <v>577</v>
      </c>
      <c r="H9" s="11" t="s">
        <v>716</v>
      </c>
      <c r="I9" s="20"/>
      <c r="J9" s="18"/>
    </row>
    <row r="10" spans="1:10" hidden="1">
      <c r="A10" s="11" t="s">
        <v>717</v>
      </c>
      <c r="B10" s="11" t="s">
        <v>435</v>
      </c>
      <c r="C10" s="20" t="s">
        <v>718</v>
      </c>
      <c r="D10" s="11" t="s">
        <v>26</v>
      </c>
      <c r="E10" s="11" t="s">
        <v>703</v>
      </c>
      <c r="F10" s="11" t="s">
        <v>711</v>
      </c>
      <c r="G10" s="11" t="s">
        <v>577</v>
      </c>
      <c r="H10" s="11" t="s">
        <v>719</v>
      </c>
      <c r="I10" s="20"/>
      <c r="J10" s="18"/>
    </row>
    <row r="11" spans="1:10" hidden="1">
      <c r="A11" s="11" t="s">
        <v>720</v>
      </c>
      <c r="B11" s="11" t="s">
        <v>721</v>
      </c>
      <c r="C11" s="20" t="s">
        <v>722</v>
      </c>
      <c r="D11" s="11" t="s">
        <v>28</v>
      </c>
      <c r="E11" s="11" t="s">
        <v>703</v>
      </c>
      <c r="F11" s="11" t="s">
        <v>711</v>
      </c>
      <c r="G11" s="11" t="s">
        <v>577</v>
      </c>
      <c r="H11" s="11" t="s">
        <v>723</v>
      </c>
      <c r="I11" s="20"/>
      <c r="J11" s="18"/>
    </row>
    <row r="12" spans="1:10" ht="68.400000000000006" hidden="1">
      <c r="A12" s="11" t="s">
        <v>724</v>
      </c>
      <c r="B12" s="11" t="s">
        <v>721</v>
      </c>
      <c r="C12" s="20" t="s">
        <v>725</v>
      </c>
      <c r="D12" s="11" t="s">
        <v>10</v>
      </c>
      <c r="E12" s="11" t="s">
        <v>703</v>
      </c>
      <c r="F12" s="11" t="s">
        <v>15</v>
      </c>
      <c r="G12" s="11" t="s">
        <v>8</v>
      </c>
      <c r="H12" s="11" t="s">
        <v>726</v>
      </c>
      <c r="I12" s="20" t="s">
        <v>727</v>
      </c>
      <c r="J12" s="18">
        <v>46252</v>
      </c>
    </row>
    <row r="13" spans="1:10" ht="22.8" hidden="1">
      <c r="A13" s="11" t="s">
        <v>728</v>
      </c>
      <c r="B13" s="11" t="s">
        <v>729</v>
      </c>
      <c r="C13" s="20" t="s">
        <v>730</v>
      </c>
      <c r="D13" s="11" t="s">
        <v>28</v>
      </c>
      <c r="E13" s="11" t="s">
        <v>703</v>
      </c>
      <c r="F13" s="11" t="s">
        <v>711</v>
      </c>
      <c r="G13" s="11" t="s">
        <v>577</v>
      </c>
      <c r="H13" s="11" t="s">
        <v>731</v>
      </c>
      <c r="I13" s="20"/>
      <c r="J13" s="18"/>
    </row>
    <row r="14" spans="1:10" ht="91.2" hidden="1">
      <c r="A14" s="11" t="s">
        <v>732</v>
      </c>
      <c r="B14" s="11" t="s">
        <v>552</v>
      </c>
      <c r="C14" s="20" t="s">
        <v>733</v>
      </c>
      <c r="D14" s="11" t="s">
        <v>10</v>
      </c>
      <c r="E14" s="11" t="s">
        <v>703</v>
      </c>
      <c r="F14" s="11" t="s">
        <v>15</v>
      </c>
      <c r="G14" s="11" t="s">
        <v>8</v>
      </c>
      <c r="H14" s="11" t="s">
        <v>734</v>
      </c>
      <c r="I14" s="20" t="s">
        <v>735</v>
      </c>
      <c r="J14" s="18">
        <v>46252</v>
      </c>
    </row>
    <row r="15" spans="1:10" hidden="1">
      <c r="A15" s="11" t="s">
        <v>736</v>
      </c>
      <c r="B15" s="11" t="s">
        <v>377</v>
      </c>
      <c r="C15" s="20" t="s">
        <v>737</v>
      </c>
      <c r="D15" s="11" t="s">
        <v>28</v>
      </c>
      <c r="E15" s="11" t="s">
        <v>703</v>
      </c>
      <c r="F15" s="11" t="s">
        <v>711</v>
      </c>
      <c r="G15" s="11" t="s">
        <v>577</v>
      </c>
      <c r="H15" s="11" t="s">
        <v>731</v>
      </c>
      <c r="I15" s="20"/>
      <c r="J15" s="18"/>
    </row>
    <row r="16" spans="1:10" hidden="1">
      <c r="A16" s="11" t="s">
        <v>738</v>
      </c>
      <c r="B16" s="11" t="s">
        <v>739</v>
      </c>
      <c r="C16" s="20" t="s">
        <v>740</v>
      </c>
      <c r="D16" s="11" t="s">
        <v>28</v>
      </c>
      <c r="E16" s="11" t="s">
        <v>703</v>
      </c>
      <c r="F16" s="11" t="s">
        <v>711</v>
      </c>
      <c r="G16" s="11" t="s">
        <v>577</v>
      </c>
      <c r="H16" s="11" t="s">
        <v>741</v>
      </c>
      <c r="I16" s="20"/>
      <c r="J16" s="18"/>
    </row>
    <row r="17" spans="1:10" hidden="1">
      <c r="A17" s="11" t="s">
        <v>742</v>
      </c>
      <c r="B17" s="11" t="s">
        <v>743</v>
      </c>
      <c r="C17" s="20" t="s">
        <v>744</v>
      </c>
      <c r="D17" s="11" t="s">
        <v>26</v>
      </c>
      <c r="E17" s="11" t="s">
        <v>703</v>
      </c>
      <c r="F17" s="11" t="s">
        <v>711</v>
      </c>
      <c r="G17" s="11" t="s">
        <v>577</v>
      </c>
      <c r="H17" s="11" t="s">
        <v>745</v>
      </c>
      <c r="I17" s="20"/>
      <c r="J17" s="18"/>
    </row>
    <row r="18" spans="1:10">
      <c r="A18" s="11" t="s">
        <v>746</v>
      </c>
      <c r="B18" s="11" t="s">
        <v>743</v>
      </c>
      <c r="C18" s="20" t="s">
        <v>747</v>
      </c>
      <c r="D18" s="11" t="s">
        <v>25</v>
      </c>
      <c r="E18" s="11" t="s">
        <v>703</v>
      </c>
      <c r="F18" s="11" t="s">
        <v>711</v>
      </c>
      <c r="G18" s="11" t="s">
        <v>577</v>
      </c>
      <c r="H18" s="11" t="s">
        <v>235</v>
      </c>
      <c r="I18" s="20"/>
      <c r="J18" s="18"/>
    </row>
    <row r="19" spans="1:10">
      <c r="A19" s="11" t="s">
        <v>748</v>
      </c>
      <c r="B19" s="11" t="s">
        <v>496</v>
      </c>
      <c r="C19" s="20" t="s">
        <v>749</v>
      </c>
      <c r="D19" s="11" t="s">
        <v>25</v>
      </c>
      <c r="E19" s="11" t="s">
        <v>703</v>
      </c>
      <c r="F19" s="11" t="s">
        <v>711</v>
      </c>
      <c r="G19" s="11" t="s">
        <v>577</v>
      </c>
      <c r="H19" s="11" t="s">
        <v>750</v>
      </c>
      <c r="I19" s="20"/>
      <c r="J19" s="18"/>
    </row>
    <row r="20" spans="1:10" ht="79.8" hidden="1">
      <c r="A20" s="11" t="s">
        <v>751</v>
      </c>
      <c r="B20" s="11" t="s">
        <v>752</v>
      </c>
      <c r="C20" s="20" t="s">
        <v>753</v>
      </c>
      <c r="D20" s="11" t="s">
        <v>10</v>
      </c>
      <c r="E20" s="11" t="s">
        <v>754</v>
      </c>
      <c r="F20" s="11" t="s">
        <v>15</v>
      </c>
      <c r="G20" s="11" t="s">
        <v>8</v>
      </c>
      <c r="H20" s="11" t="s">
        <v>755</v>
      </c>
      <c r="I20" s="20" t="s">
        <v>756</v>
      </c>
      <c r="J20" s="18">
        <v>46252</v>
      </c>
    </row>
    <row r="21" spans="1:10" ht="22.8" hidden="1">
      <c r="A21" s="11" t="s">
        <v>757</v>
      </c>
      <c r="B21" s="11" t="s">
        <v>758</v>
      </c>
      <c r="C21" s="20" t="s">
        <v>759</v>
      </c>
      <c r="D21" s="11" t="s">
        <v>27</v>
      </c>
      <c r="E21" s="11" t="s">
        <v>703</v>
      </c>
      <c r="F21" s="11" t="s">
        <v>711</v>
      </c>
      <c r="G21" s="11" t="s">
        <v>577</v>
      </c>
      <c r="H21" s="11" t="s">
        <v>760</v>
      </c>
      <c r="I21" s="20"/>
      <c r="J21" s="18"/>
    </row>
    <row r="22" spans="1:10" hidden="1">
      <c r="A22" s="11" t="s">
        <v>761</v>
      </c>
      <c r="B22" s="11" t="s">
        <v>762</v>
      </c>
      <c r="C22" s="20" t="s">
        <v>763</v>
      </c>
      <c r="D22" s="11" t="s">
        <v>29</v>
      </c>
      <c r="E22" s="11" t="s">
        <v>703</v>
      </c>
      <c r="F22" s="11" t="s">
        <v>711</v>
      </c>
      <c r="G22" s="11" t="s">
        <v>577</v>
      </c>
      <c r="H22" s="11" t="s">
        <v>764</v>
      </c>
      <c r="I22" s="20"/>
      <c r="J22" s="18"/>
    </row>
    <row r="23" spans="1:10" hidden="1">
      <c r="A23" s="11" t="s">
        <v>765</v>
      </c>
      <c r="B23" s="11" t="s">
        <v>518</v>
      </c>
      <c r="C23" s="20" t="s">
        <v>766</v>
      </c>
      <c r="D23" s="11" t="s">
        <v>29</v>
      </c>
      <c r="E23" s="11" t="s">
        <v>703</v>
      </c>
      <c r="F23" s="11" t="s">
        <v>711</v>
      </c>
      <c r="G23" s="11" t="s">
        <v>577</v>
      </c>
      <c r="H23" s="11" t="s">
        <v>767</v>
      </c>
      <c r="I23" s="20"/>
      <c r="J23" s="18"/>
    </row>
    <row r="24" spans="1:10" ht="22.8" hidden="1">
      <c r="A24" s="11" t="s">
        <v>768</v>
      </c>
      <c r="B24" s="11" t="s">
        <v>769</v>
      </c>
      <c r="C24" s="20" t="s">
        <v>770</v>
      </c>
      <c r="D24" s="11" t="s">
        <v>27</v>
      </c>
      <c r="E24" s="11" t="s">
        <v>703</v>
      </c>
      <c r="F24" s="11" t="s">
        <v>711</v>
      </c>
      <c r="G24" s="11" t="s">
        <v>577</v>
      </c>
      <c r="H24" s="11" t="s">
        <v>771</v>
      </c>
      <c r="I24" s="20"/>
      <c r="J24" s="18"/>
    </row>
    <row r="25" spans="1:10" ht="22.8" hidden="1">
      <c r="A25" s="11" t="s">
        <v>772</v>
      </c>
      <c r="B25" s="11" t="s">
        <v>507</v>
      </c>
      <c r="C25" s="20" t="s">
        <v>773</v>
      </c>
      <c r="D25" s="11" t="s">
        <v>29</v>
      </c>
      <c r="E25" s="11" t="s">
        <v>703</v>
      </c>
      <c r="F25" s="11" t="s">
        <v>711</v>
      </c>
      <c r="G25" s="11" t="s">
        <v>577</v>
      </c>
      <c r="H25" s="11" t="s">
        <v>774</v>
      </c>
      <c r="I25" s="20"/>
      <c r="J25" s="18"/>
    </row>
    <row r="26" spans="1:10" hidden="1">
      <c r="A26" s="11" t="s">
        <v>775</v>
      </c>
      <c r="B26" s="11" t="s">
        <v>552</v>
      </c>
      <c r="C26" s="20" t="s">
        <v>776</v>
      </c>
      <c r="D26" s="11" t="s">
        <v>27</v>
      </c>
      <c r="E26" s="11" t="s">
        <v>754</v>
      </c>
      <c r="F26" s="11" t="s">
        <v>711</v>
      </c>
      <c r="G26" s="11" t="s">
        <v>577</v>
      </c>
      <c r="H26" s="11" t="s">
        <v>777</v>
      </c>
      <c r="I26" s="20"/>
      <c r="J26" s="18"/>
    </row>
    <row r="27" spans="1:10" ht="22.8" hidden="1">
      <c r="A27" s="11" t="s">
        <v>778</v>
      </c>
      <c r="B27" s="11" t="s">
        <v>524</v>
      </c>
      <c r="C27" s="20" t="s">
        <v>779</v>
      </c>
      <c r="D27" s="11" t="s">
        <v>29</v>
      </c>
      <c r="E27" s="11" t="s">
        <v>754</v>
      </c>
      <c r="F27" s="11" t="s">
        <v>711</v>
      </c>
      <c r="G27" s="11" t="s">
        <v>577</v>
      </c>
      <c r="H27" s="11" t="s">
        <v>780</v>
      </c>
      <c r="I27" s="20"/>
      <c r="J27" s="18"/>
    </row>
    <row r="28" spans="1:10" ht="68.400000000000006" hidden="1">
      <c r="A28" s="11" t="s">
        <v>781</v>
      </c>
      <c r="B28" s="11" t="s">
        <v>782</v>
      </c>
      <c r="C28" s="20" t="s">
        <v>783</v>
      </c>
      <c r="D28" s="11" t="s">
        <v>10</v>
      </c>
      <c r="E28" s="11" t="s">
        <v>703</v>
      </c>
      <c r="F28" s="11" t="s">
        <v>15</v>
      </c>
      <c r="G28" s="11" t="s">
        <v>8</v>
      </c>
      <c r="H28" s="11" t="s">
        <v>784</v>
      </c>
      <c r="I28" s="20" t="s">
        <v>785</v>
      </c>
      <c r="J28" s="18">
        <v>46252</v>
      </c>
    </row>
    <row r="29" spans="1:10" ht="22.8" hidden="1">
      <c r="A29" s="11" t="s">
        <v>786</v>
      </c>
      <c r="B29" s="11" t="s">
        <v>714</v>
      </c>
      <c r="C29" s="20" t="s">
        <v>787</v>
      </c>
      <c r="D29" s="11" t="s">
        <v>28</v>
      </c>
      <c r="E29" s="11" t="s">
        <v>703</v>
      </c>
      <c r="F29" s="11" t="s">
        <v>711</v>
      </c>
      <c r="G29" s="11" t="s">
        <v>577</v>
      </c>
      <c r="H29" s="11" t="s">
        <v>788</v>
      </c>
      <c r="I29" s="20"/>
      <c r="J29" s="18"/>
    </row>
    <row r="30" spans="1:10" ht="22.8" hidden="1">
      <c r="A30" s="11" t="s">
        <v>789</v>
      </c>
      <c r="B30" s="11" t="s">
        <v>790</v>
      </c>
      <c r="C30" s="20" t="s">
        <v>791</v>
      </c>
      <c r="D30" s="11" t="s">
        <v>26</v>
      </c>
      <c r="E30" s="11" t="s">
        <v>754</v>
      </c>
      <c r="F30" s="11" t="s">
        <v>711</v>
      </c>
      <c r="G30" s="11" t="s">
        <v>577</v>
      </c>
      <c r="H30" s="11" t="s">
        <v>792</v>
      </c>
      <c r="I30" s="20"/>
      <c r="J30" s="18"/>
    </row>
  </sheetData>
  <mergeCells count="2">
    <mergeCell ref="A1:J1"/>
    <mergeCell ref="A2:J2"/>
  </mergeCells>
  <conditionalFormatting sqref="F6:F30">
    <cfRule type="containsText" dxfId="22" priority="1" operator="containsText" text="Done"/>
    <cfRule type="containsText" dxfId="21" priority="2" operator="containsText" text="Blocked"/>
    <cfRule type="containsText" dxfId="20" priority="3" operator="containsText" text="In Progress"/>
    <cfRule type="containsText" dxfId="19" priority="4" operator="containsText" text="Ready for Review"/>
  </conditionalFormatting>
  <dataValidations count="1">
    <dataValidation type="list" sqref="F6:F30" xr:uid="{00000000-0002-0000-0D00-000000000000}">
      <formula1>"Not Started,In Progress,Blocked,Done,Deferred"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 r="A1" s="51" t="s">
        <v>793</v>
      </c>
      <c r="B1" s="51"/>
      <c r="C1" s="51"/>
      <c r="D1" s="51"/>
      <c r="E1" s="51"/>
      <c r="F1" s="51"/>
      <c r="G1" s="51"/>
      <c r="H1" s="51"/>
      <c r="I1" s="51"/>
    </row>
    <row r="2" spans="1:9">
      <c r="A2" s="52" t="s">
        <v>2455</v>
      </c>
      <c r="B2" s="52"/>
      <c r="C2" s="52"/>
      <c r="D2" s="52"/>
      <c r="E2" s="52"/>
      <c r="F2" s="52"/>
      <c r="G2" s="52"/>
      <c r="H2" s="52"/>
      <c r="I2" s="52"/>
    </row>
    <row r="4" spans="1:9">
      <c r="A4" s="53" t="s">
        <v>794</v>
      </c>
      <c r="B4" s="54"/>
      <c r="C4" s="54"/>
      <c r="D4" s="54"/>
      <c r="E4" s="54"/>
      <c r="F4" s="54"/>
      <c r="G4" s="54"/>
      <c r="H4" s="54"/>
      <c r="I4" s="55"/>
    </row>
    <row r="5" spans="1:9" ht="26.4">
      <c r="A5" s="1" t="s">
        <v>795</v>
      </c>
      <c r="B5" s="2" t="s">
        <v>796</v>
      </c>
      <c r="C5" s="2" t="s">
        <v>797</v>
      </c>
      <c r="D5" s="3" t="s">
        <v>798</v>
      </c>
      <c r="F5" s="1" t="s">
        <v>799</v>
      </c>
      <c r="G5" s="2" t="s">
        <v>800</v>
      </c>
      <c r="H5" s="2" t="s">
        <v>801</v>
      </c>
      <c r="I5" s="3" t="s">
        <v>802</v>
      </c>
    </row>
    <row r="6" spans="1:9" ht="91.2">
      <c r="A6" s="10" t="s">
        <v>803</v>
      </c>
      <c r="B6" s="10" t="s">
        <v>804</v>
      </c>
      <c r="C6" s="10" t="s">
        <v>805</v>
      </c>
      <c r="D6" s="10" t="s">
        <v>806</v>
      </c>
      <c r="F6" s="10" t="s">
        <v>807</v>
      </c>
      <c r="G6" s="10" t="s">
        <v>808</v>
      </c>
      <c r="H6" s="10" t="s">
        <v>809</v>
      </c>
      <c r="I6" s="10" t="s">
        <v>810</v>
      </c>
    </row>
    <row r="7" spans="1:9" ht="125.4">
      <c r="A7" s="11" t="s">
        <v>811</v>
      </c>
      <c r="B7" s="11" t="s">
        <v>812</v>
      </c>
      <c r="C7" s="11" t="s">
        <v>813</v>
      </c>
      <c r="D7" s="11" t="s">
        <v>814</v>
      </c>
      <c r="F7" s="11" t="s">
        <v>815</v>
      </c>
      <c r="G7" s="11" t="s">
        <v>816</v>
      </c>
      <c r="H7" s="11" t="s">
        <v>817</v>
      </c>
      <c r="I7" s="11" t="s">
        <v>818</v>
      </c>
    </row>
    <row r="8" spans="1:9" ht="79.8">
      <c r="A8" s="11" t="s">
        <v>819</v>
      </c>
      <c r="B8" s="11" t="s">
        <v>820</v>
      </c>
      <c r="C8" s="11" t="s">
        <v>821</v>
      </c>
      <c r="D8" s="11" t="s">
        <v>822</v>
      </c>
      <c r="F8" s="11" t="s">
        <v>823</v>
      </c>
      <c r="G8" s="11" t="s">
        <v>195</v>
      </c>
      <c r="H8" s="11" t="s">
        <v>824</v>
      </c>
      <c r="I8" s="11" t="s">
        <v>825</v>
      </c>
    </row>
    <row r="11" spans="1:9">
      <c r="A11" s="1" t="s">
        <v>826</v>
      </c>
      <c r="B11" s="2" t="s">
        <v>827</v>
      </c>
      <c r="C11" s="2" t="s">
        <v>828</v>
      </c>
      <c r="D11" s="2" t="s">
        <v>829</v>
      </c>
      <c r="E11" s="3" t="s">
        <v>830</v>
      </c>
    </row>
    <row r="12" spans="1:9" ht="22.8">
      <c r="A12" s="10">
        <v>1</v>
      </c>
      <c r="B12" s="10" t="s">
        <v>831</v>
      </c>
      <c r="C12" s="10" t="s">
        <v>195</v>
      </c>
      <c r="D12" s="10" t="s">
        <v>832</v>
      </c>
      <c r="E12" s="10" t="s">
        <v>833</v>
      </c>
    </row>
    <row r="13" spans="1:9">
      <c r="A13" s="11">
        <v>2</v>
      </c>
      <c r="B13" s="11" t="s">
        <v>834</v>
      </c>
      <c r="C13" s="11" t="s">
        <v>835</v>
      </c>
      <c r="D13" s="11" t="s">
        <v>836</v>
      </c>
      <c r="E13" s="11" t="s">
        <v>837</v>
      </c>
    </row>
    <row r="14" spans="1:9">
      <c r="A14" s="11">
        <v>3</v>
      </c>
      <c r="B14" s="11" t="s">
        <v>838</v>
      </c>
      <c r="C14" s="11" t="s">
        <v>803</v>
      </c>
      <c r="D14" s="11" t="s">
        <v>839</v>
      </c>
      <c r="E14" s="11" t="s">
        <v>840</v>
      </c>
    </row>
    <row r="15" spans="1:9" ht="22.8">
      <c r="A15" s="11">
        <v>4</v>
      </c>
      <c r="B15" s="11" t="s">
        <v>841</v>
      </c>
      <c r="C15" s="11" t="s">
        <v>811</v>
      </c>
      <c r="D15" s="11" t="s">
        <v>842</v>
      </c>
      <c r="E15" s="11" t="s">
        <v>843</v>
      </c>
    </row>
    <row r="16" spans="1:9" ht="22.8">
      <c r="A16" s="11">
        <v>5</v>
      </c>
      <c r="B16" s="11" t="s">
        <v>844</v>
      </c>
      <c r="C16" s="11" t="s">
        <v>385</v>
      </c>
      <c r="D16" s="11" t="s">
        <v>845</v>
      </c>
      <c r="E16" s="11" t="s">
        <v>846</v>
      </c>
    </row>
    <row r="17" spans="1:9" ht="22.8">
      <c r="A17" s="11">
        <v>6</v>
      </c>
      <c r="B17" s="11" t="s">
        <v>847</v>
      </c>
      <c r="C17" s="11" t="s">
        <v>385</v>
      </c>
      <c r="D17" s="11" t="s">
        <v>848</v>
      </c>
      <c r="E17" s="11" t="s">
        <v>849</v>
      </c>
    </row>
    <row r="18" spans="1:9" ht="22.8">
      <c r="A18" s="11">
        <v>7</v>
      </c>
      <c r="B18" s="11" t="s">
        <v>850</v>
      </c>
      <c r="C18" s="11" t="s">
        <v>385</v>
      </c>
      <c r="D18" s="11" t="s">
        <v>851</v>
      </c>
      <c r="E18" s="11" t="s">
        <v>852</v>
      </c>
    </row>
    <row r="19" spans="1:9" ht="22.8">
      <c r="A19" s="11">
        <v>8</v>
      </c>
      <c r="B19" s="11" t="s">
        <v>853</v>
      </c>
      <c r="C19" s="11" t="s">
        <v>385</v>
      </c>
      <c r="D19" s="11" t="s">
        <v>854</v>
      </c>
      <c r="E19" s="11" t="s">
        <v>855</v>
      </c>
    </row>
    <row r="20" spans="1:9">
      <c r="A20" s="11">
        <v>9</v>
      </c>
      <c r="B20" s="11" t="s">
        <v>856</v>
      </c>
      <c r="C20" s="11" t="s">
        <v>385</v>
      </c>
      <c r="D20" s="11" t="s">
        <v>857</v>
      </c>
      <c r="E20" s="11" t="s">
        <v>858</v>
      </c>
    </row>
    <row r="21" spans="1:9" ht="22.8">
      <c r="A21" s="11">
        <v>10</v>
      </c>
      <c r="B21" s="11" t="s">
        <v>859</v>
      </c>
      <c r="C21" s="11" t="s">
        <v>385</v>
      </c>
      <c r="D21" s="11" t="s">
        <v>860</v>
      </c>
      <c r="E21" s="11" t="s">
        <v>861</v>
      </c>
    </row>
    <row r="22" spans="1:9" ht="22.8">
      <c r="A22" s="11">
        <v>11</v>
      </c>
      <c r="B22" s="11" t="s">
        <v>862</v>
      </c>
      <c r="C22" s="11" t="s">
        <v>385</v>
      </c>
      <c r="D22" s="11" t="s">
        <v>863</v>
      </c>
      <c r="E22" s="11" t="s">
        <v>864</v>
      </c>
    </row>
    <row r="23" spans="1:9">
      <c r="A23" s="11">
        <v>12</v>
      </c>
      <c r="B23" s="11" t="s">
        <v>865</v>
      </c>
      <c r="C23" s="11" t="s">
        <v>385</v>
      </c>
      <c r="D23" s="11" t="s">
        <v>866</v>
      </c>
      <c r="E23" s="11" t="s">
        <v>867</v>
      </c>
    </row>
    <row r="24" spans="1:9" ht="22.8">
      <c r="A24" s="11">
        <v>13</v>
      </c>
      <c r="B24" s="11" t="s">
        <v>868</v>
      </c>
      <c r="C24" s="11" t="s">
        <v>385</v>
      </c>
      <c r="D24" s="11" t="s">
        <v>869</v>
      </c>
      <c r="E24" s="11" t="s">
        <v>870</v>
      </c>
    </row>
    <row r="25" spans="1:9">
      <c r="A25" s="11">
        <v>14</v>
      </c>
      <c r="B25" s="11" t="s">
        <v>871</v>
      </c>
      <c r="C25" s="11" t="s">
        <v>385</v>
      </c>
      <c r="D25" s="11" t="s">
        <v>872</v>
      </c>
      <c r="E25" s="11" t="s">
        <v>873</v>
      </c>
    </row>
    <row r="26" spans="1:9">
      <c r="A26" s="11">
        <v>15</v>
      </c>
      <c r="B26" s="11" t="s">
        <v>874</v>
      </c>
      <c r="C26" s="11" t="s">
        <v>385</v>
      </c>
      <c r="D26" s="11" t="s">
        <v>875</v>
      </c>
      <c r="E26" s="11" t="s">
        <v>876</v>
      </c>
    </row>
    <row r="27" spans="1:9" ht="22.8">
      <c r="A27" s="11">
        <v>16</v>
      </c>
      <c r="B27" s="11" t="s">
        <v>877</v>
      </c>
      <c r="C27" s="11" t="s">
        <v>195</v>
      </c>
      <c r="D27" s="11" t="s">
        <v>878</v>
      </c>
      <c r="E27" s="11" t="s">
        <v>879</v>
      </c>
    </row>
    <row r="29" spans="1:9">
      <c r="A29" s="109" t="s">
        <v>880</v>
      </c>
      <c r="B29" s="110"/>
      <c r="C29" s="110"/>
      <c r="D29" s="110"/>
      <c r="E29" s="110"/>
      <c r="F29" s="110"/>
      <c r="G29" s="110"/>
      <c r="H29" s="110"/>
      <c r="I29" s="111"/>
    </row>
  </sheetData>
  <mergeCells count="4">
    <mergeCell ref="A1:I1"/>
    <mergeCell ref="A2:I2"/>
    <mergeCell ref="A4:I4"/>
    <mergeCell ref="A29:I29"/>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9"/>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51" t="s">
        <v>881</v>
      </c>
      <c r="B1" s="51"/>
      <c r="C1" s="51"/>
      <c r="D1" s="51"/>
      <c r="E1" s="51"/>
      <c r="F1" s="51"/>
      <c r="G1" s="51"/>
    </row>
    <row r="2" spans="1:7" ht="31.95" customHeight="1">
      <c r="A2" s="52" t="s">
        <v>882</v>
      </c>
      <c r="B2" s="52"/>
      <c r="C2" s="52"/>
      <c r="D2" s="52"/>
      <c r="E2" s="52"/>
      <c r="F2" s="52"/>
      <c r="G2" s="52"/>
    </row>
    <row r="5" spans="1:7" ht="28.05" customHeight="1">
      <c r="A5" s="1" t="s">
        <v>693</v>
      </c>
      <c r="B5" s="2" t="s">
        <v>883</v>
      </c>
      <c r="C5" s="2" t="s">
        <v>884</v>
      </c>
      <c r="D5" s="2" t="s">
        <v>885</v>
      </c>
      <c r="E5" s="2" t="s">
        <v>886</v>
      </c>
      <c r="F5" s="2" t="s">
        <v>887</v>
      </c>
      <c r="G5" s="3" t="s">
        <v>888</v>
      </c>
    </row>
    <row r="6" spans="1:7">
      <c r="A6" s="10" t="s">
        <v>889</v>
      </c>
      <c r="B6" s="10" t="s">
        <v>890</v>
      </c>
      <c r="C6" s="10" t="s">
        <v>891</v>
      </c>
      <c r="D6" s="10" t="s">
        <v>335</v>
      </c>
      <c r="E6" s="10" t="s">
        <v>892</v>
      </c>
      <c r="F6" s="10" t="s">
        <v>893</v>
      </c>
      <c r="G6" s="10" t="s">
        <v>894</v>
      </c>
    </row>
    <row r="7" spans="1:7">
      <c r="A7" s="11" t="s">
        <v>889</v>
      </c>
      <c r="B7" s="11" t="s">
        <v>895</v>
      </c>
      <c r="C7" s="11" t="s">
        <v>891</v>
      </c>
      <c r="D7" s="11" t="s">
        <v>896</v>
      </c>
      <c r="E7" s="11" t="s">
        <v>897</v>
      </c>
      <c r="F7" s="11" t="s">
        <v>898</v>
      </c>
      <c r="G7" s="11" t="s">
        <v>899</v>
      </c>
    </row>
    <row r="8" spans="1:7">
      <c r="A8" s="11" t="s">
        <v>889</v>
      </c>
      <c r="B8" s="11" t="s">
        <v>900</v>
      </c>
      <c r="C8" s="11" t="s">
        <v>891</v>
      </c>
      <c r="D8" s="11" t="s">
        <v>896</v>
      </c>
      <c r="E8" s="11" t="s">
        <v>901</v>
      </c>
      <c r="F8" s="11" t="s">
        <v>902</v>
      </c>
      <c r="G8" s="11" t="s">
        <v>903</v>
      </c>
    </row>
    <row r="9" spans="1:7">
      <c r="A9" s="11" t="s">
        <v>889</v>
      </c>
      <c r="B9" s="11" t="s">
        <v>904</v>
      </c>
      <c r="C9" s="11" t="s">
        <v>891</v>
      </c>
      <c r="D9" s="11" t="s">
        <v>896</v>
      </c>
      <c r="E9" s="11" t="s">
        <v>905</v>
      </c>
      <c r="F9" s="11" t="s">
        <v>906</v>
      </c>
      <c r="G9" s="11" t="s">
        <v>907</v>
      </c>
    </row>
    <row r="10" spans="1:7">
      <c r="A10" s="11" t="s">
        <v>889</v>
      </c>
      <c r="B10" s="11" t="s">
        <v>908</v>
      </c>
      <c r="C10" s="11" t="s">
        <v>891</v>
      </c>
      <c r="D10" s="11" t="s">
        <v>896</v>
      </c>
      <c r="E10" s="11" t="s">
        <v>909</v>
      </c>
      <c r="F10" s="11" t="s">
        <v>910</v>
      </c>
      <c r="G10" s="11" t="s">
        <v>911</v>
      </c>
    </row>
    <row r="11" spans="1:7">
      <c r="A11" s="11" t="s">
        <v>912</v>
      </c>
      <c r="B11" s="11" t="s">
        <v>913</v>
      </c>
      <c r="C11" s="11" t="s">
        <v>914</v>
      </c>
      <c r="D11" s="11" t="s">
        <v>915</v>
      </c>
      <c r="E11" s="11" t="s">
        <v>916</v>
      </c>
      <c r="F11" s="11" t="s">
        <v>917</v>
      </c>
      <c r="G11" s="11" t="s">
        <v>918</v>
      </c>
    </row>
    <row r="12" spans="1:7">
      <c r="A12" s="11" t="s">
        <v>912</v>
      </c>
      <c r="B12" s="11" t="s">
        <v>919</v>
      </c>
      <c r="C12" s="11" t="s">
        <v>914</v>
      </c>
      <c r="D12" s="11" t="s">
        <v>27</v>
      </c>
      <c r="E12" s="11" t="s">
        <v>920</v>
      </c>
      <c r="F12" s="11" t="s">
        <v>921</v>
      </c>
      <c r="G12" s="11" t="s">
        <v>922</v>
      </c>
    </row>
    <row r="13" spans="1:7">
      <c r="A13" s="11" t="s">
        <v>923</v>
      </c>
      <c r="B13" s="11" t="s">
        <v>924</v>
      </c>
      <c r="C13" s="11" t="s">
        <v>891</v>
      </c>
      <c r="D13" s="11" t="s">
        <v>335</v>
      </c>
      <c r="E13" s="11" t="s">
        <v>925</v>
      </c>
      <c r="F13" s="11" t="s">
        <v>926</v>
      </c>
      <c r="G13" s="11" t="s">
        <v>927</v>
      </c>
    </row>
    <row r="14" spans="1:7">
      <c r="A14" s="11" t="s">
        <v>923</v>
      </c>
      <c r="B14" s="11" t="s">
        <v>928</v>
      </c>
      <c r="C14" s="11" t="s">
        <v>891</v>
      </c>
      <c r="D14" s="11" t="s">
        <v>335</v>
      </c>
      <c r="E14" s="11" t="s">
        <v>929</v>
      </c>
      <c r="F14" s="11" t="s">
        <v>930</v>
      </c>
      <c r="G14" s="11" t="s">
        <v>931</v>
      </c>
    </row>
    <row r="15" spans="1:7">
      <c r="A15" s="11" t="s">
        <v>923</v>
      </c>
      <c r="B15" s="11" t="s">
        <v>932</v>
      </c>
      <c r="C15" s="11" t="s">
        <v>891</v>
      </c>
      <c r="D15" s="11" t="s">
        <v>933</v>
      </c>
      <c r="E15" s="11" t="s">
        <v>934</v>
      </c>
      <c r="F15" s="11" t="s">
        <v>935</v>
      </c>
      <c r="G15" s="11" t="s">
        <v>936</v>
      </c>
    </row>
    <row r="16" spans="1:7">
      <c r="A16" s="11" t="s">
        <v>923</v>
      </c>
      <c r="B16" s="11" t="s">
        <v>937</v>
      </c>
      <c r="C16" s="11" t="s">
        <v>891</v>
      </c>
      <c r="D16" s="11" t="s">
        <v>938</v>
      </c>
      <c r="E16" s="11" t="s">
        <v>939</v>
      </c>
      <c r="F16" s="11" t="s">
        <v>940</v>
      </c>
      <c r="G16" s="11" t="s">
        <v>941</v>
      </c>
    </row>
    <row r="17" spans="1:7">
      <c r="A17" s="11" t="s">
        <v>942</v>
      </c>
      <c r="B17" s="11" t="s">
        <v>943</v>
      </c>
      <c r="C17" s="11" t="s">
        <v>891</v>
      </c>
      <c r="D17" s="11" t="s">
        <v>944</v>
      </c>
      <c r="E17" s="11" t="s">
        <v>945</v>
      </c>
      <c r="F17" s="11" t="s">
        <v>946</v>
      </c>
      <c r="G17" s="11" t="s">
        <v>947</v>
      </c>
    </row>
    <row r="18" spans="1:7" ht="22.8">
      <c r="A18" s="11" t="s">
        <v>948</v>
      </c>
      <c r="B18" s="11" t="s">
        <v>949</v>
      </c>
      <c r="C18" s="11" t="s">
        <v>914</v>
      </c>
      <c r="D18" s="11" t="s">
        <v>26</v>
      </c>
      <c r="E18" s="11" t="s">
        <v>950</v>
      </c>
      <c r="F18" s="11" t="s">
        <v>951</v>
      </c>
      <c r="G18" s="11" t="s">
        <v>952</v>
      </c>
    </row>
    <row r="19" spans="1:7">
      <c r="A19" s="11" t="s">
        <v>948</v>
      </c>
      <c r="B19" s="11" t="s">
        <v>953</v>
      </c>
      <c r="C19" s="11" t="s">
        <v>954</v>
      </c>
      <c r="D19" s="11" t="s">
        <v>335</v>
      </c>
      <c r="E19" s="11" t="s">
        <v>955</v>
      </c>
      <c r="F19" s="11" t="s">
        <v>956</v>
      </c>
      <c r="G19" s="11" t="s">
        <v>957</v>
      </c>
    </row>
    <row r="20" spans="1:7">
      <c r="A20" s="11" t="s">
        <v>435</v>
      </c>
      <c r="B20" s="11" t="s">
        <v>958</v>
      </c>
      <c r="C20" s="11" t="s">
        <v>914</v>
      </c>
      <c r="D20" s="11" t="s">
        <v>26</v>
      </c>
      <c r="E20" s="11" t="s">
        <v>959</v>
      </c>
      <c r="F20" s="11" t="s">
        <v>960</v>
      </c>
      <c r="G20" s="11" t="s">
        <v>961</v>
      </c>
    </row>
    <row r="21" spans="1:7">
      <c r="A21" s="11" t="s">
        <v>435</v>
      </c>
      <c r="B21" s="11" t="s">
        <v>962</v>
      </c>
      <c r="C21" s="11" t="s">
        <v>914</v>
      </c>
      <c r="D21" s="11" t="s">
        <v>26</v>
      </c>
      <c r="E21" s="11" t="s">
        <v>963</v>
      </c>
      <c r="F21" s="11" t="s">
        <v>964</v>
      </c>
      <c r="G21" s="11" t="s">
        <v>965</v>
      </c>
    </row>
    <row r="22" spans="1:7">
      <c r="A22" s="11" t="s">
        <v>435</v>
      </c>
      <c r="B22" s="11" t="s">
        <v>966</v>
      </c>
      <c r="C22" s="11" t="s">
        <v>954</v>
      </c>
      <c r="D22" s="11" t="s">
        <v>335</v>
      </c>
      <c r="E22" s="11" t="s">
        <v>967</v>
      </c>
      <c r="F22" s="11" t="s">
        <v>968</v>
      </c>
      <c r="G22" s="11" t="s">
        <v>969</v>
      </c>
    </row>
    <row r="23" spans="1:7">
      <c r="A23" s="11" t="s">
        <v>970</v>
      </c>
      <c r="B23" s="11" t="s">
        <v>971</v>
      </c>
      <c r="C23" s="11" t="s">
        <v>914</v>
      </c>
      <c r="D23" s="11" t="s">
        <v>27</v>
      </c>
      <c r="E23" s="11" t="s">
        <v>972</v>
      </c>
      <c r="F23" s="11" t="s">
        <v>973</v>
      </c>
      <c r="G23" s="11" t="s">
        <v>974</v>
      </c>
    </row>
    <row r="24" spans="1:7">
      <c r="A24" s="11" t="s">
        <v>970</v>
      </c>
      <c r="B24" s="11" t="s">
        <v>975</v>
      </c>
      <c r="C24" s="11" t="s">
        <v>891</v>
      </c>
      <c r="D24" s="11" t="s">
        <v>976</v>
      </c>
      <c r="E24" s="11" t="s">
        <v>977</v>
      </c>
      <c r="F24" s="11" t="s">
        <v>978</v>
      </c>
      <c r="G24" s="11" t="s">
        <v>979</v>
      </c>
    </row>
    <row r="25" spans="1:7">
      <c r="A25" s="11" t="s">
        <v>970</v>
      </c>
      <c r="B25" s="11" t="s">
        <v>980</v>
      </c>
      <c r="C25" s="11" t="s">
        <v>891</v>
      </c>
      <c r="D25" s="11" t="s">
        <v>976</v>
      </c>
      <c r="E25" s="11" t="s">
        <v>981</v>
      </c>
      <c r="F25" s="11" t="s">
        <v>982</v>
      </c>
      <c r="G25" s="11" t="s">
        <v>983</v>
      </c>
    </row>
    <row r="26" spans="1:7">
      <c r="A26" s="11" t="s">
        <v>970</v>
      </c>
      <c r="B26" s="11" t="s">
        <v>984</v>
      </c>
      <c r="C26" s="11" t="s">
        <v>891</v>
      </c>
      <c r="D26" s="11" t="s">
        <v>896</v>
      </c>
      <c r="E26" s="11" t="s">
        <v>985</v>
      </c>
      <c r="F26" s="11" t="s">
        <v>986</v>
      </c>
      <c r="G26" s="11" t="s">
        <v>987</v>
      </c>
    </row>
    <row r="27" spans="1:7">
      <c r="A27" s="11" t="s">
        <v>988</v>
      </c>
      <c r="B27" s="11" t="s">
        <v>989</v>
      </c>
      <c r="C27" s="11" t="s">
        <v>914</v>
      </c>
      <c r="D27" s="11" t="s">
        <v>166</v>
      </c>
      <c r="E27" s="11" t="s">
        <v>990</v>
      </c>
      <c r="F27" s="11" t="s">
        <v>960</v>
      </c>
      <c r="G27" s="11" t="s">
        <v>991</v>
      </c>
    </row>
    <row r="28" spans="1:7">
      <c r="A28" s="11" t="s">
        <v>988</v>
      </c>
      <c r="B28" s="11" t="s">
        <v>992</v>
      </c>
      <c r="C28" s="11" t="s">
        <v>891</v>
      </c>
      <c r="D28" s="11" t="s">
        <v>993</v>
      </c>
      <c r="E28" s="11" t="s">
        <v>994</v>
      </c>
      <c r="F28" s="11" t="s">
        <v>995</v>
      </c>
      <c r="G28" s="11" t="s">
        <v>996</v>
      </c>
    </row>
    <row r="29" spans="1:7">
      <c r="A29" s="11" t="s">
        <v>997</v>
      </c>
      <c r="B29" s="11" t="s">
        <v>998</v>
      </c>
      <c r="C29" s="11" t="s">
        <v>954</v>
      </c>
      <c r="D29" s="11" t="s">
        <v>999</v>
      </c>
      <c r="E29" s="11" t="s">
        <v>1000</v>
      </c>
      <c r="F29" s="11" t="s">
        <v>1001</v>
      </c>
      <c r="G29" s="11" t="s">
        <v>1002</v>
      </c>
    </row>
    <row r="30" spans="1:7">
      <c r="A30" s="11" t="s">
        <v>997</v>
      </c>
      <c r="B30" s="11" t="s">
        <v>1003</v>
      </c>
      <c r="C30" s="11" t="s">
        <v>891</v>
      </c>
      <c r="D30" s="11" t="s">
        <v>999</v>
      </c>
      <c r="E30" s="11" t="s">
        <v>1004</v>
      </c>
      <c r="F30" s="11" t="s">
        <v>1005</v>
      </c>
      <c r="G30" s="11" t="s">
        <v>1006</v>
      </c>
    </row>
    <row r="31" spans="1:7">
      <c r="A31" s="11" t="s">
        <v>1007</v>
      </c>
      <c r="B31" s="11" t="s">
        <v>1008</v>
      </c>
      <c r="C31" s="11" t="s">
        <v>891</v>
      </c>
      <c r="D31" s="11" t="s">
        <v>1009</v>
      </c>
      <c r="E31" s="11" t="s">
        <v>1010</v>
      </c>
      <c r="F31" s="11" t="s">
        <v>1011</v>
      </c>
      <c r="G31" s="11" t="s">
        <v>1012</v>
      </c>
    </row>
    <row r="32" spans="1:7">
      <c r="A32" s="11" t="s">
        <v>1013</v>
      </c>
      <c r="B32" s="11" t="s">
        <v>1014</v>
      </c>
      <c r="C32" s="11" t="s">
        <v>914</v>
      </c>
      <c r="D32" s="11" t="s">
        <v>25</v>
      </c>
      <c r="E32" s="11" t="s">
        <v>1015</v>
      </c>
      <c r="F32" s="11" t="s">
        <v>1016</v>
      </c>
      <c r="G32" s="11" t="s">
        <v>1017</v>
      </c>
    </row>
    <row r="33" spans="1:7">
      <c r="A33" s="11" t="s">
        <v>1013</v>
      </c>
      <c r="B33" s="11" t="s">
        <v>1018</v>
      </c>
      <c r="C33" s="11" t="s">
        <v>891</v>
      </c>
      <c r="D33" s="11" t="s">
        <v>933</v>
      </c>
      <c r="E33" s="11" t="s">
        <v>1019</v>
      </c>
      <c r="F33" s="11" t="s">
        <v>1020</v>
      </c>
      <c r="G33" s="11" t="s">
        <v>1021</v>
      </c>
    </row>
    <row r="34" spans="1:7">
      <c r="A34" s="11" t="s">
        <v>1022</v>
      </c>
      <c r="B34" s="11" t="s">
        <v>84</v>
      </c>
      <c r="C34" s="11" t="s">
        <v>914</v>
      </c>
      <c r="D34" s="11" t="s">
        <v>25</v>
      </c>
      <c r="E34" s="11" t="s">
        <v>1023</v>
      </c>
      <c r="F34" s="11" t="s">
        <v>1024</v>
      </c>
      <c r="G34" s="11" t="s">
        <v>1025</v>
      </c>
    </row>
    <row r="35" spans="1:7" ht="22.8">
      <c r="A35" s="11" t="s">
        <v>1022</v>
      </c>
      <c r="B35" s="11" t="s">
        <v>90</v>
      </c>
      <c r="C35" s="11" t="s">
        <v>1026</v>
      </c>
      <c r="D35" s="11" t="s">
        <v>28</v>
      </c>
      <c r="E35" s="11" t="s">
        <v>1027</v>
      </c>
      <c r="F35" s="11" t="s">
        <v>1028</v>
      </c>
      <c r="G35" s="11" t="s">
        <v>1029</v>
      </c>
    </row>
    <row r="36" spans="1:7">
      <c r="A36" s="11" t="s">
        <v>1022</v>
      </c>
      <c r="B36" s="11" t="s">
        <v>1030</v>
      </c>
      <c r="C36" s="11" t="s">
        <v>891</v>
      </c>
      <c r="D36" s="11" t="s">
        <v>1031</v>
      </c>
      <c r="E36" s="11" t="s">
        <v>1032</v>
      </c>
      <c r="F36" s="11" t="s">
        <v>1033</v>
      </c>
      <c r="G36" s="11" t="s">
        <v>1034</v>
      </c>
    </row>
    <row r="37" spans="1:7">
      <c r="A37" s="11" t="s">
        <v>1022</v>
      </c>
      <c r="B37" s="11" t="s">
        <v>1035</v>
      </c>
      <c r="C37" s="11" t="s">
        <v>891</v>
      </c>
      <c r="D37" s="11" t="s">
        <v>1036</v>
      </c>
      <c r="E37" s="11" t="s">
        <v>1037</v>
      </c>
      <c r="F37" s="11" t="s">
        <v>1033</v>
      </c>
      <c r="G37" s="11" t="s">
        <v>1038</v>
      </c>
    </row>
    <row r="38" spans="1:7">
      <c r="A38" s="11" t="s">
        <v>1022</v>
      </c>
      <c r="B38" s="11" t="s">
        <v>1039</v>
      </c>
      <c r="C38" s="11" t="s">
        <v>891</v>
      </c>
      <c r="D38" s="11" t="s">
        <v>1040</v>
      </c>
      <c r="E38" s="11" t="s">
        <v>1041</v>
      </c>
      <c r="F38" s="11" t="s">
        <v>1042</v>
      </c>
      <c r="G38" s="11" t="s">
        <v>1043</v>
      </c>
    </row>
    <row r="39" spans="1:7">
      <c r="A39" s="11" t="s">
        <v>1022</v>
      </c>
      <c r="B39" s="11" t="s">
        <v>1044</v>
      </c>
      <c r="C39" s="11" t="s">
        <v>891</v>
      </c>
      <c r="D39" s="11" t="s">
        <v>1045</v>
      </c>
      <c r="E39" s="11" t="s">
        <v>1046</v>
      </c>
      <c r="F39" s="11" t="s">
        <v>1042</v>
      </c>
      <c r="G39" s="11" t="s">
        <v>1047</v>
      </c>
    </row>
    <row r="40" spans="1:7">
      <c r="A40" s="11" t="s">
        <v>1022</v>
      </c>
      <c r="B40" s="11" t="s">
        <v>1048</v>
      </c>
      <c r="C40" s="11" t="s">
        <v>891</v>
      </c>
      <c r="D40" s="11" t="s">
        <v>1049</v>
      </c>
      <c r="E40" s="11" t="s">
        <v>1050</v>
      </c>
      <c r="F40" s="11" t="s">
        <v>1042</v>
      </c>
      <c r="G40" s="11" t="s">
        <v>1051</v>
      </c>
    </row>
    <row r="41" spans="1:7">
      <c r="A41" s="11" t="s">
        <v>1052</v>
      </c>
      <c r="B41" s="11" t="s">
        <v>1053</v>
      </c>
      <c r="C41" s="11" t="s">
        <v>954</v>
      </c>
      <c r="D41" s="11" t="s">
        <v>1054</v>
      </c>
      <c r="E41" s="11" t="s">
        <v>1055</v>
      </c>
      <c r="F41" s="11" t="s">
        <v>1056</v>
      </c>
      <c r="G41" s="11" t="s">
        <v>1057</v>
      </c>
    </row>
    <row r="42" spans="1:7">
      <c r="A42" s="11" t="s">
        <v>1052</v>
      </c>
      <c r="B42" s="11" t="s">
        <v>1058</v>
      </c>
      <c r="C42" s="11" t="s">
        <v>891</v>
      </c>
      <c r="D42" s="11" t="s">
        <v>1059</v>
      </c>
      <c r="E42" s="11" t="s">
        <v>1060</v>
      </c>
      <c r="F42" s="11" t="s">
        <v>1061</v>
      </c>
      <c r="G42" s="11" t="s">
        <v>1062</v>
      </c>
    </row>
    <row r="43" spans="1:7">
      <c r="A43" s="11" t="s">
        <v>1052</v>
      </c>
      <c r="B43" s="11" t="s">
        <v>1063</v>
      </c>
      <c r="C43" s="11" t="s">
        <v>891</v>
      </c>
      <c r="D43" s="11" t="s">
        <v>1064</v>
      </c>
      <c r="E43" s="11" t="s">
        <v>1065</v>
      </c>
      <c r="F43" s="11" t="s">
        <v>1066</v>
      </c>
      <c r="G43" s="11" t="s">
        <v>1067</v>
      </c>
    </row>
    <row r="44" spans="1:7">
      <c r="A44" s="11" t="s">
        <v>1068</v>
      </c>
      <c r="B44" s="11" t="s">
        <v>1069</v>
      </c>
      <c r="C44" s="11" t="s">
        <v>954</v>
      </c>
      <c r="D44" s="11" t="s">
        <v>1054</v>
      </c>
      <c r="E44" s="11" t="s">
        <v>1070</v>
      </c>
      <c r="F44" s="11" t="s">
        <v>1071</v>
      </c>
      <c r="G44" s="11" t="s">
        <v>1072</v>
      </c>
    </row>
    <row r="45" spans="1:7">
      <c r="A45" s="11" t="s">
        <v>1068</v>
      </c>
      <c r="B45" s="11" t="s">
        <v>1073</v>
      </c>
      <c r="C45" s="11" t="s">
        <v>891</v>
      </c>
      <c r="D45" s="11" t="s">
        <v>1064</v>
      </c>
      <c r="E45" s="11" t="s">
        <v>1074</v>
      </c>
      <c r="F45" s="11" t="s">
        <v>1075</v>
      </c>
      <c r="G45" s="11" t="s">
        <v>1076</v>
      </c>
    </row>
    <row r="46" spans="1:7">
      <c r="A46" s="11" t="s">
        <v>1068</v>
      </c>
      <c r="B46" s="11" t="s">
        <v>1077</v>
      </c>
      <c r="C46" s="11" t="s">
        <v>891</v>
      </c>
      <c r="D46" s="11" t="s">
        <v>1064</v>
      </c>
      <c r="E46" s="11" t="s">
        <v>1078</v>
      </c>
      <c r="F46" s="11" t="s">
        <v>1079</v>
      </c>
      <c r="G46" s="11" t="s">
        <v>1080</v>
      </c>
    </row>
    <row r="47" spans="1:7">
      <c r="A47" s="11" t="s">
        <v>1081</v>
      </c>
      <c r="B47" s="11" t="s">
        <v>1082</v>
      </c>
      <c r="C47" s="11" t="s">
        <v>954</v>
      </c>
      <c r="D47" s="11" t="s">
        <v>1054</v>
      </c>
      <c r="E47" s="11" t="s">
        <v>1083</v>
      </c>
      <c r="F47" s="11" t="s">
        <v>1084</v>
      </c>
      <c r="G47" s="11" t="s">
        <v>1085</v>
      </c>
    </row>
    <row r="48" spans="1:7">
      <c r="A48" s="11" t="s">
        <v>1081</v>
      </c>
      <c r="B48" s="11" t="s">
        <v>1086</v>
      </c>
      <c r="C48" s="11" t="s">
        <v>891</v>
      </c>
      <c r="D48" s="11" t="s">
        <v>1087</v>
      </c>
      <c r="E48" s="11" t="s">
        <v>1088</v>
      </c>
      <c r="F48" s="11" t="s">
        <v>1089</v>
      </c>
      <c r="G48" s="11" t="s">
        <v>1090</v>
      </c>
    </row>
    <row r="49" spans="1:7">
      <c r="A49" s="11" t="s">
        <v>552</v>
      </c>
      <c r="B49" s="11" t="s">
        <v>1091</v>
      </c>
      <c r="C49" s="11" t="s">
        <v>914</v>
      </c>
      <c r="D49" s="11" t="s">
        <v>25</v>
      </c>
      <c r="E49" s="11" t="s">
        <v>1092</v>
      </c>
      <c r="F49" s="11" t="s">
        <v>1093</v>
      </c>
      <c r="G49" s="11" t="s">
        <v>1094</v>
      </c>
    </row>
    <row r="50" spans="1:7">
      <c r="A50" s="11" t="s">
        <v>552</v>
      </c>
      <c r="B50" s="11" t="s">
        <v>1095</v>
      </c>
      <c r="C50" s="11" t="s">
        <v>954</v>
      </c>
      <c r="D50" s="11" t="s">
        <v>1054</v>
      </c>
      <c r="E50" s="11" t="s">
        <v>1096</v>
      </c>
      <c r="F50" s="11" t="s">
        <v>1097</v>
      </c>
      <c r="G50" s="11" t="s">
        <v>1098</v>
      </c>
    </row>
    <row r="51" spans="1:7">
      <c r="A51" s="11" t="s">
        <v>1099</v>
      </c>
      <c r="B51" s="11" t="s">
        <v>141</v>
      </c>
      <c r="C51" s="11" t="s">
        <v>1100</v>
      </c>
      <c r="D51" s="11" t="s">
        <v>29</v>
      </c>
      <c r="E51" s="11" t="s">
        <v>1101</v>
      </c>
      <c r="F51" s="11" t="s">
        <v>1102</v>
      </c>
      <c r="G51" s="11" t="s">
        <v>1103</v>
      </c>
    </row>
    <row r="52" spans="1:7">
      <c r="A52" s="11" t="s">
        <v>1099</v>
      </c>
      <c r="B52" s="11" t="s">
        <v>1104</v>
      </c>
      <c r="C52" s="11" t="s">
        <v>1105</v>
      </c>
      <c r="D52" s="11" t="s">
        <v>1106</v>
      </c>
      <c r="E52" s="11" t="s">
        <v>1107</v>
      </c>
      <c r="F52" s="11" t="s">
        <v>1108</v>
      </c>
      <c r="G52" s="11" t="s">
        <v>1109</v>
      </c>
    </row>
    <row r="53" spans="1:7">
      <c r="A53" s="11" t="s">
        <v>1110</v>
      </c>
      <c r="B53" s="11" t="s">
        <v>1111</v>
      </c>
      <c r="C53" s="11" t="s">
        <v>914</v>
      </c>
      <c r="D53" s="11" t="s">
        <v>26</v>
      </c>
      <c r="E53" s="11" t="s">
        <v>1112</v>
      </c>
      <c r="F53" s="11" t="s">
        <v>1113</v>
      </c>
      <c r="G53" s="11" t="s">
        <v>1114</v>
      </c>
    </row>
    <row r="54" spans="1:7">
      <c r="A54" s="11" t="s">
        <v>1115</v>
      </c>
      <c r="B54" s="11" t="s">
        <v>1116</v>
      </c>
      <c r="C54" s="11" t="s">
        <v>914</v>
      </c>
      <c r="D54" s="11" t="s">
        <v>151</v>
      </c>
      <c r="E54" s="11" t="s">
        <v>1117</v>
      </c>
      <c r="F54" s="11" t="s">
        <v>1118</v>
      </c>
      <c r="G54" s="11" t="s">
        <v>1119</v>
      </c>
    </row>
    <row r="55" spans="1:7">
      <c r="A55" s="11" t="s">
        <v>1120</v>
      </c>
      <c r="B55" s="11" t="s">
        <v>1121</v>
      </c>
      <c r="C55" s="11" t="s">
        <v>914</v>
      </c>
      <c r="D55" s="11" t="s">
        <v>1122</v>
      </c>
      <c r="E55" s="11" t="s">
        <v>1123</v>
      </c>
      <c r="F55" s="11" t="s">
        <v>1124</v>
      </c>
      <c r="G55" s="11" t="s">
        <v>1125</v>
      </c>
    </row>
    <row r="56" spans="1:7" ht="22.8">
      <c r="A56" s="11" t="s">
        <v>729</v>
      </c>
      <c r="B56" s="11" t="s">
        <v>1126</v>
      </c>
      <c r="C56" s="11" t="s">
        <v>1127</v>
      </c>
      <c r="D56" s="11" t="s">
        <v>28</v>
      </c>
      <c r="E56" s="11" t="s">
        <v>1128</v>
      </c>
      <c r="F56" s="11" t="s">
        <v>1129</v>
      </c>
      <c r="G56" s="11" t="s">
        <v>1130</v>
      </c>
    </row>
    <row r="57" spans="1:7">
      <c r="A57" s="11" t="s">
        <v>473</v>
      </c>
      <c r="B57" s="11" t="s">
        <v>1131</v>
      </c>
      <c r="C57" s="11" t="s">
        <v>914</v>
      </c>
      <c r="D57" s="11" t="s">
        <v>1132</v>
      </c>
      <c r="E57" s="11" t="s">
        <v>1133</v>
      </c>
      <c r="F57" s="11" t="s">
        <v>1134</v>
      </c>
      <c r="G57" s="11" t="s">
        <v>1135</v>
      </c>
    </row>
    <row r="58" spans="1:7">
      <c r="A58" s="11" t="s">
        <v>1136</v>
      </c>
      <c r="B58" s="11" t="s">
        <v>1137</v>
      </c>
      <c r="C58" s="11" t="s">
        <v>891</v>
      </c>
      <c r="D58" s="11" t="s">
        <v>335</v>
      </c>
      <c r="E58" s="11" t="s">
        <v>1138</v>
      </c>
      <c r="F58" s="11" t="s">
        <v>1139</v>
      </c>
      <c r="G58" s="11" t="s">
        <v>1140</v>
      </c>
    </row>
    <row r="59" spans="1:7">
      <c r="A59" s="11" t="s">
        <v>739</v>
      </c>
      <c r="B59" s="11" t="s">
        <v>1141</v>
      </c>
      <c r="C59" s="11" t="s">
        <v>914</v>
      </c>
      <c r="D59" s="11" t="s">
        <v>28</v>
      </c>
      <c r="E59" s="11" t="s">
        <v>1142</v>
      </c>
      <c r="F59" s="11" t="s">
        <v>1143</v>
      </c>
      <c r="G59" s="11" t="s">
        <v>1144</v>
      </c>
    </row>
    <row r="60" spans="1:7" ht="22.8">
      <c r="A60" s="11" t="s">
        <v>1145</v>
      </c>
      <c r="B60" s="11" t="s">
        <v>1146</v>
      </c>
      <c r="C60" s="11" t="s">
        <v>914</v>
      </c>
      <c r="D60" s="11" t="s">
        <v>180</v>
      </c>
      <c r="E60" s="11" t="s">
        <v>1147</v>
      </c>
      <c r="F60" s="11" t="s">
        <v>1148</v>
      </c>
      <c r="G60" s="11" t="s">
        <v>1149</v>
      </c>
    </row>
    <row r="61" spans="1:7">
      <c r="A61" s="11" t="s">
        <v>490</v>
      </c>
      <c r="B61" s="11" t="s">
        <v>1150</v>
      </c>
      <c r="C61" s="11" t="s">
        <v>914</v>
      </c>
      <c r="D61" s="11" t="s">
        <v>28</v>
      </c>
      <c r="E61" s="11" t="s">
        <v>1151</v>
      </c>
      <c r="F61" s="11" t="s">
        <v>1152</v>
      </c>
      <c r="G61" s="11" t="s">
        <v>1153</v>
      </c>
    </row>
    <row r="62" spans="1:7">
      <c r="A62" s="11" t="s">
        <v>1154</v>
      </c>
      <c r="B62" s="11" t="s">
        <v>1155</v>
      </c>
      <c r="C62" s="11" t="s">
        <v>914</v>
      </c>
      <c r="D62" s="11" t="s">
        <v>10</v>
      </c>
      <c r="E62" s="11" t="s">
        <v>1156</v>
      </c>
      <c r="F62" s="11" t="s">
        <v>1157</v>
      </c>
      <c r="G62" s="11" t="s">
        <v>1158</v>
      </c>
    </row>
    <row r="63" spans="1:7">
      <c r="A63" s="11" t="s">
        <v>462</v>
      </c>
      <c r="B63" s="11" t="s">
        <v>1159</v>
      </c>
      <c r="C63" s="11" t="s">
        <v>86</v>
      </c>
      <c r="D63" s="11" t="s">
        <v>29</v>
      </c>
      <c r="E63" s="11" t="s">
        <v>1160</v>
      </c>
      <c r="F63" s="11" t="s">
        <v>1161</v>
      </c>
      <c r="G63" s="11" t="s">
        <v>1162</v>
      </c>
    </row>
    <row r="64" spans="1:7">
      <c r="A64" s="11" t="s">
        <v>462</v>
      </c>
      <c r="B64" s="11" t="s">
        <v>1163</v>
      </c>
      <c r="C64" s="11" t="s">
        <v>1127</v>
      </c>
      <c r="D64" s="11" t="s">
        <v>29</v>
      </c>
      <c r="E64" s="11" t="s">
        <v>1164</v>
      </c>
      <c r="F64" s="11" t="s">
        <v>1165</v>
      </c>
      <c r="G64" s="11" t="s">
        <v>1166</v>
      </c>
    </row>
    <row r="65" spans="1:7">
      <c r="A65" s="11" t="s">
        <v>462</v>
      </c>
      <c r="B65" s="11" t="s">
        <v>1167</v>
      </c>
      <c r="C65" s="11" t="s">
        <v>891</v>
      </c>
      <c r="D65" s="11" t="s">
        <v>993</v>
      </c>
      <c r="E65" s="11" t="s">
        <v>1168</v>
      </c>
      <c r="F65" s="11" t="s">
        <v>1169</v>
      </c>
      <c r="G65" s="11" t="s">
        <v>1170</v>
      </c>
    </row>
    <row r="66" spans="1:7">
      <c r="A66" s="11" t="s">
        <v>518</v>
      </c>
      <c r="B66" s="11" t="s">
        <v>1171</v>
      </c>
      <c r="C66" s="11" t="s">
        <v>1172</v>
      </c>
      <c r="D66" s="11" t="s">
        <v>29</v>
      </c>
      <c r="E66" s="11" t="s">
        <v>1173</v>
      </c>
      <c r="F66" s="11" t="s">
        <v>1174</v>
      </c>
      <c r="G66" s="11" t="s">
        <v>1175</v>
      </c>
    </row>
    <row r="67" spans="1:7">
      <c r="A67" s="11" t="s">
        <v>1176</v>
      </c>
      <c r="B67" s="11" t="s">
        <v>1177</v>
      </c>
      <c r="C67" s="11" t="s">
        <v>954</v>
      </c>
      <c r="D67" s="11" t="s">
        <v>1178</v>
      </c>
      <c r="E67" s="11" t="s">
        <v>1179</v>
      </c>
      <c r="F67" s="11" t="s">
        <v>1180</v>
      </c>
      <c r="G67" s="11" t="s">
        <v>1181</v>
      </c>
    </row>
    <row r="68" spans="1:7">
      <c r="A68" s="11" t="s">
        <v>1182</v>
      </c>
      <c r="B68" s="11" t="s">
        <v>1183</v>
      </c>
      <c r="C68" s="11" t="s">
        <v>1184</v>
      </c>
      <c r="D68" s="11" t="s">
        <v>1185</v>
      </c>
      <c r="E68" s="11" t="s">
        <v>1186</v>
      </c>
      <c r="F68" s="11" t="s">
        <v>1187</v>
      </c>
      <c r="G68" s="11" t="s">
        <v>1188</v>
      </c>
    </row>
    <row r="69" spans="1:7">
      <c r="A69" s="11" t="s">
        <v>490</v>
      </c>
      <c r="B69" s="11" t="s">
        <v>1189</v>
      </c>
      <c r="C69" s="11" t="s">
        <v>891</v>
      </c>
      <c r="D69" s="11" t="s">
        <v>1190</v>
      </c>
      <c r="E69" s="11" t="s">
        <v>1191</v>
      </c>
      <c r="F69" s="11" t="s">
        <v>1192</v>
      </c>
      <c r="G69" s="11" t="s">
        <v>1193</v>
      </c>
    </row>
  </sheetData>
  <mergeCells count="2">
    <mergeCell ref="A1:G1"/>
    <mergeCell ref="A2:G2"/>
  </mergeCells>
  <conditionalFormatting sqref="C6:C69">
    <cfRule type="containsText" dxfId="18" priority="1" operator="containsText" text="MUST"/>
    <cfRule type="containsText" dxfId="17" priority="2" operator="containsText" text="SHOULD"/>
    <cfRule type="containsText" dxfId="16" priority="3" operator="containsText" text="OPTIONAL"/>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51" t="s">
        <v>1194</v>
      </c>
      <c r="B1" s="51"/>
      <c r="C1" s="51"/>
      <c r="D1" s="51"/>
      <c r="E1" s="51"/>
      <c r="F1" s="51"/>
      <c r="G1" s="51"/>
      <c r="H1" s="51"/>
    </row>
    <row r="2" spans="1:8" ht="31.95" customHeight="1">
      <c r="A2" s="52" t="s">
        <v>1195</v>
      </c>
      <c r="B2" s="52"/>
      <c r="C2" s="52"/>
      <c r="D2" s="52"/>
      <c r="E2" s="52"/>
      <c r="F2" s="52"/>
      <c r="G2" s="52"/>
      <c r="H2" s="52"/>
    </row>
    <row r="5" spans="1:8" ht="28.05" customHeight="1">
      <c r="A5" s="1" t="s">
        <v>1196</v>
      </c>
      <c r="B5" s="2" t="s">
        <v>351</v>
      </c>
      <c r="C5" s="2" t="s">
        <v>1197</v>
      </c>
      <c r="D5" s="2" t="s">
        <v>1198</v>
      </c>
      <c r="E5" s="2" t="s">
        <v>1199</v>
      </c>
      <c r="F5" s="2" t="s">
        <v>1200</v>
      </c>
      <c r="G5" s="2" t="s">
        <v>1201</v>
      </c>
      <c r="H5" s="3" t="s">
        <v>1202</v>
      </c>
    </row>
    <row r="6" spans="1:8">
      <c r="A6" s="10" t="s">
        <v>1203</v>
      </c>
      <c r="B6" s="10" t="s">
        <v>1204</v>
      </c>
      <c r="C6" s="10" t="s">
        <v>754</v>
      </c>
      <c r="D6" s="10" t="s">
        <v>1205</v>
      </c>
      <c r="E6" s="10" t="s">
        <v>10</v>
      </c>
      <c r="F6" s="10" t="s">
        <v>1206</v>
      </c>
      <c r="G6" s="10" t="s">
        <v>1207</v>
      </c>
      <c r="H6" s="19"/>
    </row>
    <row r="7" spans="1:8">
      <c r="A7" s="11" t="s">
        <v>1208</v>
      </c>
      <c r="B7" s="11" t="s">
        <v>1204</v>
      </c>
      <c r="C7" s="11" t="s">
        <v>754</v>
      </c>
      <c r="D7" s="11" t="s">
        <v>1209</v>
      </c>
      <c r="E7" s="11" t="s">
        <v>10</v>
      </c>
      <c r="F7" s="11" t="s">
        <v>1210</v>
      </c>
      <c r="G7" s="11" t="s">
        <v>1207</v>
      </c>
      <c r="H7" s="20"/>
    </row>
    <row r="8" spans="1:8">
      <c r="A8" s="11" t="s">
        <v>1211</v>
      </c>
      <c r="B8" s="11" t="s">
        <v>1212</v>
      </c>
      <c r="C8" s="11" t="s">
        <v>754</v>
      </c>
      <c r="D8" s="11" t="s">
        <v>1213</v>
      </c>
      <c r="E8" s="11" t="s">
        <v>10</v>
      </c>
      <c r="F8" s="11" t="s">
        <v>1214</v>
      </c>
      <c r="G8" s="11" t="s">
        <v>1215</v>
      </c>
      <c r="H8" s="20"/>
    </row>
    <row r="9" spans="1:8">
      <c r="A9" s="11" t="s">
        <v>1216</v>
      </c>
      <c r="B9" s="11" t="s">
        <v>1217</v>
      </c>
      <c r="C9" s="11" t="s">
        <v>754</v>
      </c>
      <c r="D9" s="11" t="s">
        <v>1218</v>
      </c>
      <c r="E9" s="11" t="s">
        <v>10</v>
      </c>
      <c r="F9" s="11" t="s">
        <v>1219</v>
      </c>
      <c r="G9" s="11" t="s">
        <v>1220</v>
      </c>
      <c r="H9" s="20"/>
    </row>
    <row r="10" spans="1:8">
      <c r="A10" s="11" t="s">
        <v>1221</v>
      </c>
      <c r="B10" s="11" t="s">
        <v>1204</v>
      </c>
      <c r="C10" s="11" t="s">
        <v>754</v>
      </c>
      <c r="D10" s="11" t="s">
        <v>1222</v>
      </c>
      <c r="E10" s="11" t="s">
        <v>26</v>
      </c>
      <c r="F10" s="11" t="s">
        <v>1223</v>
      </c>
      <c r="G10" s="11" t="s">
        <v>1224</v>
      </c>
      <c r="H10" s="20"/>
    </row>
    <row r="11" spans="1:8">
      <c r="A11" s="11" t="s">
        <v>1225</v>
      </c>
      <c r="B11" s="11" t="s">
        <v>1204</v>
      </c>
      <c r="C11" s="11" t="s">
        <v>754</v>
      </c>
      <c r="D11" s="11" t="s">
        <v>1226</v>
      </c>
      <c r="E11" s="11" t="s">
        <v>26</v>
      </c>
      <c r="F11" s="11" t="s">
        <v>1227</v>
      </c>
      <c r="G11" s="11" t="s">
        <v>1228</v>
      </c>
      <c r="H11" s="20"/>
    </row>
    <row r="12" spans="1:8">
      <c r="A12" s="11" t="s">
        <v>1229</v>
      </c>
      <c r="B12" s="11" t="s">
        <v>1204</v>
      </c>
      <c r="C12" s="11" t="s">
        <v>754</v>
      </c>
      <c r="D12" s="11" t="s">
        <v>1230</v>
      </c>
      <c r="E12" s="11" t="s">
        <v>25</v>
      </c>
      <c r="F12" s="11" t="s">
        <v>1231</v>
      </c>
      <c r="G12" s="11" t="s">
        <v>1232</v>
      </c>
      <c r="H12" s="20"/>
    </row>
    <row r="13" spans="1:8">
      <c r="A13" s="11" t="s">
        <v>235</v>
      </c>
      <c r="B13" s="11" t="s">
        <v>1204</v>
      </c>
      <c r="C13" s="11" t="s">
        <v>754</v>
      </c>
      <c r="D13" s="11" t="s">
        <v>1233</v>
      </c>
      <c r="E13" s="11" t="s">
        <v>25</v>
      </c>
      <c r="F13" s="11" t="s">
        <v>1234</v>
      </c>
      <c r="G13" s="11" t="s">
        <v>1235</v>
      </c>
      <c r="H13" s="20"/>
    </row>
    <row r="14" spans="1:8">
      <c r="A14" s="11" t="s">
        <v>1236</v>
      </c>
      <c r="B14" s="11" t="s">
        <v>1204</v>
      </c>
      <c r="C14" s="11" t="s">
        <v>754</v>
      </c>
      <c r="D14" s="11" t="s">
        <v>1237</v>
      </c>
      <c r="E14" s="11" t="s">
        <v>25</v>
      </c>
      <c r="F14" s="11" t="s">
        <v>1238</v>
      </c>
      <c r="G14" s="11" t="s">
        <v>1239</v>
      </c>
      <c r="H14" s="20"/>
    </row>
    <row r="15" spans="1:8">
      <c r="A15" s="11" t="s">
        <v>1240</v>
      </c>
      <c r="B15" s="11" t="s">
        <v>1241</v>
      </c>
      <c r="C15" s="11" t="s">
        <v>754</v>
      </c>
      <c r="D15" s="11" t="s">
        <v>1242</v>
      </c>
      <c r="E15" s="11" t="s">
        <v>25</v>
      </c>
      <c r="F15" s="11" t="s">
        <v>1243</v>
      </c>
      <c r="G15" s="11" t="s">
        <v>1244</v>
      </c>
      <c r="H15" s="20"/>
    </row>
    <row r="16" spans="1:8">
      <c r="A16" s="11" t="s">
        <v>1245</v>
      </c>
      <c r="B16" s="11" t="s">
        <v>1246</v>
      </c>
      <c r="C16" s="11" t="s">
        <v>703</v>
      </c>
      <c r="D16" s="11"/>
      <c r="E16" s="11" t="s">
        <v>335</v>
      </c>
      <c r="F16" s="11" t="s">
        <v>1247</v>
      </c>
      <c r="G16" s="11" t="s">
        <v>1244</v>
      </c>
      <c r="H16" s="20"/>
    </row>
    <row r="17" spans="1:8">
      <c r="A17" s="11" t="s">
        <v>1248</v>
      </c>
      <c r="B17" s="11" t="s">
        <v>1204</v>
      </c>
      <c r="C17" s="11" t="s">
        <v>754</v>
      </c>
      <c r="D17" s="11"/>
      <c r="E17" s="11" t="s">
        <v>28</v>
      </c>
      <c r="F17" s="11" t="s">
        <v>1249</v>
      </c>
      <c r="G17" s="11" t="s">
        <v>1250</v>
      </c>
      <c r="H17" s="20"/>
    </row>
    <row r="18" spans="1:8">
      <c r="A18" s="11" t="s">
        <v>1251</v>
      </c>
      <c r="B18" s="11" t="s">
        <v>1204</v>
      </c>
      <c r="C18" s="11" t="s">
        <v>754</v>
      </c>
      <c r="D18" s="11" t="s">
        <v>1252</v>
      </c>
      <c r="E18" s="11" t="s">
        <v>26</v>
      </c>
      <c r="F18" s="11" t="s">
        <v>1253</v>
      </c>
      <c r="G18" s="11" t="s">
        <v>1250</v>
      </c>
      <c r="H18" s="20"/>
    </row>
    <row r="19" spans="1:8">
      <c r="A19" s="11" t="s">
        <v>1254</v>
      </c>
      <c r="B19" s="11" t="s">
        <v>1204</v>
      </c>
      <c r="C19" s="11" t="s">
        <v>754</v>
      </c>
      <c r="D19" s="11" t="s">
        <v>1255</v>
      </c>
      <c r="E19" s="11" t="s">
        <v>28</v>
      </c>
      <c r="F19" s="11" t="s">
        <v>1256</v>
      </c>
      <c r="G19" s="11" t="s">
        <v>1232</v>
      </c>
      <c r="H19" s="20"/>
    </row>
    <row r="20" spans="1:8">
      <c r="A20" s="11" t="s">
        <v>1257</v>
      </c>
      <c r="B20" s="11" t="s">
        <v>1204</v>
      </c>
      <c r="C20" s="11" t="s">
        <v>754</v>
      </c>
      <c r="D20" s="11" t="s">
        <v>1258</v>
      </c>
      <c r="E20" s="11" t="s">
        <v>28</v>
      </c>
      <c r="F20" s="11" t="s">
        <v>1259</v>
      </c>
      <c r="G20" s="11" t="s">
        <v>1204</v>
      </c>
      <c r="H20" s="20"/>
    </row>
    <row r="21" spans="1:8">
      <c r="A21" s="11" t="s">
        <v>1260</v>
      </c>
      <c r="B21" s="11" t="s">
        <v>1204</v>
      </c>
      <c r="C21" s="11" t="s">
        <v>754</v>
      </c>
      <c r="D21" s="11" t="s">
        <v>1261</v>
      </c>
      <c r="E21" s="11" t="s">
        <v>26</v>
      </c>
      <c r="F21" s="11" t="s">
        <v>1262</v>
      </c>
      <c r="G21" s="11" t="s">
        <v>1239</v>
      </c>
      <c r="H21" s="20"/>
    </row>
    <row r="22" spans="1:8">
      <c r="A22" s="11" t="s">
        <v>1263</v>
      </c>
      <c r="B22" s="11" t="s">
        <v>1204</v>
      </c>
      <c r="C22" s="11" t="s">
        <v>754</v>
      </c>
      <c r="D22" s="11" t="s">
        <v>1264</v>
      </c>
      <c r="E22" s="11" t="s">
        <v>26</v>
      </c>
      <c r="F22" s="11" t="s">
        <v>1265</v>
      </c>
      <c r="G22" s="11" t="s">
        <v>1224</v>
      </c>
      <c r="H22" s="20"/>
    </row>
    <row r="23" spans="1:8">
      <c r="A23" s="11" t="s">
        <v>1266</v>
      </c>
      <c r="B23" s="11" t="s">
        <v>1204</v>
      </c>
      <c r="C23" s="11" t="s">
        <v>754</v>
      </c>
      <c r="D23" s="11" t="s">
        <v>1267</v>
      </c>
      <c r="E23" s="11" t="s">
        <v>26</v>
      </c>
      <c r="F23" s="11" t="s">
        <v>1268</v>
      </c>
      <c r="G23" s="11" t="s">
        <v>1224</v>
      </c>
      <c r="H23" s="20"/>
    </row>
    <row r="24" spans="1:8">
      <c r="A24" s="11" t="s">
        <v>1269</v>
      </c>
      <c r="B24" s="11" t="s">
        <v>1204</v>
      </c>
      <c r="C24" s="11" t="s">
        <v>754</v>
      </c>
      <c r="D24" s="11" t="s">
        <v>1270</v>
      </c>
      <c r="E24" s="11" t="s">
        <v>27</v>
      </c>
      <c r="F24" s="11" t="s">
        <v>1271</v>
      </c>
      <c r="G24" s="11" t="s">
        <v>919</v>
      </c>
      <c r="H24" s="20"/>
    </row>
    <row r="25" spans="1:8">
      <c r="A25" s="11" t="s">
        <v>1272</v>
      </c>
      <c r="B25" s="11" t="s">
        <v>1204</v>
      </c>
      <c r="C25" s="11" t="s">
        <v>754</v>
      </c>
      <c r="D25" s="11" t="s">
        <v>1273</v>
      </c>
      <c r="E25" s="11" t="s">
        <v>27</v>
      </c>
      <c r="F25" s="11" t="s">
        <v>1274</v>
      </c>
      <c r="G25" s="11" t="s">
        <v>1275</v>
      </c>
      <c r="H25" s="20"/>
    </row>
    <row r="26" spans="1:8">
      <c r="A26" s="11" t="s">
        <v>1276</v>
      </c>
      <c r="B26" s="11" t="s">
        <v>1204</v>
      </c>
      <c r="C26" s="11" t="s">
        <v>754</v>
      </c>
      <c r="D26" s="11" t="s">
        <v>1277</v>
      </c>
      <c r="E26" s="11" t="s">
        <v>27</v>
      </c>
      <c r="F26" s="11" t="s">
        <v>1278</v>
      </c>
      <c r="G26" s="11" t="s">
        <v>919</v>
      </c>
      <c r="H26" s="20"/>
    </row>
    <row r="27" spans="1:8">
      <c r="A27" s="11" t="s">
        <v>1279</v>
      </c>
      <c r="B27" s="11" t="s">
        <v>1204</v>
      </c>
      <c r="C27" s="11" t="s">
        <v>754</v>
      </c>
      <c r="D27" s="11" t="s">
        <v>1280</v>
      </c>
      <c r="E27" s="11" t="s">
        <v>27</v>
      </c>
      <c r="F27" s="11" t="s">
        <v>1281</v>
      </c>
      <c r="G27" s="11" t="s">
        <v>919</v>
      </c>
      <c r="H27" s="20"/>
    </row>
    <row r="28" spans="1:8">
      <c r="A28" s="11" t="s">
        <v>1282</v>
      </c>
      <c r="B28" s="11" t="s">
        <v>1204</v>
      </c>
      <c r="C28" s="11" t="s">
        <v>754</v>
      </c>
      <c r="D28" s="11" t="s">
        <v>1283</v>
      </c>
      <c r="E28" s="11" t="s">
        <v>26</v>
      </c>
      <c r="F28" s="11" t="s">
        <v>1284</v>
      </c>
      <c r="G28" s="11" t="s">
        <v>1285</v>
      </c>
      <c r="H28" s="20"/>
    </row>
    <row r="29" spans="1:8">
      <c r="A29" s="11" t="s">
        <v>1286</v>
      </c>
      <c r="B29" s="11" t="s">
        <v>1204</v>
      </c>
      <c r="C29" s="11" t="s">
        <v>754</v>
      </c>
      <c r="D29" s="11" t="s">
        <v>1287</v>
      </c>
      <c r="E29" s="11" t="s">
        <v>27</v>
      </c>
      <c r="F29" s="11" t="s">
        <v>1288</v>
      </c>
      <c r="G29" s="11" t="s">
        <v>1285</v>
      </c>
      <c r="H29" s="20"/>
    </row>
    <row r="30" spans="1:8">
      <c r="A30" s="11" t="s">
        <v>1289</v>
      </c>
      <c r="B30" s="11" t="s">
        <v>1204</v>
      </c>
      <c r="C30" s="11" t="s">
        <v>754</v>
      </c>
      <c r="D30" s="11" t="s">
        <v>1290</v>
      </c>
      <c r="E30" s="11" t="s">
        <v>335</v>
      </c>
      <c r="F30" s="11" t="s">
        <v>1291</v>
      </c>
      <c r="G30" s="11" t="s">
        <v>1292</v>
      </c>
      <c r="H30" s="20"/>
    </row>
    <row r="31" spans="1:8">
      <c r="A31" s="11" t="s">
        <v>1293</v>
      </c>
      <c r="B31" s="11" t="s">
        <v>1246</v>
      </c>
      <c r="C31" s="11" t="s">
        <v>703</v>
      </c>
      <c r="D31" s="11"/>
      <c r="E31" s="11" t="s">
        <v>335</v>
      </c>
      <c r="F31" s="11" t="s">
        <v>1294</v>
      </c>
      <c r="G31" s="11" t="s">
        <v>1292</v>
      </c>
      <c r="H31" s="20"/>
    </row>
    <row r="32" spans="1:8">
      <c r="A32" s="11" t="s">
        <v>1295</v>
      </c>
      <c r="B32" s="11" t="s">
        <v>1246</v>
      </c>
      <c r="C32" s="11" t="s">
        <v>703</v>
      </c>
      <c r="D32" s="11"/>
      <c r="E32" s="11" t="s">
        <v>933</v>
      </c>
      <c r="F32" s="11" t="s">
        <v>1296</v>
      </c>
      <c r="G32" s="11" t="s">
        <v>1297</v>
      </c>
      <c r="H32" s="20"/>
    </row>
    <row r="33" spans="1:8">
      <c r="A33" s="11" t="s">
        <v>1298</v>
      </c>
      <c r="B33" s="11" t="s">
        <v>1204</v>
      </c>
      <c r="C33" s="11" t="s">
        <v>754</v>
      </c>
      <c r="D33" s="11" t="s">
        <v>1299</v>
      </c>
      <c r="E33" s="11" t="s">
        <v>933</v>
      </c>
      <c r="F33" s="11" t="s">
        <v>1300</v>
      </c>
      <c r="G33" s="11" t="s">
        <v>1297</v>
      </c>
      <c r="H33" s="20"/>
    </row>
    <row r="34" spans="1:8">
      <c r="A34" s="11" t="s">
        <v>1301</v>
      </c>
      <c r="B34" s="11" t="s">
        <v>1302</v>
      </c>
      <c r="C34" s="11" t="s">
        <v>754</v>
      </c>
      <c r="D34" s="11" t="s">
        <v>1303</v>
      </c>
      <c r="E34" s="11" t="s">
        <v>28</v>
      </c>
      <c r="F34" s="11" t="s">
        <v>1304</v>
      </c>
      <c r="G34" s="11" t="s">
        <v>1305</v>
      </c>
      <c r="H34" s="20"/>
    </row>
    <row r="35" spans="1:8">
      <c r="A35" s="11" t="s">
        <v>1306</v>
      </c>
      <c r="B35" s="11" t="s">
        <v>1302</v>
      </c>
      <c r="C35" s="11" t="s">
        <v>754</v>
      </c>
      <c r="D35" s="11" t="s">
        <v>1307</v>
      </c>
      <c r="E35" s="11" t="s">
        <v>28</v>
      </c>
      <c r="F35" s="11" t="s">
        <v>1308</v>
      </c>
      <c r="G35" s="11" t="s">
        <v>1309</v>
      </c>
      <c r="H35" s="20"/>
    </row>
    <row r="36" spans="1:8">
      <c r="A36" s="11" t="s">
        <v>1310</v>
      </c>
      <c r="B36" s="11" t="s">
        <v>1311</v>
      </c>
      <c r="C36" s="11" t="s">
        <v>754</v>
      </c>
      <c r="D36" s="11" t="s">
        <v>1312</v>
      </c>
      <c r="E36" s="11" t="s">
        <v>10</v>
      </c>
      <c r="F36" s="11" t="s">
        <v>1313</v>
      </c>
      <c r="G36" s="11" t="s">
        <v>1314</v>
      </c>
      <c r="H36" s="20"/>
    </row>
    <row r="37" spans="1:8">
      <c r="A37" s="11" t="s">
        <v>1315</v>
      </c>
      <c r="B37" s="11" t="s">
        <v>1311</v>
      </c>
      <c r="C37" s="11" t="s">
        <v>754</v>
      </c>
      <c r="D37" s="11" t="s">
        <v>1316</v>
      </c>
      <c r="E37" s="11" t="s">
        <v>10</v>
      </c>
      <c r="F37" s="11" t="s">
        <v>1317</v>
      </c>
      <c r="G37" s="11" t="s">
        <v>1314</v>
      </c>
      <c r="H37" s="20"/>
    </row>
    <row r="38" spans="1:8">
      <c r="A38" s="11" t="s">
        <v>1318</v>
      </c>
      <c r="B38" s="11" t="s">
        <v>1311</v>
      </c>
      <c r="C38" s="11" t="s">
        <v>754</v>
      </c>
      <c r="D38" s="11" t="s">
        <v>1319</v>
      </c>
      <c r="E38" s="11" t="s">
        <v>10</v>
      </c>
      <c r="F38" s="11" t="s">
        <v>1320</v>
      </c>
      <c r="G38" s="11" t="s">
        <v>1314</v>
      </c>
      <c r="H38" s="20"/>
    </row>
  </sheetData>
  <mergeCells count="2">
    <mergeCell ref="A1:H1"/>
    <mergeCell ref="A2:H2"/>
  </mergeCells>
  <conditionalFormatting sqref="C6:C38">
    <cfRule type="containsText" dxfId="15" priority="1" operator="containsText" text="Yes"/>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1"/>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6" ht="31.95" customHeight="1">
      <c r="A1" s="51" t="s">
        <v>2456</v>
      </c>
      <c r="B1" s="51"/>
      <c r="C1" s="51"/>
      <c r="D1" s="51"/>
      <c r="E1" s="51"/>
      <c r="F1" s="51"/>
    </row>
    <row r="2" spans="1:6" ht="31.95" customHeight="1">
      <c r="A2" s="52" t="s">
        <v>1321</v>
      </c>
      <c r="B2" s="52"/>
      <c r="C2" s="52"/>
      <c r="D2" s="52"/>
      <c r="E2" s="52"/>
      <c r="F2" s="52"/>
    </row>
    <row r="5" spans="1:6" ht="28.05" customHeight="1">
      <c r="A5" s="1" t="s">
        <v>1322</v>
      </c>
      <c r="B5" s="2" t="s">
        <v>1323</v>
      </c>
      <c r="C5" s="2" t="s">
        <v>1324</v>
      </c>
      <c r="D5" s="2" t="s">
        <v>1325</v>
      </c>
      <c r="E5" s="2" t="s">
        <v>1326</v>
      </c>
      <c r="F5" s="3" t="s">
        <v>1327</v>
      </c>
    </row>
    <row r="6" spans="1:6" ht="22.8">
      <c r="A6" s="10" t="s">
        <v>1328</v>
      </c>
      <c r="B6" s="10" t="s">
        <v>1329</v>
      </c>
      <c r="C6" s="10" t="s">
        <v>1330</v>
      </c>
      <c r="D6" s="10" t="s">
        <v>1331</v>
      </c>
      <c r="E6" s="10" t="s">
        <v>1332</v>
      </c>
      <c r="F6" s="10" t="s">
        <v>1333</v>
      </c>
    </row>
    <row r="7" spans="1:6" ht="22.8">
      <c r="A7" s="11" t="s">
        <v>1334</v>
      </c>
      <c r="B7" s="11" t="s">
        <v>1335</v>
      </c>
      <c r="C7" s="11" t="s">
        <v>1336</v>
      </c>
      <c r="D7" s="11" t="s">
        <v>1337</v>
      </c>
      <c r="E7" s="11" t="s">
        <v>1338</v>
      </c>
      <c r="F7" s="11" t="s">
        <v>1333</v>
      </c>
    </row>
    <row r="8" spans="1:6" ht="22.8">
      <c r="A8" s="11" t="s">
        <v>1339</v>
      </c>
      <c r="B8" s="11" t="s">
        <v>2457</v>
      </c>
      <c r="C8" s="11" t="s">
        <v>2458</v>
      </c>
      <c r="D8" s="11" t="s">
        <v>2459</v>
      </c>
      <c r="E8" s="11" t="s">
        <v>2460</v>
      </c>
      <c r="F8" s="11" t="s">
        <v>2461</v>
      </c>
    </row>
    <row r="11" spans="1:6" ht="46.05" customHeight="1">
      <c r="A11" s="109" t="s">
        <v>2462</v>
      </c>
      <c r="B11" s="110"/>
      <c r="C11" s="110"/>
      <c r="D11" s="110"/>
      <c r="E11" s="110"/>
      <c r="F11" s="111"/>
    </row>
  </sheetData>
  <mergeCells count="3">
    <mergeCell ref="A1:F1"/>
    <mergeCell ref="A2:F2"/>
    <mergeCell ref="A11:F11"/>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6"/>
  <sheetViews>
    <sheetView showGridLines="0" workbookViewId="0"/>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112" t="s">
        <v>2463</v>
      </c>
      <c r="B1" s="112"/>
      <c r="C1" s="112"/>
      <c r="D1" s="112"/>
      <c r="E1" s="112"/>
      <c r="F1" s="112"/>
      <c r="G1" s="112"/>
      <c r="H1" s="112"/>
    </row>
    <row r="2" spans="1:8" ht="36" customHeight="1">
      <c r="A2" s="113" t="s">
        <v>2464</v>
      </c>
      <c r="B2" s="113"/>
      <c r="C2" s="113"/>
      <c r="D2" s="113"/>
      <c r="E2" s="113"/>
      <c r="F2" s="113"/>
      <c r="G2" s="113"/>
      <c r="H2" s="113"/>
    </row>
    <row r="3" spans="1:8" ht="15" customHeight="1">
      <c r="A3" s="29"/>
      <c r="B3" s="29"/>
      <c r="C3" s="29"/>
      <c r="D3" s="29"/>
      <c r="E3" s="29"/>
      <c r="F3" s="29"/>
      <c r="G3" s="29"/>
      <c r="H3" s="29"/>
    </row>
    <row r="4" spans="1:8" ht="15" customHeight="1">
      <c r="A4" s="114" t="s">
        <v>2465</v>
      </c>
      <c r="B4" s="114"/>
      <c r="C4" s="114"/>
      <c r="D4" s="114"/>
      <c r="E4" s="114"/>
      <c r="F4" s="114"/>
      <c r="G4" s="114"/>
      <c r="H4" s="114"/>
    </row>
    <row r="5" spans="1:8" ht="118.8" customHeight="1">
      <c r="A5" s="36" t="s">
        <v>2466</v>
      </c>
      <c r="B5" s="37" t="s">
        <v>2467</v>
      </c>
      <c r="C5" s="37" t="s">
        <v>2468</v>
      </c>
      <c r="D5" s="37" t="s">
        <v>2469</v>
      </c>
      <c r="E5" s="37" t="s">
        <v>2470</v>
      </c>
      <c r="F5" s="37" t="s">
        <v>2471</v>
      </c>
      <c r="G5" s="37" t="s">
        <v>2472</v>
      </c>
      <c r="H5" s="38" t="s">
        <v>2473</v>
      </c>
    </row>
    <row r="6" spans="1:8" ht="105.6" customHeight="1">
      <c r="A6" s="39" t="s">
        <v>2474</v>
      </c>
      <c r="B6" s="40" t="s">
        <v>2475</v>
      </c>
      <c r="C6" s="40" t="s">
        <v>2476</v>
      </c>
      <c r="D6" s="40" t="s">
        <v>2477</v>
      </c>
      <c r="E6" s="40" t="s">
        <v>2478</v>
      </c>
      <c r="F6" s="40" t="s">
        <v>2479</v>
      </c>
      <c r="G6" s="40" t="s">
        <v>2480</v>
      </c>
      <c r="H6" s="41" t="s">
        <v>2481</v>
      </c>
    </row>
    <row r="7" spans="1:8" ht="132" customHeight="1">
      <c r="A7" s="39" t="s">
        <v>1277</v>
      </c>
      <c r="B7" s="40" t="s">
        <v>2482</v>
      </c>
      <c r="C7" s="40" t="s">
        <v>2483</v>
      </c>
      <c r="D7" s="40" t="s">
        <v>2484</v>
      </c>
      <c r="E7" s="40" t="s">
        <v>200</v>
      </c>
      <c r="F7" s="40" t="s">
        <v>2483</v>
      </c>
      <c r="G7" s="40" t="s">
        <v>2485</v>
      </c>
      <c r="H7" s="41" t="s">
        <v>2486</v>
      </c>
    </row>
    <row r="8" spans="1:8" ht="118.8" customHeight="1">
      <c r="A8" s="39" t="s">
        <v>2487</v>
      </c>
      <c r="B8" s="40" t="s">
        <v>2488</v>
      </c>
      <c r="C8" s="40" t="s">
        <v>2489</v>
      </c>
      <c r="D8" s="40" t="s">
        <v>2490</v>
      </c>
      <c r="E8" s="40" t="s">
        <v>2491</v>
      </c>
      <c r="F8" s="40" t="s">
        <v>2492</v>
      </c>
      <c r="G8" s="40" t="s">
        <v>2493</v>
      </c>
      <c r="H8" s="41" t="s">
        <v>2494</v>
      </c>
    </row>
    <row r="9" spans="1:8" ht="118.8" customHeight="1">
      <c r="A9" s="39" t="s">
        <v>1261</v>
      </c>
      <c r="B9" s="40" t="s">
        <v>2495</v>
      </c>
      <c r="C9" s="40" t="s">
        <v>2496</v>
      </c>
      <c r="D9" s="40" t="s">
        <v>2497</v>
      </c>
      <c r="E9" s="40" t="s">
        <v>2498</v>
      </c>
      <c r="F9" s="40" t="s">
        <v>2499</v>
      </c>
      <c r="G9" s="40" t="s">
        <v>2500</v>
      </c>
      <c r="H9" s="41" t="s">
        <v>2501</v>
      </c>
    </row>
    <row r="10" spans="1:8" ht="132" customHeight="1">
      <c r="A10" s="42" t="s">
        <v>1270</v>
      </c>
      <c r="B10" s="43" t="s">
        <v>2502</v>
      </c>
      <c r="C10" s="43" t="s">
        <v>2347</v>
      </c>
      <c r="D10" s="43" t="s">
        <v>2503</v>
      </c>
      <c r="E10" s="43" t="s">
        <v>1516</v>
      </c>
      <c r="F10" s="43" t="s">
        <v>2504</v>
      </c>
      <c r="G10" s="43" t="s">
        <v>2505</v>
      </c>
      <c r="H10" s="44" t="s">
        <v>2506</v>
      </c>
    </row>
    <row r="11" spans="1:8" ht="15" customHeight="1">
      <c r="A11" s="29"/>
      <c r="B11" s="29"/>
      <c r="C11" s="29"/>
      <c r="D11" s="29"/>
      <c r="E11" s="29"/>
      <c r="F11" s="29"/>
      <c r="G11" s="29"/>
      <c r="H11" s="29"/>
    </row>
    <row r="12" spans="1:8" ht="39.6" customHeight="1">
      <c r="A12" s="29" t="s">
        <v>22</v>
      </c>
      <c r="B12" s="29" t="s">
        <v>2507</v>
      </c>
      <c r="C12" s="29" t="s">
        <v>2508</v>
      </c>
      <c r="D12" s="29" t="s">
        <v>2509</v>
      </c>
      <c r="E12" s="29" t="s">
        <v>2510</v>
      </c>
      <c r="F12" s="29" t="s">
        <v>2511</v>
      </c>
      <c r="G12" s="29" t="s">
        <v>2512</v>
      </c>
      <c r="H12" s="29" t="s">
        <v>2513</v>
      </c>
    </row>
    <row r="13" spans="1:8" ht="145.19999999999999" customHeight="1">
      <c r="A13" s="29" t="s">
        <v>10</v>
      </c>
      <c r="B13" s="29" t="s">
        <v>2514</v>
      </c>
      <c r="C13" s="29" t="s">
        <v>2515</v>
      </c>
      <c r="D13" s="29" t="s">
        <v>2516</v>
      </c>
      <c r="E13" s="29" t="s">
        <v>2517</v>
      </c>
      <c r="F13" s="29" t="s">
        <v>2518</v>
      </c>
      <c r="G13" s="29" t="s">
        <v>1512</v>
      </c>
      <c r="H13" s="29" t="str">
        <f>IF(COUNTIFS('02 Master Plan'!$B$6:$B$120,A13,'02 Master Plan'!$D$6:$D$120,"MUST",'02 Master Plan'!$S$6:$S$120,"&lt;&gt;Done")=0,"Ready to teach","In progress")</f>
        <v>In progress</v>
      </c>
    </row>
    <row r="14" spans="1:8" ht="145.19999999999999" customHeight="1">
      <c r="A14" s="29" t="s">
        <v>25</v>
      </c>
      <c r="B14" s="29" t="s">
        <v>2519</v>
      </c>
      <c r="C14" s="29" t="s">
        <v>2520</v>
      </c>
      <c r="D14" s="29" t="s">
        <v>2521</v>
      </c>
      <c r="E14" s="29" t="s">
        <v>2522</v>
      </c>
      <c r="F14" s="29" t="s">
        <v>2523</v>
      </c>
      <c r="G14" s="29" t="s">
        <v>1648</v>
      </c>
      <c r="H14" s="29" t="str">
        <f>IF(COUNTIFS('02 Master Plan'!$B$6:$B$120,A14,'02 Master Plan'!$D$6:$D$120,"MUST",'02 Master Plan'!$S$6:$S$120,"&lt;&gt;Done")=0,"Ready to teach","In progress")</f>
        <v>In progress</v>
      </c>
    </row>
    <row r="15" spans="1:8" ht="118.8" customHeight="1">
      <c r="A15" s="29" t="s">
        <v>26</v>
      </c>
      <c r="B15" s="29" t="s">
        <v>2524</v>
      </c>
      <c r="C15" s="29" t="s">
        <v>2525</v>
      </c>
      <c r="D15" s="29" t="s">
        <v>2526</v>
      </c>
      <c r="E15" s="29" t="s">
        <v>2527</v>
      </c>
      <c r="F15" s="29" t="s">
        <v>2528</v>
      </c>
      <c r="G15" s="29" t="s">
        <v>1772</v>
      </c>
      <c r="H15" s="29" t="str">
        <f>IF(COUNTIFS('02 Master Plan'!$B$6:$B$120,A15,'02 Master Plan'!$D$6:$D$120,"MUST",'02 Master Plan'!$S$6:$S$120,"&lt;&gt;Done")=0,"Ready to teach","In progress")</f>
        <v>In progress</v>
      </c>
    </row>
    <row r="16" spans="1:8" ht="118.8" customHeight="1">
      <c r="A16" s="29" t="s">
        <v>27</v>
      </c>
      <c r="B16" s="29" t="s">
        <v>2529</v>
      </c>
      <c r="C16" s="29" t="s">
        <v>2530</v>
      </c>
      <c r="D16" s="29" t="s">
        <v>2531</v>
      </c>
      <c r="E16" s="29" t="s">
        <v>2532</v>
      </c>
      <c r="F16" s="29" t="s">
        <v>2533</v>
      </c>
      <c r="G16" s="29" t="s">
        <v>1900</v>
      </c>
      <c r="H16" s="29" t="str">
        <f>IF(COUNTIFS('02 Master Plan'!$B$6:$B$120,A16,'02 Master Plan'!$D$6:$D$120,"MUST",'02 Master Plan'!$S$6:$S$120,"&lt;&gt;Done")=0,"Ready to teach","In progress")</f>
        <v>In progress</v>
      </c>
    </row>
    <row r="17" spans="1:8" ht="118.8" customHeight="1">
      <c r="A17" s="29" t="s">
        <v>28</v>
      </c>
      <c r="B17" s="29" t="s">
        <v>2534</v>
      </c>
      <c r="C17" s="29" t="s">
        <v>2535</v>
      </c>
      <c r="D17" s="29" t="s">
        <v>2536</v>
      </c>
      <c r="E17" s="29" t="s">
        <v>2537</v>
      </c>
      <c r="F17" s="29" t="s">
        <v>2538</v>
      </c>
      <c r="G17" s="29" t="s">
        <v>2047</v>
      </c>
      <c r="H17" s="29" t="str">
        <f>IF(COUNTIFS('02 Master Plan'!$B$6:$B$120,A17,'02 Master Plan'!$D$6:$D$120,"MUST",'02 Master Plan'!$S$6:$S$120,"&lt;&gt;Done")=0,"Ready to teach","In progress")</f>
        <v>In progress</v>
      </c>
    </row>
    <row r="18" spans="1:8" ht="132" customHeight="1">
      <c r="A18" s="29" t="s">
        <v>29</v>
      </c>
      <c r="B18" s="29" t="s">
        <v>2539</v>
      </c>
      <c r="C18" s="29" t="s">
        <v>2540</v>
      </c>
      <c r="D18" s="29" t="s">
        <v>2541</v>
      </c>
      <c r="E18" s="29" t="s">
        <v>2542</v>
      </c>
      <c r="F18" s="29" t="s">
        <v>2543</v>
      </c>
      <c r="G18" s="29" t="s">
        <v>2186</v>
      </c>
      <c r="H18" s="29" t="str">
        <f>IF(COUNTIFS('02 Master Plan'!$B$6:$B$120,A18,'02 Master Plan'!$D$6:$D$120,"MUST",'02 Master Plan'!$S$6:$S$120,"&lt;&gt;Done")=0,"Ready to teach","In progress")</f>
        <v>In progress</v>
      </c>
    </row>
    <row r="19" spans="1:8" ht="15" customHeight="1">
      <c r="A19" s="29"/>
      <c r="B19" s="29"/>
      <c r="C19" s="29"/>
      <c r="D19" s="29"/>
      <c r="E19" s="29"/>
      <c r="F19" s="29"/>
      <c r="G19" s="29"/>
      <c r="H19" s="29"/>
    </row>
    <row r="20" spans="1:8" ht="15" customHeight="1">
      <c r="A20" s="114" t="s">
        <v>2544</v>
      </c>
      <c r="B20" s="114"/>
      <c r="C20" s="114"/>
      <c r="D20" s="114"/>
      <c r="E20" s="114"/>
      <c r="F20" s="114"/>
      <c r="G20" s="114"/>
      <c r="H20" s="114"/>
    </row>
    <row r="21" spans="1:8" ht="118.8" customHeight="1">
      <c r="A21" s="45" t="s">
        <v>2545</v>
      </c>
      <c r="B21" s="46" t="s">
        <v>2546</v>
      </c>
      <c r="C21" s="29"/>
      <c r="D21" s="29"/>
      <c r="E21" s="29"/>
      <c r="F21" s="29"/>
      <c r="G21" s="29"/>
      <c r="H21" s="29"/>
    </row>
    <row r="22" spans="1:8" ht="132" customHeight="1">
      <c r="A22" s="47" t="s">
        <v>2547</v>
      </c>
      <c r="B22" s="48" t="s">
        <v>2548</v>
      </c>
      <c r="C22" s="29"/>
      <c r="D22" s="29"/>
      <c r="E22" s="29"/>
      <c r="F22" s="29"/>
      <c r="G22" s="29"/>
      <c r="H22" s="29"/>
    </row>
    <row r="23" spans="1:8" ht="132" customHeight="1">
      <c r="A23" s="47" t="s">
        <v>2549</v>
      </c>
      <c r="B23" s="48" t="s">
        <v>2550</v>
      </c>
      <c r="C23" s="29"/>
      <c r="D23" s="29"/>
      <c r="E23" s="29"/>
      <c r="F23" s="29"/>
      <c r="G23" s="29"/>
      <c r="H23" s="29"/>
    </row>
    <row r="24" spans="1:8" ht="132" customHeight="1">
      <c r="A24" s="47" t="s">
        <v>762</v>
      </c>
      <c r="B24" s="48" t="s">
        <v>2551</v>
      </c>
      <c r="C24" s="29"/>
      <c r="D24" s="29"/>
      <c r="E24" s="29"/>
      <c r="F24" s="29"/>
      <c r="G24" s="29"/>
      <c r="H24" s="29"/>
    </row>
    <row r="25" spans="1:8" ht="132" customHeight="1">
      <c r="A25" s="47" t="s">
        <v>2552</v>
      </c>
      <c r="B25" s="48" t="s">
        <v>2553</v>
      </c>
      <c r="C25" s="29"/>
      <c r="D25" s="29"/>
      <c r="E25" s="29"/>
      <c r="F25" s="29"/>
      <c r="G25" s="29"/>
      <c r="H25" s="29"/>
    </row>
    <row r="26" spans="1:8" ht="132" customHeight="1">
      <c r="A26" s="49" t="s">
        <v>2554</v>
      </c>
      <c r="B26" s="50" t="s">
        <v>2555</v>
      </c>
      <c r="C26" s="29"/>
      <c r="D26" s="29"/>
      <c r="E26" s="29"/>
      <c r="F26" s="29"/>
      <c r="G26" s="29"/>
      <c r="H26" s="29"/>
    </row>
  </sheetData>
  <mergeCells count="4">
    <mergeCell ref="A1:H1"/>
    <mergeCell ref="A2:H2"/>
    <mergeCell ref="A4:H4"/>
    <mergeCell ref="A20:H20"/>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P Rai</dc:creator>
  <cp:lastModifiedBy>G P Rai</cp:lastModifiedBy>
  <dcterms:created xsi:type="dcterms:W3CDTF">2026-08-20T16:46:20Z</dcterms:created>
  <dcterms:modified xsi:type="dcterms:W3CDTF">2026-08-20T17:12:12Z</dcterms:modified>
</cp:coreProperties>
</file>