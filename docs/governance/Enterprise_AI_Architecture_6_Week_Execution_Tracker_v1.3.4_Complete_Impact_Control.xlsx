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8_{388DFC5D-D9F0-42C1-95AC-375F8D493F6A}" xr6:coauthVersionLast="47" xr6:coauthVersionMax="47" xr10:uidLastSave="{00000000-0000-0000-0000-000000000000}"/>
  <bookViews>
    <workbookView xWindow="-108" yWindow="-108" windowWidth="23256" windowHeight="13896" tabRatio="843" firstSheet="7" activeTab="13"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9" l="1"/>
  <c r="H17" i="19"/>
  <c r="H16" i="19"/>
  <c r="H15" i="19"/>
  <c r="H14" i="19"/>
  <c r="H13" i="19"/>
  <c r="D5" i="9"/>
  <c r="A5" i="9"/>
  <c r="D5" i="8"/>
  <c r="A5" i="8"/>
  <c r="D5" i="7"/>
  <c r="A5" i="7"/>
  <c r="D5" i="6"/>
  <c r="A5" i="6"/>
  <c r="D5" i="5"/>
  <c r="A5" i="5"/>
  <c r="D5" i="4"/>
  <c r="A5" i="4"/>
  <c r="G18" i="2"/>
  <c r="E18" i="2"/>
  <c r="C18" i="2"/>
  <c r="B18" i="2"/>
  <c r="G17" i="2"/>
  <c r="E17" i="2"/>
  <c r="C17" i="2"/>
  <c r="B17" i="2"/>
  <c r="G16" i="2"/>
  <c r="E16" i="2"/>
  <c r="C16" i="2"/>
  <c r="B16" i="2"/>
  <c r="G15" i="2"/>
  <c r="E15" i="2"/>
  <c r="C15" i="2"/>
  <c r="B15" i="2"/>
  <c r="G14" i="2"/>
  <c r="E14" i="2"/>
  <c r="C14" i="2"/>
  <c r="B14" i="2"/>
  <c r="G13" i="2"/>
  <c r="E13" i="2"/>
  <c r="C13" i="2"/>
  <c r="B13" i="2"/>
  <c r="J8" i="2"/>
  <c r="G8" i="2"/>
  <c r="D8" i="2"/>
  <c r="A8" i="2"/>
  <c r="J5" i="2"/>
  <c r="D5" i="2"/>
  <c r="A5" i="2"/>
  <c r="D16" i="2" l="1"/>
  <c r="H16" i="2" s="1"/>
  <c r="D18" i="2"/>
  <c r="H18" i="2" s="1"/>
  <c r="D13" i="2"/>
  <c r="H13" i="2" s="1"/>
  <c r="D17" i="2"/>
  <c r="H17" i="2" s="1"/>
  <c r="D15" i="2"/>
  <c r="H15" i="2" s="1"/>
  <c r="G5" i="2"/>
  <c r="D14" i="2"/>
  <c r="H14" i="2" s="1"/>
</calcChain>
</file>

<file path=xl/sharedStrings.xml><?xml version="1.0" encoding="utf-8"?>
<sst xmlns="http://schemas.openxmlformats.org/spreadsheetml/2006/main" count="5397" uniqueCount="2563">
  <si>
    <t>Operating rules</t>
  </si>
  <si>
    <t>MUST — required for the six-week MVP and weekly gate.</t>
  </si>
  <si>
    <t>SHOULD — hardening or AWS deployment value; defer only with owner-recorded risk.</t>
  </si>
  <si>
    <t>OPTIONAL — learn/adopt only when a measured requirement justifies cost/complexity.</t>
  </si>
  <si>
    <t>Editable project inputs — owner maintained</t>
  </si>
  <si>
    <t>Project start date</t>
  </si>
  <si>
    <t>Owner</t>
  </si>
  <si>
    <t>Gyan Prakash Rai</t>
  </si>
  <si>
    <t>Current week</t>
  </si>
  <si>
    <t>Week 1</t>
  </si>
  <si>
    <t>Monthly sandbox budget</t>
  </si>
  <si>
    <t>TODO</t>
  </si>
  <si>
    <t>Execution Dashboard</t>
  </si>
  <si>
    <t>Total steps</t>
  </si>
  <si>
    <t>Done</t>
  </si>
  <si>
    <t>Overall progress</t>
  </si>
  <si>
    <t>Blocked</t>
  </si>
  <si>
    <t>Open owner TODOs</t>
  </si>
  <si>
    <t>Tests passed</t>
  </si>
  <si>
    <t>Decisions approved</t>
  </si>
  <si>
    <t>Lifecycle tests passed</t>
  </si>
  <si>
    <t>Week</t>
  </si>
  <si>
    <t>Total</t>
  </si>
  <si>
    <t>Progress</t>
  </si>
  <si>
    <t>Week 2</t>
  </si>
  <si>
    <t>Week 3</t>
  </si>
  <si>
    <t>Week 4</t>
  </si>
  <si>
    <t>Week 5</t>
  </si>
  <si>
    <t>Week 6</t>
  </si>
  <si>
    <t>Weekly gate interpretation</t>
  </si>
  <si>
    <t>READY: every MUST task is Done, tests have evidence and the owner signs off.</t>
  </si>
  <si>
    <t>BLOCKED: stop new prompts; resolve the dependency or explicitly defer with risk/owner/date.</t>
  </si>
  <si>
    <t>Cloud mutations remain manual even when every automated gate passes.</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</si>
  <si>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</si>
  <si>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</si>
  <si>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</si>
  <si>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</si>
  <si>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</si>
  <si>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</si>
  <si>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</si>
  <si>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Week 3 — Cited RAG</t>
  </si>
  <si>
    <t>Cited RAG: provider-neutral LLM, Bedrock adapter, citations/abstention, guardrails, golden evaluation and regression rollback.</t>
  </si>
  <si>
    <t>A query returns a grounded cited answer or safe abstention; regression/security/rollback tests pass.</t>
  </si>
  <si>
    <t>Week 4 — API and Agent</t>
  </si>
  <si>
    <t>Controlled API and agent: FastAPI, LangGraph, budgets, human approval, redacted state, telemetry and release rollback.</t>
  </si>
  <si>
    <t>Write action cannot execute without policy and durable approval; previous release restores successfully.</t>
  </si>
  <si>
    <t>Week 5 — AWS Lifecycle</t>
  </si>
  <si>
    <t>AWS lifecycle proof: Terraform/policy/CI, reviewed plans, short-lived identity, deploy/rollback/teardown capability and orphan scan.</t>
  </si>
  <si>
    <t>Terraform/policy/plan/lifecycle evidence passes; no plaintext secret or unexpected unmanaged resource.</t>
  </si>
  <si>
    <t>Week 6 — EKS and SRE</t>
  </si>
  <si>
    <t>EKS/SRE final proof: immutable workload, identity/network/resilience, SLOs/runbook/chaos, rollback and complete teardown.</t>
  </si>
  <si>
    <t>End-to-end RAG meets gates; release rollback and full teardown/cleanliness proof are signed.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</si>
  <si>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</si>
  <si>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</si>
  <si>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</si>
  <si>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</si>
  <si>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</si>
  <si>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</si>
  <si>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</si>
  <si>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</si>
  <si>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</si>
  <si>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</si>
  <si>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</si>
  <si>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</si>
  <si>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</si>
  <si>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</si>
  <si>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</si>
  <si>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</si>
  <si>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</si>
  <si>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</si>
  <si>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</si>
  <si>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</si>
  <si>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</si>
  <si>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</si>
  <si>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ADR-006, ADR-017</t>
  </si>
  <si>
    <t>Bad files are quarantined; retries are bounded.</t>
  </si>
  <si>
    <t>Idempotency/quarantine evidence</t>
  </si>
  <si>
    <t>Sentence Transformers</t>
  </si>
  <si>
    <t>Converts text meaning to normalized vectors.</t>
  </si>
  <si>
    <t>Local CPU adapter</t>
  </si>
  <si>
    <t>ADR-002</t>
  </si>
  <si>
    <t>Dimension/model mismatch fails before upsert.</t>
  </si>
  <si>
    <t>Embedder unit tests</t>
  </si>
  <si>
    <t>Qdrant</t>
  </si>
  <si>
    <t>Local searchable catalogue for development/integration.</t>
  </si>
  <si>
    <t>MUST local</t>
  </si>
  <si>
    <t>ADR-003</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</si>
  <si>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</si>
  <si>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</si>
  <si>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</si>
  <si>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</si>
  <si>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</si>
  <si>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</si>
  <si>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</si>
  <si>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</si>
  <si>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</si>
  <si>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</si>
  <si>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</si>
  <si>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ADR-007</t>
  </si>
  <si>
    <t>Deadline/size/concurrency errors are normalized.</t>
  </si>
  <si>
    <t>API unit/smoke tests</t>
  </si>
  <si>
    <t>Identity + metadata policy</t>
  </si>
  <si>
    <t>Security desk checking who may retrieve or act.</t>
  </si>
  <si>
    <t>Authorize before retrieval/action</t>
  </si>
  <si>
    <t>Weeks 2,4</t>
  </si>
  <si>
    <t>ADR-006</t>
  </si>
  <si>
    <t>Deny before calling retriever or tool.</t>
  </si>
  <si>
    <t>Tenant/auth security tests</t>
  </si>
  <si>
    <t>Retriever interface</t>
  </si>
  <si>
    <t>Finds authorized evidence without leaking vendor types.</t>
  </si>
  <si>
    <t>Qdrant/OpenSearch adapters</t>
  </si>
  <si>
    <t>Weeks 2,3</t>
  </si>
  <si>
    <t>ADR-002, ADR-003</t>
  </si>
  <si>
    <t>Abstain/control-error when evidence/dependency is insufficient.</t>
  </si>
  <si>
    <t>Backend contract + recall@5</t>
  </si>
  <si>
    <t>Bedrock LLM adapter</t>
  </si>
  <si>
    <t>Language expert drafts from supplied evidence.</t>
  </si>
  <si>
    <t>Primary AWS LLM boundary</t>
  </si>
  <si>
    <t>ADR-004</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</si>
  <si>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</si>
  <si>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</si>
  <si>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</si>
  <si>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</si>
  <si>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</si>
  <si>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</si>
  <si>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</si>
  <si>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</si>
  <si>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</si>
  <si>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</si>
  <si>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</si>
  <si>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ADR-005</t>
  </si>
  <si>
    <t>Budget/timeout/denial ends in safe terminal.</t>
  </si>
  <si>
    <t>Graph path tests</t>
  </si>
  <si>
    <t>Allowlisted tools + approval</t>
  </si>
  <si>
    <t>Narrow functions; write actions need durable human decision.</t>
  </si>
  <si>
    <t>Read-only default</t>
  </si>
  <si>
    <t>ADR-005, ADR-006</t>
  </si>
  <si>
    <t>No valid approval means no write side effect.</t>
  </si>
  <si>
    <t>Approval/idempotency tests</t>
  </si>
  <si>
    <t>Runtime plane</t>
  </si>
  <si>
    <t>EKS + ECR</t>
  </si>
  <si>
    <t>Runs immutable API image with Kubernetes controls.</t>
  </si>
  <si>
    <t>Learning deployment target</t>
  </si>
  <si>
    <t>ADR-015</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</si>
  <si>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</si>
  <si>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</si>
  <si>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</si>
  <si>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</si>
  <si>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</si>
  <si>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</si>
  <si>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</si>
  <si>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</si>
  <si>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</si>
  <si>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</si>
  <si>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</si>
  <si>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</si>
  <si>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</si>
  <si>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</si>
  <si>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</si>
  <si>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</si>
  <si>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</si>
  <si>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</si>
  <si>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</si>
  <si>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</si>
  <si>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</si>
  <si>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</si>
  <si>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ADR-008</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</si>
  <si>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</si>
  <si>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</si>
  <si>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</si>
  <si>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</si>
  <si>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</si>
  <si>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</si>
  <si>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</si>
  <si>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</si>
  <si>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</si>
  <si>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</si>
  <si>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</si>
  <si>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</si>
  <si>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</si>
  <si>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</si>
  <si>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</si>
  <si>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</si>
  <si>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Prompt ID</t>
  </si>
  <si>
    <t>Feature</t>
  </si>
  <si>
    <t>Purpose</t>
  </si>
  <si>
    <t>Required Inputs</t>
  </si>
  <si>
    <t>Expected Outputs</t>
  </si>
  <si>
    <t>Main Prompt (paste first)</t>
  </si>
  <si>
    <t>Example Usage</t>
  </si>
  <si>
    <t>Verification / Stop Point</t>
  </si>
  <si>
    <t>Owner Approval</t>
  </si>
  <si>
    <t>Covered Tracker Steps</t>
  </si>
  <si>
    <t>CTX-001</t>
  </si>
  <si>
    <t>All</t>
  </si>
  <si>
    <t>Project context</t>
  </si>
  <si>
    <t>CTRL-001</t>
  </si>
  <si>
    <t>Mandatory control preamble</t>
  </si>
  <si>
    <t>All implementation groups</t>
  </si>
  <si>
    <t>TEST-001</t>
  </si>
  <si>
    <t>W1-MVP-001</t>
  </si>
  <si>
    <t>MVP scope and approval record</t>
  </si>
  <si>
    <t>Create the missing one-page MVP-001 source-of-truth artifact before repository implementation.</t>
  </si>
  <si>
    <t>USE-001, DATA-001 and five starter EVAL-001 questions; no credentials</t>
  </si>
  <si>
    <t>W1-01</t>
  </si>
  <si>
    <t>W1-GOV-001</t>
  </si>
  <si>
    <t>Source precedence ADR</t>
  </si>
  <si>
    <t>Create the missing governance decision without creating unrelated Codex context files.</t>
  </si>
  <si>
    <t>Source of Truth v1.1 and Coaching Blueprint as read-only references; no credentials</t>
  </si>
  <si>
    <t>W1-02</t>
  </si>
  <si>
    <t>W1-001</t>
  </si>
  <si>
    <t>Repository and feature-control foundation</t>
  </si>
  <si>
    <t>Create the traceability and evidence structure before feature code.</t>
  </si>
  <si>
    <t>TODO_REPOSITORY, TODO_USER_OR_TEAM, TODO_COST_CENTER</t>
  </si>
  <si>
    <t>W1-03, W1-04, W1-07</t>
  </si>
  <si>
    <t>W1-002</t>
  </si>
  <si>
    <t>Dependency and configuration foundation</t>
  </si>
  <si>
    <t>Make installation reproducible and configuration explicit.</t>
  </si>
  <si>
    <t>Python 3.11; no cloud credentials</t>
  </si>
  <si>
    <t>W1-05</t>
  </si>
  <si>
    <t>W1-003</t>
  </si>
  <si>
    <t>Test and evidence framework</t>
  </si>
  <si>
    <t>Make every acceptance criterion executable and auditable.</t>
  </si>
  <si>
    <t>Feature template and repo skeleton</t>
  </si>
  <si>
    <t>W1-06, W1-08</t>
  </si>
  <si>
    <t>W1-004</t>
  </si>
  <si>
    <t>Lifecycle controller and cleanup-verifier skeleton</t>
  </si>
  <si>
    <t>Treat deployability and reversibility as platform features.</t>
  </si>
  <si>
    <t>Required tag schema; sandbox-only scope</t>
  </si>
  <si>
    <t>W1-09, W1-10, W1-11</t>
  </si>
  <si>
    <t>W2-001</t>
  </si>
  <si>
    <t>W2-002</t>
  </si>
  <si>
    <t>Embedder contract and local adapter</t>
  </si>
  <si>
    <t>Support local and future provider embeddings through one boundary.</t>
  </si>
  <si>
    <t>EMBEDDING_MODEL_ID</t>
  </si>
  <si>
    <t>W2-05</t>
  </si>
  <si>
    <t>W2-003</t>
  </si>
  <si>
    <t>Secure ingestion pipeline</t>
  </si>
  <si>
    <t>Turn approved files into versioned, authorized chunks.</t>
  </si>
  <si>
    <t>Approved local sample path; tenant/classification rules</t>
  </si>
  <si>
    <t>W2-06, W2-07</t>
  </si>
  <si>
    <t>W2-004</t>
  </si>
  <si>
    <t>W2-LEARN-001</t>
  </si>
  <si>
    <t>Local retrieval architecture explanation</t>
  </si>
  <si>
    <t>Create an interview-ready explanation grounded in the implemented retrieval evidence.</t>
  </si>
  <si>
    <t>Approved W2 ADRs, adapter/chunking configuration and W2 evidence</t>
  </si>
  <si>
    <t>W2-11</t>
  </si>
  <si>
    <t>W3-001</t>
  </si>
  <si>
    <t>LLM adapters and cited RAG pipeline</t>
  </si>
  <si>
    <t>Generate evidence-bound answers while retaining provider portability.</t>
  </si>
  <si>
    <t>LLM_PROVIDER, LLM_MODEL_ID, AWS_REGION; Bedrock test is marked</t>
  </si>
  <si>
    <t>W3-01, W3-02, W3-03, W3-04</t>
  </si>
  <si>
    <t>W3-002</t>
  </si>
  <si>
    <t>Evaluation harness and release gate</t>
  </si>
  <si>
    <t>Replace subjective demonstrations with repeatable evidence.</t>
  </si>
  <si>
    <t>configs/eval/golden.jsonl with 25+ approved cases</t>
  </si>
  <si>
    <t>W3-06, W3-07, W3-10</t>
  </si>
  <si>
    <t>W3-003</t>
  </si>
  <si>
    <t>RAG guardrails and security regression suite</t>
  </si>
  <si>
    <t>Treat retrieved content as untrusted and enforce authorization outside the model.</t>
  </si>
  <si>
    <t>Classification/tenant rules; injection fixtures</t>
  </si>
  <si>
    <t>W3-05, W3-08</t>
  </si>
  <si>
    <t>W3-ROLLBACK-001</t>
  </si>
  <si>
    <t>Cited-RAG configuration rollback drill</t>
  </si>
  <si>
    <t>Prove prompt/model/retriever/index configuration can return to a known-good baseline.</t>
  </si>
  <si>
    <t>Approved baseline and exact local configuration paths from the pre-edit plan</t>
  </si>
  <si>
    <t>W3-11</t>
  </si>
  <si>
    <t>W4-001</t>
  </si>
  <si>
    <t>FastAPI service boundary</t>
  </si>
  <si>
    <t>Expose production-shaped, testable endpoints.</t>
  </si>
  <si>
    <t>Fake providers by default; auth interface choice</t>
  </si>
  <si>
    <t>W4-01, W4-02, W4-10</t>
  </si>
  <si>
    <t>W4-002</t>
  </si>
  <si>
    <t>Bounded LangGraph agent controller</t>
  </si>
  <si>
    <t>Add controlled agent behavior without uncontrolled autonomy.</t>
  </si>
  <si>
    <t>Step/tool/time budgets; approval-store decision</t>
  </si>
  <si>
    <t>W4-03, W4-04, W4-05, W4-06, W4-07, W4-09</t>
  </si>
  <si>
    <t>W4-003</t>
  </si>
  <si>
    <t>Application telemetry and redacted audit trail</t>
  </si>
  <si>
    <t>Make each RAG and agent stage explainable operationally.</t>
  </si>
  <si>
    <t>OTEL exporter endpoint; no content export</t>
  </si>
  <si>
    <t>W3-09, W4-08</t>
  </si>
  <si>
    <t>W4-ROLLBACK-001</t>
  </si>
  <si>
    <t>Local immutable release rollback drill</t>
  </si>
  <si>
    <t>Prove release rollback separately from infrastructure rollback.</t>
  </si>
  <si>
    <t>Approved local immutable releases N and N+1 and safe regression method</t>
  </si>
  <si>
    <t>W4-11</t>
  </si>
  <si>
    <t>W5-INPUTS-001</t>
  </si>
  <si>
    <t>AWS sandbox input approval</t>
  </si>
  <si>
    <t>Capture all non-secret AWS, network, tagging, residency and budget choices before Terraform work.</t>
  </si>
  <si>
    <t>AWS-001, AWS-002, NET-001, TAG-001, COST-001 and PRIV-001; no credentials</t>
  </si>
  <si>
    <t>W5-01</t>
  </si>
  <si>
    <t>W5-001</t>
  </si>
  <si>
    <t>Terraform AWS sandbox modules</t>
  </si>
  <si>
    <t>Produce reviewable infrastructure without secret material.</t>
  </si>
  <si>
    <t>TODO account, region, VPC/subnets, GitHub repo, tags, Bedrock models</t>
  </si>
  <si>
    <t>W5-02, W5-03, W5-04, W5-05</t>
  </si>
  <si>
    <t>W5-002</t>
  </si>
  <si>
    <t>GitHub Actions DevSecOps pipeline</t>
  </si>
  <si>
    <t>Enforce quality, IaC and supply-chain gates with short-lived identity.</t>
  </si>
  <si>
    <t>GitHub environment, OIDC role ARN, sandbox variables</t>
  </si>
  <si>
    <t>W5-07, W5-08, W6-01</t>
  </si>
  <si>
    <t>W5-003</t>
  </si>
  <si>
    <t>OPA and Checkov policy pack</t>
  </si>
  <si>
    <t>Make critical cloud controls executable before apply.</t>
  </si>
  <si>
    <t>Approved regions, encryption/tag rules, exception process</t>
  </si>
  <si>
    <t>W5-06</t>
  </si>
  <si>
    <t>W5-004</t>
  </si>
  <si>
    <t>Reviewed deploy, rollback, teardown and orphan scan</t>
  </si>
  <si>
    <t>Prove the AWS lifecycle without leaving unmanaged resources.</t>
  </si>
  <si>
    <t>Approved saved plan; budget ceiling; typed owner confirmations</t>
  </si>
  <si>
    <t>W5-09, W5-10, W5-11, W5-12, W6-12</t>
  </si>
  <si>
    <t>W6-001</t>
  </si>
  <si>
    <t>Immutable EKS application deployment</t>
  </si>
  <si>
    <t>Deploy the verified service with workload identity and safe rollout controls.</t>
  </si>
  <si>
    <t>EKS cluster/namespace, ECR digest, domain/cert, pod identity choice</t>
  </si>
  <si>
    <t>W6-02, W6-03, W6-04, W6-05</t>
  </si>
  <si>
    <t>W6-002</t>
  </si>
  <si>
    <t>SRE observability, alerts, runbook and chaos plan</t>
  </si>
  <si>
    <t>Make the platform supportable and measurable.</t>
  </si>
  <si>
    <t>SLO approval; alert destination; pre-production chaos approval</t>
  </si>
  <si>
    <t>W6-06, W6-07, W6-08, W6-09</t>
  </si>
  <si>
    <t>W6-003</t>
  </si>
  <si>
    <t>Final end-to-end proof and handover</t>
  </si>
  <si>
    <t>Demonstrate architecture, quality, safety, rollback and clean teardown together.</t>
  </si>
  <si>
    <t>Approved sandbox window and evidence locations</t>
  </si>
  <si>
    <t>W6-10, W6-11, W6-13</t>
  </si>
  <si>
    <t>WEEKLY-REVIEW-001</t>
  </si>
  <si>
    <t>Weeks 1-5</t>
  </si>
  <si>
    <t>Reusable weekly checkpoint</t>
  </si>
  <si>
    <t>Close each week only after tracker-to-repository-to-evidence reconciliation and independent validation.</t>
  </si>
  <si>
    <t>TODO_WEEK, current weekly sheet, evidence register, ADRs, TODOs and test results</t>
  </si>
  <si>
    <t>W1-12, W2-12, W3-12, W4-12, W5-13</t>
  </si>
  <si>
    <t>ST-001</t>
  </si>
  <si>
    <t>Post-MVP</t>
  </si>
  <si>
    <t>PyTorch Lightning and PEFT/LoRA training lab</t>
  </si>
  <si>
    <t>Learn model development without making it an MVP dependency.</t>
  </si>
  <si>
    <t>Approved model/dataset IDs, license and GPU budget</t>
  </si>
  <si>
    <t>ST-002</t>
  </si>
  <si>
    <t>Optional Ansible operations runner</t>
  </si>
  <si>
    <t>Limit Ansible to valid VM/bootstrap cases.</t>
  </si>
  <si>
    <t>SSM dynamic inventory; no SSH keys</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</si>
  <si>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</si>
  <si>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</si>
  <si>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</si>
  <si>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</si>
  <si>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W1-01:W1-12</t>
  </si>
  <si>
    <t>Test and Evidence Register</t>
  </si>
  <si>
    <t>Test ID</t>
  </si>
  <si>
    <t>Type</t>
  </si>
  <si>
    <t>Scope</t>
  </si>
  <si>
    <t>Command</t>
  </si>
  <si>
    <t>Expected Result</t>
  </si>
  <si>
    <t>Evidence Path</t>
  </si>
  <si>
    <t>Status</t>
  </si>
  <si>
    <t>Run Date</t>
  </si>
  <si>
    <t>Actual Result</t>
  </si>
  <si>
    <t>Defect / Follow-up</t>
  </si>
  <si>
    <t>Owner Sign-off</t>
  </si>
  <si>
    <t>T-W1-001</t>
  </si>
  <si>
    <t>Unit</t>
  </si>
  <si>
    <t>Typed config and invalid-value behavior</t>
  </si>
  <si>
    <t>pytest tests/unit/test_config.py -q</t>
  </si>
  <si>
    <t>Pass offline; invalid values fail clearly</t>
  </si>
  <si>
    <t>docs/test-evidence/W1-05-config.txt</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</si>
  <si>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</si>
  <si>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</si>
  <si>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</si>
  <si>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</si>
  <si>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</si>
  <si>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</si>
  <si>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python tools/validate_feature_matrix.py</t>
  </si>
  <si>
    <t>Exit 0; missing required field fails</t>
  </si>
  <si>
    <t>docs/test-evidence/W1-04-feature-matrix.json</t>
  </si>
  <si>
    <t>PASS — feature-matrix validation and consolidated Week 1 validation; implementation commit 210381c3ddbc9aab83ccaeb11a59db8d8dad549b.</t>
  </si>
  <si>
    <t>T-W1-003</t>
  </si>
  <si>
    <t>Security</t>
  </si>
  <si>
    <t>Pre-commit/secret scanning</t>
  </si>
  <si>
    <t>pre-commit run --all-files</t>
  </si>
  <si>
    <t>Source passes; synthetic secret fixture is rejected</t>
  </si>
  <si>
    <t>docs/test-evidence/W1-08-precommit.txt</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</si>
  <si>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</si>
  <si>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</si>
  <si>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</si>
  <si>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</si>
  <si>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</si>
  <si>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pytest tests/teardown -q</t>
  </si>
  <si>
    <t>Unexpected residual fails; KMS exception classified</t>
  </si>
  <si>
    <t>docs/test-evidence/W1-11-cleanup.json</t>
  </si>
  <si>
    <t>PASS — mocked cleanup and consolidated cleanliness validation; implementation commit 210381c3ddbc9aab83ccaeb11a59db8d8dad549b.</t>
  </si>
  <si>
    <t>Canonical evidence reconciled; no AWS, paid API or deployment mutation occurred.</t>
  </si>
  <si>
    <t>T-W2-001</t>
  </si>
  <si>
    <t>Domain model validation</t>
  </si>
  <si>
    <t>pytest tests/unit/test_models.py -q</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</si>
  <si>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</si>
  <si>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</si>
  <si>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</si>
  <si>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</si>
  <si>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</si>
  <si>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</si>
  <si>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</si>
  <si>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</si>
  <si>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</si>
  <si>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</si>
  <si>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</si>
  <si>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pytest tests/unit/test_embedder.py -q</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</si>
  <si>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</si>
  <si>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</si>
  <si>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</si>
  <si>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</si>
  <si>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</si>
  <si>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</si>
  <si>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</si>
  <si>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</si>
  <si>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</si>
  <si>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</si>
  <si>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</si>
  <si>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</si>
  <si>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</si>
  <si>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</si>
  <si>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make destroy-local &amp;&amp; make verify-clean-local</t>
  </si>
  <si>
    <t>No project container/volume/network</t>
  </si>
  <si>
    <t>docs/resource-cleanliness/W2-local.json</t>
  </si>
  <si>
    <t>T-W3-001</t>
  </si>
  <si>
    <t>Citation validation and abstention</t>
  </si>
  <si>
    <t>pytest tests/unit/test_rag_pipeline.py -q</t>
  </si>
  <si>
    <t>Only supplied citations; weak evidence abstains</t>
  </si>
  <si>
    <t>docs/test-evidence/W3-rag.txt</t>
  </si>
  <si>
    <t>T-W3-002</t>
  </si>
  <si>
    <t>Prompt injection and cross-tenant RAG</t>
  </si>
  <si>
    <t>pytest tests/security -q</t>
  </si>
  <si>
    <t>No policy override or unauthorized retrieval</t>
  </si>
  <si>
    <t>docs/test-evidence/W3-security.txt</t>
  </si>
  <si>
    <t>T-W3-003</t>
  </si>
  <si>
    <t>Evaluation</t>
  </si>
  <si>
    <t>Golden-set baseline</t>
  </si>
  <si>
    <t>make evaluate</t>
  </si>
  <si>
    <t>Recall@5 &gt;=0.85; grounded/cited or abstain &gt;=95%</t>
  </si>
  <si>
    <t>reports/eval.json</t>
  </si>
  <si>
    <t>T-W3-004</t>
  </si>
  <si>
    <t>Rollback</t>
  </si>
  <si>
    <t>Prompt/model/retriever rollback</t>
  </si>
  <si>
    <t>make rollback-rag &amp;&amp; make evaluate</t>
  </si>
  <si>
    <t>Last-known-good baseline restored</t>
  </si>
  <si>
    <t>docs/rollback-records/W3-rag.md</t>
  </si>
  <si>
    <t>T-W4-001</t>
  </si>
  <si>
    <t>FastAPI health/query/error mapping</t>
  </si>
  <si>
    <t>pytest tests/unit/test_api.py -q</t>
  </si>
  <si>
    <t>Typed response; controlled errors; no internal leakage</t>
  </si>
  <si>
    <t>docs/test-evidence/W4-api.txt</t>
  </si>
  <si>
    <t>T-W4-002</t>
  </si>
  <si>
    <t>Agent approval and tool schema</t>
  </si>
  <si>
    <t>pytest tests/security/test_agent_approval.py -q</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</si>
  <si>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</si>
  <si>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</si>
  <si>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</si>
  <si>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</si>
  <si>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</si>
  <si>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</si>
  <si>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</si>
  <si>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</si>
  <si>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Observability</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</si>
  <si>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</si>
  <si>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</si>
  <si>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</si>
  <si>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</si>
  <si>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</si>
  <si>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</si>
  <si>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make rollback-release &amp;&amp; make smoke</t>
  </si>
  <si>
    <t>Previous release healthy and feature-valid</t>
  </si>
  <si>
    <t>docs/rollback-records/W4-release.md</t>
  </si>
  <si>
    <t>T-W5-001</t>
  </si>
  <si>
    <t>IaC</t>
  </si>
  <si>
    <t>Terraform format and validation</t>
  </si>
  <si>
    <t>terraform fmt -check -recursive infra &amp;&amp; terraform -chdir=infra/environments/sandbox validate</t>
  </si>
  <si>
    <t>Exit 0</t>
  </si>
  <si>
    <t>docs/test-evidence/W5-terraform.txt</t>
  </si>
  <si>
    <t>T-W5-002</t>
  </si>
  <si>
    <t>Policy</t>
  </si>
  <si>
    <t>tflint/Checkov/OPA</t>
  </si>
  <si>
    <t>tflint --recursive &amp;&amp; checkov -d infra &amp;&amp; opa test policies/opa -v</t>
  </si>
  <si>
    <t>Secure config passes; insecure fixtures fail</t>
  </si>
  <si>
    <t>docs/test-evidence/W5-policy.txt</t>
  </si>
  <si>
    <t>T-W5-003</t>
  </si>
  <si>
    <t>Reviewed sandbox plan</t>
  </si>
  <si>
    <t>make plan-sandbox</t>
  </si>
  <si>
    <t>Only expected resources; no secret values</t>
  </si>
  <si>
    <t>docs/deployment-records/W5-plan-review.md</t>
  </si>
  <si>
    <t>T-W5-004</t>
  </si>
  <si>
    <t>Supply chain</t>
  </si>
  <si>
    <t>Trivy, Syft and Grype</t>
  </si>
  <si>
    <t>make container-scan &amp;&amp; make sbom</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</si>
  <si>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</si>
  <si>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</si>
  <si>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</si>
  <si>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</si>
  <si>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</si>
  <si>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</si>
  <si>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</si>
  <si>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</si>
  <si>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</si>
  <si>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</si>
  <si>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make plan-destroy-sandbox; owner approve; make destroy-sandbox; make verify-clean</t>
  </si>
  <si>
    <t>No active residual except documented KMS PendingDeletion</t>
  </si>
  <si>
    <t>docs/resource-cleanliness/W5-report.json</t>
  </si>
  <si>
    <t>T-W6-001</t>
  </si>
  <si>
    <t>Kubernetes</t>
  </si>
  <si>
    <t>Manifest/schema/policy validation</t>
  </si>
  <si>
    <t>kubectl apply --dry-run=server -f deploy/k8s</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</si>
  <si>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</si>
  <si>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</si>
  <si>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</si>
  <si>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</si>
  <si>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</si>
  <si>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</si>
  <si>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</si>
  <si>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</si>
  <si>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</si>
  <si>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</si>
  <si>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promtool check rules observability/alerts.yml</t>
  </si>
  <si>
    <t>Rules valid and linked to runbook</t>
  </si>
  <si>
    <t>docs/test-evidence/W6-alerts.txt</t>
  </si>
  <si>
    <t>T-W6-004</t>
  </si>
  <si>
    <t>Chaos</t>
  </si>
  <si>
    <t>Qdrant stop and fake LLM timeout</t>
  </si>
  <si>
    <t>pytest tests/feature/test_failure_modes.py -q</t>
  </si>
  <si>
    <t>Readiness/alerts safe; no retry storm</t>
  </si>
  <si>
    <t>docs/test-evidence/W6-chaos.txt</t>
  </si>
  <si>
    <t>T-W6-005</t>
  </si>
  <si>
    <t>End-to-end sandbox quality</t>
  </si>
  <si>
    <t>make final-proof</t>
  </si>
  <si>
    <t>No material regression; cited response and trace</t>
  </si>
  <si>
    <t>docs/test-evidence/W6-final-index.md</t>
  </si>
  <si>
    <t>T-W6-006</t>
  </si>
  <si>
    <t>EKS release rollback</t>
  </si>
  <si>
    <t>make rollback-release &amp;&amp; make validate-sandbox</t>
  </si>
  <si>
    <t>Previous digest healthy within recorded RTO</t>
  </si>
  <si>
    <t>docs/rollback-records/W6-release.md</t>
  </si>
  <si>
    <t>T-W6-007</t>
  </si>
  <si>
    <t>Full platform/bootstrap teardown and orphan scan</t>
  </si>
  <si>
    <t>No active project resource; state backend removed last</t>
  </si>
  <si>
    <t>docs/resource-cleanliness/W6-final.json</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</si>
  <si>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</si>
  <si>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</si>
  <si>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</si>
  <si>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</si>
  <si>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</si>
  <si>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docs/features/MVP-001.md</t>
  </si>
  <si>
    <t>PASS — MVP-001 scope, starter questions and acceptance criteria reviewed and owner approved.</t>
  </si>
  <si>
    <t>Canonical scope evidence confirmed; implementation commit 210381c3ddbc9aab83ccaeb11a59db8d8dad549b.</t>
  </si>
  <si>
    <t>T-W1-000A</t>
  </si>
  <si>
    <t>Governance</t>
  </si>
  <si>
    <t>ADR-000 source precedence</t>
  </si>
  <si>
    <t>Review docs/adr/ADR-000-source-precedence.md</t>
  </si>
  <si>
    <t>Authority order, conflict rule, three examples, governance-only scope and Proposed status are present</t>
  </si>
  <si>
    <t>docs/adr/ADR-000-source-precedence.md</t>
  </si>
  <si>
    <t>PASS — source precedence, conflict stop and governance-only scope reviewed and owner approved.</t>
  </si>
  <si>
    <t>Canonical governance evidence confirmed; implementation commit 210381c3ddbc9aab83ccaeb11a59db8d8dad549b.</t>
  </si>
  <si>
    <t>Architecture Decision Register</t>
  </si>
  <si>
    <t>Baseline decisions come from the source documents. Change them only with evidence, alternatives, trade-offs and a superseding ADR.</t>
  </si>
  <si>
    <t>Decision ID</t>
  </si>
  <si>
    <t>Decision</t>
  </si>
  <si>
    <t>Decision Week</t>
  </si>
  <si>
    <t>Rationale</t>
  </si>
  <si>
    <t>Alternatives</t>
  </si>
  <si>
    <t>Trade-offs / Cost / Risk</t>
  </si>
  <si>
    <t>Revisit Trigger</t>
  </si>
  <si>
    <t>ADR Evidence Path</t>
  </si>
  <si>
    <t>Review Notes</t>
  </si>
  <si>
    <t>ADR-001</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</si>
  <si>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</si>
  <si>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</si>
  <si>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</si>
  <si>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</si>
  <si>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</si>
  <si>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</si>
  <si>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User</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</si>
  <si>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</si>
  <si>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</si>
  <si>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</si>
  <si>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</si>
  <si>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</si>
  <si>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</si>
  <si>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</si>
  <si>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</si>
  <si>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</si>
  <si>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</si>
  <si>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</si>
  <si>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</si>
  <si>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</si>
  <si>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</si>
  <si>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</si>
  <si>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</si>
  <si>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</si>
  <si>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</si>
  <si>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</si>
  <si>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</si>
  <si>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</si>
  <si>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</si>
  <si>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</si>
  <si>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</si>
  <si>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</si>
  <si>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</si>
  <si>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</si>
  <si>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</si>
  <si>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</si>
  <si>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</si>
  <si>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</si>
  <si>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</si>
  <si>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</si>
  <si>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</si>
  <si>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</si>
  <si>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</si>
  <si>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</si>
  <si>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</si>
  <si>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</si>
  <si>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</si>
  <si>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</si>
  <si>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</si>
  <si>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</si>
  <si>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ADR-009</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</si>
  <si>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</si>
  <si>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</si>
  <si>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</si>
  <si>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</si>
  <si>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</si>
  <si>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</si>
  <si>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</si>
  <si>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</si>
  <si>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</si>
  <si>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</si>
  <si>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</si>
  <si>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</si>
  <si>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</si>
  <si>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</si>
  <si>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</si>
  <si>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</si>
  <si>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</si>
  <si>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</si>
  <si>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</si>
  <si>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</si>
  <si>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ADR-012</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</si>
  <si>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</si>
  <si>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</si>
  <si>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</si>
  <si>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</si>
  <si>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</si>
  <si>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</si>
  <si>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</si>
  <si>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</si>
  <si>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</si>
  <si>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</si>
  <si>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</si>
  <si>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</si>
  <si>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</si>
  <si>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</si>
  <si>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</si>
  <si>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</si>
  <si>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</si>
  <si>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</si>
  <si>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</si>
  <si>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</si>
  <si>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</si>
  <si>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</si>
  <si>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</si>
  <si>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</si>
  <si>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</si>
  <si>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</si>
  <si>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ADR-016</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</si>
  <si>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</si>
  <si>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</si>
  <si>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</si>
  <si>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</si>
  <si>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</si>
  <si>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</si>
  <si>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ADR-017</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</si>
  <si>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</si>
  <si>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</si>
  <si>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</si>
  <si>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</si>
  <si>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</si>
  <si>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</si>
  <si>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</si>
  <si>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</si>
  <si>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</si>
  <si>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</si>
  <si>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</si>
  <si>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</si>
  <si>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</si>
  <si>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</si>
  <si>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</si>
  <si>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</si>
  <si>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</si>
  <si>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</si>
  <si>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</si>
  <si>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</si>
  <si>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</si>
  <si>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</si>
  <si>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</si>
  <si>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</si>
  <si>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</si>
  <si>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</si>
  <si>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</si>
  <si>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</si>
  <si>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</si>
  <si>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</si>
  <si>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</si>
  <si>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</si>
  <si>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</si>
  <si>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</si>
  <si>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Not Started</t>
  </si>
  <si>
    <t>docs/architecture/data-classification.md</t>
  </si>
  <si>
    <t>DATA-003</t>
  </si>
  <si>
    <t>Privacy</t>
  </si>
  <si>
    <t>Define which PII types are redact, quarantine or allow-with-approval.</t>
  </si>
  <si>
    <t>configs/pii-policy.yaml</t>
  </si>
  <si>
    <t>EVAL-001</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</si>
  <si>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</si>
  <si>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</si>
  <si>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</si>
  <si>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</si>
  <si>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</si>
  <si>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</si>
  <si>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</si>
  <si>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</si>
  <si>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</si>
  <si>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</si>
  <si>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</si>
  <si>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</si>
  <si>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</si>
  <si>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</si>
  <si>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TAG-001</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</si>
  <si>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</si>
  <si>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</si>
  <si>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</si>
  <si>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</si>
  <si>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</si>
  <si>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GHA-001</t>
  </si>
  <si>
    <t>CI/CD</t>
  </si>
  <si>
    <t>Provide GitHub org/repo, protected environment and OIDC role naming.</t>
  </si>
  <si>
    <t>GitHub variables / Terraform inputs</t>
  </si>
  <si>
    <t>BED-001</t>
  </si>
  <si>
    <t>AI platform</t>
  </si>
  <si>
    <t>Select approved Bedrock model ID, region, quota and fallback policy.</t>
  </si>
  <si>
    <t>LLM_MODEL_ID / docs/adr</t>
  </si>
  <si>
    <t>EMB-001</t>
  </si>
  <si>
    <t>Approve sentence-transformer model, dimension and license.</t>
  </si>
  <si>
    <t>SEC-001</t>
  </si>
  <si>
    <t>Define auth provider, claims, tenant mapping and authorization owner.</t>
  </si>
  <si>
    <t>docs/architecture/authorization.md</t>
  </si>
  <si>
    <t>SEC-003</t>
  </si>
  <si>
    <t>DevSecOps</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</si>
  <si>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</si>
  <si>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</si>
  <si>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</si>
  <si>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</si>
  <si>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APP-001</t>
  </si>
  <si>
    <t>Agent control</t>
  </si>
  <si>
    <t>Choose durable approval store, approver role and expiry/rejection policy.</t>
  </si>
  <si>
    <t>docs/architecture/agent-approval.md</t>
  </si>
  <si>
    <t>OBS-001</t>
  </si>
  <si>
    <t>Operations</t>
  </si>
  <si>
    <t>Provide alert destination, on-call owner and telemetry retention.</t>
  </si>
  <si>
    <t>observability/ / runbooks/</t>
  </si>
  <si>
    <t>SLO-001</t>
  </si>
  <si>
    <t>Approve initial SLIs/SLOs, error-budget review cadence and exclusions.</t>
  </si>
  <si>
    <t>docs/architecture/slo.md</t>
  </si>
  <si>
    <t>COST-001</t>
  </si>
  <si>
    <t>Cost</t>
  </si>
  <si>
    <t>Set monthly sandbox ceiling, daily alert and maximum paid-evaluation spend.</t>
  </si>
  <si>
    <t>docs/cost-estimates/budget.md</t>
  </si>
  <si>
    <t>EKS-001</t>
  </si>
  <si>
    <t>Choose existing/new EKS sandbox, namespace, domain/cert and identity method.</t>
  </si>
  <si>
    <t>deploy/k8s/values-sandbox.yaml</t>
  </si>
  <si>
    <t>RET-001</t>
  </si>
  <si>
    <t>Define logs/traces/evaluation/approval evidence retention and redaction.</t>
  </si>
  <si>
    <t>docs/architecture/retention.md</t>
  </si>
  <si>
    <t>FIS-001</t>
  </si>
  <si>
    <t>Approve pre-production-only FIS targets, stop alarms, window and owner.</t>
  </si>
  <si>
    <t>docs/chaos/fis-plan.md</t>
  </si>
  <si>
    <t>DEST-001</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</si>
  <si>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</si>
  <si>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</si>
  <si>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</si>
  <si>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</si>
  <si>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</si>
  <si>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</si>
  <si>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</si>
  <si>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RAG-001</t>
  </si>
  <si>
    <t>Retrieval</t>
  </si>
  <si>
    <t>Approve top_k, minimum score and maximum context budget after baseline tests.</t>
  </si>
  <si>
    <t>configs/rag.yaml</t>
  </si>
  <si>
    <t>Deploy, Rollback and Teardown Control</t>
  </si>
  <si>
    <t>Three distinct operations</t>
  </si>
  <si>
    <t>Operation</t>
  </si>
  <si>
    <t>Trigger</t>
  </si>
  <si>
    <t>Required outcome</t>
  </si>
  <si>
    <t>Boundary</t>
  </si>
  <si>
    <t>Mode</t>
  </si>
  <si>
    <t>Environment</t>
  </si>
  <si>
    <t>Behavior</t>
  </si>
  <si>
    <t>Approval</t>
  </si>
  <si>
    <t>Release rollback</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</si>
  <si>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</si>
  <si>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</si>
  <si>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</si>
  <si>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</si>
  <si>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</si>
  <si>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</si>
  <si>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</si>
  <si>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</si>
  <si>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</si>
  <si>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</si>
  <si>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</si>
  <si>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</si>
  <si>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</si>
  <si>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</si>
  <si>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</si>
  <si>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</si>
  <si>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</si>
  <si>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</si>
  <si>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</si>
  <si>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</si>
  <si>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</si>
  <si>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</si>
  <si>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Order</t>
  </si>
  <si>
    <t>Action</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</si>
  <si>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</si>
  <si>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</si>
  <si>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</si>
  <si>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</si>
  <si>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</si>
  <si>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</si>
  <si>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</si>
  <si>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</si>
  <si>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</si>
  <si>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</si>
  <si>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</si>
  <si>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</si>
  <si>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</si>
  <si>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</si>
  <si>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</si>
  <si>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</si>
  <si>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</si>
  <si>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</si>
  <si>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</si>
  <si>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</si>
  <si>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</si>
  <si>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</si>
  <si>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</si>
  <si>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</si>
  <si>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</si>
  <si>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</si>
  <si>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</si>
  <si>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</si>
  <si>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</si>
  <si>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</si>
  <si>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</si>
  <si>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</si>
  <si>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</si>
  <si>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</si>
  <si>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</si>
  <si>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</si>
  <si>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</si>
  <si>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</si>
  <si>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</si>
  <si>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</si>
  <si>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</si>
  <si>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</si>
  <si>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</si>
  <si>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</si>
  <si>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</si>
  <si>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</si>
  <si>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</si>
  <si>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</si>
  <si>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</si>
  <si>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</si>
  <si>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</si>
  <si>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</si>
  <si>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</si>
  <si>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Required Technology Adoption Map</t>
  </si>
  <si>
    <t>The comprehensive stack is retained, but only tools that reduce a measured risk or satisfy the MVP are activated. Alternatives and migration controls are explicit.</t>
  </si>
  <si>
    <t>Technology</t>
  </si>
  <si>
    <t>Priority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</si>
  <si>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</si>
  <si>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</si>
  <si>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</si>
  <si>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</si>
  <si>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</si>
  <si>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</si>
  <si>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</si>
  <si>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</si>
  <si>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</si>
  <si>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</si>
  <si>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</si>
  <si>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</si>
  <si>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</si>
  <si>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</si>
  <si>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</si>
  <si>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</si>
  <si>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</si>
  <si>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</si>
  <si>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</si>
  <si>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</si>
  <si>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</si>
  <si>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</si>
  <si>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</si>
  <si>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</si>
  <si>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</si>
  <si>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</si>
  <si>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</si>
  <si>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</si>
  <si>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</si>
  <si>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MUST</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</si>
  <si>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</si>
  <si>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</si>
  <si>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</si>
  <si>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</si>
  <si>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</si>
  <si>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</si>
  <si>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</si>
  <si>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</si>
  <si>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</si>
  <si>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</si>
  <si>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</si>
  <si>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</si>
  <si>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</si>
  <si>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</si>
  <si>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</si>
  <si>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</si>
  <si>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</si>
  <si>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</si>
  <si>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</si>
  <si>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</si>
  <si>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</si>
  <si>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</si>
  <si>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</si>
  <si>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</si>
  <si>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</si>
  <si>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</si>
  <si>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</si>
  <si>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</si>
  <si>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</si>
  <si>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</si>
  <si>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</si>
  <si>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</si>
  <si>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</si>
  <si>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Guardrails</t>
  </si>
  <si>
    <t>Deterministic validators and prompt templates</t>
  </si>
  <si>
    <t>Authorization, citations, abstention, schemas and allowlists.</t>
  </si>
  <si>
    <t>None; mandatory foundation.</t>
  </si>
  <si>
    <t>Low platform cost.</t>
  </si>
  <si>
    <t>Guardrails AI</t>
  </si>
  <si>
    <t>SHOULD</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</si>
  <si>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</si>
  <si>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</si>
  <si>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</si>
  <si>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</si>
  <si>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</si>
  <si>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</si>
  <si>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</si>
  <si>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</si>
  <si>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</si>
  <si>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</si>
  <si>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</si>
  <si>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</si>
  <si>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</si>
  <si>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</si>
  <si>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</si>
  <si>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</si>
  <si>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</si>
  <si>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</si>
  <si>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</si>
  <si>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</si>
  <si>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</si>
  <si>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</si>
  <si>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</si>
  <si>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</si>
  <si>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</si>
  <si>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</si>
  <si>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</si>
  <si>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</si>
  <si>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</si>
  <si>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</si>
  <si>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</si>
  <si>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</si>
  <si>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</si>
  <si>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</si>
  <si>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</si>
  <si>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</si>
  <si>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</si>
  <si>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</si>
  <si>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</si>
  <si>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</si>
  <si>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</si>
  <si>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</si>
  <si>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</si>
  <si>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SageMaker Model Registry</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</si>
  <si>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</si>
  <si>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</si>
  <si>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</si>
  <si>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</si>
  <si>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</si>
  <si>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</si>
  <si>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</si>
  <si>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</si>
  <si>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</si>
  <si>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</si>
  <si>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</si>
  <si>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</si>
  <si>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</si>
  <si>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</si>
  <si>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Embeddings</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</si>
  <si>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</si>
  <si>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</si>
  <si>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</si>
  <si>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</si>
  <si>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</si>
  <si>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</si>
  <si>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</si>
  <si>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</si>
  <si>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</si>
  <si>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</si>
  <si>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</si>
  <si>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</si>
  <si>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</si>
  <si>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</si>
  <si>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</si>
  <si>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</si>
  <si>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</si>
  <si>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</si>
  <si>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</si>
  <si>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</si>
  <si>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</si>
  <si>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</si>
  <si>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</si>
  <si>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</si>
  <si>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</si>
  <si>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</si>
  <si>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</si>
  <si>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</si>
  <si>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</si>
  <si>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</si>
  <si>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</si>
  <si>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</si>
  <si>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</si>
  <si>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</si>
  <si>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</si>
  <si>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</si>
  <si>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</si>
  <si>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</si>
  <si>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</si>
  <si>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</si>
  <si>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</si>
  <si>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</si>
  <si>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</si>
  <si>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</si>
  <si>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</si>
  <si>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</si>
  <si>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</si>
  <si>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</si>
  <si>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</si>
  <si>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</si>
  <si>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</si>
  <si>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</si>
  <si>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</si>
  <si>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</si>
  <si>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</si>
  <si>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EventBridge + Step Functions</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</si>
  <si>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</si>
  <si>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</si>
  <si>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</si>
  <si>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</si>
  <si>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</si>
  <si>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</si>
  <si>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</si>
  <si>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</si>
  <si>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</si>
  <si>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</si>
  <si>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</si>
  <si>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</si>
  <si>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</si>
  <si>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</si>
  <si>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</si>
  <si>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</si>
  <si>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</si>
  <si>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</si>
  <si>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</si>
  <si>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</si>
  <si>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</si>
  <si>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</si>
  <si>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</si>
  <si>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</si>
  <si>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</si>
  <si>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</si>
  <si>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</si>
  <si>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</si>
  <si>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</si>
  <si>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</si>
  <si>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</si>
  <si>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</si>
  <si>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</si>
  <si>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</si>
  <si>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</si>
  <si>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</si>
  <si>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</si>
  <si>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</si>
  <si>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</si>
  <si>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</si>
  <si>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</si>
  <si>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</si>
  <si>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</si>
  <si>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</si>
  <si>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</si>
  <si>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</si>
  <si>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</si>
  <si>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</si>
  <si>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</si>
  <si>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</si>
  <si>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</si>
  <si>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</si>
  <si>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</si>
  <si>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</si>
  <si>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</si>
  <si>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</si>
  <si>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</si>
  <si>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</si>
  <si>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</si>
  <si>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</si>
  <si>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</si>
  <si>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</si>
  <si>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</si>
  <si>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</si>
  <si>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</si>
  <si>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</si>
  <si>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</si>
  <si>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</si>
  <si>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</si>
  <si>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</si>
  <si>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</si>
  <si>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</si>
  <si>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</si>
  <si>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</si>
  <si>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</si>
  <si>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</si>
  <si>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</si>
  <si>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</si>
  <si>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</si>
  <si>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</si>
  <si>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</si>
  <si>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</si>
  <si>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</si>
  <si>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</si>
  <si>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</si>
  <si>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</si>
  <si>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</si>
  <si>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</si>
  <si>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</si>
  <si>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</si>
  <si>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</si>
  <si>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</si>
  <si>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</si>
  <si>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</si>
  <si>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</si>
  <si>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</si>
  <si>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</si>
  <si>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</si>
  <si>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</si>
  <si>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</si>
  <si>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</si>
  <si>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</si>
  <si>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</si>
  <si>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</si>
  <si>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</si>
  <si>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</si>
  <si>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</si>
  <si>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</si>
  <si>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</si>
  <si>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</si>
  <si>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</si>
  <si>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</si>
  <si>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</si>
  <si>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</si>
  <si>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</si>
  <si>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</si>
  <si>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</si>
  <si>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</si>
  <si>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</si>
  <si>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</si>
  <si>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</si>
  <si>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</si>
  <si>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</si>
  <si>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</si>
  <si>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</si>
  <si>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</si>
  <si>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</si>
  <si>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</si>
  <si>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</si>
  <si>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</si>
  <si>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</si>
  <si>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</si>
  <si>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</si>
  <si>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</si>
  <si>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</si>
  <si>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</si>
  <si>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</si>
  <si>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</si>
  <si>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</si>
  <si>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</si>
  <si>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</si>
  <si>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</si>
  <si>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</si>
  <si>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</si>
  <si>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</si>
  <si>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</si>
  <si>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</si>
  <si>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</si>
  <si>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</si>
  <si>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</si>
  <si>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</si>
  <si>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</si>
  <si>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</si>
  <si>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</si>
  <si>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</si>
  <si>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</si>
  <si>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</si>
  <si>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</si>
  <si>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</si>
  <si>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</si>
  <si>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</si>
  <si>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</si>
  <si>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Ingestion</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</si>
  <si>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</si>
  <si>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</si>
  <si>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</si>
  <si>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</si>
  <si>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</si>
  <si>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</si>
  <si>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</si>
  <si>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</si>
  <si>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</si>
  <si>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</si>
  <si>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</si>
  <si>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</si>
  <si>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</si>
  <si>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</si>
  <si>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</si>
  <si>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</si>
  <si>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</si>
  <si>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</si>
  <si>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</si>
  <si>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</si>
  <si>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</si>
  <si>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</si>
  <si>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</si>
  <si>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</si>
  <si>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</si>
  <si>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</si>
  <si>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</si>
  <si>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</si>
  <si>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</si>
  <si>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</si>
  <si>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</si>
  <si>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0.45</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</si>
  <si>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</si>
  <si>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</si>
  <si>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</si>
  <si>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</si>
  <si>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</si>
  <si>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</si>
  <si>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</si>
  <si>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</si>
  <si>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</si>
  <si>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</si>
  <si>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</si>
  <si>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</si>
  <si>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</si>
  <si>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</si>
  <si>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</si>
  <si>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</si>
  <si>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</si>
  <si>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</si>
  <si>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</si>
  <si>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</si>
  <si>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Telemetry</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</si>
  <si>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</si>
  <si>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</si>
  <si>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</si>
  <si>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</si>
  <si>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</si>
  <si>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</si>
  <si>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</si>
  <si>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</si>
  <si>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</si>
  <si>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</si>
  <si>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</si>
  <si>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</si>
  <si>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</si>
  <si>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</si>
  <si>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</si>
  <si>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</si>
  <si>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</si>
  <si>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</si>
  <si>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</si>
  <si>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</si>
  <si>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</si>
  <si>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</si>
  <si>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</si>
  <si>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</si>
  <si>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</si>
  <si>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</si>
  <si>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</si>
  <si>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</si>
  <si>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</si>
  <si>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</si>
  <si>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</si>
  <si>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</si>
  <si>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</si>
  <si>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</si>
  <si>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</si>
  <si>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</si>
  <si>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</si>
  <si>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</si>
  <si>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</si>
  <si>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</si>
  <si>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</si>
  <si>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</si>
  <si>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</si>
  <si>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</si>
  <si>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</si>
  <si>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</si>
  <si>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</si>
  <si>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</si>
  <si>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</si>
  <si>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</si>
  <si>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</si>
  <si>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</si>
  <si>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</si>
  <si>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</si>
  <si>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Review dashboard and owner inputs</t>
  </si>
  <si>
    <t>Choose restart or resume later; preserve historical status until you decide.</t>
  </si>
  <si>
    <t>Paste CTX-001 and CTRL-001</t>
  </si>
  <si>
    <t>Set the architecture context and the code-only/owner-execution boundary.</t>
  </si>
  <si>
    <t>Codex writes code; the owner runs every test, deployment, rollback, teardown and access-sensitive command.</t>
  </si>
  <si>
    <t>A failure produces diagnosis and one owner command at a time; source fixes require a new Code Edit Approval.</t>
  </si>
  <si>
    <t>Documentation is a separate approved stage and must state business value in clear wording.</t>
  </si>
  <si>
    <t>Final approval follows owner testing and document review; Codex never self-approves.</t>
  </si>
  <si>
    <t>Weekly learning is mandatory before progressing: business story, technical deep-dive, layman analogy and interview teach-back.</t>
  </si>
  <si>
    <t>Restart / resume decision</t>
  </si>
  <si>
    <t>Source precedence remains unchanged. This version changes execution ownership and learning controls only: Codex writes approved code; the owner tests, deploys, remediates and approves.</t>
  </si>
  <si>
    <t>All KPIs are formula-driven from tracker sheets. Historical status is preserved; the owner executes tests/deployments and updates source records after final approval.</t>
  </si>
  <si>
    <t>IN PROGRESS: Codex writes approved code only; the owner follows TEST-001 guidance and returns each command result.</t>
  </si>
  <si>
    <t>Done requires owner-executed validation, approved business-first documentation, rollback/teardown evidence and final owner approval.</t>
  </si>
  <si>
    <t>Step ID</t>
  </si>
  <si>
    <t>Seq</t>
  </si>
  <si>
    <t>Workstream</t>
  </si>
  <si>
    <t>Task / Outcome</t>
  </si>
  <si>
    <t>Why It Matters</t>
  </si>
  <si>
    <t>Effort (h)</t>
  </si>
  <si>
    <t>User TODO IDs</t>
  </si>
  <si>
    <t>Acceptance Criteria</t>
  </si>
  <si>
    <t>Owner Verification Command</t>
  </si>
  <si>
    <t>Dependency</t>
  </si>
  <si>
    <t>Rollback / Teardown</t>
  </si>
  <si>
    <t>Notes</t>
  </si>
  <si>
    <t>Task Context</t>
  </si>
  <si>
    <t>Confirm the first use case, user group, exclusions and measurable MVP outcome.</t>
  </si>
  <si>
    <t>A narrow use case prevents a platform-without-a-problem and sets evaluation truth.</t>
  </si>
  <si>
    <t>USE-001, DATA-001, EVAL-001</t>
  </si>
  <si>
    <t>One approved one-page scope and 5 representative questions.</t>
  </si>
  <si>
    <t>Owner review of docs/features/MVP-001.md</t>
  </si>
  <si>
    <t>Scope, exclusions and success measures approved.</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</si>
  <si>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</si>
  <si>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</si>
  <si>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</si>
  <si>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</si>
  <si>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Record source precedence: v1.1 controls override older schedule while preserving technical prompts.</t>
  </si>
  <si>
    <t>Prevents Codex and coach from following conflicting weekly sequences.</t>
  </si>
  <si>
    <t>User (execute) + Codex (guide/code)</t>
  </si>
  <si>
    <t>Decision recorded and referenced by all feature prompts.</t>
  </si>
  <si>
    <t>v1.1 is named implementation authority.</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</si>
  <si>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</si>
  <si>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</si>
  <si>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</si>
  <si>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</si>
  <si>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</si>
  <si>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</si>
  <si>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</si>
  <si>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</si>
  <si>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</si>
  <si>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</si>
  <si>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</si>
  <si>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</si>
  <si>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</si>
  <si>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</si>
  <si>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</si>
  <si>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</si>
  <si>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</si>
  <si>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</si>
  <si>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</si>
  <si>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</si>
  <si>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</si>
  <si>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Validation exits 0; missing required fields fail.</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</si>
  <si>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</si>
  <si>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</si>
  <si>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Python foundation</t>
  </si>
  <si>
    <t>Create reproducible dependencies and typed configuration.</t>
  </si>
  <si>
    <t>Fail-fast configuration and portable dependencies reduce hidden runtime risk.</t>
  </si>
  <si>
    <t>AWS-002, BED-001, EMB-001</t>
  </si>
  <si>
    <t>pip install succeeds; config tests pass offline.</t>
  </si>
  <si>
    <t>pip install -r requirements.txt &amp;&amp; pytest tests/unit/test_config.py -q</t>
  </si>
  <si>
    <t>No paid/network dependency in unit tests; TODOs remain non-secret.</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</si>
  <si>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</si>
  <si>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</si>
  <si>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</si>
  <si>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</si>
  <si>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</si>
  <si>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</si>
  <si>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Markers and sample feature test run locally.</t>
  </si>
  <si>
    <t>pytest tests/unit tests/feature -q</t>
  </si>
  <si>
    <t>Tests pass; evidence metadata excludes secrets/content.</t>
  </si>
  <si>
    <t>docs/test-evidence/W1-06-tests.json</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</si>
  <si>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</si>
  <si>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</si>
  <si>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</si>
  <si>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</si>
  <si>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</si>
  <si>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</si>
  <si>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</si>
  <si>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</si>
  <si>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make help &amp;&amp; make preflight</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</si>
  <si>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</si>
  <si>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</si>
  <si>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</si>
  <si>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</si>
  <si>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</si>
  <si>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</si>
  <si>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Add pre-commit formatting, linting and secret scanning baseline.</t>
  </si>
  <si>
    <t>Shift-left checks stop secrets and poor-quality changes before PR.</t>
  </si>
  <si>
    <t>Insecure secret fixture is blocked without committing a real secret.</t>
  </si>
  <si>
    <t>All checks pass on source; synthetic fixture produces expected failure.</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</si>
  <si>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</si>
  <si>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</si>
  <si>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</si>
  <si>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</si>
  <si>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</si>
  <si>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</si>
  <si>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AWS-001, AWS-002, TAG-001</t>
  </si>
  <si>
    <t>Two roots validate as skeletons and dependency order is documented.</t>
  </si>
  <si>
    <t>terraform -chdir=infra/bootstrap fmt -check &amp;&amp; terraform -chdir=infra/environments/sandbox fmt -check</t>
  </si>
  <si>
    <t>No resource apply; backend/platform boundaries are explicit.</t>
  </si>
  <si>
    <t>docs/test-evidence/W1-09-roots.txt</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</si>
  <si>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</si>
  <si>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</si>
  <si>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</si>
  <si>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</si>
  <si>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</si>
  <si>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</si>
  <si>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</si>
  <si>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</si>
  <si>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</si>
  <si>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python -m tools.platformctl --help &amp;&amp; pytest tests/unit/test_platformctl.py -q</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</si>
  <si>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</si>
  <si>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</si>
  <si>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</si>
  <si>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</si>
  <si>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</si>
  <si>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</si>
  <si>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</si>
  <si>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</si>
  <si>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</si>
  <si>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</si>
  <si>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</si>
  <si>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Expected pass/fail matrix is recorded.</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</si>
  <si>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</si>
  <si>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</si>
  <si>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</si>
  <si>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W1-12</t>
  </si>
  <si>
    <t>Checkpoint</t>
  </si>
  <si>
    <t>Review diffs, architecture decisions, test evidence and Week 2 readiness.</t>
  </si>
  <si>
    <t>Owner approval is the stop point between features/weeks.</t>
  </si>
  <si>
    <t>All Week 1 TODOs</t>
  </si>
  <si>
    <t>Every MUST step is Done; no blocker or unapproved scope remains.</t>
  </si>
  <si>
    <t>make preflight &amp;&amp; make test</t>
  </si>
  <si>
    <t>Owner sign-off recorded with outstanding items explicitly deferred.</t>
  </si>
  <si>
    <t>docs/deployment-records/W1-signoff.md</t>
  </si>
  <si>
    <t>W1-01:W1-11</t>
  </si>
  <si>
    <t>No Week 2 prompt is used until gaps are resolved.</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</si>
  <si>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</si>
  <si>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</si>
  <si>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Weekly learning</t>
  </si>
  <si>
    <t>Complete the Week 1 business, architecture and interview teach-back.</t>
  </si>
  <si>
    <t>Turns governance, repository, test and lifecycle controls into an explainable architecture story.</t>
  </si>
  <si>
    <t>WEEKLY-LEARN-001</t>
  </si>
  <si>
    <t>Owner explains the Week 1 business outcome, control flow, decisions, failure boundaries and three interview answers without reading code.</t>
  </si>
  <si>
    <t>Owner teach-back; no command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</si>
  <si>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</si>
  <si>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</si>
  <si>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</si>
  <si>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</si>
  <si>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</si>
  <si>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</si>
  <si>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</si>
  <si>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</si>
  <si>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</si>
  <si>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</si>
  <si>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DATA-002, SEC-001</t>
  </si>
  <si>
    <t>Models validate required identity/classification metadata.</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</si>
  <si>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</si>
  <si>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</si>
  <si>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</si>
  <si>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</si>
  <si>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</si>
  <si>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</si>
  <si>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</si>
  <si>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</si>
  <si>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</si>
  <si>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</si>
  <si>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</si>
  <si>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</si>
  <si>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</si>
  <si>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</si>
  <si>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</si>
  <si>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</si>
  <si>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</si>
  <si>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</si>
  <si>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</si>
  <si>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docker compose up -d qdrant &amp;&amp; docker compose ps</t>
  </si>
  <si>
    <t>Service is healthy; image version is pinned.</t>
  </si>
  <si>
    <t>docs/test-evidence/W2-03-qdrant.txt</t>
  </si>
  <si>
    <t>docker compose down -v; verify no project volume/network.</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</si>
  <si>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</si>
  <si>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</si>
  <si>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</si>
  <si>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</si>
  <si>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</si>
  <si>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</si>
  <si>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</si>
  <si>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pytest tests/contract tests/integration/test_qdrant.py -q</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</si>
  <si>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</si>
  <si>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</si>
  <si>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</si>
  <si>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</si>
  <si>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</si>
  <si>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Implement sentence-transformer and deterministic fake embedders.</t>
  </si>
  <si>
    <t>Local CPU embeddings avoid a paid dependency while preserving provider exit.</t>
  </si>
  <si>
    <t>Batch, normalization and dimension mismatch tests pass.</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</si>
  <si>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</si>
  <si>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</si>
  <si>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</si>
  <si>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</si>
  <si>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</si>
  <si>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Implement validation, hashing, normalization and deterministic token chunking.</t>
  </si>
  <si>
    <t>Reproducible chunk IDs/versioning make re-index and deletion safe.</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</si>
  <si>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</si>
  <si>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</si>
  <si>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</si>
  <si>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</si>
  <si>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</si>
  <si>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</si>
  <si>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</si>
  <si>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</si>
  <si>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</si>
  <si>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Add replaceable Presidio PII detection/redaction hook.</t>
  </si>
  <si>
    <t>PII handling belongs before indexing and telemetry.</t>
  </si>
  <si>
    <t>Configured PII is redacted/quarantined and never appears in evidence logs.</t>
  </si>
  <si>
    <t>pytest tests/security/test_pii.py -q</t>
  </si>
  <si>
    <t>Synthetic PII fixture is handled as policy states.</t>
  </si>
  <si>
    <t>docs/test-evidence/W2-07-pii.txt</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</si>
  <si>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</si>
  <si>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</si>
  <si>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</si>
  <si>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</si>
  <si>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</si>
  <si>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</si>
  <si>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</si>
  <si>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</si>
  <si>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</si>
  <si>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</si>
  <si>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</si>
  <si>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</si>
  <si>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</si>
  <si>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</si>
  <si>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</si>
  <si>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</si>
  <si>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DATA-001, EVAL-001</t>
  </si>
  <si>
    <t>Expected source appears in top 5 for representative questions.</t>
  </si>
  <si>
    <t>python -m enterprise_ai.ingestion.pipeline ingest --source data/sample --tenant demo &amp;&amp; pytest tests/feature/test_local_retrieval.py -q</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</si>
  <si>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</si>
  <si>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</si>
  <si>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</si>
  <si>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</si>
  <si>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</si>
  <si>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</si>
  <si>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</si>
  <si>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</si>
  <si>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</si>
  <si>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Previous configuration works after rollback; teardown leaves no local residue.</t>
  </si>
  <si>
    <t>make rollback-local &amp;&amp; make destroy-local &amp;&amp; make verify-clean-local</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</si>
  <si>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</si>
  <si>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</si>
  <si>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</si>
  <si>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</si>
  <si>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</si>
  <si>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Learning checkpoint</t>
  </si>
  <si>
    <t>Explain embeddings, cosine similarity, chunk size/overlap and metadata filtering.</t>
  </si>
  <si>
    <t>The workbook is also an interview/reference learning plan.</t>
  </si>
  <si>
    <t>Five-minute explanation uses current implementation evidence.</t>
  </si>
  <si>
    <t>Record explanation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</si>
  <si>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</si>
  <si>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</si>
  <si>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</si>
  <si>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</si>
  <si>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</si>
  <si>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W2-12</t>
  </si>
  <si>
    <t>Approve local retrieval gate and Week 3 inputs.</t>
  </si>
  <si>
    <t>Prevents LLM work from hiding retrieval defects.</t>
  </si>
  <si>
    <t>BED-001, EVAL-001</t>
  </si>
  <si>
    <t>All MUST tests and cleanup evidence pass.</t>
  </si>
  <si>
    <t>make test &amp;&amp; make verify-clean-local</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</si>
  <si>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</si>
  <si>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</si>
  <si>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</si>
  <si>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</si>
  <si>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</si>
  <si>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</si>
  <si>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</si>
  <si>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</si>
  <si>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</si>
  <si>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</si>
  <si>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</si>
  <si>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</si>
  <si>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</si>
  <si>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</si>
  <si>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</si>
  <si>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</si>
  <si>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</si>
  <si>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</si>
  <si>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</si>
  <si>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</si>
  <si>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</si>
  <si>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</si>
  <si>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</si>
  <si>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</si>
  <si>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</si>
  <si>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</si>
  <si>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</si>
  <si>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</si>
  <si>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</si>
  <si>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</si>
  <si>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</si>
  <si>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</si>
  <si>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</si>
  <si>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</si>
  <si>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</si>
  <si>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</si>
  <si>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</si>
  <si>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</si>
  <si>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</si>
  <si>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</si>
  <si>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</si>
  <si>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</si>
  <si>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</si>
  <si>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</si>
  <si>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</si>
  <si>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</si>
  <si>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</si>
  <si>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</si>
  <si>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Structured Answer contains only supplied source IDs.</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</si>
  <si>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</si>
  <si>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</si>
  <si>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</si>
  <si>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</si>
  <si>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</si>
  <si>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</si>
  <si>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Add deterministic input/output/citation safety checks.</t>
  </si>
  <si>
    <t>Deterministic policy must surround probabilistic generation.</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</si>
  <si>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</si>
  <si>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</si>
  <si>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</si>
  <si>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</si>
  <si>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</si>
  <si>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</si>
  <si>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</si>
  <si>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</si>
  <si>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</si>
  <si>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</si>
  <si>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</si>
  <si>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</si>
  <si>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</si>
  <si>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</si>
  <si>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</si>
  <si>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</si>
  <si>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</si>
  <si>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</si>
  <si>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</si>
  <si>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</si>
  <si>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</si>
  <si>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</si>
  <si>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Baseline report and nonzero regression exit behavior exist.</t>
  </si>
  <si>
    <t>python -m enterprise_ai.evaluation.run --dataset configs/eval/golden.jsonl --out reports/eval.json</t>
  </si>
  <si>
    <t>Recall@5, citation precision, groundedness, latency and estimated cost recorded.</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</si>
  <si>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</si>
  <si>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</si>
  <si>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</si>
  <si>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</si>
  <si>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</si>
  <si>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</si>
  <si>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</si>
  <si>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</si>
  <si>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</si>
  <si>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</si>
  <si>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</si>
  <si>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</si>
  <si>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</si>
  <si>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Record retrieval/model/token/guardrail metrics without content.</t>
  </si>
  <si>
    <t>Stage-level data explains latency, errors and cost.</t>
  </si>
  <si>
    <t>Metrics include versions/outcomes and exclude prompt/document text.</t>
  </si>
  <si>
    <t>pytest tests/unit/test_telemetry.py -q</t>
  </si>
  <si>
    <t>Redaction tests pass; metrics names are documented.</t>
  </si>
  <si>
    <t>docs/test-evidence/W3-09-telemetry.txt</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</si>
  <si>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</si>
  <si>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</si>
  <si>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</si>
  <si>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</si>
  <si>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</si>
  <si>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</si>
  <si>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CI-style command fails on a material regression.</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</si>
  <si>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</si>
  <si>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</si>
  <si>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</si>
  <si>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</si>
  <si>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Rollback drill</t>
  </si>
  <si>
    <t>Restore prior prompt/model/retriever/index configuration and re-evaluate.</t>
  </si>
  <si>
    <t>RAG changes can regress without application code changes.</t>
  </si>
  <si>
    <t>Last-known-good configuration returns baseline results.</t>
  </si>
  <si>
    <t>Rollback record identifies versions and post-rollback metrics.</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</si>
  <si>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</si>
  <si>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</si>
  <si>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W3-12</t>
  </si>
  <si>
    <t>Approve cited RAG and quality gate before adding agent behavior.</t>
  </si>
  <si>
    <t>Agent tools should not be added to an ungrounded answer system.</t>
  </si>
  <si>
    <t>Grounded answer or abstention works; security/regression/rollback tests pass.</t>
  </si>
  <si>
    <t>make test &amp;&amp; make evaluate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</si>
  <si>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</si>
  <si>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</si>
  <si>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</si>
  <si>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</si>
  <si>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</si>
  <si>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</si>
  <si>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</si>
  <si>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</si>
  <si>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</si>
  <si>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</si>
  <si>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</si>
  <si>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</si>
  <si>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</si>
  <si>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</si>
  <si>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</si>
  <si>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</si>
  <si>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</si>
  <si>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Endpoints return normalized schemas and request IDs.</t>
  </si>
  <si>
    <t>Health and fake query tests pass; no internal prompt/error leak.</t>
  </si>
  <si>
    <t>docs/test-evidence/W4-01-api.txt</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</si>
  <si>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</si>
  <si>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</si>
  <si>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</si>
  <si>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</si>
  <si>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</si>
  <si>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</si>
  <si>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</si>
  <si>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</si>
  <si>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</si>
  <si>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</si>
  <si>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</si>
  <si>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</si>
  <si>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</si>
  <si>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</si>
  <si>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</si>
  <si>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Every path reaches answer, denied, rejected, timed-out or safe-terminal.</t>
  </si>
  <si>
    <t>pytest tests/unit/test_agent_graph.py -q</t>
  </si>
  <si>
    <t>Graph routing tests pass; Mermaid matches implementation.</t>
  </si>
  <si>
    <t>docs/test-evidence/W4-03-graph.txt</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</si>
  <si>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</si>
  <si>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</si>
  <si>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</si>
  <si>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</si>
  <si>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</si>
  <si>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</si>
  <si>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</si>
  <si>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</si>
  <si>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</si>
  <si>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</si>
  <si>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</si>
  <si>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</si>
  <si>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</si>
  <si>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</si>
  <si>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</si>
  <si>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</si>
  <si>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</si>
  <si>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100% write executions have valid approval and idempotency key.</t>
  </si>
  <si>
    <t>docs/test-evidence/W4-05-approval.txt</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</si>
  <si>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</si>
  <si>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</si>
  <si>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</si>
  <si>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</si>
  <si>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</si>
  <si>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</si>
  <si>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</si>
  <si>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</si>
  <si>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</si>
  <si>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</si>
  <si>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</si>
  <si>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</si>
  <si>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</si>
  <si>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</si>
  <si>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</si>
  <si>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</si>
  <si>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</si>
  <si>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</si>
  <si>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</si>
  <si>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</si>
  <si>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</si>
  <si>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</si>
  <si>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</si>
  <si>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</si>
  <si>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</si>
  <si>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</si>
  <si>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</si>
  <si>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</si>
  <si>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</si>
  <si>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</si>
  <si>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</si>
  <si>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</si>
  <si>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</si>
  <si>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</si>
  <si>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</si>
  <si>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</si>
  <si>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</si>
  <si>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</si>
  <si>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</si>
  <si>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</si>
  <si>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</si>
  <si>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</si>
  <si>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</si>
  <si>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</si>
  <si>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</si>
  <si>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</si>
  <si>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</si>
  <si>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</si>
  <si>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</si>
  <si>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</si>
  <si>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</si>
  <si>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</si>
  <si>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</si>
  <si>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</si>
  <si>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</si>
  <si>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</si>
  <si>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</si>
  <si>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Deploy local immutable version N+1, force regression and restore N.</t>
  </si>
  <si>
    <t>Release rollback is separate from infrastructure rollback.</t>
  </si>
  <si>
    <t>N becomes healthy and passes feature tests after rollback.</t>
  </si>
  <si>
    <t>Rollback duration and health evidence recorded.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</si>
  <si>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</si>
  <si>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</si>
  <si>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</si>
  <si>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W4-12</t>
  </si>
  <si>
    <t>Approve controlled API/agent and Week 5 AWS inputs.</t>
  </si>
  <si>
    <t>Cloud infrastructure should not be planned for an unsafe runtime.</t>
  </si>
  <si>
    <t>AWS-001, AWS-002, NET-001, TAG-001, COST-001</t>
  </si>
  <si>
    <t>All consequential actions are policy-valid and approved.</t>
  </si>
  <si>
    <t>make test &amp;&amp; make security-scan</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</si>
  <si>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</si>
  <si>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</si>
  <si>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</si>
  <si>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</si>
  <si>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</si>
  <si>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</si>
  <si>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</si>
  <si>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</si>
  <si>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</si>
  <si>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</si>
  <si>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</si>
  <si>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</si>
  <si>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</si>
  <si>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AWS inputs</t>
  </si>
  <si>
    <t>Confirm sandbox account, region, network, tags, data residency and budget ceiling.</t>
  </si>
  <si>
    <t>Terraform cannot be safely reviewed with ambiguous ownership or cost.</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</si>
  <si>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</si>
  <si>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</si>
  <si>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</si>
  <si>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</si>
  <si>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</si>
  <si>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</si>
  <si>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</si>
  <si>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</si>
  <si>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t>
  </si>
  <si>
    <t>Build isolated encrypted/versioned S3 state and Terraform 1.5 DynamoDB locking stack.</t>
  </si>
  <si>
    <t>State must survive platform rollback and be removed last during full teardown.</t>
  </si>
  <si>
    <t>fmt/validate/Checkov pass; apply remains manual.</t>
  </si>
  <si>
    <t>terraform -chdir=infra/bootstrap fmt -check &amp;&amp; terraform -chdir=infra/bootstrap validate</t>
  </si>
  <si>
    <t>Bootstrap plan contains only expected resources.</t>
  </si>
  <si>
    <t>docs/test-evidence/W5-02-bootstrap.txt</t>
  </si>
  <si>
    <t>Destroy platform first; bootstrap destroy is separately reviewed.</t>
  </si>
  <si>
    <t>Week 5 State bootstrap task in the end-to-end architecture. After Code Edit Approval, Codex writes only the approved code/configuration/test code for “Build isolated encrypted/versioned S3 state and Terraform 1.5 DynamoDB locking stack.”; you run the verification/deployment commands and return the results. Business value: State must survive platform rollback and be removed last during full teardown. Interview focus: explain where this component sits, how it fails safely and how it is rolled back.</t>
  </si>
  <si>
    <t>W5-03</t>
  </si>
  <si>
    <t>Security foundation</t>
  </si>
  <si>
    <t>Create KMS, private/versioned S3 and secret-metadata modules.</t>
  </si>
  <si>
    <t>Encryption and secret separation are foundational controls.</t>
  </si>
  <si>
    <t>KMS-001, TAG-001</t>
  </si>
  <si>
    <t>No public access or secret value resource exists.</t>
  </si>
  <si>
    <t>terraform -chdir=infra/environments/sandbox validate &amp;&amp; checkov -d infra/modules</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</si>
  <si>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</si>
  <si>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</si>
  <si>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</si>
  <si>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</si>
  <si>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</si>
  <si>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</si>
  <si>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</si>
  <si>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</si>
  <si>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</si>
  <si>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</si>
  <si>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</si>
  <si>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</si>
  <si>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checkov -d infra &amp;&amp; opa test policies/opa -v</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</si>
  <si>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</si>
  <si>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</si>
  <si>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</si>
  <si>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</si>
  <si>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</si>
  <si>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</si>
  <si>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</si>
  <si>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</si>
  <si>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</si>
  <si>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</si>
  <si>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</si>
  <si>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</si>
  <si>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</si>
  <si>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</si>
  <si>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</si>
  <si>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</si>
  <si>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</si>
  <si>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</si>
  <si>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Policy as code</t>
  </si>
  <si>
    <t>Implement OPA and Checkov security/tagging policies with fixtures.</t>
  </si>
  <si>
    <t>Policy gates make critical architecture decisions executable.</t>
  </si>
  <si>
    <t>AWS-002, TAG-001</t>
  </si>
  <si>
    <t>Insecure fixtures fail; secure fixtures pass.</t>
  </si>
  <si>
    <t>opa test policies/opa -v &amp;&amp; checkov -d infra</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</si>
  <si>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</si>
  <si>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</si>
  <si>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</si>
  <si>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</si>
  <si>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</si>
  <si>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</si>
  <si>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</si>
  <si>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Create PR CI and Terraform-plan workflow using GitHub OIDC.</t>
  </si>
  <si>
    <t>Automated gates and short-lived identity reduce change and credential risk.</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</si>
  <si>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</si>
  <si>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</si>
  <si>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</si>
  <si>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</si>
  <si>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</si>
  <si>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</si>
  <si>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</si>
  <si>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</si>
  <si>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Build image, scan with Trivy/Grype and generate Syft SBOM.</t>
  </si>
  <si>
    <t>Deployment must use a known, scanned immutable artifact.</t>
  </si>
  <si>
    <t>Critical findings fail per policy and SBOM is retained.</t>
  </si>
  <si>
    <t>docker build -t enterprise-ai:test . &amp;&amp; trivy image enterprise-ai:test</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</si>
  <si>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</si>
  <si>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</si>
  <si>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</si>
  <si>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</si>
  <si>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</si>
  <si>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</si>
  <si>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</si>
  <si>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</si>
  <si>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Plan, policy and cost review are approved before any apply.</t>
  </si>
  <si>
    <t>Summary lists creates/updates/deletes, costs and residual risks.</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</si>
  <si>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</si>
  <si>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</si>
  <si>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</si>
  <si>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</si>
  <si>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</si>
  <si>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</si>
  <si>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</si>
  <si>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</si>
  <si>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</si>
  <si>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</si>
  <si>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</si>
  <si>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</si>
  <si>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</si>
  <si>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</si>
  <si>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</si>
  <si>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</si>
  <si>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</si>
  <si>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</si>
  <si>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</si>
  <si>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</si>
  <si>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</si>
  <si>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</si>
  <si>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</si>
  <si>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</si>
  <si>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</si>
  <si>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</si>
  <si>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</si>
  <si>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</si>
  <si>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</si>
  <si>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make destroy-sandbox &amp;&amp; make verify-clean  # owner-approved only</t>
  </si>
  <si>
    <t>Resource-cleanliness report is complete and signed.</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</si>
  <si>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</si>
  <si>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</si>
  <si>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W5-13</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</si>
  <si>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</si>
  <si>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</si>
  <si>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</si>
  <si>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</si>
  <si>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</si>
  <si>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</si>
  <si>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</si>
  <si>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</si>
  <si>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</si>
  <si>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</si>
  <si>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</si>
  <si>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</si>
  <si>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</si>
  <si>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</si>
  <si>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</si>
  <si>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</si>
  <si>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</si>
  <si>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</si>
  <si>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</si>
  <si>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</si>
  <si>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</si>
  <si>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</si>
  <si>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</si>
  <si>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</si>
  <si>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</si>
  <si>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</si>
  <si>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</si>
  <si>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</si>
  <si>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</si>
  <si>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</si>
  <si>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Create EKS deployment/Service with non-root/read-only settings and probes.</t>
  </si>
  <si>
    <t>Production-shaped runtime boundaries reduce container and availability risk.</t>
  </si>
  <si>
    <t>Server dry-run and policy validation pass.</t>
  </si>
  <si>
    <t>Manifests use immutable digest and no secret literal.</t>
  </si>
  <si>
    <t>docs/test-evidence/W6-02-k8s.txt</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</si>
  <si>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</si>
  <si>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</si>
  <si>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</si>
  <si>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</si>
  <si>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</si>
  <si>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</si>
  <si>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</si>
  <si>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</si>
  <si>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</si>
  <si>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</si>
  <si>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</si>
  <si>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</si>
  <si>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</si>
  <si>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</si>
  <si>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</si>
  <si>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</si>
  <si>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</si>
  <si>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</si>
  <si>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</si>
  <si>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</si>
  <si>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</si>
  <si>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</si>
  <si>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</si>
  <si>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</si>
  <si>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</si>
  <si>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</si>
  <si>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</si>
  <si>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</si>
  <si>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</si>
  <si>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</si>
  <si>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</si>
  <si>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</si>
  <si>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</si>
  <si>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</si>
  <si>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</si>
  <si>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</si>
  <si>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</si>
  <si>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</si>
  <si>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</si>
  <si>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</si>
  <si>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</si>
  <si>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</si>
  <si>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</si>
  <si>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</si>
  <si>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</si>
  <si>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</si>
  <si>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</si>
  <si>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</si>
  <si>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</si>
  <si>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</si>
  <si>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</si>
  <si>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Rules validate and map to an owner/runbook.</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</si>
  <si>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</si>
  <si>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</si>
  <si>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</si>
  <si>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</si>
  <si>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</si>
  <si>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</si>
  <si>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</si>
  <si>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</si>
  <si>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</si>
  <si>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</si>
  <si>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</si>
  <si>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</si>
  <si>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</si>
  <si>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</si>
  <si>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</si>
  <si>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</si>
  <si>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</si>
  <si>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</si>
  <si>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</si>
  <si>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Readiness fails, no retry storm, alert/runbook activates; FIS has tag targets/stop alarms.</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</si>
  <si>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</si>
  <si>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</si>
  <si>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</si>
  <si>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</si>
  <si>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</si>
  <si>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</si>
  <si>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</si>
  <si>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</si>
  <si>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</si>
  <si>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No material regression; sandbox query has citations and trace ID.</t>
  </si>
  <si>
    <t>Evidence index links tests, eval, scans, traces and decisions.</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</si>
  <si>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</si>
  <si>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</si>
  <si>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</si>
  <si>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</si>
  <si>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</si>
  <si>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</si>
  <si>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</si>
  <si>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</si>
  <si>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Rollback record includes trigger, approver, duration and post-checks.</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</si>
  <si>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</si>
  <si>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</si>
  <si>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</si>
  <si>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</si>
  <si>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</si>
  <si>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</si>
  <si>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</si>
  <si>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Signed cleanup report and deletion record exist.</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</si>
  <si>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</si>
  <si>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</si>
  <si>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</si>
  <si>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</si>
  <si>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</si>
  <si>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</si>
  <si>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</si>
  <si>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</si>
  <si>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</si>
  <si>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</si>
  <si>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</si>
  <si>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</si>
  <si>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</si>
  <si>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</si>
  <si>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</si>
  <si>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</si>
  <si>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</si>
  <si>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</si>
  <si>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</si>
  <si>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</si>
  <si>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</si>
  <si>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</si>
  <si>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</si>
  <si>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</si>
  <si>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</si>
  <si>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</si>
  <si>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</si>
  <si>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</si>
  <si>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</si>
  <si>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</si>
  <si>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</si>
  <si>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</si>
  <si>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docs/features/MVP-001.md with scope, exclusions, measures and approval fields</t>
  </si>
  <si>
    <t>Review Main Prompt → Column M document approval → owner review → Column N final approval</t>
  </si>
  <si>
    <t>docs/adr/ADR-000-source-precedence.md in Proposed state</t>
  </si>
  <si>
    <t>Monorepo skeleton, feature-matrix.yaml, ADR/test/evidence folders, Makefile, README</t>
  </si>
  <si>
    <t>Review Main Prompt → Column L code approval → owner runs TEST-001 guidance → Column M documents → Column N final approval</t>
  </si>
  <si>
    <t>requirements*.txt, pyproject.toml, .env.example, typed config and unit tests</t>
  </si>
  <si>
    <t>pytest markers, fixtures, evidence naming rules, sample feature test</t>
  </si>
  <si>
    <t>platformctl commands, dry-run workflows, mocked residual-resource tests</t>
  </si>
  <si>
    <t>Stop between weeks until MUST work, evidence, decisions, TODOs and rollback readiness are reviewed.</t>
  </si>
  <si>
    <t>docs/deployment-records/TODO_WEEK-signoff.md</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</si>
  <si>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</si>
  <si>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</si>
  <si>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</si>
  <si>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</si>
  <si>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</si>
  <si>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Domain models and pluggable vector adapters</t>
  </si>
  <si>
    <t>Prevent vendor SDK types from leaking into RAG logic.</t>
  </si>
  <si>
    <t>QDRANT_URL; AWS auth only for marked tests</t>
  </si>
  <si>
    <t>Domain models, VectorStore protocol, Qdrant/OpenSearch/fake adapters, contract tests</t>
  </si>
  <si>
    <t>Embedder protocol, sentence-transformer/fake adapters, batch and dimension tests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</si>
  <si>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</si>
  <si>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</si>
  <si>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</si>
  <si>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</si>
  <si>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</si>
  <si>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Use only for owner learning and teach-back; no code, command or document mutation</t>
  </si>
  <si>
    <t>Week 2 owner learning and interview teach-back</t>
  </si>
  <si>
    <t>Owner teach-back and optional docs/learning/W2-learning-review.md</t>
  </si>
  <si>
    <t>LLM protocol, fake/Bedrock adapters, prompt loader, RAG service and tests</t>
  </si>
  <si>
    <t>JSONL schema, deterministic metrics, Ragas adapter, baseline and report</t>
  </si>
  <si>
    <t>Input/output validators, citation/abstention gates, security tests</t>
  </si>
  <si>
    <t>Restored configuration and docs/rollback-records/W3-rag.md</t>
  </si>
  <si>
    <t>Week 3 owner learning and interview teach-back</t>
  </si>
  <si>
    <t>Owner teach-back and optional docs/learning/W3-learning-review.md</t>
  </si>
  <si>
    <t>FastAPI endpoints, schemas, dependencies, health, error mapping and tests</t>
  </si>
  <si>
    <t>Typed graph, nodes/edges, approval interrupt, tools, tests and Mermaid</t>
  </si>
  <si>
    <t>Telemetry module, structured logs, trace tests and local collector config</t>
  </si>
  <si>
    <t>Restored release N and docs/rollback-records/W4-release.md</t>
  </si>
  <si>
    <t>Week 4 owner learning and interview teach-back</t>
  </si>
  <si>
    <t>Owner teach-back and optional docs/learning/W4-learning-review.md</t>
  </si>
  <si>
    <t>Non-secret tfvars example and docs/cost-estimates/W5-inputs.md</t>
  </si>
  <si>
    <t>Bootstrap and KMS/S3/IAM/OpenSearch/ECR/secret-metadata modules</t>
  </si>
  <si>
    <t>PR CI, Terraform plan workflow, image/SBOM scans and approval-gated deploy shell</t>
  </si>
  <si>
    <t>Rego policies/tests, Checkov custom policies and fixtures</t>
  </si>
  <si>
    <t>platformctl AWS implementations, deployment/rollback/destroy records, cleanup report</t>
  </si>
  <si>
    <t>Week 5 owner learning and interview teach-back</t>
  </si>
  <si>
    <t>Owner teach-back and optional docs/learning/W5-learning-review.md</t>
  </si>
  <si>
    <t>Kubernetes/Helm manifests, identity, network policy, health, HPA/PDB and rollback</t>
  </si>
  <si>
    <t>OTel collector, Prometheus, Grafana, CloudWatch alarms, runbook and FIS plan</t>
  </si>
  <si>
    <t>Final validation script, evidence index, ADR updates, demo checklist and architecture brief</t>
  </si>
  <si>
    <t>Week 6 owner learning and interview teach-back</t>
  </si>
  <si>
    <t>Owner teach-back and optional docs/learning/W6-learning-review.md</t>
  </si>
  <si>
    <t>Set the owner-learning and code-only operating model.</t>
  </si>
  <si>
    <t>Source of Truth, Coaching Blueprint, tracker and owner decisions</t>
  </si>
  <si>
    <t>Context acknowledgement only</t>
  </si>
  <si>
    <t>Enforce the Main → Code → Owner Test → Documents → Final Approval workflow.</t>
  </si>
  <si>
    <t>Exact tracker rows, Task Context, owner decisions and approved boundaries</t>
  </si>
  <si>
    <t>Read-only plan, code-only edit, owner runbook, documentation gate and learning summary</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</si>
  <si>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</si>
  <si>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</si>
  <si>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</si>
  <si>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</si>
  <si>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Approved business-first documentation/decision record only; no code or command execution</t>
  </si>
  <si>
    <t>Approved code/configuration/test-code changes; owner test/deployment/remediation guide; business/technical/layman/interview summary</t>
  </si>
  <si>
    <t>Local Qdrant foundation, domain models and pluggable vector adapters</t>
  </si>
  <si>
    <t>Establish the pinned local prerequisite and prevent vendor/security leakage into retrieval logic.</t>
  </si>
  <si>
    <t>W1 sign-off; DATA-002, DATA-003, EMB-001, SEC-001; Docker 24+; approved Qdrant digests</t>
  </si>
  <si>
    <t>W2-03, W2-01, W2-02, W2-04, W2-08</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</si>
  <si>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</si>
  <si>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</si>
  <si>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</si>
  <si>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W2-09, W2-10</t>
  </si>
  <si>
    <t>Business/technical/layman explanation, decision review and interview practice only</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</si>
  <si>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</si>
  <si>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</si>
  <si>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</si>
  <si>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</si>
  <si>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</si>
  <si>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W1-13, W2-13, W3-13, W4-13, W5-14, W6-14</t>
  </si>
  <si>
    <t>The owner runs every command. Record PASS only when the owner-executed output and approved evidence prove the expected result.</t>
  </si>
  <si>
    <t>Codex may write lifecycle code and advise steps, but the owner executes every deploy, rollback and teardown command after reviewing exact targets and risk.</t>
  </si>
  <si>
    <t>Execution</t>
  </si>
  <si>
    <t>Must remain consistent with Source of Truth v1.1 and owner-approved decisions; architecture changes still require reviewed ADR control.</t>
  </si>
  <si>
    <t>Change rule: Codex writes approved code only. The owner executes tests/deployments/remediation, approves documentation separately, gives final approval after testing and completes the weekly learning teach-back.</t>
  </si>
  <si>
    <t>1</t>
  </si>
  <si>
    <t>No runtime action</t>
  </si>
  <si>
    <t>2</t>
  </si>
  <si>
    <t>Column L</t>
  </si>
  <si>
    <t>No commands run</t>
  </si>
  <si>
    <t>Owner Testing</t>
  </si>
  <si>
    <t>Owner executes</t>
  </si>
  <si>
    <t>4</t>
  </si>
  <si>
    <t>Column M</t>
  </si>
  <si>
    <t>DOCUMENTATION READY FOR OWNER REVIEW</t>
  </si>
  <si>
    <t>Column N</t>
  </si>
  <si>
    <t>APPROVED FOR USER TRACKER UPDATE</t>
  </si>
  <si>
    <t>Weekly Learning</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</si>
  <si>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</si>
  <si>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</si>
  <si>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</si>
  <si>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</si>
  <si>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</si>
  <si>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</si>
  <si>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</si>
  <si>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</si>
  <si>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</si>
  <si>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</si>
  <si>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</si>
  <si>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</si>
  <si>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</si>
  <si>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</si>
  <si>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</si>
  <si>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</si>
  <si>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</si>
  <si>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</si>
  <si>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</si>
  <si>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</si>
  <si>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</si>
  <si>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</si>
  <si>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</si>
  <si>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</si>
  <si>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</si>
  <si>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</si>
  <si>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</si>
  <si>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</si>
  <si>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</si>
  <si>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</si>
  <si>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</si>
  <si>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</si>
  <si>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</si>
  <si>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</si>
  <si>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</si>
  <si>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</si>
  <si>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</si>
  <si>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</si>
  <si>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</si>
  <si>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</si>
  <si>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</si>
  <si>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</si>
  <si>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</si>
  <si>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Architecture</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</si>
  <si>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</si>
  <si>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</si>
  <si>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</si>
  <si>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</si>
  <si>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</si>
  <si>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</si>
  <si>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</si>
  <si>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</si>
  <si>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Resume</t>
  </si>
  <si>
    <t>W1-12 readiness PASS; final Week 1 sign-off APPROVED by Gyan Prakash Rai at 2026-08-19T00:10:55+08:00 (Asia/Singapore); sign-off evidence docs/deployment-records/W1-signoff.md; implementation commit 10f03a483f2ff639081c5b57dacaf282a31aaad4.</t>
  </si>
  <si>
    <t>Enterprise AI Architecture — Owner-Led Learning and Execution Tracker v1.3.4</t>
  </si>
  <si>
    <t>Objective: learn and own the complete enterprise AI decision flow under FOUR APPROVAL GATES PLUS OWNER TESTING AND WEEKLY LEARNING; Codex writes only inside explicit gates and the owner executes every command.</t>
  </si>
  <si>
    <t>FOUR APPROVAL GATES PLUS OWNER TESTING AND WEEKLY LEARNING</t>
  </si>
  <si>
    <t>Gate 1 — paste one Main Prompt</t>
  </si>
  <si>
    <t>Codex performs complete read-only impact analysis and returns one consolidated plan; no edits or execution.</t>
  </si>
  <si>
    <t>Review impact matrix and decide</t>
  </si>
  <si>
    <t>Confirm business purpose, architecture, all producers/consumers, exact paths, tests, access, cost, rollback, teardown and all owner decisions together.</t>
  </si>
  <si>
    <t>Gate 2 — paste Column L approval</t>
  </si>
  <si>
    <t>Use exact Code Edit Approval, or bounded Content Edit Approval for document/governance tasks. Baseline drift blocks editing.</t>
  </si>
  <si>
    <t>Receive bounded changes and owner guide</t>
  </si>
  <si>
    <t>Codex reports the read-only diff, complete owner execution order and post-implementation learning summary; Codex runs nothing.</t>
  </si>
  <si>
    <t>Owner executes TEST-001</t>
  </si>
  <si>
    <t>Run one command at a time with cache-safe scopes and stop conditions; failures receive complete impact analysis before one consolidated remediation approval.</t>
  </si>
  <si>
    <t>Gate 3 — paste Column M approval</t>
  </si>
  <si>
    <t>Codex writes only exact approved documentation and returns the complete Column M Approved Document Manifest.</t>
  </si>
  <si>
    <t>Gate 4 — paste Column N approval</t>
  </si>
  <si>
    <t>Codex preflights and closes every manifest document, records owner-supplied reviewer/decision/date and returns full reconciliation.</t>
  </si>
  <si>
    <t>Owner updates tracker; complete weekly learning</t>
  </si>
  <si>
    <t>Only after complete Column N closure, update Excel yourself and complete the mandatory end-of-week teach-back before progression.</t>
  </si>
  <si>
    <t>Master Six-Week Owner-Led Learning Plan — v1.3.4</t>
  </si>
  <si>
    <t>Historical statuses, evidence, notes and dates are preserved. Prompt execution follows FOUR APPROVAL GATES PLUS OWNER TESTING AND WEEKLY LEARNING; complete-impact review precedes any bounded edit, and only the owner updates tracker progress.</t>
  </si>
  <si>
    <t>Controlled Owner-Led Codex Prompt Library — v1.3.4</t>
  </si>
  <si>
    <t>Workflow: FOUR APPROVAL GATES PLUS OWNER TESTING AND WEEKLY LEARNING. Main Prompt is read-only; Column L authorizes exact code/content edits; the owner executes TEST-001; Column M produces the complete document manifest; Column N closes every manifest document; only the owner updates Excel.</t>
  </si>
  <si>
    <t>Workflow / Execution Order</t>
  </si>
  <si>
    <t>Column L — Code or Content Edit Approval</t>
  </si>
  <si>
    <t>Column M — Document Approval + Manifest</t>
  </si>
  <si>
    <t>Column N — Final Approval + Complete Closure</t>
  </si>
  <si>
    <t>PROJECT CONTEXT — ENTERPRISE AI ARCHITECTURE OWNER-LED LEARNING PROJECT / TRACKER v1.3.4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t>
  </si>
  <si>
    <t>Control prompt; paste before task prompts</t>
  </si>
  <si>
    <t>Stop at the control prompt's exact boundary</t>
  </si>
  <si>
    <t>Owner retains all execution and approval authority</t>
  </si>
  <si>
    <t>N/A — CONTROL PROMPT</t>
  </si>
  <si>
    <t>CTRL-001 — OWNER-LED COMPLETE-IMPACT DEVELOPMENT CONTROL v1.3.4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t>
  </si>
  <si>
    <t>TEST-001 — OWNER EXECUTION, FAILURE AND CLEANLINESS CONTROL v1.3.4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t>
  </si>
  <si>
    <t xml:space="preserve">FOUR APPROVAL GATES PLUS OWNER TESTING AND WEEKLY LEARNING — TRACKER v1.3.4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SCOPED TASK — W1-MVP-001
Create or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boundary: plan/validate separately from owner-approved mutation; check state and lock handling, identity, tags, spend, rollback, destroy order, scheduled deletion and native plus tag-based residue discovery.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W1-MVP-001.
</t>
  </si>
  <si>
    <t>Gate 1 Main Prompt → Gate 2 bounded Content Edit → owner content review → Gate 3 Column M manifest → Gate 4 Column N complete closure → owner tracker update</t>
  </si>
  <si>
    <t>READY FOR PRE-EDIT REVIEW — W1-MVP-001</t>
  </si>
  <si>
    <t>Owner separately approves exact edit boundary, execution, document manifest and final closure</t>
  </si>
  <si>
    <t xml:space="preserve">COLUMN L — BOUNDED CONTENT EDIT APPROVAL TEMPLATE — W1-MVP-001
This template is not valid approval until the owner copies the reviewed pre-edit plan into every required field and removes every bracketed instruction.
APPROVED AUTHORITY AND CONTENT DESIGN
- Prompt/steps: W1-MVP-001 / W1-01
- Business purpose: Create the missing one-page MVP-001 source-of-truth artifact before repository implementation.
- Approved governing sources: [exact source documents, ADRs and owner decisions]
- Approved content contract: [exact sections, facts, terminology, acceptance criteria and exclusions]
EXACT APPROVED PATH MANIFEST — DOCUMENTS FOR THIS CONTENT EDIT
CREATE:
- [exact repository-relative file path(s), or the word None]
UPDATE:
- [exact repository-relative file path(s), or the word None]
DELETE:
- None unless separately justified and expressly approved.
VERIFIED UNCHANGED CONSUMERS:
- [exact paths inspected and reason unchanged]
EXCLUDED:
- Every path not listed above; all application code, configuration, IaC, schemas, automated tests, evidence and tracker fields.
BASELINE REVALIDATION BEFORE EDITING
Re-read every approved CREATE/UPDATE path and all direct/indirect consumers from the approved impact analysis. Confirm the repository, governing sources, workbook-lock state, target sections and owner facts match the reviewed baseline. If any path, fact, authority or patch context changed, edit nothing and return exactly: BLOCKED — BASELINE CHANGED.
EDIT AUTHORITY
Write only the exact approved content paths and sections. Preserve historical facts and distinguish proposed, approved, PASS, FAIL, NOT RUN, INDETERMINATE, warning, risk and deferred states. Do not run commands/tests, install, build, access network/cloud, deploy, remediate, roll back, tear down, write unapproved evidence/docs, edit Excel, or use Git mutation.
AFTER EDITING
Perform read-only diff inspection only. Return exact changed paths, per-path content summary, authority/consumer synchronization, unresolved decisions, and owner content-review guide. Confirm no command or non-approved file changed.
End exactly: CONTENT READY FOR OWNER REVIEW — W1-MVP-001.
</t>
  </si>
  <si>
    <t xml:space="preserve">COLUMN M — DOCUMENT WRITING APPROVAL TEMPLATE — W1-MVP-001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None
UPDATE:
- `docs/test-evidence/README.md`
- `docs/test-evidence/W1-MVP-001.md`
- `docs/features/MVP-001.md`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W1-MVP-001`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W1-MVP-001.
</t>
  </si>
  <si>
    <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t>
  </si>
  <si>
    <t xml:space="preserve">FOUR APPROVAL GATES PLUS OWNER TESTING AND WEEKLY LEARNING — TRACKER v1.3.4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SCOPED TASK — W1-GOV-001
Create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W1-GOV-001.
</t>
  </si>
  <si>
    <t>READY FOR PRE-EDIT REVIEW — W1-GOV-001</t>
  </si>
  <si>
    <t xml:space="preserve">COLUMN L — BOUNDED CONTENT EDIT APPROVAL TEMPLATE — W1-GOV-001
This template is not valid approval until the owner copies the reviewed pre-edit plan into every required field and removes every bracketed instruction.
APPROVED AUTHORITY AND CONTENT DESIGN
- Prompt/steps: W1-GOV-001 / W1-02
- Business purpose: Create the missing governance decision without creating unrelated Codex context files.
- Approved governing sources: [exact source documents, ADRs and owner decisions]
- Approved content contract: [exact sections, facts, terminology, acceptance criteria and exclusions]
EXACT APPROVED PATH MANIFEST — DOCUMENTS FOR THIS CONTENT EDIT
CREATE:
- [exact repository-relative file path(s), or the word None]
UPDATE:
- [exact repository-relative file path(s), or the word None]
DELETE:
- None unless separately justified and expressly approved.
VERIFIED UNCHANGED CONSUMERS:
- [exact paths inspected and reason unchanged]
EXCLUDED:
- Every path not listed above; all application code, configuration, IaC, schemas, automated tests, evidence and tracker fields.
BASELINE REVALIDATION BEFORE EDITING
Re-read every approved CREATE/UPDATE path and all direct/indirect consumers from the approved impact analysis. Confirm the repository, governing sources, workbook-lock state, target sections and owner facts match the reviewed baseline. If any path, fact, authority or patch context changed, edit nothing and return exactly: BLOCKED — BASELINE CHANGED.
EDIT AUTHORITY
Write only the exact approved content paths and sections. Preserve historical facts and distinguish proposed, approved, PASS, FAIL, NOT RUN, INDETERMINATE, warning, risk and deferred states. Do not run commands/tests, install, build, access network/cloud, deploy, remediate, roll back, tear down, write unapproved evidence/docs, edit Excel, or use Git mutation.
AFTER EDITING
Perform read-only diff inspection only. Return exact changed paths, per-path content summary, authority/consumer synchronization, unresolved decisions, and owner content-review guide. Confirm no command or non-approved file changed.
End exactly: CONTENT READY FOR OWNER REVIEW — W1-GOV-001.
</t>
  </si>
  <si>
    <t xml:space="preserve">COLUMN M — DOCUMENT WRITING APPROVAL TEMPLATE — W1-GOV-001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None
UPDATE:
- `docs/test-evidence/README.md`
- `docs/test-evidence/W1-GOV-001.md`
- `docs/adr/ADR-000-source-precedence.md`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W1-GOV-001`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W1-GOV-001.
</t>
  </si>
  <si>
    <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t>
  </si>
  <si>
    <t xml:space="preserve">FOUR APPROVAL GATES PLUS OWNER TESTING AND WEEKLY LEARNING — TRACKER v1.3.4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tools/validate_feature_matrix.py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W1-001.
</t>
  </si>
  <si>
    <t>Gate 1 Main Prompt → Gate 2 Column L Code Edit → owner TEST-001 → Gate 3 Column M manifest → Gate 4 Column N complete closure → owner tracker update</t>
  </si>
  <si>
    <t>READY FOR PRE-EDIT REVIEW — W1-001</t>
  </si>
  <si>
    <t xml:space="preserve">COLUMN L — BOUNDED CODE EDIT APPROVAL TEMPLATE — W1-001
This template is not valid approval until the owner copies the complete reviewed impact boundary into every required field and removes every bracketed instruction. A prompt ID alone is not edit authority.
APPROVED TASK CONTRACT
- Prompt/steps: W1-001 / W1-03, W1-04, W1-07
- Business purpose: Create the traceability and evidence structure before feature code.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W1-001.
</t>
  </si>
  <si>
    <t xml:space="preserve">COLUMN M — DOCUMENT WRITING APPROVAL TEMPLATE — W1-001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None
UPDATE:
- `docs/test-evidence/README.md`
- `docs/test-evidence/W1-001.md`
- `README.md`
- `docs/features/FEATURE-TEMPLATE.md`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W1-001`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W1-001.
</t>
  </si>
  <si>
    <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t>
  </si>
  <si>
    <t xml:space="preserve">FOUR APPROVAL GATES PLUS OWNER TESTING AND WEEKLY LEARNING — TRACKER v1.3.4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inspect pyproject.toml before proposing commands; preview Ruff fixes read-only; use the configured MyPy scope; assess type, import, integer/Boolean, async cancellation and API-version compatibility.
- Model/runtime boundary: verify immutable identity, approved artifacts, runtime API names, offline/network controls, CPU/GPU policy, concurrency, cancellation, external cache location, privacy and telemetry before integration testing.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W1-002.
</t>
  </si>
  <si>
    <t>READY FOR PRE-EDIT REVIEW — W1-002</t>
  </si>
  <si>
    <t xml:space="preserve">COLUMN L — BOUNDED CODE EDIT APPROVAL TEMPLATE — W1-002
This template is not valid approval until the owner copies the complete reviewed impact boundary into every required field and removes every bracketed instruction. A prompt ID alone is not edit authority.
APPROVED TASK CONTRACT
- Prompt/steps: W1-002 / W1-05
- Business purpose: Make installation reproducible and configuration explicit.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W1-002.
</t>
  </si>
  <si>
    <t xml:space="preserve">COLUMN M — DOCUMENT WRITING APPROVAL TEMPLATE — W1-002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None
UPDATE:
- `docs/test-evidence/README.md`
- `docs/test-evidence/W1-002.md`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W1-002`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W1-002.
</t>
  </si>
  <si>
    <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t>
  </si>
  <si>
    <t xml:space="preserve">FOUR APPROVAL GATES PLUS OWNER TESTING AND WEEKLY LEARNING — TRACKER v1.3.4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Python quality: inspect pyproject.toml before proposing commands; preview Ruff fixes read-only; use the configured MyPy scope; assess type, import, integer/Boolean, async cancellation and API-version compatibility.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W1-003.
</t>
  </si>
  <si>
    <t>READY FOR PRE-EDIT REVIEW — W1-003</t>
  </si>
  <si>
    <t xml:space="preserve">COLUMN L — BOUNDED CODE EDIT APPROVAL TEMPLATE — W1-003
This template is not valid approval until the owner copies the complete reviewed impact boundary into every required field and removes every bracketed instruction. A prompt ID alone is not edit authority.
APPROVED TASK CONTRACT
- Prompt/steps: W1-003 / W1-06, W1-08
- Business purpose: Make every acceptance criterion executable and auditable.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W1-003.
</t>
  </si>
  <si>
    <t xml:space="preserve">COLUMN M — DOCUMENT WRITING APPROVAL TEMPLATE — W1-003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None
UPDATE:
- `docs/test-evidence/README.md`
- `docs/test-evidence/W1-003.md`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W1-003`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W1-003.
</t>
  </si>
  <si>
    <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t>
  </si>
  <si>
    <t xml:space="preserve">FOUR APPROVAL GATES PLUS OWNER TESTING AND WEEKLY LEARNING — TRACKER v1.3.4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Python quality: inspect pyproject.toml before proposing commands; preview Ruff fixes read-only; use the configured MyPy scope; assess type, import, integer/Boolean, async cancellation and API-version compatibility.
- Infrastructure boundary: plan/validate separately from owner-approved mutation; check state and lock handling, identity, tags, spend, rollback, destroy order, scheduled deletion and native plus tag-based residue discovery.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W1-004.
</t>
  </si>
  <si>
    <t>READY FOR PRE-EDIT REVIEW — W1-004</t>
  </si>
  <si>
    <t xml:space="preserve">COLUMN L — BOUNDED CODE EDIT APPROVAL TEMPLATE — W1-004
This template is not valid approval until the owner copies the complete reviewed impact boundary into every required field and removes every bracketed instruction. A prompt ID alone is not edit authority.
APPROVED TASK CONTRACT
- Prompt/steps: W1-004 / W1-09, W1-10, W1-11
- Business purpose: Treat deployability and reversibility as platform features.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W1-004.
</t>
  </si>
  <si>
    <t xml:space="preserve">COLUMN M — DOCUMENT WRITING APPROVAL TEMPLATE — W1-004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None
UPDATE:
- `docs/test-evidence/README.md`
- `docs/test-evidence/W1-004.md`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W1-004`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W1-004.
</t>
  </si>
  <si>
    <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t>
  </si>
  <si>
    <t xml:space="preserve">FOUR APPROVAL GATES PLUS OWNER TESTING AND WEEKLY LEARNING — TRACKER v1.3.4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Use host 127.0.0.1:6333, Compose project enterprise-ai-w2-004a, service qdrant, volume enterprise-ai-w2-004a_qdrant_data and internal network enterprise-ai-w2-004a_qdrant_internal.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inspect pyproject.toml before proposing commands; preview Ruff fixes read-only; use the configured MyPy scope; assess type, import, integer/Boolean, async cancellation and API-version compatibility.
- Model/runtime boundary: verify immutable identity, approved artifacts, runtime API names, offline/network controls, CPU/GPU policy, concurrency, cancellation, external cache location, privacy and telemetry before integration testing.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W2-001.
</t>
  </si>
  <si>
    <t>READY FOR PRE-EDIT REVIEW — W2-001</t>
  </si>
  <si>
    <t xml:space="preserve">COLUMN L — BOUNDED CODE EDIT APPROVAL TEMPLATE — W2-001
This template is not valid approval until the owner copies the complete reviewed impact boundary into every required field and removes every bracketed instruction. A prompt ID alone is not edit authority.
APPROVED TASK CONTRACT
- Prompt/steps: W2-001 / W2-03, W2-01, W2-02, W2-04, W2-08
- Business purpose: Establish the pinned local prerequisite and prevent vendor/security leakage into retrieval logic.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W2-001.
</t>
  </si>
  <si>
    <t xml:space="preserve">COLUMN M — DOCUMENT WRITING APPROVAL TEMPLATE — W2-001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W2-001`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W2-001.
</t>
  </si>
  <si>
    <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t>
  </si>
  <si>
    <t xml:space="preserve">FOUR APPROVAL GATES PLUS OWNER TESTING AND WEEKLY LEARNING — TRACKER v1.3.4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inspect pyproject.toml before proposing commands; preview Ruff fixes read-only; use the configured MyPy scope; assess type, import, integer/Boolean, async cancellation and API-version compatibility.
- Model/runtime boundary: verify immutable identity, approved artifacts, runtime API names, offline/network controls, CPU/GPU policy, concurrency, cancellation, external cache location, privacy and telemetry before integration testing.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W2-002.
</t>
  </si>
  <si>
    <t>READY FOR PRE-EDIT REVIEW — W2-002</t>
  </si>
  <si>
    <t xml:space="preserve">COLUMN L — BOUNDED CODE EDIT APPROVAL TEMPLATE — W2-002
This template is not valid approval until the owner copies the complete reviewed impact boundary into every required field and removes every bracketed instruction. A prompt ID alone is not edit authority.
APPROVED TASK CONTRACT
- Prompt/steps: W2-002 / W2-05
- Business purpose: Support local and future provider embeddings through one boundary.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W2-002.
</t>
  </si>
  <si>
    <t xml:space="preserve">COLUMN M — DOCUMENT WRITING APPROVAL TEMPLATE — W2-002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`docs/test-evidence/W2-002.md`
- `docs/test-evidence/W2-05-embedder.txt`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W2-002`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W2-002.
</t>
  </si>
  <si>
    <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t>
  </si>
  <si>
    <t xml:space="preserve">FOUR APPROVAL GATES PLUS OWNER TESTING AND WEEKLY LEARNING — TRACKER v1.3.4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inspect pyproject.toml before proposing commands; preview Ruff fixes read-only; use the configured MyPy scope; assess type, import, integer/Boolean, async cancellation and API-version compatibility.
- Model/runtime boundary: verify immutable identity, approved artifacts, runtime API names, offline/network controls, CPU/GPU policy, concurrency, cancellation, external cache location, privacy and telemetry before integration testing.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W2-003.
</t>
  </si>
  <si>
    <t>READY FOR PRE-EDIT REVIEW — W2-003</t>
  </si>
  <si>
    <t xml:space="preserve">COLUMN L — BOUNDED CODE EDIT APPROVAL TEMPLATE — W2-003
This template is not valid approval until the owner copies the complete reviewed impact boundary into every required field and removes every bracketed instruction. A prompt ID alone is not edit authority.
APPROVED TASK CONTRACT
- Prompt/steps: W2-003 / W2-06, W2-07
- Business purpose: Turn approved files into versioned, authorized chunks.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W2-003.
</t>
  </si>
  <si>
    <t xml:space="preserve">COLUMN M — DOCUMENT WRITING APPROVAL TEMPLATE — W2-003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`docs/test-evidence/W2-003.md`
- `docs/test-evidence/W2-06-ingestion.txt`
- `docs/test-evidence/W2-07-pii.txt`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W2-003`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W2-003.
</t>
  </si>
  <si>
    <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t>
  </si>
  <si>
    <t xml:space="preserve">FOUR APPROVAL GATES PLUS OWNER TESTING AND WEEKLY LEARNING — TRACKER v1.3.4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Python quality: inspect pyproject.toml before proposing commands; preview Ruff fixes read-only; use the configured MyPy scope; assess type, import, integer/Boolean, async cancellation and API-version compatibility.
- Model/runtime boundary: verify immutable identity, approved artifacts, runtime API names, offline/network controls, CPU/GPU policy, concurrency, cancellation, external cache location, privacy and telemetry before integration testing.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W2-004.
</t>
  </si>
  <si>
    <t>READY FOR PRE-EDIT REVIEW — W2-004</t>
  </si>
  <si>
    <t xml:space="preserve">COLUMN L — BOUNDED CODE EDIT APPROVAL TEMPLATE — W2-004
This template is not valid approval until the owner copies the complete reviewed impact boundary into every required field and removes every bracketed instruction. A prompt ID alone is not edit authority.
APPROVED TASK CONTRACT
- Prompt/steps: W2-004 / W2-09, W2-10
- Business purpose: Prove approved retrieval end-to-end using the existing W2-001 Qdrant foundation, then restore and remove it cleanly.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W2-004.
</t>
  </si>
  <si>
    <t xml:space="preserve">COLUMN M — DOCUMENT WRITING APPROVAL TEMPLATE — W2-004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`docs/test-evidence/W2-004.md`
- `docs/test-evidence/W2-09-retrieval.json`
- `docs/rollback-records/W2-local.md`
- `docs/resource-cleanliness/W2-local.json`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W2-004`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W2-004.
</t>
  </si>
  <si>
    <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t>
  </si>
  <si>
    <t xml:space="preserve">FOUR APPROVAL GATES PLUS OWNER TESTING AND WEEKLY LEARNING — TRACKER v1.3.4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 or content mutation is authorized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Record explanation notes in docs/architecture/local-retrieval.md
  Expected result: Explanation connects decisions to quality, security and cost.
  Canonical evidence: docs/architecture/local-retrieval.md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SCOPED TASK — W2-LEARN-001
Create or update only docs/architecture/local-retrieval.md. Explain in plain and interview-ready language: embeddings, cosine similarity, chunk size/overlap, metadata authorization filters, adapter boundaries, Qdrant-to-OpenSearch migration, quality/security/cost trade-offs and the decisions actually implemented. Reference relevant ADRs and redacted W2 evidence. Do not change application code, data, configuration, containers or cloud resources.
TASK-SPECIFIC AMENDMENT — EVIDENCE-BOUND LEARNING CHECKPOINT
Do not start until W2-09 has independently passed and the implemented ADRs/configuration/evidence are stable. Explain the actual model pin, 384-dimensional normalized cosine vectors, fake-versus-real embedder purpose, chunk/overlap trade-off, tenant/classification/ACL filtering, pre-filter plus post-result validation, Qdrant-to-OpenSearch migration/re-index implications, PII-before-embedding, cost and complete-removal evidence. Do not claim unrun AWS/OpenSearch or semantic-quality results. Modify only docs/architecture/local-retrieval.md, validate all references, and leave code, data, configuration, Docker, caches and cloud untouched.
FINAL TEACHING-ONLY BOUNDARY — THIS SECTION SUPERSEDES EVERY CONFLICTING INSTRUCTION ABOVE
Use W2-LEARN-001 only to teach and review approved facts. Do not create or edit code, documentation, evidence or the tracker; do not run commands or mutate local/cloud resources.
Explain the business use case, end-to-end flow, technical components, owner decisions, trade-offs, security/reliability controls, failure/rollback story, layman analogy and interview questions. Clearly label anything not yet implemented or owner-tested.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inspect pyproject.toml before proposing commands; preview Ruff fixes read-only; use the configured MyPy scope; assess type, import, integer/Boolean, async cancellation and API-version compatibility.
- Model/runtime boundary: verify immutable identity, approved artifacts, runtime API names, offline/network controls, CPU/GPU policy, concurrency, cancellation, external cache location, privacy and telemetry before integration testing.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W2-LEARN-001.
</t>
  </si>
  <si>
    <t>Main Prompt teaching plan → owner teach-back → optional exact-path Column M only if a learning note is approved → Column N closure only for a real manifest</t>
  </si>
  <si>
    <t>Owner learning/teach-back review — W2-LEARN-001</t>
  </si>
  <si>
    <t>Owner completes and acknowledges teach-back; no mutation is implied</t>
  </si>
  <si>
    <t xml:space="preserve">COLUMN L APPROVAL POSITION — OWNER LEARNING REVIEW — W2-LEARN-001
No code, configuration, infrastructure, schema, automated test or narrative-document edit is authorized. Codex teaches the approved scope and conducts owner teach-back only. Any learning-note write requires a separate Column M approval containing exact document paths.
End exactly: LEARNING REVIEW READY — W2-LEARN-001.
</t>
  </si>
  <si>
    <t xml:space="preserve">COLUMN M — DOCUMENT WRITING APPROVAL — W2-LEARN-001
NOT APPLICABLE BY DEFAULT: this learning prompt approves teaching and teach-back only. No repository document path is authorized or inferred.
If the owner later wants a learning note, provide a new Column M approval with exact CREATE, UPDATE, VERIFIED UNCHANGED and EXCLUDED repository-relative paths plus owner-supplied results. Codex must then produce the complete Column M Approved Document Manifest; otherwise no Column N document closure occurs.
End exactly: DOCUMENTATION NOT AUTHORIZED — W2-LEARN-001.
</t>
  </si>
  <si>
    <t xml:space="preserve">COLUMN N — FINAL APPROVAL AND COMPLETE DOCUMENTATION CLOSURE — W2-LEARN-001
If Column M was not used and no document manifest exists, this gate records owner teach-back only and authorizes no repository or tracker mutation. If any document was created or updated under a later Column M approval, the complete closure below is mandatory.
OWNER MUST SUPPLY — DO NOT INVENT
- Prompt ID: W2-LEARN-001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t>
  </si>
  <si>
    <t xml:space="preserve">FOUR APPROVAL GATES PLUS OWNER TESTING AND WEEKLY LEARNING — TRACKER v1.3.4
MAIN PROMPT — W3-001
TASK IDENTITY
- Week: Week 3
- Feature/outcome: LLM adapters and cited RAG pipeline
- Business purpose: Generate evidence-bound answers while retaining provider portability.
- Covered tracker steps: W3-01, W3-02, W3-03, W3-04
- Required inputs: LLM_PROVIDER, LLM_MODEL_ID, AWS_REGION; Bedrock test is marked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W3-01 — Create provider-neutral chat/tool/usage types and fake provider.
  Business reason: RAG logic should not depend on Bedrock response formats.
  Acceptance: Fake tests cover success, timeout and malformed response.
  Dependency: W2-13
  Owner verification reference: pytest tests/unit/test_llm_provider.py -q
  Expected result: Normalized errors and usage fields are stable.
  Canonical evidence: docs/test-evidence/W3-01-llm-contract.txt
  Rollback/teardown: Switch configuration back to fake provider.
  Current tracker status (read-only historical/current fact): Not Started
  Separate Task Context: 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
- W3-02 — Implement Bedrock adapter behind marked integration tests.
  Business reason: Bedrock is the primary AWS model boundary without GPU operations.
  Acceptance: Adapter has deadlines/retry caps and no hard-coded model ID.
  Dependency: W3-01
  Owner verification reference: pytest tests/unit/test_bedrock_adapter.py -q
  Expected result: Offline tests pass; live test is skipped unless explicitly enabled.
  Canonical evidence: docs/test-evidence/W3-02-bedrock.txt
  Rollback/teardown: Set LLM_PROVIDER=fake; revoke test session if created.
  Current tracker status (read-only historical/current fact): Not Started
  Separate Task Context: 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
- W3-03 — Create versioned evidence-bound prompt template.
  Business reason: Retrieved documents are data, never instructions.
  Acceptance: Prompt clearly delimits evidence and demands citations/abstention.
  Dependency: W3-01
  Owner verification reference: pytest tests/unit/test_prompt_template.py -q
  Expected result: Injection fixture cannot override system policy.
  Canonical evidence: docs/test-evidence/W3-03-prompt.txt
  Rollback/teardown: Restore previous approved prompt version.
  Current tracker status (read-only historical/current fact): Not Started
  Separate Task Context: 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
- W3-04 — Authorize, retrieve, grade, generate and validate citations.
  Business reason: This is the core safe-answer path.
  Acceptance: Structured Answer contains only supplied source IDs.
  Dependency: W3-01:W3-03,W2-09
  Owner verification reference: pytest tests/unit/test_rag_pipeline.py -q
  Expected result: Good evidence answers; low evidence abstains.
  Canonical evidence: docs/test-evidence/W3-04-rag.txt
  Rollback/teardown: Switch to last-known-good prompt/model/retriever configuration.
  Current tracker status (read-only historical/current fact): Not Started
  Separate Task Context: 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
Downstream tracker steps identified from recorded dependencies: W3-02, W3-03, W3-04, W3-05, W3-07, W3-09, W3-12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Define an async LLMProvider Protocol with normalized ChatRequest, ToolSpec, Usage and ChatResponse. Implement FakeLLMProvider and BedrockLLMProvider using boto3, configured model ID, explicit connect/read timeouts, retry caps, usage capture and normalized throttle/timeout errors. Implement cited RAG: authorize metadata before retrieval, retrieve top-k, reject weak evidence, delimit context as untrusted data, generate a structured Answer, validate every citation against supplied context and abstain when evidence is insufficient. Do not log prompts or document text.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TASK-SPECIFIC AMENDMENT — CITED RAG AND OWNER-GATED BEDROCK
1. Require W2-12 owner sign-off, independently approved W2 implementation hashes, BED-001, SEC-001/DATA-002 and an explicit RAG-001 proposal for top_k, minimum score and context/token budget. Verify ADR-004 and step dependencies W3-01 → W3-02/W3-03 → W3-04.
2. FakeLLMProvider is the default for unit/feature tests. Bedrock unit tests use an injected/stubbed client; no AWS call. Live Bedrock model discovery/inference is networked, paid and owner-gated and requires exact account/region/model ID, quota, fallback, timeout/retry, expected maximum spend and privacy/residency approval. Never hard-code a model ID or silently substitute a region/model.
3. Treat identity and Query separately. Authorize before retrieval, retrieve only filtered evidence, delimit retrieved text as untrusted, grade evidence with deterministic rules, generate a typed Answer, validate every citation against supplied authorized source/chunk IDs and abstain on weak, conflicting, unauthorized or malformed evidence. Do not expose chain-of-thought.
4. Bound connect/read deadlines, retry only classified transient/throttle errors with caps/jitter, capture safe usage/cost fields and normalize timeout/throttle/malformed errors without endpoints, content or SDK exceptions. Never log prompt/context/document/PII/secrets.
5. Test LLM contract success/timeout/throttle/malformed/usage, prompt delimiter/injection, authorization short-circuit, weak/conflicting evidence, citation fabrication, abstention, deadlines/retry exhaustion and provider-object isolation.
6. Canonical evidence: W3-01-llm-contract.txt, W3-02-bedrock.txt, W3-03-prompt.txt and W3-04-rag.txt. Aggregate W3-rag.txt may summarize but must not conflict. Run normal developer commands and cleanliness. No unapproved AWS/paid call, Qdrant lifecycle change, tracker edit, stage, commit or push.
7. After W3-001 passes, run W4-003 Phase A for W3-09 telemetry before the Week 3 checkpoint; do not wait until Week 4.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inspect pyproject.toml before proposing commands; preview Ruff fixes read-only; use the configured MyPy scope; assess type, import, integer/Boolean, async cancellation and API-version compatibility.
- Model/runtime boundary: verify immutable identity, approved artifacts, runtime API names, offline/network controls, CPU/GPU policy, concurrency, cancellation, external cache location, privacy and telemetry before integration testing.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W3-001.
</t>
  </si>
  <si>
    <t>READY FOR PRE-EDIT REVIEW — W3-001</t>
  </si>
  <si>
    <t xml:space="preserve">COLUMN L — BOUNDED CODE EDIT APPROVAL TEMPLATE — W3-001
This template is not valid approval until the owner copies the complete reviewed impact boundary into every required field and removes every bracketed instruction. A prompt ID alone is not edit authority.
APPROVED TASK CONTRACT
- Prompt/steps: W3-001 / W3-01, W3-02, W3-03, W3-04
- Business purpose: Generate evidence-bound answers while retaining provider portability.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W3-001.
</t>
  </si>
  <si>
    <t xml:space="preserve">COLUMN M — DOCUMENT WRITING APPROVAL TEMPLATE — W3-001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`docs/test-evidence/W3-001.md`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W3-001`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W3-001.
</t>
  </si>
  <si>
    <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t>
  </si>
  <si>
    <t xml:space="preserve">FOUR APPROVAL GATES PLUS OWNER TESTING AND WEEKLY LEARNING — TRACKER v1.3.4
MAIN PROMPT — W3-002
TASK IDENTITY
- Week: Week 3
- Feature/outcome: Evaluation harness and release gate
- Business purpose: Replace subjective demonstrations with repeatable evidence.
- Covered tracker steps: W3-06, W3-07, W3-10
- Required inputs: configs/eval/golden.jsonl with 25+ approved cases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W3-06 — Create 25+ golden cases with sources, facts, tenant and safety tags.
  Business reason: Quality thresholds require versioned, representative truth data.
  Acceptance: Dataset passes schema and privacy review.
  Dependency: W2-09
  Owner verification reference: python tools/validate_eval_dataset.py configs/eval/golden.jsonl
  Expected result: 25+ valid cases; no prohibited data.
  Canonical evidence: docs/test-evidence/W3-06-golden.txt
  Rollback/teardown: Revert dataset version; never silently edit expected answers.
  Current tracker status (read-only historical/current fact): Not Started
  Separate Task Context: 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
- W3-07 — Measure retrieval, citations, abstention, latency and cost.
  Business reason: Promotion must rely on repeatable evidence, not a demo.
  Acceptance: Baseline report and nonzero regression exit behavior exist.
  Dependency: W3-04,W3-06
  Owner verification reference: python -m enterprise_ai.evaluation.run --dataset configs/eval/golden.jsonl --out reports/eval.json
  Expected result: Recall@5, citation precision, groundedness, latency and estimated cost recorded.
  Canonical evidence: reports/eval.json
  Rollback/teardown: Restore last approved baseline; block release on unresolved regression.
  Current tracker status (read-only historical/current fact): Not Started
  Separate Task Context: 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
- W3-10 — Set initial thresholds: Recall@5 &gt;=0.85 and citation-valid/safe-abstain &gt;=95%.
  Business reason: Thresholds convert evaluation into a release decision.
  Acceptance: CI-style command fails on a material regression.
  Dependency: W3-07
  Owner verification reference: make evaluate
  Expected result: Baseline passes; synthetic regression fails.
  Canonical evidence: docs/test-evidence/W3-10-gate.txt
  Rollback/teardown: Revert candidate prompt/model/index and preserve failing evidence.
  Current tracker status (read-only historical/current fact): Not Started
  Separate Task Context: 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
Downstream tracker steps identified from recorded dependencies: W3-07, W3-10, W3-11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Implement a versioned JSONL evaluation harness with question, expected facts, expected source IDs, tenant and safety tags. Compute retrieval recall@k/MRR, citation precision, abstention correctness, latency and token/cost fields. Integrate Ragas behind an Evaluator Protocol; label LLM-judge metrics non-deterministic. Compare with a checked-in baseline and fail only on configured material regression. Redact case content in logs and output machine-readable JSON plus concise Markdown.
TASK-SPECIFIC CLARIFICATION
Include at least 25 versioned golden JSONL cases with question, expected facts, expected source IDs, tenant and safety tags. Validate schema and privacy; never silently alter approved expected facts.
TASK-SPECIFIC AMENDMENT — VERSIONED GOLDEN TRUTH AND DETERMINISTIC RELEASE GATE
1. Require W3-001, W3-003 and W4-003 Phase A to have independent PASS/final owner approval; EVAL-001 and DATA-001 owner approval; a valid corpus manifest; stable source IDs; and approved metric definitions/thresholds. Never generate expected facts from the candidate model.
2. Include at least 25 versioned cases with case ID, question, expected facts, expected source IDs, tenant, authorization context and safety tags. Validate every source ID, tenant/classification rule, schema, duplicate and privacy boundary. Owner-approved expected facts may change only through a separately reviewed dataset version.
3. Deterministic offline metrics and failure propagation are the release authority. Compute Recall@5/MRR, citation precision/validity, abstention correctness, latency and token/cost fields. Initial gates: Recall@5 &gt;= 0.85 and citation-valid grounded answer or correct safe abstention &gt;= 95%; unresolved security/isolation failure always blocks.
4. Ragas/LLM-judge metrics remain behind Evaluator and are non-deterministic supplemental results. Any judge call requires exact model/provider, case limit, maximum spend, residency/privacy and network approval. Paid/judge-disabled is NOT RUN, not PASS.
5. Compare to a versioned checked-in baseline with explicit tolerance and nonzero material-regression exit. Preserve candidate and failure evidence; never overwrite the last approved baseline on failure or tune thresholds to make a candidate pass.
6. Test schema/privacy/source validation, metric edge cases, deterministic repeatability, partial/failed provider behavior, nonzero regression, redacted reports and baseline immutability. Canonical evidence: W3-06-golden.txt, reports/eval.json and W3-10-gate.txt; reconcile aggregate evidence. No hidden model/Qdrant/AWS/paid mutation,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Model/runtime boundary: verify immutable identity, approved artifacts, runtime API names, offline/network controls, CPU/GPU policy, concurrency, cancellation, external cache location, privacy and telemetry before integration testing.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W3-002.
</t>
  </si>
  <si>
    <t>READY FOR PRE-EDIT REVIEW — W3-002</t>
  </si>
  <si>
    <t xml:space="preserve">COLUMN L — BOUNDED CODE EDIT APPROVAL TEMPLATE — W3-002
This template is not valid approval until the owner copies the complete reviewed impact boundary into every required field and removes every bracketed instruction. A prompt ID alone is not edit authority.
APPROVED TASK CONTRACT
- Prompt/steps: W3-002 / W3-06, W3-07, W3-10
- Business purpose: Replace subjective demonstrations with repeatable evidence.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W3-002.
</t>
  </si>
  <si>
    <t xml:space="preserve">COLUMN M — DOCUMENT WRITING APPROVAL TEMPLATE — W3-002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`docs/test-evidence/W3-002.md`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W3-002`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W3-002.
</t>
  </si>
  <si>
    <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t>
  </si>
  <si>
    <t xml:space="preserve">FOUR APPROVAL GATES PLUS OWNER TESTING AND WEEKLY LEARNING — TRACKER v1.3.4
MAIN PROMPT — W3-003
TASK IDENTITY
- Week: Week 3
- Feature/outcome: RAG guardrails and security regression suite
- Business purpose: Treat retrieved content as untrusted and enforce authorization outside the model.
- Covered tracker steps: W3-05, W3-08
- Required inputs: Classification/tenant rules; injection fixtures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recorded dependencies: W3-08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approved W3-001 and execute before W3-002 establishes the release baseline.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Python quality: inspect pyproject.toml before proposing commands; preview Ruff fixes read-only; use the configured MyPy scope; assess type, import, integer/Boolean, async cancellation and API-version compatibility.
- Model/runtime boundary: verify immutable identity, approved artifacts, runtime API names, offline/network controls, CPU/GPU policy, concurrency, cancellation, external cache location, privacy and telemetry before integration testing.
- Infrastructure boundary: plan/validate separately from owner-approved mutation; check state and lock handling, identity, tags, spend, rollback, destroy order, scheduled deletion and native plus tag-based residue discovery.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W3-003.
</t>
  </si>
  <si>
    <t>READY FOR PRE-EDIT REVIEW — W3-003</t>
  </si>
  <si>
    <t xml:space="preserve">COLUMN L — BOUNDED CODE EDIT APPROVAL TEMPLATE — W3-003
This template is not valid approval until the owner copies the complete reviewed impact boundary into every required field and removes every bracketed instruction. A prompt ID alone is not edit authority.
APPROVED TASK CONTRACT
- Prompt/steps: W3-003 / W3-05, W3-08
- Business purpose: Treat retrieved content as untrusted and enforce authorization outside the model.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W3-003.
</t>
  </si>
  <si>
    <t xml:space="preserve">COLUMN M — DOCUMENT WRITING APPROVAL TEMPLATE — W3-003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`docs/test-evidence/W3-003.md`
- `docs/test-evidence/W3-05-guardrails.txt`
- `docs/test-evidence/W3-08-security.txt`
- `docs/test-evidence/W3-security.txt`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W3-003`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W3-003.
</t>
  </si>
  <si>
    <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t>
  </si>
  <si>
    <t xml:space="preserve">FOUR APPROVAL GATES PLUS OWNER TESTING AND WEEKLY LEARNING — TRACKER v1.3.4
MAIN PROMPT — W3-ROLLBACK-001
TASK IDENTITY
- Week: Week 3
- Feature/outcome: Cited-RAG configuration rollback drill
- Business purpose: Prove prompt/model/retriever/index configuration can return to a known-good baseline.
- Covered tracker steps: W3-11
- Required inputs: Approved baseline and exact local configuration paths from the pre-edit plan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W3-11 — Restore prior prompt/model/retriever/index configuration and re-evaluate.
  Business reason: RAG changes can regress without application code changes.
  Acceptance: Last-known-good configuration returns baseline results.
  Dependency: W3-10
  Owner verification reference: make rollback-rag &amp;&amp; make evaluate
  Expected result: Rollback record identifies versions and post-rollback metrics.
  Canonical evidence: docs/rollback-records/W3-rag.md
  Rollback/teardown: Forward-fix only after a new feature cycle.
  Current tracker status (read-only historical/current fact): Not Started
  Separate Task Context: 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
Downstream tracker steps identified from recorded dependencies: W3-12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SCOPED TASK — W3-ROLLBACK-001
Use only the exact existing local prompt/model/retriever/index configuration files listed and approved in the pre-edit plan, plus docs/rollback-records/W3-rag.md. Restore the prior known-good configuration, run make rollback-rag &amp;&amp; make evaluate, compare the checked-in baseline, and record exact versions, commands, results, elapsed time and residual risks. Do not hide regression, edit the golden truth set, mutate cloud resources or edit this tracker.
TASK-SPECIFIC AMENDMENT — SAFE CONFIGURATION ROLLBACK
Run only after W3-10 has a passing approved baseline and before W3-12. Freeze exact configuration N hashes and passing evidence; introduce only an owner-approved local test regression N+1; prove the gate detects it; restore N; rerun evaluation, citation/abstention, security/isolation and telemetry checks. Do not edit the golden truth set, lower thresholds, destroy shared data or use teardown as rollback. If Qdrant/model resources are needed, list their exact local lifecycle/cache boundary and clean or preserve them per approval. The rollback record must contain hashes, elapsed time, failure signal and restored results. Any mismatch or residual is FAIL.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Model/runtime boundary: verify immutable identity, approved artifacts, runtime API names, offline/network controls, CPU/GPU policy, concurrency, cancellation, external cache location, privacy and telemetry before integration testing.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W3-ROLLBACK-001.
</t>
  </si>
  <si>
    <t>READY FOR PRE-EDIT REVIEW — W3-ROLLBACK-001</t>
  </si>
  <si>
    <t xml:space="preserve">COLUMN L — BOUNDED CODE EDIT APPROVAL TEMPLATE — W3-ROLLBACK-001
This template is not valid approval until the owner copies the complete reviewed impact boundary into every required field and removes every bracketed instruction. A prompt ID alone is not edit authority.
APPROVED TASK CONTRACT
- Prompt/steps: W3-ROLLBACK-001 / W3-11
- Business purpose: Prove prompt/model/retriever/index configuration can return to a known-good baseline.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W3-ROLLBACK-001.
</t>
  </si>
  <si>
    <t xml:space="preserve">COLUMN M — DOCUMENT WRITING APPROVAL TEMPLATE — W3-ROLLBACK-001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`docs/test-evidence/W3-ROLLBACK-001.md`
- `docs/rollback-records/W3-rag.md`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W3-ROLLBACK-001`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W3-ROLLBACK-001.
</t>
  </si>
  <si>
    <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t>
  </si>
  <si>
    <t xml:space="preserve">FOUR APPROVAL GATES PLUS OWNER TESTING AND WEEKLY LEARNING — TRACKER v1.3.4
MAIN PROMPT — W4-001
TASK IDENTITY
- Week: Week 4
- Feature/outcome: FastAPI service boundary
- Business purpose: Expose production-shaped, testable endpoints.
- Covered tracker steps: W4-01, W4-02, W4-10
- Required inputs: Fake providers by default; auth interface choice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W4-01 — Implement health, query and agent endpoints using dependency interfaces.
  Business reason: A thin typed boundary isolates clients from implementation details.
  Acceptance: Endpoints return normalized schemas and request IDs.
  Dependency: W3-13
  Owner verification reference: pytest tests/unit/test_api.py -q
  Expected result: Health and fake query tests pass; no internal prompt/error leak.
  Canonical evidence: docs/test-evidence/W4-01-api.txt
  Rollback/teardown: Roll back image/config and disable new route.
  Current tracker status (read-only historical/current fact): Not Started
  Separate Task Context: 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
- W4-02 — Implement auth context interface and deny before retrieval/action.
  Business reason: Identity and authorization are deterministic platform controls.
  Acceptance: Unauthorized query never invokes retriever or tool.
  Dependency: W4-01
  Owner verification reference: pytest tests/security/test_api_authorization.py -q
  Expected result: Mock call assertions prove deny-before-retrieve.
  Canonical evidence: docs/test-evidence/W4-02-auth.txt
  Rollback/teardown: Disable endpoint or restore previous auth dependency.
  Current tracker status (read-only historical/current fact): Not Started
  Separate Task Context: 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
- W4-10 — Run bounded local smoke/load test with fake/approved model.
  Business reason: Concurrency and timeouts must fail predictably before EKS.
  Acceptance: No unbounded queue; p95/p99 baseline is recorded.
  Dependency: W4-01,W4-06
  Owner verification reference: pytest tests/feature/test_api_load_smoke.py -q
  Expected result: Latency/error/concurrency report is redacted.
  Canonical evidence: docs/test-evidence/W4-10-load.json
  Rollback/teardown: Reduce traffic; revert concurrency settings.
  Current tracker status (read-only historical/current fact): Not Started
  Separate Task Context: 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
Downstream tracker steps identified from recorded dependencies: W4-02, W4-03, W4-08, W4-10, W4-11, W4-12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Build FastAPI endpoints /health/live, /health/ready, /v1/query and /v1/agent. Use Pydantic schemas, correlation IDs, request-size limits, authentication/authorization interfaces, deadlines, concurrency limiting and normalized errors. Readiness checks dependencies with short timeouts. Return citations, model/retriever versions and request ID; never expose prompts, chain-of-thought, secrets or raw exceptions. Add JSON logging with redaction and OpenTelemetry spans.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TASK-SPECIFIC AMENDMENT — TRUSTED API BOUNDARY
Require W3-12 sign-off plus SEC-001 and COST-001. The authentication dependency—not request JSON—constructs trusted AuthContext; deny before retriever or agent invocation. Keep /v1/agent disabled until W4-002 is approved. Validate request/body/content-type limits, correlation/request IDs, deadlines, bounded concurrency/backpressure, cancellation and normalized status/error mapping. Trust forwarded headers only from an explicitly configured proxy boundary. Readiness uses short dependency timeouts and differs from liveness. Never return prompts, context, chain-of-thought, secrets, PII, internal endpoints or raw exceptions. Load smoke must be bounded, local/fake by default, record p95/p99 and leave no process/cache residue. Canonical evidence: W4-01-api.txt, W4-02-auth.txt and W4-10-load.json; aggregate W4-api.txt must reconcile. Test auth short-circuit, size/type/rate/deadline/concurrency, dependency failure, schema/redaction and shutdown cleanup.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Python quality: inspect pyproject.toml before proposing commands; preview Ruff fixes read-only; use the configured MyPy scope; assess type, import, integer/Boolean, async cancellation and API-version compatibility.
- Model/runtime boundary: verify immutable identity, approved artifacts, runtime API names, offline/network controls, CPU/GPU policy, concurrency, cancellation, external cache location, privacy and telemetry before integration testing.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W4-001.
</t>
  </si>
  <si>
    <t>READY FOR PRE-EDIT REVIEW — W4-001</t>
  </si>
  <si>
    <t xml:space="preserve">COLUMN L — BOUNDED CODE EDIT APPROVAL TEMPLATE — W4-001
This template is not valid approval until the owner copies the complete reviewed impact boundary into every required field and removes every bracketed instruction. A prompt ID alone is not edit authority.
APPROVED TASK CONTRACT
- Prompt/steps: W4-001 / W4-01, W4-02, W4-10
- Business purpose: Expose production-shaped, testable endpoints.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W4-001.
</t>
  </si>
  <si>
    <t xml:space="preserve">COLUMN M — DOCUMENT WRITING APPROVAL TEMPLATE — W4-001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`docs/test-evidence/W4-001.md`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W4-001`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W4-001.
</t>
  </si>
  <si>
    <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t>
  </si>
  <si>
    <t xml:space="preserve">FOUR APPROVAL GATES PLUS OWNER TESTING AND WEEKLY LEARNING — TRACKER v1.3.4
MAIN PROMPT — W4-002
TASK IDENTITY
- Week: Week 4
- Feature/outcome: Bounded LangGraph agent controller
- Business purpose: Add controlled agent behavior without uncontrolled autonomy.
- Covered tracker steps: W4-03, W4-04, W4-05, W4-06, W4-07, W4-09
- Required inputs: Step/tool/time budgets; approval-store decision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W4-03 —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 routing tests pass; Mermaid matches implementation.
  Canonical evidence: docs/test-evidence/W4-03-graph.txt
  Rollback/teardown: Feature flag disables graph; query endpoint remains read-only.
  Current tracker status (read-only historical/current fact): Not Started
  Separate Task Context: 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
- W4-04 — Add one read-only status tool with narrow schema.
  Business reason: Read-only tool proves integration at low consequence.
  Acceptance: Allowlist and JSON schema reject malformed calls.
  Dependency: W4-03
  Owner verification reference: pytest tests/unit/test_agent_tools.py -q
  Expected result: Only allowlisted tool executes; output is normalized/redacted.
  Canonical evidence: docs/test-evidence/W4-04-read-tool.txt
  Rollback/teardown: Remove tool registration and restore prior graph.
  Current tracker status (read-only historical/current fact): Not Started
  Separate Task Context: 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
- W4-05 — Add mocked write tool that requires durable approval.
  Business reason: Consequential actions cannot rely on model intent.
  Acceptance: No approval/rejection/expired approval prevents execution.
  Dependency: W4-03,W4-04
  Owner verification reference: pytest tests/security/test_agent_approval.py -q
  Expected result: 100% write executions have valid approval and idempotency key.
  Canonical evidence: docs/test-evidence/W4-05-approval.txt
  Rollback/teardown: Disable write-tool feature flag and invalidate pending approvals.
  Current tracker status (read-only historical/current fact): Not Started
  Separate Task Context: 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
- W4-06 — Enforce step, tool-call, token/time deadline and retry limits.
  Business reason: Bounds prevent loops, retry storms and unplanned model spend.
  Acceptance: Budget-exceeded paths stop safely and record reason.
  Dependency: W4-03
  Owner verification reference: pytest tests/unit/test_agent_budgets.py -q
  Expected result: No repeated tool execution; timeouts are bounded.
  Canonical evidence: docs/test-evidence/W4-06-budgets.txt
  Rollback/teardown: Reduce limits or disable agent route.
  Current tracker status (read-only historical/current fact): Not Started
  Separate Task Context: 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
- W4-07 — Persist only redacted agent state and audit decisions.
  Business reason: Checkpoints must not become a secret/PII store.
  Acceptance: State fixture contains IDs/outcomes but no content/secrets.
  Dependency: W4-05
  Owner verification reference: pytest tests/security/test_agent_state_redaction.py -q
  Expected result: Redaction assertion passes.
  Canonical evidence: docs/test-evidence/W4-07-state.txt
  Rollback/teardown: Purge test checkpoints and restore safe serializer.
  Current tracker status (read-only historical/current fact): Not Started
  Separate Task Context: 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
- W4-09 — Exercise denial, malformed args, injection, timeout, loop and rejection.
  Business reason: Agent safety is proven through negative paths.
  Acceptance: All failure modes terminate without write side effects.
  Dependency: W4-05:W4-08
  Owner verification reference: pytest tests/security/test_agent_* tests/feature/test_agent_failures.py -q
  Expected result: Audit records show safe terminal reason.
  Canonical evidence: docs/test-evidence/W4-09-failures.txt
  Rollback/teardown: Disable agent endpoint and preserve evidence.
  Current tracker status (read-only historical/current fact): Not Started
  Separate Task Context: 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
Downstream tracker steps identified from recorded dependencies: W4-04, W4-05, W4-06, W4-07, W4-08, W4-09, W4-10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a LangGraph StateGraph with typed state and nodes validate_input, authorize, retrieve, grade_evidence, answer, propose_tool, await_human_approval, execute_tool and safe_terminal. Keep routing deterministic except evidence grading/answer generation. Enforce max steps, max tool calls, deadline, allowlists, JSON-schema arguments and idempotency keys. Include one read-only status tool and one mocked write tool that cannot execute without durable approval. Persist only redacted state. Test denial, timeout, repeated calls, malformed args, injection, approval rejection and approved execution.
TASK-SPECIFIC AMENDMENT — BOUNDED GRAPH, DURABLE APPROVAL AND REPLAY SAFETY
Require W4-001, APP-001, COST-001 and RET-001. Do not invent the approval store, approver role, TTL, rejection or retention rules. Bind approval to tenant, subject/approver, exact tool, normalized arguments, idempotency key, request, expiry and one-time decision; expired/rejected/replayed/altered approvals deny. The Week 4 write tool is mocked and produces no external side effect. Keep read-only and write permissions separate; admin has no implicit cross-tenant authority. Cap steps, tool calls, tokens, wall time, retries, state size and concurrency; every path reaches an explicit safe terminal. Persist only allowlisted redacted fields with retention/purge tests. Test all graph branches, malformed/extra args, injection, denial, timeout, loop/retry exhaustion, duplicate/replayed calls, approval races and failure before/after mocked execution. Canonical evidence: W4-03-graph.txt through W4-07-state.txt and W4-09-failures.txt; reconcile W4 aggregate records. No real write tool, external approval service, cloud mutation or paid call.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W4-002.
</t>
  </si>
  <si>
    <t>READY FOR PRE-EDIT REVIEW — W4-002</t>
  </si>
  <si>
    <t xml:space="preserve">COLUMN L — BOUNDED CODE EDIT APPROVAL TEMPLATE — W4-002
This template is not valid approval until the owner copies the complete reviewed impact boundary into every required field and removes every bracketed instruction. A prompt ID alone is not edit authority.
APPROVED TASK CONTRACT
- Prompt/steps: W4-002 / W4-03, W4-04, W4-05, W4-06, W4-07, W4-09
- Business purpose: Add controlled agent behavior without uncontrolled autonomy.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W4-002.
</t>
  </si>
  <si>
    <t xml:space="preserve">COLUMN M — DOCUMENT WRITING APPROVAL TEMPLATE — W4-002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`docs/test-evidence/W4-002.md`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W4-002`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W4-002.
</t>
  </si>
  <si>
    <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t>
  </si>
  <si>
    <t xml:space="preserve">FOUR APPROVAL GATES PLUS OWNER TESTING AND WEEKLY LEARNING — TRACKER v1.3.4
MAIN PROMPT — W4-003
TASK IDENTITY
- Week: Week 4
- Feature/outcome: Application telemetry and redacted audit trail
- Business purpose: Make each RAG and agent stage explainable operationally.
- Covered tracker steps: W3-09, W4-08
- Required inputs: OTEL exporter endpoint; no content export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W3-09 — Record retrieval/model/token/guardrail metrics without content.
  Business reason: Stage-level data explains latency, errors and cost.
  Acceptance: Metrics include versions/outcomes and exclude prompt/document text.
  Dependency: W3-04
  Owner verification reference: pytest tests/unit/test_telemetry.py -q
  Expected result: Redaction tests pass; metrics names are documented.
  Canonical evidence: docs/test-evidence/W3-09-telemetry.txt
  Rollback/teardown: Disable exporter or revert instrumentation, not core answer path.
  Current tracker status (read-only historical/current fact): Not Started
  Separate Task Context: 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
- W4-08 — Trace API to retrieval, LLM, guardrail, approval and tool.
  Business reason: Correlated traces make probabilistic workflows diagnosable.
  Acceptance: One local trace contains all stages and safe attributes.
  Dependency: W4-01:W4-07
  Owner verification reference: pytest tests/feature/test_trace_correlation.py -q
  Expected result: Trace ID links JSON logs and spans; content is redacted.
  Canonical evidence: docs/test-evidence/W4-08-trace.json
  Rollback/teardown: Disable exporter; preserve local logs and core service.
  Current tracker status (read-only historical/current fact): Not Started
  Separate Task Context: 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
Downstream tracker steps identified from recorded dependencies: W4-09, W6-06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Instrument FastAPI, retrieval, embedding, LLM, guardrail and tool stages with OpenTelemetry. Emit safe attributes for request ID, stage, duration, outcome, model/retriever version, token counts and error class; never emit raw prompts, documents, secrets, PII or chain-of-thought. Add JSON logs with correlation IDs and a local collector/Jaeger path. Test that one trace links API to retrieval and model, and add redaction tests.
TASK-SPECIFIC AMENDMENT — TWO SEPARATE CONTROLLED CYCLES TO REMOVE THE CROSS-WEEK DEPENDENCY
This prompt is executed twice under the same Prompt ID; never combine the phases or reuse approval/evidence between them.
PHASE A — WEEK 3 / W3-09
- Run after W3-001 and before W3-12. Require OBS-001 or report the early blocking dependency explicitly.
- Implement safe metric/log/trace contracts for retrieval, model, token/usage and guardrail stages with bounded low-cardinality attributes, content/PII/secret exclusion and exporter-failure isolation.
- Canonical evidence: docs/test-evidence/W3-09-telemetry.txt. Obtain its own pre-edit approval, independent TEST-001 and final owner approval.
PHASE B — WEEK 4 / W4-08
- Run only after W4-001 and W4-002 are independently approved.
- Extend correlation across API, authorization, retrieval, embedding, LLM, guardrail, approval and tool stages; prove one local trace and redacted JSON logs. Canonical evidence: docs/test-evidence/W4-08-trace.json; reconcile aggregate W4-trace.json.
- Any local collector/Jaeger container requires an immutable pin, external cache, explicit local-mutation approval and complete teardown. AWS exporters remain disabled until separately approved.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Python quality: inspect pyproject.toml before proposing commands; preview Ruff fixes read-only; use the configured MyPy scope; assess type, import, integer/Boolean, async cancellation and API-version compatibility.
- Model/runtime boundary: verify immutable identity, approved artifacts, runtime API names, offline/network controls, CPU/GPU policy, concurrency, cancellation, external cache location, privacy and telemetry before integration testing.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W4-003.
</t>
  </si>
  <si>
    <t>READY FOR PRE-EDIT REVIEW — W4-003</t>
  </si>
  <si>
    <t xml:space="preserve">COLUMN L — BOUNDED CODE EDIT APPROVAL TEMPLATE — W4-003
This template is not valid approval until the owner copies the complete reviewed impact boundary into every required field and removes every bracketed instruction. A prompt ID alone is not edit authority.
APPROVED TASK CONTRACT
- Prompt/steps: W4-003 / W3-09, W4-08
- Business purpose: Make each RAG and agent stage explainable operationally.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W4-003.
</t>
  </si>
  <si>
    <t xml:space="preserve">COLUMN M — DOCUMENT WRITING APPROVAL TEMPLATE — W4-003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`docs/test-evidence/W4-003.md`
- `docs/test-evidence/W4-08-trace.json`
- `docs/test-evidence/W4-trace.json`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W4-003`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W4-003.
</t>
  </si>
  <si>
    <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t>
  </si>
  <si>
    <t xml:space="preserve">FOUR APPROVAL GATES PLUS OWNER TESTING AND WEEKLY LEARNING — TRACKER v1.3.4
MAIN PROMPT — W4-ROLLBACK-001
TASK IDENTITY
- Week: Week 4
- Feature/outcome: Local immutable release rollback drill
- Business purpose: Prove release rollback separately from infrastructure rollback.
- Covered tracker steps: W4-11
- Required inputs: Approved local immutable releases N and N+1 and safe regression method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W4-11 — Deploy local immutable version N+1, force regression and restore N.
  Business reason: Release rollback is separate from infrastructure rollback.
  Acceptance: N becomes healthy and passes feature tests after rollback.
  Dependency: W4-01:W4-10
  Owner verification reference: make rollback-release &amp;&amp; make smoke
  Expected result: Rollback duration and health evidence recorded.
  Canonical evidence: docs/rollback-records/W4-release.md
  Rollback/teardown: Keep agent route disabled until the failure is fixed.
  Current tracker status (read-only historical/current fact): Not Started
  Separate Task Context: 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
Downstream tracker steps identified from recorded dependencies: W4-12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SCOPED TASK — W4-ROLLBACK-001
Using only local immutable release artifacts and files explicitly listed in the approved pre-edit plan, deploy local version N+1, introduce the approved safe regression, restore N, and run make rollback-release &amp;&amp; make smoke. Record versions/digests, commands, health/feature-test results, rollback duration and remaining risks in docs/rollback-records/W4-release.md. Do not push images, mutate Kubernetes/cloud resources or edit this tracker.
TASK-SPECIFIC AMENDMENT — IMMUTABLE LOCAL RELEASE ROLLBACK
Require completion of W4-01 through W4-10 and an approved safe regression. Capture immutable release N and N+1 digests/config hashes, health/evaluation baseline and exact local resources. Prove N+1 failure, restore N without changing infrastructure or shared data, then rerun liveness/readiness, API/auth, agent safety, smoke, telemetry and cleanup checks. Do not build or pull an unapproved image, use a mutable tag as authority, push an image, mutate Kubernetes/cloud or treat teardown as rollback. Record rollback time, failure signal, restored digest and residuals at docs/rollback-records/W4-release.md; remove task-owned local containers/networks/volumes/caches according to approval.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inspect pyproject.toml before proposing commands; preview Ruff fixes read-only; use the configured MyPy scope; assess type, import, integer/Boolean, async cancellation and API-version compatibility.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W4-ROLLBACK-001.
</t>
  </si>
  <si>
    <t>READY FOR PRE-EDIT REVIEW — W4-ROLLBACK-001</t>
  </si>
  <si>
    <t xml:space="preserve">COLUMN L — BOUNDED CODE EDIT APPROVAL TEMPLATE — W4-ROLLBACK-001
This template is not valid approval until the owner copies the complete reviewed impact boundary into every required field and removes every bracketed instruction. A prompt ID alone is not edit authority.
APPROVED TASK CONTRACT
- Prompt/steps: W4-ROLLBACK-001 / W4-11
- Business purpose: Prove release rollback separately from infrastructure rollback.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W4-ROLLBACK-001.
</t>
  </si>
  <si>
    <t xml:space="preserve">COLUMN M — DOCUMENT WRITING APPROVAL TEMPLATE — W4-ROLLBACK-001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`docs/test-evidence/W4-ROLLBACK-001.md`
- `docs/rollback-records/W4-release.md`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W4-ROLLBACK-001`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W4-ROLLBACK-001.
</t>
  </si>
  <si>
    <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t>
  </si>
  <si>
    <t xml:space="preserve">FOUR APPROVAL GATES PLUS OWNER TESTING AND WEEKLY LEARNING — TRACKER v1.3.4
MAIN PROMPT — W5-INPUTS-001
TASK IDENTITY
- Week: Week 5
- Feature/outcome: AWS sandbox input approval
- Business purpose: Capture all non-secret AWS, network, tagging, residency and budget choices before Terraform work.
- Covered tracker steps: W5-01
- Required inputs: AWS-001, AWS-002, NET-001, TAG-001, COST-001 and PRIV-001;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W5-01 — Confirm sandbox account, region, network, tags, data residency and budget ceiling.
  Business reason: Terraform cannot be safely reviewed with ambiguous ownership or cost.
  Acceptance: All variables are non-secret and approved.
  Dependency: W4-13
  Owner verification reference: Review infra/environments/sandbox/terraform.tfvars.example
  Expected result: No credential/secret value is requested.
  Canonical evidence: docs/cost-estimates/W5-inputs.md
  Rollback/teardown: Do not initialize/apply until inputs are approved.
  Current tracker status (read-only historical/current fact): Not Started
  Separate Task Context: 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
Downstream tracker steps identified from recorded dependencies: W5-02, W5-03, W5-04, W5-13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SCOPED TASK — W5-INPUTS-001
Update only infra/environments/sandbox/terraform.tfvars.example and docs/cost-estimates/W5-inputs.md, creating them only if their parent structure already exists or was approved. Use TODO placeholders for sandbox account ID, approved region, VPC/subnets, mandatory tags, data-residency/privacy constraints, expiry and monthly budget. Never request, store or display credentials, secret values or live tokens. Do not run terraform init/plan/apply/destroy and do not access AWS. Leave the approval record READY FOR OWNER REVIEW.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TASK-SPECIFIC AMENDMENT — COMPLETE NON-SECRET AWS INPUT GATE
Do not start Terraform design until W4-12 is signed off. Reconcile and obtain owner decisions for AWS-001, AWS-002, NET-001, TAG-001, COST-001, PRIV-001, KMS-001, GHA-001 and BED-001; also identify EKS-001, OBS-001 and SLO-001 as required before W5-13/Week 6. Record account ID, region/service availability, existing-vs-owned VPC/subnets/CIDRs/DNS/egress/endpoints, data residency, mandatory tags/expiry, monthly/daily/paid-evaluation ceilings, KMS deletion window/follow-up owner, GitHub repository/environment/OIDC naming and Bedrock model/quota/fallback—never credentials, role sessions, secret values or live tokens. Validate ownership boundaries so shared networking/EKS resources can never be destroyed. Modify only the two scoped input documents, leave status READY FOR OWNER REVIEW, run no Terraform/AWS/network command and do not infer approval from placeholders.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Model/runtime boundary: verify immutable identity, approved artifacts, runtime API names, offline/network controls, CPU/GPU policy, concurrency, cancellation, external cache location, privacy and telemetry before integration testing.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W5-INPUTS-001.
</t>
  </si>
  <si>
    <t>READY FOR PRE-EDIT REVIEW — W5-INPUTS-001</t>
  </si>
  <si>
    <t xml:space="preserve">COLUMN L — BOUNDED CONTENT EDIT APPROVAL TEMPLATE — W5-INPUTS-001
This template is not valid approval until the owner copies the reviewed pre-edit plan into every required field and removes every bracketed instruction.
APPROVED AUTHORITY AND CONTENT DESIGN
- Prompt/steps: W5-INPUTS-001 / W5-01
- Business purpose: Capture all non-secret AWS, network, tagging, residency and budget choices before Terraform work.
- Approved governing sources: [exact source documents, ADRs and owner decisions]
- Approved content contract: [exact sections, facts, terminology, acceptance criteria and exclusions]
EXACT APPROVED PATH MANIFEST — DOCUMENTS FOR THIS CONTENT EDIT
CREATE:
- [exact repository-relative file path(s), or the word None]
UPDATE:
- [exact repository-relative file path(s), or the word None]
DELETE:
- None unless separately justified and expressly approved.
VERIFIED UNCHANGED CONSUMERS:
- [exact paths inspected and reason unchanged]
EXCLUDED:
- Every path not listed above; all application code, configuration, IaC, schemas, automated tests, evidence and tracker fields.
BASELINE REVALIDATION BEFORE EDITING
Re-read every approved CREATE/UPDATE path and all direct/indirect consumers from the approved impact analysis. Confirm the repository, governing sources, workbook-lock state, target sections and owner facts match the reviewed baseline. If any path, fact, authority or patch context changed, edit nothing and return exactly: BLOCKED — BASELINE CHANGED.
EDIT AUTHORITY
Write only the exact approved content paths and sections. Preserve historical facts and distinguish proposed, approved, PASS, FAIL, NOT RUN, INDETERMINATE, warning, risk and deferred states. Do not run commands/tests, install, build, access network/cloud, deploy, remediate, roll back, tear down, write unapproved evidence/docs, edit Excel, or use Git mutation.
AFTER EDITING
Perform read-only diff inspection only. Return exact changed paths, per-path content summary, authority/consumer synchronization, unresolved decisions, and owner content-review guide. Confirm no command or non-approved file changed.
End exactly: CONTENT READY FOR OWNER REVIEW — W5-INPUTS-001.
</t>
  </si>
  <si>
    <t xml:space="preserve">COLUMN M — DOCUMENT WRITING APPROVAL TEMPLATE — W5-INPUTS-001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`docs/test-evidence/W5-INPUTS-001.md`
- `docs/cost-estimates/W5-inputs.md`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W5-INPUTS-001`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W5-INPUTS-001.
</t>
  </si>
  <si>
    <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t>
  </si>
  <si>
    <t xml:space="preserve">FOUR APPROVAL GATES PLUS OWNER TESTING AND WEEKLY LEARNING — TRACKER v1.3.4
MAIN PROMPT — W5-001
TASK IDENTITY
- Week: Week 5
- Feature/outcome: Terraform AWS sandbox modules
- Business purpose: Produce reviewable infrastructure without secret material.
- Covered tracker steps: W5-02, W5-03, W5-04, W5-05
- Required inputs: TODO account, region, VPC/subnets, GitHub repo, tags, Bedrock models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W5-02 — Build isolated encrypted/versioned S3 state and Terraform 1.5 DynamoDB locking stack.
  Business reason: State must survive platform rollback and be removed last during full teardown.
  Acceptance: fmt/validate/Checkov pass; apply remains manual.
  Dependency: W5-01
  Owner verification reference: terraform -chdir=infra/bootstrap fmt -check &amp;&amp; terraform -chdir=infra/bootstrap validate
  Expected result: Bootstrap plan contains only expected resources.
  Canonical evidence: docs/test-evidence/W5-02-bootstrap.txt
  Rollback/teardown: Destroy platform first; bootstrap destroy is separately reviewed.
  Current tracker status (read-only historical/current fact): Not Started
  Separate Task Context: Week 5 State bootstrap task in the end-to-end architecture. After Code Edit Approval, Codex writes only the approved code/configuration/test code for “Build isolated encrypted/versioned S3 state and Terraform 1.5 DynamoDB locking stack.”; you run the verification/deployment commands and return the results. Business value: State must survive platform rollback and be removed last during full teardown. Interview focus: explain where this component sits, how it fails safely and how it is rolled back.
- W5-03 — Create KMS, private/versioned S3 and secret-metadata modules.
  Business reason: Encryption and secret separation are foundational controls.
  Acceptance: No public access or secret value resource exists.
  Dependency: W5-01,W5-02
  Owner verification reference: terraform -chdir=infra/environments/sandbox validate &amp;&amp; checkov -d infra/modules
  Expected result: Security controls pass; deletion settings are explicit.
  Canonical evidence: docs/test-evidence/W5-03-security.txt
  Rollback/teardown: Apply prior Terraform version; use purge only for disposable sandbox.
  Current tracker status (read-only historical/current fact): Not Started
  Separate Task Context: 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
- W5-04 — Create least-privilege runtime, ingestion and GitHub OIDC roles.
  Business reason: Workloads need short-lived, separated permissions.
  Acceptance: No wildcard action/resource without reviewed exception.
  Dependency: W5-01
  Owner verification reference: checkov -d infra &amp;&amp; opa test policies/opa -v
  Expected result: Trust policies bind approved repo/environment and workload identity.
  Canonical evidence: docs/test-evidence/W5-04-iam.txt
  Rollback/teardown: Disable role session/restore prior policy; do not store keys.
  Current tracker status (read-only historical/current fact): Not Started
  Separate Task Context: 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
- W5-05 — Create private encrypted OpenSearch and ECR modules.
  Business reason: OpenSearch is the AWS vector target; ECR stores immutable images.
  Acceptance: Private network, TLS, encryption, logs and access controls are planned.
  Dependency: W5-03,W5-04
  Owner verification reference: terraform -chdir=infra/environments/sandbox plan -out=tfplan
  Expected result: Plan summary shows only expected resources and estimated baseline cost.
  Canonical evidence: docs/test-evidence/W5-05-platform-plan.txt
  Rollback/teardown: Apply reviewed previous Terraform version or destroy disposable resources in order.
  Current tracker status (read-only historical/current fact): Not Started
  Separate Task Context: 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
Downstream tracker steps identified from recorded dependencies: W5-03, W5-05, W5-06, W5-07, W5-09, W6-03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Terraform &gt;=1.5 modules and sandbox composition for KMS, private versioned S3, Secrets Manager metadata only, least-privilege runtime/ingestion roles, ECR and a private VPC OpenSearch domain with encryption, HTTPS, fine-grained access, logs and security groups. Isolate an encrypted/versioned S3 state plus DynamoDB-locking bootstrap for Terraform 1.5 and document newer S3 lockfiles. Never create secret versions or accept secret values. Validate inputs, apply mandatory tags, gate deletion protection and document every suppression with owner/reason/expiry. Plan only.
TASK-SPECIFIC AMENDMENT — TERRAFORM STATIC FOUNDATION AND BOOTSTRAP DEPENDENCY
1. Require W5-INPUTS-001 final approval and exact non-secret inputs. Pin Terraform/provider/module versions and commit the dependency lock file after reviewed initialization. Use external TF_DATA_DIR/plugin caches; repository .terraform, plan binaries, state and credentials are prohibited.
2. Separate bootstrap and platform roots. Static work here creates/validates code only. Use terraform init -backend=false for offline/static checks unless an exact read-only network initialization is separately approved. A real plan requires approved short-lived AWS identity/account/region and is not an offline test.
3. The remote backend must physically exist before the W5-09 platform saved plan. Therefore W5-004 must perform a separately approved bootstrap saved-plan/apply cycle when the backend is absent; W5-001 must not claim that platform planning can use an unapplied backend.
4. No secret value/resource version, public endpoint, wildcard IAM or unbounded cost default. OpenSearch must be private, encrypted in transit/at rest, access-controlled, logged and deletion/cost guarded. ECR uses immutable scanning settings. Tags apply to every supported resource; exceptions require owner/rationale/expiry.
5. Test variables, outputs, fmt/validate/tflint/Checkov/OPA, plan redaction, secret-in-state prevention, provider-lock integrity, bootstrap/platform dependency and destroy ordering. Canonical evidence: W5-02-bootstrap.txt, W5-03-security.txt, W5-04-iam.txt and W5-05-platform-plan.txt; reconcile aggregate W5-terraform.txt. No apply/destroy, live AWS mutation,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Model/runtime boundary: verify immutable identity, approved artifacts, runtime API names, offline/network controls, CPU/GPU policy, concurrency, cancellation, external cache location, privacy and telemetry before integration testing.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W5-001.
</t>
  </si>
  <si>
    <t>READY FOR PRE-EDIT REVIEW — W5-001</t>
  </si>
  <si>
    <t xml:space="preserve">COLUMN L — BOUNDED CODE EDIT APPROVAL TEMPLATE — W5-001
This template is not valid approval until the owner copies the complete reviewed impact boundary into every required field and removes every bracketed instruction. A prompt ID alone is not edit authority.
APPROVED TASK CONTRACT
- Prompt/steps: W5-001 / W5-02, W5-03, W5-04, W5-05
- Business purpose: Produce reviewable infrastructure without secret material.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W5-001.
</t>
  </si>
  <si>
    <t xml:space="preserve">COLUMN M — DOCUMENT WRITING APPROVAL TEMPLATE — W5-001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`docs/test-evidence/W5-001.md`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W5-001`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W5-001.
</t>
  </si>
  <si>
    <t xml:space="preserve">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
</t>
  </si>
  <si>
    <t xml:space="preserve">FOUR APPROVAL GATES PLUS OWNER TESTING AND WEEKLY LEARNING — TRACKER v1.3.4
MAIN PROMPT — W5-002
TASK IDENTITY
- Week: Week 5
- Feature/outcome: GitHub Actions DevSecOps pipeline
- Business purpose: Enforce quality, IaC and supply-chain gates with short-lived identity.
- Covered tracker steps: W5-07, W5-08, W6-01
- Required inputs: GitHub environment, OIDC role ARN, sandbox variables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W5-07 — Create PR CI and Terraform-plan workflow using GitHub OIDC.
  Business reason: Automated gates and short-lived identity reduce change and credential risk.
  Acceptance: All required checks run; apply/destroy are owner-gated.
  Dependency: W5-04,W5-06
  Owner verification reference: Review .github/workflows and run actionlint if available
  Expected result: No access-key secret; immutable action pins are TODO/approved.
  Canonical evidence: docs/test-evidence/W5-07-ci.txt
  Rollback/teardown: Disable workflow; revoke OIDC trust; keep last good release.
  Current tracker status (read-only historical/current fact): Not Started
  Separate Task Context: 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
- W5-08 — Build image, scan with Trivy/Grype and generate Syft SBOM.
  Business reason: Deployment must use a known, scanned immutable artifact.
  Acceptance: Critical findings fail per policy and SBOM is retained.
  Dependency: W5-07
  Owner verification reference: docker build -t enterprise-ai:test . &amp;&amp; trivy image enterprise-ai:test
  Expected result: Redacted scan reports and SPDX/CycloneDX SBOM exist.
  Canonical evidence: docs/test-evidence/W5-08-supply-chain.txt
  Rollback/teardown: Do not publish vulnerable digest; restore prior approved digest.
  Current tracker status (read-only historical/current fact): Not Started
  Separate Task Context: 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
- W6-01 — Publish scanned image to ECR by immutable digest.
  Business reason: Rollback and provenance require immutable deployment identity.
  Acceptance: Digest matches the scanned/SBOM artifact.
  Dependency: W5-14
  Owner verification reference: docker inspect --format='{{index .RepoDigests 0}}' enterprise-ai:test
  Expected result: Digest, scan and SBOM are linked in deployment record.
  Canonical evidence: docs/deployment-records/W6-image.md
  Rollback/teardown: Restore prior approved digest; never reuse a mutable tag as authority.
  Current tracker status (read-only historical/current fact): Not Started
  Separate Task Context: 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
Downstream tracker steps identified from recorded dependencies: W5-08, W5-09, W6-02, W6-10, W6-13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least-privilege GitHub Actions workflows. On PR run Python 3.11 cache/install, Ruff, mypy, pytest, secret scan, terraform fmt/validate/tflint, Checkov, plan JSON through OPA, Docker build, Trivy filesystem/image scan, Syft SPDX/CycloneDX SBOM, Grype scan and a RAG smoke evaluation. Use Qdrant service container if useful. Upload only redacted reports and do not upload sensitive plans. Use GitHub OIDC, immutable image digest, protected environment approval and explicit timeouts. Pin actions to immutable SHAs with TODOs. Never use AWS access-key secrets or auto-run apply/destroy.
TASK-SPECIFIC AMENDMENT — TWO SEPARATE CI/SUPPLY-CHAIN AND PROMOTION CYCLES
This prompt is executed in two separately approved cycles; W6-01 cannot be completed before W5-13.
PHASE A — WEEK 5 / W5-07 AND W5-08
- Require W5-001/W5-003 and GHA-001. Pin every GitHub Action to an immutable commit SHA, base/service images to approved digests and tools/dependencies to reviewed versions. Use least-privilege OIDC with exact repository/ref/environment trust and no access-key secret.
- Build locally/CI without push, scan the exact image with Trivy/Grype, generate Syft SPDX/CycloneDX SBOM, enforce policy thresholds and preserve redacted provenance. Do not upload sensitive Terraform plans, logs, environment dumps or source data. A workflow/PR run is an external action and requires explicit approval.
- Canonical evidence: W5-07-ci.txt and W5-08-supply-chain.txt; reconcile W5-oidc.txt/W5-supply-chain.txt.
PHASE B — WEEK 6 / W6-01
- Run only after W5-13, W5-004 Week-6 environment recreation and a passing Phase A. Require the exact scanned image digest, SBOM/provenance, ECR target and separate push authorization.
- Push/promote only the approved digest; verify the ECR digest matches the scanned artifact. Mutable tags may be convenience labels but never deployment authority. Record docs/deployment-records/W6-image.md and leave no unapproved local builder/cache residue.
Each phase requires its own pre-edit approval, independent TEST-001 and final owner approval. No apply/destroy, Kubernetes mutation or automatic deployment.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Python quality: inspect pyproject.toml before proposing commands; preview Ruff fixes read-only; use the configured MyPy scope; assess type, import, integer/Boolean, async cancellation and API-version compatibility.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W5-002.
</t>
  </si>
  <si>
    <t>READY FOR PRE-EDIT REVIEW — W5-002</t>
  </si>
  <si>
    <t xml:space="preserve">COLUMN L — BOUNDED CODE EDIT APPROVAL TEMPLATE — W5-002
This template is not valid approval until the owner copies the complete reviewed impact boundary into every required field and removes every bracketed instruction. A prompt ID alone is not edit authority.
APPROVED TASK CONTRACT
- Prompt/steps: W5-002 / W5-07, W5-08, W6-01
- Business purpose: Enforce quality, IaC and supply-chain gates with short-lived identity.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W5-002.
</t>
  </si>
  <si>
    <t xml:space="preserve">COLUMN M — DOCUMENT WRITING APPROVAL TEMPLATE — W5-002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`docs/test-evidence/W5-002.md`
- `docs/deployment-records/W6-image.md`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W5-002`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W5-002.
</t>
  </si>
  <si>
    <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t>
  </si>
  <si>
    <t xml:space="preserve">FOUR APPROVAL GATES PLUS OWNER TESTING AND WEEKLY LEARNING — TRACKER v1.3.4
MAIN PROMPT — W5-003
TASK IDENTITY
- Week: Week 5
- Feature/outcome: OPA and Checkov policy pack
- Business purpose: Make critical cloud controls executable before apply.
- Covered tracker steps: W5-06
- Required inputs: Approved regions, encryption/tag rules, exception process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W5-06 — Implement OPA and Checkov security/tagging policies with fixtures.
  Business reason: Policy gates make critical architecture decisions executable.
  Acceptance: Insecure fixtures fail; secure fixtures pass.
  Dependency: W5-03:W5-05
  Owner verification reference: opa test policies/opa -v &amp;&amp; checkov -d infra
  Expected result: Failures identify resource/rule/remediation.
  Canonical evidence: docs/test-evidence/W5-06-policy.txt
  Rollback/teardown: Revert candidate policy only through reviewed exception/ADR.
  Current tracker status (read-only historical/current fact): Not Started
  Separate Task Context: 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
Downstream tracker steps identified from recorded dependencies: W5-07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OPA/Rego tests over Terraform plan JSON to deny public S3, missing KMS encryption, unrestricted security groups, unapproved regions, missing mandatory tags and IAM wildcard actions unless an explicit time-bound exception is approved. Add equivalent focused Checkov custom policies where appropriate, secure/insecure fixtures and CI commands. Policy failures must show resource address, violated rule and remediation without exposing sensitive values.
TASK-SPECIFIC AMENDMENT — POLICY TESTING AND NARROW EXCEPTIONS
Require W5-001 design and approved region/tag/encryption/IAM rules. Test deny and allow cases for public S3, encryption/KMS, unrestricted ingress/egress, unapproved regions, mandatory tags, IAM wildcard actions/resources, public OpenSearch, mutable images and missing deletion/cost guards. Parse Terraform plan JSON without exposing sensitive values. Every denial identifies resource address, rule and remediation. Secure fixtures pass; each insecure fixture fails for the intended rule; tests must detect a policy accidentally disabled or not evaluated. Exceptions are resource/rule scoped and require owner, rationale, expires_at and evidence; expired/malformed/broad directory/file/type bypasses deny. Rego and Checkov controls must not contradict. Canonical evidence: docs/test-evidence/W5-06-policy.txt; reconcile aggregate W5-policy.txt. No live AWS, Terraform mutation or CI execution.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Infrastructure boundary: plan/validate separately from owner-approved mutation; check state and lock handling, identity, tags, spend, rollback, destroy order, scheduled deletion and native plus tag-based residue discovery.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W5-003.
</t>
  </si>
  <si>
    <t>READY FOR PRE-EDIT REVIEW — W5-003</t>
  </si>
  <si>
    <t xml:space="preserve">COLUMN L — BOUNDED CODE EDIT APPROVAL TEMPLATE — W5-003
This template is not valid approval until the owner copies the complete reviewed impact boundary into every required field and removes every bracketed instruction. A prompt ID alone is not edit authority.
APPROVED TASK CONTRACT
- Prompt/steps: W5-003 / W5-06
- Business purpose: Make critical cloud controls executable before apply.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W5-003.
</t>
  </si>
  <si>
    <t xml:space="preserve">COLUMN M — DOCUMENT WRITING APPROVAL TEMPLATE — W5-003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`docs/test-evidence/W5-003.md`
- `docs/test-evidence/W5-06-policy.txt`
- `docs/test-evidence/W5-policy.txt`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W5-003`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W5-003.
</t>
  </si>
  <si>
    <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t>
  </si>
  <si>
    <t xml:space="preserve">FOUR APPROVAL GATES PLUS OWNER TESTING AND WEEKLY LEARNING — TRACKER v1.3.4
MAIN PROMPT — W5-004
TASK IDENTITY
- Week: Week 5
- Feature/outcome: Reviewed deploy, rollback, teardown and orphan scan
- Business purpose: Prove the AWS lifecycle without leaving unmanaged resources.
- Covered tracker steps: W5-09, W5-10, W5-11, W5-12, W6-12
- Required inputs: Approved saved plan; budget ceiling; typed owner confirmations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W5-09 — Generate saved Terraform plan, JSON policy result and human-readable summary.
  Business reason: Applying the reviewed bytes prevents unseen infrastructure change.
  Acceptance: Plan, policy and cost review are approved before any apply.
  Dependency: W5-02:W5-08
  Owner verification reference: make plan-sandbox
  Expected result: Summary lists creates/updates/deletes, costs and residual risks.
  Canonical evidence: docs/deployment-records/W5-plan-review.md
  Rollback/teardown: Discard saved plan on code/input drift and regenerate.
  Current tracker status (read-only historical/current fact): Not Started
  Separate Task Context: 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
- W5-10 — After explicit approval, deploy/validate/rollback/destroy in controlled sequence.
  Business reason: Capability must be proven, but Codex must never self-approve mutations.
  Acceptance: Reviewed plan applies; validation passes; rollback path is recorded.
  Dependency: W5-09
  Owner verification reference: make deploy-sandbox  # owner-approved only
  Expected result: Deployment record contains plan hash, approver, resources and health.
  Canonical evidence: docs/deployment-records/W5-sandbox.md
  Rollback/teardown: Use last-known-good Terraform version; destroy is not ordinary rollback.
  Current tracker status (read-only historical/current fact): Not Started
  Separate Task Context: 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
- W5-11 — Create and review platform destroy plan; preserve bootstrap until platform is gone.
  Business reason: Deletion order prevents dependency residue and loss of auditability.
  Acceptance: Destroy plan targets only approved sandbox resources.
  Dependency: W5-10
  Owner verification reference: make plan-destroy-sandbox
  Expected result: Plan and deletion order approved; KMS window noted.
  Canonical evidence: docs/deployment-records/W5-destroy-plan.md
  Rollback/teardown: Cancel before apply if any unexpected target appears.
  Current tracker status (read-only historical/current fact): Not Started
  Separate Task Context: 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
- W5-12 — Run verify-clean using required tags and native service APIs after approved teardown.
  Business reason: A successful Terraform destroy is not proof of zero residual resources.
  Acceptance: No active unmanaged resource remains; exception is documented PendingDeletion KMS key.
  Dependency: W5-11
  Owner verification reference: make destroy-sandbox &amp;&amp; make verify-clean  # owner-approved only
  Expected result: Resource-cleanliness report is complete and signed.
  Canonical evidence: docs/resource-cleanliness/W5-report.json
  Rollback/teardown: Remove residuals in dependency order; do not delete bootstrap until clean.
  Current tracker status (read-only historical/current fact): Not Started
  Separate Task Context: 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
- W6-12 — Run approved destroy sequence, remove bootstrap last and verify cleanliness.
  Business reason: Learning-project cost and residue must stop after use.
  Acceptance: No active project resource remains; KMS exception is PendingDeletion only.
  Dependency: W6-11
  Owner verification reference: make plan-destroy-sandbox; owner approve; make destroy-sandbox; make verify-clean
  Expected result: Signed cleanup report and deletion record exist.
  Canonical evidence: docs/resource-cleanliness/W6-final.json
  Rollback/teardown: Remove residuals in dependency order; never broadly target unverified resources.
  Current tracker status (read-only historical/current fact): Not Started
  Separate Task Context: 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
Downstream tracker steps identified from recorded dependencies: W5-10, W5-11, W5-12, W5-13, W6-13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Complete platformctl for reviewed saved-plan deployment, post-deploy validation, release rollback, last-known-good Terraform rollback, destroy-safe, purge-sandbox and verify-clean. Resolve targets only by approved environment and required tags, add service-specific checks for S3 versions/multipart uploads, ECR images, OpenSearch, EKS/load balancers, IAM, Secrets Manager, logs and KMS. The remote-state bootstrap is removed last. Mutations require owner approval and explicit typed confirmation; unit/integration tests use moto/LocalStack where valid and never auto-apply or destroy.
TASK-SPECIFIC AMENDMENT — THREE SEPARATE OWNER-GATED AWS LIFECYCLE CYCLES
Never combine these cycles. Each requires a fresh read-only pre-edit plan, exact saved-plan/input/code hashes, typed owner command approval, independent validation and final owner approval. Terraform plan may read AWS; apply/destroy mutate AWS and are never implied by Column L.
CYCLE A — WEEK 5 / W5-09 TO W5-12
1. If the remote backend is absent, create a bootstrap saved plan, review policy/cost/targets, obtain explicit apply approval, apply those exact bytes and validate the backend before the platform plan.
2. Generate the platform saved plan, redacted JSON/policy/cost summaries and plan hash. Invalidate/regenerate on any code/input/lock/provider/state drift.
3. After separate apply approval, deploy exact reviewed bytes, validate, run release and infrastructure rollback controls separately, create/review the destroy plan, obtain separate destroy approval, destroy platform then bootstrap last, and run tag plus native service cleanup. Complete W5 with no active project resource except documented KMS PendingDeletion.
CYCLE B — AFTER W5-13 / BEFORE W6-01
Recreate the approved Week 6 sandbox from new bootstrap and platform saved plans with separate review/apply approvals. Validate ECR/EKS/network/identity/observability prerequisites. This is a new controlled deployment, never reuse stale Week 5 plan bytes.
CYCLE C — AFTER W6-11 / W6-12 FINAL TEARDOWN
Generate/review the final destroy plan, remove traffic/triggers and platform resources in dependency order, remove bootstrap/state last, schedule KMS deletion and prove zero active project residuals. Shared VPC/EKS or owner resources are never targets.
Across all cycles: resolve exact account/region/environment/tags; enforce budget; use short-lived identity; never log secrets/plan-sensitive values; distinguish release rollback, infrastructure rollback and teardown; verify S3 versions/delete markers/multipart uploads, ECR, OpenSearch, EKS/LBs/ENIs, IAM, Secrets Manager, logs/alarms and KMS natively. Canonical Week 5 records: W5-plan-review.md, W5-sandbox.md, W5-destroy-plan.md and W5-report.json; final Week 6 cleanliness: W6-final.json. Any unexpected target/residual, missing approval or hash drift stops execution.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W5-004.
</t>
  </si>
  <si>
    <t>READY FOR PRE-EDIT REVIEW — W5-004</t>
  </si>
  <si>
    <t xml:space="preserve">COLUMN L — BOUNDED CODE EDIT APPROVAL TEMPLATE — W5-004
This template is not valid approval until the owner copies the complete reviewed impact boundary into every required field and removes every bracketed instruction. A prompt ID alone is not edit authority.
APPROVED TASK CONTRACT
- Prompt/steps: W5-004 / W5-09, W5-10, W5-11, W5-12, W6-12
- Business purpose: Prove the AWS lifecycle without leaving unmanaged resources.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W5-004.
</t>
  </si>
  <si>
    <t xml:space="preserve">COLUMN M — DOCUMENT WRITING APPROVAL TEMPLATE — W5-004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`docs/test-evidence/W5-004.md`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W5-004`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W5-004.
</t>
  </si>
  <si>
    <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t>
  </si>
  <si>
    <t xml:space="preserve">FOUR APPROVAL GATES PLUS OWNER TESTING AND WEEKLY LEARNING — TRACKER v1.3.4
MAIN PROMPT — W6-001
TASK IDENTITY
- Week: Week 6
- Feature/outcome: Immutable EKS application deployment
- Business purpose: Deploy the verified service with workload identity and safe rollout controls.
- Covered tracker steps: W6-02, W6-03, W6-04, W6-05
- Required inputs: EKS cluster/namespace, ECR digest, domain/cert, pod identity choice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W6-02 — Create EKS deployment/Service with non-root/read-only settings and probes.
  Business reason: Production-shaped runtime boundaries reduce container and availability risk.
  Acceptance: Server dry-run and policy validation pass.
  Dependency: W6-01
  Owner verification reference: kubectl apply --dry-run=server -f deploy/k8s
  Expected result: Manifests use immutable digest and no secret literal.
  Canonical evidence: docs/test-evidence/W6-02-k8s.txt
  Rollback/teardown: kubectl rollout undo or redeploy previous digest.
  Current tracker status (read-only historical/current fact): Not Started
  Separate Task Context: 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
- W6-03 — Configure EKS Pod Identity/IRSA, RBAC and least-privilege service account.
  Business reason: Pods must never contain static AWS credentials.
  Acceptance: Pod accesses only required AWS APIs and env has no static key.
  Dependency: W5-04,W6-02
  Owner verification reference: kubectl exec deploy/enterprise-ai-api -- env | grep AWS_ACCESS_KEY_ID; test $? -ne 0
  Expected result: No static credential; role session is short-lived and scoped.
  Canonical evidence: docs/test-evidence/W6-03-identity.txt
  Rollback/teardown: Remove service-account binding and restore prior role policy.
  Current tracker status (read-only historical/current fact): Not Started
  Separate Task Context: 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
- W6-04 — Apply NetworkPolicy and approved ingress/egress boundaries.
  Business reason: Retrieval/model paths should be explicit and least privilege.
  Acceptance: Denied destination test fails; approved dependencies remain reachable.
  Dependency: W6-03
  Owner verification reference: kubectl apply --dry-run=server -f deploy/k8s/networkpolicy.yaml
  Expected result: Network test evidence documents permitted flows.
  Canonical evidence: docs/test-evidence/W6-04-network.txt
  Rollback/teardown: Restore last-known-good policy; scale down if isolation is uncertain.
  Current tracker status (read-only historical/current fact): Not Started
  Separate Task Context: 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
- W6-05 — Configure requests/limits, HPA, PDB and rolling update settings.
  Business reason: Availability and autoscaling must be defined before load/chaos tests.
  Acceptance: Schema/policy checks pass and settings have rationale.
  Dependency: W6-02
  Owner verification reference: kubectl apply --dry-run=server -f deploy/k8s
  Expected result: PDB/HPA do not conflict at minimum replicas.
  Canonical evidence: docs/test-evidence/W6-05-resilience.txt
  Rollback/teardown: Rollback manifests and return to last safe replica/settings.
  Current tracker status (read-only historical/current fact): Not Started
  Separate Task Context: 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
Downstream tracker steps identified from recorded dependencies: W6-03, W6-04, W6-05, W6-06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deployment manifests or a Helm chart for the FastAPI service using immutable ECR image digest, non-root/read-only container settings, resource requests/limits, readiness/liveness/startup probes, Service, NetworkPolicy, PodDisruptionBudget and HPA. Use EKS Pod Identity or IRSA with least privilege and no static keys. Add rolling deployment settings, revision history and a documented rollback to the last-known-good digest. Keep organization values as TODOs. Add manifest/schema and policy tests.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TASK-SPECIFIC AMENDMENT — OWNER-GATED IMMUTABLE EKS ROLLOUT
Require W5-13, successful W5-004 Cycle B, W5-002 Phase B, EKS-001/NET-001/SLO-001 and an immutable ECR digest with matching scan/SBOM. Confirm whether EKS/VPC are project-owned or shared; shared resources are never teardown targets.
1. Static manifest/Helm/schema/Gatekeeper checks are offline. Server dry-run, cluster inspection and rollout are networked; apply/rollout/rollback are Kubernetes mutations requiring separate exact namespace/context/digest command approval beyond Column L.
2. Use non-root, read-only root filesystem, seccomp RuntimeDefault, dropped capabilities, no privilege escalation, explicit service account, least-privilege Pod Identity/IRSA, namespace RBAC and no static AWS key. Do not dump the full pod environment; test only targeted key-name absence and expected caller identity without exposing credentials.
3. NetworkPolicy is default-deny with explicit DNS, Bedrock/OpenSearch/OTel and approved ingress/egress paths; validate dependencies before enforcement. Probes have distinct startup/liveness/readiness semantics and bounded timeouts. Configure justified requests/limits, HPA min/max/metrics, PDB and rolling maxSurge/maxUnavailable with termination grace and revision history.
4. Test immutable digest, schema/policy, RBAC/service-account binding, forbidden secret literals, denied/allowed network paths, probe failures, scheduling/resources, HPA/PDB interaction, rollout timeout and rollback to prior digest. Canonical evidence: W6-02-k8s.txt, W6-03-identity.txt, W6-04-network.txt and W6-05-resilience.txt; reconcile aggregate W6-k8s/W6-identity records. No mutation without exact approval and cleanup/rollback plan.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Python quality: inspect pyproject.toml before proposing commands; preview Ruff fixes read-only; use the configured MyPy scope; assess type, import, integer/Boolean, async cancellation and API-version compatibility.
- Model/runtime boundary: verify immutable identity, approved artifacts, runtime API names, offline/network controls, CPU/GPU policy, concurrency, cancellation, external cache location, privacy and telemetry before integration testing.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W6-001.
</t>
  </si>
  <si>
    <t>READY FOR PRE-EDIT REVIEW — W6-001</t>
  </si>
  <si>
    <t xml:space="preserve">COLUMN L — BOUNDED CODE EDIT APPROVAL TEMPLATE — W6-001
This template is not valid approval until the owner copies the complete reviewed impact boundary into every required field and removes every bracketed instruction. A prompt ID alone is not edit authority.
APPROVED TASK CONTRACT
- Prompt/steps: W6-001 / W6-02, W6-03, W6-04, W6-05
- Business purpose: Deploy the verified service with workload identity and safe rollout controls.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W6-001.
</t>
  </si>
  <si>
    <t xml:space="preserve">COLUMN M — DOCUMENT WRITING APPROVAL TEMPLATE — W6-001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`docs/test-evidence/W6-001.md`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W6-001`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W6-001.
</t>
  </si>
  <si>
    <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t>
  </si>
  <si>
    <t xml:space="preserve">FOUR APPROVAL GATES PLUS OWNER TESTING AND WEEKLY LEARNING — TRACKER v1.3.4
MAIN PROMPT — W6-002
TASK IDENTITY
- Week: Week 6
- Feature/outcome: SRE observability, alerts, runbook and chaos plan
- Business purpose: Make the platform supportable and measurable.
- Covered tracker steps: W6-06, W6-07, W6-08, W6-09
- Required inputs: SLO approval; alert destination; pre-production chaos approval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W6-06 — Deploy OTel path to CloudWatch/X-Ray plus Prometheus/Grafana/Jaeger option.
  Business reason: Vendor-neutral telemetry supports both AWS and open-source operations.
  Acceptance: One request trace links API, retrieval and LLM spans.
  Dependency: W4-08,W6-02
  Owner verification reference: pytest tests/feature/test_trace_correlation.py -q
  Expected result: Trace/log/metric IDs correlate without sensitive content.
  Canonical evidence: docs/test-evidence/W6-06-observability.json
  Rollback/teardown: Disable broken exporter; preserve local telemetry path.
  Current tracker status (read-only historical/current fact): Not Started
  Separate Task Context: 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
- W6-07 — Approve SLIs/SLOs, error-budget policy and burn alerts.
  Business reason: Reliability targets must reflect user pain and govern releases.
  Acceptance: Availability 99.9%, p95&lt;4s, p99&lt;10s, retrieval p99&lt;750ms, grounded&gt;=95%, isolation/safety=100% are reviewed.
  Dependency: W6-06
  Owner verification reference: promtool check rules observability/alerts.yml
  Expected result: Rules validate and map to an owner/runbook.
  Canonical evidence: docs/architecture/slo.md
  Rollback/teardown: Disable noisy alert only through reviewed threshold/runbook update.
  Current tracker status (read-only historical/current fact): Not Started
  Separate Task Context: 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
- W6-08 — Create and rehearse inference-latency-spike runbook.
  Business reason: An alert is useful only if it drives a safe action.
  Acceptance: Runbook covers impact, stabilize, stage isolation, rollback and evidence.
  Dependency: W6-06,W6-07
  Owner verification reference: Run tabletop and record timeline
  Expected result: Owner can distinguish retrieval, model, queue and dependency latency.
  Canonical evidence: runbooks/inference-latency.md
  Rollback/teardown: Rollback release/config; use safe refusal/fallback if approved.
  Current tracker status (read-only historical/current fact): Not Started
  Separate Task Context: 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
- W6-09 — Stop Qdrant/inject LLM timeout locally; prepare FIS plan without executing it.
  Business reason: Controlled failure proves readiness, bounded retries and alert/runbook quality.
  Acceptance: Readiness fails, no retry storm, alert/runbook activates; FIS has tag targets/stop alarms.
  Dependency: W6-07,W6-08
  Owner verification reference: pytest tests/feature/test_failure_modes.py -q
  Expected result: RTO and alert evidence recorded; no production target.
  Canonical evidence: docs/test-evidence/W6-09-chaos.txt
  Rollback/teardown: Stop experiment, restore dependency, rollback configuration.
  Current tracker status (read-only historical/current fact): Not Started
  Separate Task Context: 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
Downstream tracker steps identified from recorded dependencies: W6-07, W6-08, W6-09, W6-10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OpenTelemetry Collector configuration, Prometheus scrape config, Grafana dashboard JSON, CloudWatch/X-Ray export path and alert rules for availability, p95/p99 end-to-end latency, retrieval latency, errors, throttles, token/cost rate and agent-policy failures. Define SLIs/SLOs and burn-rate alerts. Write the inference-latency-spike runbook with impact, triage, stabilization, investigation, rollback and evidence steps. Add local Qdrant-stop/LLM-timeout tests and a pre-production AWS FIS experiment plan with tag targets and alarm stop conditions; do not execute FIS.
TASK-SPECIFIC AMENDMENT — OBSERVABILITY, SLO AND SAFE FAILURE EXERCISES
Require independently approved W6-001 plus OBS-001, SLO-001 and FIS-001 decisions. Record alert destination/on-call, telemetry retention/redaction, SLI windows/exclusions, error-budget/burn policy and FIS owner/targets/stop alarms; never invent them.
1. Keep telemetry low-cardinality and content-free. Correlate API, auth, retrieval, embedding, LLM, guardrail, approval and tool stages. Exporter failure/backpressure must be bounded and must not break the core answer path. CloudWatch/X-Ray/collector deployment is networked/Kubernetes/cloud mutation and separately authorized; local configs/tests come first.
2. Define measurable availability, p95/p99, retrieval latency, grounded/citation/safe-abstention and isolation/safety SLIs with denominators, windows and exclusions. Validate burn-rate rules against synthetic firing/non-firing series and link every alert to owner/runbook.
3. Rehearse the inference-latency runbook with impact → stabilize → isolate stage → mitigate/rollback → recover → learn, evidence and escalation. Local Qdrant stop/LLM timeout is a bounded local mutation requiring exact target, duration, restoration and cleanup approval.
4. FIS is plan-only: tag-scoped targets, blast-radius caps, IAM, stop alarms, abort/recovery and cost estimate. Do not create or execute an FIS experiment.
5. Test redaction/cardinality/correlation, alert rules, exporter outage, readiness, retry-storm prevention, timeout/fallback/refusal and full restoration. Canonical evidence: W6-06-observability.json, docs/architecture/slo.md, runbooks/inference-latency.md and W6-09-chaos.txt; reconcile aggregate W6-alerts/W6-chaos evidence.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Python quality: inspect pyproject.toml before proposing commands; preview Ruff fixes read-only; use the configured MyPy scope; assess type, import, integer/Boolean, async cancellation and API-version compatibility.
- Model/runtime boundary: verify immutable identity, approved artifacts, runtime API names, offline/network controls, CPU/GPU policy, concurrency, cancellation, external cache location, privacy and telemetry before integration testing.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W6-002.
</t>
  </si>
  <si>
    <t>READY FOR PRE-EDIT REVIEW — W6-002</t>
  </si>
  <si>
    <t xml:space="preserve">COLUMN L — BOUNDED CODE EDIT APPROVAL TEMPLATE — W6-002
This template is not valid approval until the owner copies the complete reviewed impact boundary into every required field and removes every bracketed instruction. A prompt ID alone is not edit authority.
APPROVED TASK CONTRACT
- Prompt/steps: W6-002 / W6-06, W6-07, W6-08, W6-09
- Business purpose: Make the platform supportable and measurable.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W6-002.
</t>
  </si>
  <si>
    <t xml:space="preserve">COLUMN M — DOCUMENT WRITING APPROVAL TEMPLATE — W6-002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`docs/test-evidence/W6-002.md`
- `docs/architecture/slo.md`
- `runbooks/inference-latency.md`
- `docs/test-evidence/W6-06-observability.json`
- `docs/test-evidence/W6-09-chaos.txt`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W6-002`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W6-002.
</t>
  </si>
  <si>
    <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t>
  </si>
  <si>
    <t xml:space="preserve">FOUR APPROVAL GATES PLUS OWNER TESTING AND WEEKLY LEARNING — TRACKER v1.3.4
MAIN PROMPT — W6-003
TASK IDENTITY
- Week: Week 6
- Feature/outcome: Final end-to-end proof and handover
- Business purpose: Demonstrate architecture, quality, safety, rollback and clean teardown together.
- Covered tracker steps: W6-10, W6-11, W6-13
- Required inputs: Approved sandbox window and evidence locations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W6-10 — Run local and sandbox cited query plus golden evaluation/security suite.
  Business reason: Final proof must combine functionality, quality, security and observability.
  Acceptance: No material regression; sandbox query has citations and trace ID.
  Dependency: W6-01:W6-09
  Owner verification reference: make final-proof
  Expected result: Evidence index links tests, eval, scans, traces and decisions.
  Canonical evidence: docs/test-evidence/W6-final-index.md
  Rollback/teardown: Block promotion and restore last-known-good release/config.
  Current tracker status (read-only historical/current fact): Not Started
  Separate Task Context: 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
- W6-11 — Force a safe sandbox regression and restore previous image/configuration.
  Business reason: Rollback must be timed and revalidated before handover.
  Acceptance: Last-known-good release passes health, smoke and evaluation gates.
  Dependency: W6-10
  Owner verification reference: make rollback-release &amp;&amp; make validate-sandbox
  Expected result: Rollback record includes trigger, approver, duration and post-checks.
  Canonical evidence: docs/rollback-records/W6-release.md
  Rollback/teardown: Keep failed digest blocked; open defect with evidence.
  Current tracker status (read-only historical/current fact): Not Started
  Separate Task Context: 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
- W6-13 — Update ADRs with actual outcomes and deliver a 10-minute architecture explanation.
  Business reason: The engineer must understand and defend every decision, not just run generated code.
  Acceptance: Explain objective, flows, security, evaluation, agent controls, SLOs and reversibility.
  Dependency: W6-01:W6-12
  Owner verification reference: Owner presentation rehearsal and final workbook review
  Expected result: All TODOs/deferrals are visible; source-of-truth and workbook agree.
  Canonical evidence: docs/architecture/final-review.md
  Rollback/teardown: Any future change starts a new controlled feature cycle.
  Current tracker status (read-only historical/current fact): Not Started
  Separate Task Context: 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
Downstream tracker steps identified from recorded dependencies: W6-11, W6-12, W6-14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a final verification command that installs dependencies, starts Qdrant, runs unit/contract/integration/security tests, ingests sample data, executes a cited query, runs the golden evaluation, validates Terraform and policies, verifies container/SBOM scans, checks EKS health when available, performs an approved release rollback drill, generates a destroy plan and runs verify-clean after owner-approved teardown. Produce a redacted evidence index and update ADRs with actual results and variances. Never auto-approve or conceal failures.
TASK-SPECIFIC AMENDMENT — TWO-PHASE FINAL PROOF, ROLLBACK, TEARDOWN DEPENDENCY AND HANDOVER
This prompt is executed in two separately approved phases. make final-proof must be a fail-closed orchestrator that classifies offline, networked, paid and mutating subcommands; it must never hide or auto-authorize Docker, AWS, Kubernetes, apply/destroy or paid judge calls.
PHASE A — W6-10 AND W6-11
- Require W6-01 through W6-09, an approved sandbox window, exact implementation/release hashes and complete evidence inventory.
- Run local and sandbox cited-query, golden evaluation, authorization/security, telemetry and platform checks only under their approvals. Distinguish NOT RUN, expected policy denial and PASS. Prove a safe release regression, restore the prior immutable digest/configuration and revalidate health, query, evaluation, isolation and traces. Do not destroy infrastructure as rollback.
- Canonical evidence: docs/test-evidence/W6-final-index.md and docs/rollback-records/W6-release.md.
- Stop after W6-11 and require W5-004 Cycle C to complete W6-12 final teardown independently.
PHASE B — W6-13 HANDOVER
- Start only after W5-004 Cycle C independently proves docs/resource-cleanliness/W6-final.json with zero active project resources except the documented KMS PendingDeletion state and follow-up date.
- Reconcile every Week 1–6 MUST acceptance, decision, evidence path, failure/skip, cost/privacy result, release rollback, infrastructure rollback and teardown. Update ADR outcomes/variances without rewriting history. Produce the final architecture explanation/demo checklist and identify residual risks/TODOs.
Each phase has its own pre-edit approval, TEST-001 and owner approval. Do not pre-claim final acceptance, edit Excel, stage, commit or push. Any regression, missing evidence, unapproved mutation, active residual or inconsistent report blocks handover.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W6-003.
</t>
  </si>
  <si>
    <t>READY FOR PRE-EDIT REVIEW — W6-003</t>
  </si>
  <si>
    <t xml:space="preserve">COLUMN L — BOUNDED CODE EDIT APPROVAL TEMPLATE — W6-003
This template is not valid approval until the owner copies the complete reviewed impact boundary into every required field and removes every bracketed instruction. A prompt ID alone is not edit authority.
APPROVED TASK CONTRACT
- Prompt/steps: W6-003 / W6-10, W6-11, W6-13
- Business purpose: Demonstrate architecture, quality, safety, rollback and clean teardown together.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W6-003.
</t>
  </si>
  <si>
    <t xml:space="preserve">COLUMN M — DOCUMENT WRITING APPROVAL TEMPLATE — W6-003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`docs/test-evidence/W6-003.md`
- `docs/test-evidence/W6-final-index.md`
- `docs/rollback-records/W6-release.md`
- `docs/resource-cleanliness/W6-final.json`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W6-003`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W6-003.
</t>
  </si>
  <si>
    <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t>
  </si>
  <si>
    <t xml:space="preserve">FOUR APPROVAL GATES PLUS OWNER TESTING AND WEEKLY LEARNING — TRACKER v1.3.4
MAIN PROMPT — WEEKLY-REVIEW-001
TASK IDENTITY
- Week: Weeks 1-5
- Feature/outcome: Reusable weekly checkpoint
- Business purpose: Close each week only after tracker-to-repository-to-evidence reconciliation and independent validation.
- Covered tracker steps: W1-12, W2-12, W3-12, W4-12, W5-13
- Required inputs: TODO_WEEK, current weekly sheet, evidence register, ADRs, TODOs and test results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W1-13, W2-03, W2-13, W3-13, W4-13, W5-14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TASK-SPECIFIC AMENDMENT — PHASE-AWARE WEEKLY CLOSURE
For Week 3 confirm W4-003 Phase A/W3-09 completed before W3 sign-off. For Week 5 confirm W5-002 Phase A and W5-004 Cycle A completed; W5-002 Phase B and W5-004 Cycles B/C remain future gated work and are not pre-approved. For every week, reconcile step-level canonical evidence with aggregate Test Evidence Register paths, and verify prompt phase/cycle-specific independent PASS/final approval. A sign-off must reflect current lifecycle state: pending/unapproved means absent; completed and owner-approved means exactly one structurally valid record. Never mark a future cross-week phase Done, infer approval from local validation or create the next week's sign-off early.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WEEKLY-REVIEW-001.
</t>
  </si>
  <si>
    <t>READY FOR PRE-EDIT REVIEW — WEEKLY-REVIEW-001</t>
  </si>
  <si>
    <t xml:space="preserve">COLUMN L — BOUNDED CONTENT EDIT APPROVAL TEMPLATE — WEEKLY-REVIEW-001
This template is not valid approval until the owner copies the reviewed pre-edit plan into every required field and removes every bracketed instruction.
APPROVED AUTHORITY AND CONTENT DESIGN
- Prompt/steps: WEEKLY-REVIEW-001 / W1-12, W2-12, W3-12, W4-12, W5-13
- Business purpose: Close each week only after tracker-to-repository-to-evidence reconciliation and independent validation.
- Approved governing sources: [exact source documents, ADRs and owner decisions]
- Approved content contract: [exact sections, facts, terminology, acceptance criteria and exclusions]
EXACT APPROVED PATH MANIFEST — DOCUMENTS FOR THIS CONTENT EDIT
CREATE:
- [exact repository-relative file path(s), or the word None]
UPDATE:
- [exact repository-relative file path(s), or the word None]
DELETE:
- None unless separately justified and expressly approved.
VERIFIED UNCHANGED CONSUMERS:
- [exact paths inspected and reason unchanged]
EXCLUDED:
- Every path not listed above; all application code, configuration, IaC, schemas, automated tests, evidence and tracker fields.
BASELINE REVALIDATION BEFORE EDITING
Re-read every approved CREATE/UPDATE path and all direct/indirect consumers from the approved impact analysis. Confirm the repository, governing sources, workbook-lock state, target sections and owner facts match the reviewed baseline. If any path, fact, authority or patch context changed, edit nothing and return exactly: BLOCKED — BASELINE CHANGED.
EDIT AUTHORITY
Write only the exact approved content paths and sections. Preserve historical facts and distinguish proposed, approved, PASS, FAIL, NOT RUN, INDETERMINATE, warning, risk and deferred states. Do not run commands/tests, install, build, access network/cloud, deploy, remediate, roll back, tear down, write unapproved evidence/docs, edit Excel, or use Git mutation.
AFTER EDITING
Perform read-only diff inspection only. Return exact changed paths, per-path content summary, authority/consumer synchronization, unresolved decisions, and owner content-review guide. Confirm no command or non-approved file changed.
End exactly: CONTENT READY FOR OWNER REVIEW — WEEKLY-REVIEW-001.
</t>
  </si>
  <si>
    <t xml:space="preserve">COLUMN M — DOCUMENT WRITING APPROVAL TEMPLATE — WEEKLY-REVIEW-001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`docs/test-evidence/WEEKLY-REVIEW-001.md`
- `docs/deployment-records/W2-signoff.md`
- `docs/deployment-records/W3-signoff.md`
- `docs/deployment-records/W4-signoff.md`
- `docs/deployment-records/W5-signoff.md`
- `docs/deployment-records/W6-signoff.md`
UPDATE:
- `docs/test-evidence/README.md`
- `docs/deployment-records/W1-signoff.md`
VERIFIED UNCHANGED:
- None unless the owner lists an exact inspected path and reason.
EXCLUDED:
- Every repository path not retained above.
- Application code, configuration, IaC, schemas, automated tests and Excel tracker fields.
WEEK-SPECIFIC BOUNDARY RULE
This reusable prompt lists all six exact sign-off candidates. Before approval, the owner must retain only the single reviewed week's sign-off path in CREATE/UPDATE and move the other five exact paths to VERIFIED UNCHANGED or EXCLUDED. A multi-week or TODO_WEEK boundary is invalid.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WEEKLY-REVIEW-001`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WEEKLY-REVIEW-001.
</t>
  </si>
  <si>
    <t xml:space="preserve">COLUMN N — FINAL APPROVAL AND COMPLETE DOCUMENTATION CLOSURE — WEEKLY-REVIEW-001
This gate authorizes documentation closure only after owner review; it is not a code, test, deployment or tracker-edit approval.
OWNER MUST SUPPLY — DO NOT INVENT
- Prompt ID: WEEKLY-REVIEW-001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WEEKLY-REVIEW-001.
</t>
  </si>
  <si>
    <t xml:space="preserve">FOUR APPROVAL GATES PLUS OWNER TESTING AND WEEKLY LEARNING — TRACKER v1.3.4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Python quality: inspect pyproject.toml before proposing commands; preview Ruff fixes read-only; use the configured MyPy scope; assess type, import, integer/Boolean, async cancellation and API-version compatibility.
- Model/runtime boundary: verify immutable identity, approved artifacts, runtime API names, offline/network controls, CPU/GPU policy, concurrency, cancellation, external cache location, privacy and telemetry before integration testing.
- Container boundary: analyze logical versus generated network names, internal-network reachability, profiles, ports, immutable image digests, least privilege, one-shot in-network testing and labelled teardown residue.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ST-001.
</t>
  </si>
  <si>
    <t>READY FOR PRE-EDIT REVIEW — ST-001</t>
  </si>
  <si>
    <t xml:space="preserve">COLUMN L — BOUNDED CODE EDIT APPROVAL TEMPLATE — ST-001
This template is not valid approval until the owner copies the complete reviewed impact boundary into every required field and removes every bracketed instruction. A prompt ID alone is not edit authority.
APPROVED TASK CONTRACT
- Prompt/steps: ST-001 / Post-MVP
- Business purpose: Learn model development without making it an MVP dependency.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ST-001.
</t>
  </si>
  <si>
    <t xml:space="preserve">COLUMN M — DOCUMENT WRITING APPROVAL TEMPLATE — ST-001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`docs/test-evidence/ST-001.md`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ST-001`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ST-001.
</t>
  </si>
  <si>
    <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t>
  </si>
  <si>
    <t xml:space="preserve">FOUR APPROVAL GATES PLUS OWNER TESTING AND WEEKLY LEARNING — TRACKER v1.3.4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Structured contracts: detect the existing serialization first; keep one valid top-level document; synchronize every validator, fixture, constant and negative test; preserve exact ordered feature IDs, tracker steps and paths.
- Container boundary: analyze logical versus generated network names, internal-network reachability, profiles, ports, immutable image digests, least privilege, one-shot in-network testing and labelled teardown residue.
- Infrastructure boundary: plan/validate separately from owner-approved mutation; check state and lock handling, identity, tags, spend, rollback, destroy order, scheduled deletion and native plus tag-based residue discovery.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ST-002.
</t>
  </si>
  <si>
    <t>READY FOR PRE-EDIT REVIEW — ST-002</t>
  </si>
  <si>
    <t xml:space="preserve">COLUMN L — BOUNDED CODE EDIT APPROVAL TEMPLATE — ST-002
This template is not valid approval until the owner copies the complete reviewed impact boundary into every required field and removes every bracketed instruction. A prompt ID alone is not edit authority.
APPROVED TASK CONTRACT
- Prompt/steps: ST-002 / Post-MVP
- Business purpose: Limit Ansible to valid VM/bootstrap cases.
- Approved architecture/design: [exact design and owner decisions from the reviewed plan]
- Exact behavior/interfaces/functions/contracts: [exact symbols, inputs, outputs, errors and invariants]
- Schema/serialization/fixture rules: [exact formats, fields, order, types and rejection behavior]
- Dependency/runtime API rules: [exact packages, versions, APIs, device/network/cache controls]
- Security/concurrency rules: [exact authorization, redaction, timeouts, retries, locks and cancellation]
- Automated tests to write: [exact test paths and positive/negative cases]
- Accepted baseline/warnings: [exact owner-accepted facts]
EXACT APPROVED PATH MANIFEST
CREATE:
- [exact repository-relative code/configuration/IaC/schema/automated-test path(s), or None]
UPDATE:
- [exact repository-relative code/configuration/IaC/schema/automated-test path(s), or None]
DELETE:
- [exact repository-relative path(s), or None]
VERIFIED UNCHANGED CONSUMERS:
- [exact inspected consumer paths and reason unchanged]
DEFERRED:
- [exact work and owner-approved reason, or None]
EXCLUDED:
- Every path not listed above; narrative documentation, evidence, ADRs, Excel and unrelated defects.
BASELINE AND PATCH-CONTEXT REVALIDATION — BEFORE ANY EDIT
1. Re-read every approved CREATE and UPDATE path.
2. Re-read every direct and indirect consumer in the approved impact analysis.
3. Confirm the repository still matches the reviewed Git/content baseline.
4. Confirm no workbook lock or owner-managed prerequisite conflicts.
5. Confirm every target symbol, schema, dependency and patch context still exists.
6. Confirm no user change altered the approved design.
7. If any reviewed fact materially changed, edit nothing and return exactly: BLOCKED — BASELINE CHANGED.
AUTHORIZED ACTION
Create, update or delete only the exact approved application code, IaC, configuration, schemas and automated test code. Perform only read-only inspection needed to implement the whole approved producer-consumer boundary. Synchronize every approved producer, consumer, fixture and validator in one change.
PROHIBITED ACTIONS
Do not run tests, Ruff, MyPy, formatters, builds or validators; do not use automatic --fix; install packages; download models; start services; use Docker/registries/cloud/Terraform/Kubernetes; deploy; remediate; roll back; tear down; generate evidence; edit narrative documentation/ADRs/Excel; stage, commit or push; broaden paths; or fix unrelated defects.
READ-ONLY POST-EDIT REPORT
Return exact changed paths, concise diff summary by path, contract and producer-consumer synchronization, dependencies, security/privacy/cost impact, remaining owner decisions, tests written but NOT RUN, and confirmation that no command/test/service/deployment/cloud action ran. Provide the complete Owner Execution Guide and Post-Implementation Learning Summary with five interview questions and answer points. Do not show full code unless the owner asks SHOW FULL CODE.
End exactly: CODE READY FOR OWNER TESTING — ST-002.
</t>
  </si>
  <si>
    <t xml:space="preserve">COLUMN M — DOCUMENT WRITING APPROVAL TEMPLATE — ST-002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`docs/test-evidence/ST-002.md`
UPDATE:
- `docs/test-evidence/README.md`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ST-002`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ST-002.
</t>
  </si>
  <si>
    <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t>
  </si>
  <si>
    <t xml:space="preserve">FOUR APPROVAL GATES PLUS OWNER TESTING AND WEEKLY LEARNING — TRACKER v1.3.4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Preserve every Week 1 correction, test transition and prevention control for future weeks.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boundary: plan/validate separately from owner-approved mutation; check state and lock handling, identity, tags, spend, rollback, destroy order, scheduled deletion and native plus tag-based residue discovery.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W1-CONSOLIDATED-001.
</t>
  </si>
  <si>
    <t>READY FOR PRE-EDIT REVIEW — W1-CONSOLIDATED-001</t>
  </si>
  <si>
    <t xml:space="preserve">COLUMN L — BOUNDED CONTENT EDIT APPROVAL TEMPLATE — W1-CONSOLIDATED-001
This template is not valid approval until the owner copies the reviewed pre-edit plan into every required field and removes every bracketed instruction.
APPROVED AUTHORITY AND CONTENT DESIGN
- Prompt/steps: W1-CONSOLIDATED-001 / W1-01:W1-12
- Business purpose: Preserve every Week 1 correction, test transition and prevention control for future weeks.
- Approved governing sources: [exact source documents, ADRs and owner decisions]
- Approved content contract: [exact sections, facts, terminology, acceptance criteria and exclusions]
EXACT APPROVED PATH MANIFEST — DOCUMENTS FOR THIS CONTENT EDIT
CREATE:
- [exact repository-relative file path(s), or the word None]
UPDATE:
- [exact repository-relative file path(s), or the word None]
DELETE:
- None unless separately justified and expressly approved.
VERIFIED UNCHANGED CONSUMERS:
- [exact paths inspected and reason unchanged]
EXCLUDED:
- Every path not listed above; all application code, configuration, IaC, schemas, automated tests, evidence and tracker fields.
BASELINE REVALIDATION BEFORE EDITING
Re-read every approved CREATE/UPDATE path and all direct/indirect consumers from the approved impact analysis. Confirm the repository, governing sources, workbook-lock state, target sections and owner facts match the reviewed baseline. If any path, fact, authority or patch context changed, edit nothing and return exactly: BLOCKED — BASELINE CHANGED.
EDIT AUTHORITY
Write only the exact approved content paths and sections. Preserve historical facts and distinguish proposed, approved, PASS, FAIL, NOT RUN, INDETERMINATE, warning, risk and deferred states. Do not run commands/tests, install, build, access network/cloud, deploy, remediate, roll back, tear down, write unapproved evidence/docs, edit Excel, or use Git mutation.
AFTER EDITING
Perform read-only diff inspection only. Return exact changed paths, per-path content summary, authority/consumer synchronization, unresolved decisions, and owner content-review guide. Confirm no command or non-approved file changed.
End exactly: CONTENT READY FOR OWNER REVIEW — W1-CONSOLIDATED-001.
</t>
  </si>
  <si>
    <t xml:space="preserve">COLUMN M — DOCUMENT WRITING APPROVAL TEMPLATE — W1-CONSOLIDATED-001
This remains a separate owner approval after code/content work and owner testing/review. Before pasting it as approval, the owner must reconcile the existence classification and remove any non-applicable candidate; no CREATE OR UPDATE ambiguity or placeholder path is valid.
EXACT DOCUMENTATION BOUNDARY — CURRENT TRACKER CLASSIFICATION
CREATE:
- None
UPDATE:
- None
VERIFIED UNCHANGED:
- None unless the owner lists an exact inspected path and reason.
EXCLUDED:
- Every repository path not retained above.
- Application code, configuration, IaC, schemas, automated tests and Excel tracker fields.
REQUIRED OWNER-SUPPLIED FACTS
Provide complete owner-executed results and cleanup/rollback outcomes; exact reviewer values only when available; accepted warnings, risks, evidence gaps, limitations and deferrals. Distinguish PASS, FAIL, NOT RUN and INDETERMINATE. Never infer a result, path or decision.
DOCUMENT PREFLIGHT
Read every approved path; confirm whether it exists and matches CREATE or UPDATE; reconcile current content with owner results; verify governing authority; and stop before editing if a path, reviewer fact, test/evidence result or scope is missing/conflicting. Do not invent a path.
WRITE BOUNDARY
Write only the retained exact documentation paths in clear business-first language. Define technical terms. Record security/privacy/cost, deployment, rollback, teardown, residual resources, accepted risks/gaps, deferred actions and interview learning accurately. Do not edit code/test/config/IaC/Excel, run commands, deploy, remediate, use cloud, or use Git mutation.
MANDATORY COLUMN M OUTPUT
Return `COLUMN M APPROVED DOCUMENT MANIFEST — W1-CONSOLIDATED-001` with one row for every created or updated document: exact path; CREATE/UPDATE; purpose; owner results recorded; risks; evidence gaps; deployment; rollback; teardown; fields pending Column N; Final Owner Approval section location; and whether Column N must update it. The manifest is the complete mandatory Column N scope; no entry may be omitted.
End exactly: DOCUMENTATION READY FOR OWNER REVIEW — W1-CONSOLIDATED-001.
</t>
  </si>
  <si>
    <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t>
  </si>
  <si>
    <t xml:space="preserve">FOUR APPROVAL GATES PLUS OWNER TESTING AND WEEKLY LEARNING — TRACKER v1.3.4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 or content mutation is authorized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teach-back; no command
  Expected result: Business summary, technical deep-dive, layman analogy, decision recap and interview Q&amp;A completed.
  Canonical evidence: docs/learning/W1-learning-review.md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teach-back; no command
  Expected result: Business summary, technical deep-dive, layman analogy, decision recap and interview Q&amp;A completed.
  Canonical evidence: docs/learning/W2-learning-review.md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teach-back; no command
  Expected result: Business summary, technical deep-dive, layman analogy, decision recap and interview Q&amp;A completed.
  Canonical evidence: docs/learning/W3-learning-review.md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teach-back; no command
  Expected result: Business summary, technical deep-dive, layman analogy, decision recap and interview Q&amp;A completed.
  Canonical evidence: docs/learning/W4-learning-review.md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teach-back; no command
  Expected result: Business summary, technical deep-dive, layman analogy, decision recap and interview Q&amp;A completed.
  Canonical evidence: docs/learning/W5-learning-review.md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teach-back; no command
  Expected result: Final business case, architecture deep-dive, layman walkthrough, decision recap and interview Q&amp;A completed.
  Canonical evidence: docs/learning/W6-learning-review.md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This contract remains subordinate to the Source of Truth v1.1, owner-approved ADRs and decisions, the separate Task Context, and the owner-control gates. Any execution or documentation-writing language found in historical material must be translated into owner-run guidance or a later approval boundary; it is not execution authority.
Teach the business use case, end-to-end flow, decisions and interview story after each week.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Document authority: trace every decision source and downstream reference; separate historical facts, owner-approved values, proposed values and TODO_USER values; never infer approval or rewrite historical results.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WEEKLY-LEARN-001.
</t>
  </si>
  <si>
    <t>Owner learning/teach-back review — WEEKLY-LEARN-001</t>
  </si>
  <si>
    <t xml:space="preserve">COLUMN L APPROVAL POSITION — OWNER LEARNING REVIEW — WEEKLY-LEARN-001
No code, configuration, infrastructure, schema, automated test or narrative-document edit is authorized. Codex teaches the approved scope and conducts owner teach-back only. Any learning-note write requires a separate Column M approval containing exact document paths.
End exactly: LEARNING REVIEW READY — WEEKLY-LEARN-001.
</t>
  </si>
  <si>
    <t xml:space="preserve">COLUMN M — DOCUMENT WRITING APPROVAL — WEEKLY-LEARN-001
NOT APPLICABLE BY DEFAULT: this learning prompt approves teaching and teach-back only. No repository document path is authorized or inferred.
If the owner later wants a learning note, provide a new Column M approval with exact CREATE, UPDATE, VERIFIED UNCHANGED and EXCLUDED repository-relative paths plus owner-supplied results. Codex must then produce the complete Column M Approved Document Manifest; otherwise no Column N document closure occurs.
End exactly: DOCUMENTATION NOT AUTHORIZED — WEEKLY-LEARN-001.
</t>
  </si>
  <si>
    <t xml:space="preserve">COLUMN N — FINAL APPROVAL AND COMPLETE DOCUMENTATION CLOSURE — WEEKLY-LEARN-001
If Column M was not used and no document manifest exists, this gate records owner teach-back only and authorizes no repository or tracker mutation. If any document was created or updated under a later Column M approval, the complete closure below is mandatory.
OWNER MUST SUPPLY — DO NOT INVENT
- Prompt ID: WEEKLY-LEARN-001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t>
  </si>
  <si>
    <t>Source and Traceability Register — v1.3.4</t>
  </si>
  <si>
    <t>Execution Tracker v1.3.4</t>
  </si>
  <si>
    <t>Preserves the six-week architecture and historical status; adds complete producer-consumer impact control, owner-only execution, Column M document manifests and complete Column N document closure.</t>
  </si>
  <si>
    <t>Current — complete-impact and documentation-closure amendment</t>
  </si>
  <si>
    <t>Enterprise AI Owner Learning Journey — v1.3.4</t>
  </si>
  <si>
    <t>The owner owns decisions and execution. Codex works within FOUR APPROVAL GATES PLUS OWNER TESTING AND WEEKLY LEARNING, explains every gate and preserves truthful evidence and complete documentation closure.</t>
  </si>
  <si>
    <t>Gate 1 — Main Prompt</t>
  </si>
  <si>
    <t>Read-only complete-impact plan</t>
  </si>
  <si>
    <t>Business purpose, baseline, producers/consumers, connections, exact boundary, gates, rollback/teardown and consolidated decisions</t>
  </si>
  <si>
    <t>No edits or execution</t>
  </si>
  <si>
    <t>Owner reviews and decides</t>
  </si>
  <si>
    <t>READY FOR PRE-EDIT REVIEW</t>
  </si>
  <si>
    <t>Gate 2 — Column L</t>
  </si>
  <si>
    <t>Bounded code or content edit</t>
  </si>
  <si>
    <t>Exact approved paths/contracts; baseline and patch-context revalidation; complete consumer synchronization</t>
  </si>
  <si>
    <t>Codex edits only</t>
  </si>
  <si>
    <t>CODE/CONTENT READY FOR OWNER REVIEW</t>
  </si>
  <si>
    <t>One command at a time; cache-safe configured gates; complete failure impact analysis before remediation approval</t>
  </si>
  <si>
    <t>Codex diagnoses only</t>
  </si>
  <si>
    <t>PASS / FAIL / NOT RUN / INDETERMINATE</t>
  </si>
  <si>
    <t>Gate 3 — Column M</t>
  </si>
  <si>
    <t>Bounded documentation writing</t>
  </si>
  <si>
    <t>Exact CREATE/UPDATE paths, truthful owner results and complete Column M Approved Document Manifest</t>
  </si>
  <si>
    <t>Codex documents only</t>
  </si>
  <si>
    <t>No code or commands</t>
  </si>
  <si>
    <t>Gate 4 — Column N</t>
  </si>
  <si>
    <t>Complete documentation closure</t>
  </si>
  <si>
    <t>Preflight every manifest document; record owner-supplied reviewer, decision and date; reconcile every path</t>
  </si>
  <si>
    <t>Codex closes docs only</t>
  </si>
  <si>
    <t>Owner updates Excel</t>
  </si>
  <si>
    <t>Mandatory owner teach-back</t>
  </si>
  <si>
    <t>Business, architecture, data/control flow, decisions, failures, remediation, evidence gaps and interview 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</si>
</sst>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6">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style="thin">
        <color rgb="FFC8D4E3"/>
      </left>
      <right/>
      <top style="thin">
        <color rgb="FFC8D4E3"/>
      </top>
      <bottom/>
      <diagonal/>
    </border>
    <border>
      <left/>
      <right/>
      <top style="thin">
        <color rgb="FFC8D4E3"/>
      </top>
      <bottom/>
      <diagonal/>
    </border>
    <border>
      <left/>
      <right style="thin">
        <color rgb="FFC8D4E3"/>
      </right>
      <top style="thin">
        <color rgb="FFC8D4E3"/>
      </top>
      <bottom/>
      <diagonal/>
    </border>
    <border>
      <left style="thin">
        <color rgb="FFC8D4E3"/>
      </left>
      <right/>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s>
  <cellStyleXfs count="1">
    <xf numFmtId="0" fontId="0" fillId="0" borderId="0"/>
  </cellStyleXfs>
  <cellXfs count="122">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5" xfId="0" applyFont="1" applyFill="1" applyBorder="1"/>
    <xf numFmtId="0" fontId="7" fillId="7" borderId="15" xfId="0" applyFont="1" applyFill="1" applyBorder="1"/>
    <xf numFmtId="164" fontId="7" fillId="7" borderId="15"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6" xfId="0" applyFont="1" applyBorder="1" applyAlignment="1">
      <alignment vertical="top" wrapText="1"/>
    </xf>
    <xf numFmtId="0" fontId="10" fillId="11" borderId="16" xfId="0" applyFont="1" applyFill="1" applyBorder="1" applyAlignment="1">
      <alignment vertical="top" wrapText="1"/>
    </xf>
    <xf numFmtId="0" fontId="4" fillId="10" borderId="0" xfId="0" applyFont="1" applyFill="1"/>
    <xf numFmtId="14" fontId="10" fillId="11" borderId="16" xfId="0" applyNumberFormat="1" applyFont="1" applyFill="1" applyBorder="1" applyAlignment="1">
      <alignment vertical="top" wrapText="1"/>
    </xf>
    <xf numFmtId="14" fontId="10" fillId="0" borderId="16"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5" xfId="0" applyFont="1" applyFill="1" applyBorder="1" applyAlignment="1">
      <alignment vertical="center" wrapText="1"/>
    </xf>
    <xf numFmtId="0" fontId="4" fillId="13" borderId="0" xfId="0" applyFont="1" applyFill="1" applyAlignment="1">
      <alignment wrapText="1"/>
    </xf>
    <xf numFmtId="0" fontId="14" fillId="13" borderId="16" xfId="0" applyFont="1" applyFill="1" applyBorder="1" applyAlignment="1">
      <alignment vertical="top" wrapText="1"/>
    </xf>
    <xf numFmtId="0" fontId="14" fillId="13" borderId="15" xfId="0" applyFont="1" applyFill="1" applyBorder="1" applyAlignment="1">
      <alignment vertical="top" wrapText="1"/>
    </xf>
    <xf numFmtId="0" fontId="10" fillId="3" borderId="16" xfId="0" applyFont="1" applyFill="1" applyBorder="1" applyAlignment="1">
      <alignment vertical="top" wrapText="1"/>
    </xf>
    <xf numFmtId="0" fontId="7" fillId="0" borderId="16" xfId="0" applyFont="1"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16" borderId="17" xfId="0" applyFill="1" applyBorder="1" applyAlignment="1">
      <alignment vertical="top" wrapText="1"/>
    </xf>
    <xf numFmtId="0" fontId="0" fillId="16" borderId="19" xfId="0" applyFill="1" applyBorder="1" applyAlignment="1">
      <alignment vertical="top" wrapText="1"/>
    </xf>
    <xf numFmtId="0" fontId="0" fillId="16" borderId="20" xfId="0" applyFill="1" applyBorder="1" applyAlignment="1">
      <alignment vertical="top" wrapText="1"/>
    </xf>
    <xf numFmtId="0" fontId="0" fillId="16" borderId="22" xfId="0" applyFill="1" applyBorder="1" applyAlignment="1">
      <alignment vertical="top" wrapText="1"/>
    </xf>
    <xf numFmtId="0" fontId="0" fillId="16" borderId="23" xfId="0" applyFill="1" applyBorder="1" applyAlignment="1">
      <alignment vertical="top" wrapText="1"/>
    </xf>
    <xf numFmtId="0" fontId="0" fillId="16" borderId="25" xfId="0"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12" borderId="15" xfId="0" applyFont="1" applyFill="1" applyBorder="1" applyAlignment="1">
      <alignment vertical="top" wrapText="1"/>
    </xf>
    <xf numFmtId="0" fontId="3" fillId="13" borderId="15" xfId="0" applyFont="1" applyFill="1" applyBorder="1" applyAlignment="1">
      <alignment vertical="top" wrapText="1"/>
    </xf>
    <xf numFmtId="0" fontId="10" fillId="15" borderId="16" xfId="0" applyFont="1" applyFill="1" applyBorder="1" applyAlignment="1">
      <alignment vertical="top" wrapText="1"/>
    </xf>
    <xf numFmtId="0" fontId="1" fillId="2" borderId="0" xfId="0" applyFont="1" applyFill="1" applyAlignment="1">
      <alignment vertical="center"/>
    </xf>
    <xf numFmtId="0" fontId="2" fillId="3" borderId="0" xfId="0" applyFont="1" applyFill="1" applyAlignment="1">
      <alignment vertical="center" wrapText="1"/>
    </xf>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6" borderId="9" xfId="0" applyFont="1" applyFill="1" applyBorder="1" applyAlignment="1">
      <alignment vertical="center" wrapText="1"/>
    </xf>
    <xf numFmtId="0" fontId="5" fillId="6" borderId="10" xfId="0" applyFont="1" applyFill="1" applyBorder="1" applyAlignment="1">
      <alignment vertical="center" wrapText="1"/>
    </xf>
    <xf numFmtId="0" fontId="5" fillId="6" borderId="0" xfId="0" applyFont="1" applyFill="1" applyAlignment="1">
      <alignment vertical="center" wrapText="1"/>
    </xf>
    <xf numFmtId="0" fontId="5" fillId="6" borderId="11" xfId="0" applyFont="1" applyFill="1" applyBorder="1" applyAlignment="1">
      <alignment vertical="center" wrapText="1"/>
    </xf>
    <xf numFmtId="0" fontId="8" fillId="8" borderId="7" xfId="0" applyFont="1" applyFill="1" applyBorder="1" applyAlignment="1">
      <alignment wrapText="1"/>
    </xf>
    <xf numFmtId="0" fontId="8" fillId="8" borderId="8" xfId="0" applyFont="1" applyFill="1" applyBorder="1" applyAlignment="1">
      <alignment wrapText="1"/>
    </xf>
    <xf numFmtId="0" fontId="8" fillId="8" borderId="9" xfId="0" applyFont="1" applyFill="1" applyBorder="1" applyAlignment="1">
      <alignment wrapText="1"/>
    </xf>
    <xf numFmtId="0" fontId="8" fillId="8" borderId="12" xfId="0" applyFont="1" applyFill="1" applyBorder="1" applyAlignment="1">
      <alignment wrapText="1"/>
    </xf>
    <xf numFmtId="0" fontId="8" fillId="8" borderId="13" xfId="0" applyFont="1" applyFill="1" applyBorder="1" applyAlignment="1">
      <alignment wrapText="1"/>
    </xf>
    <xf numFmtId="0" fontId="8" fillId="8" borderId="14" xfId="0" applyFont="1" applyFill="1" applyBorder="1" applyAlignment="1">
      <alignment wrapText="1"/>
    </xf>
    <xf numFmtId="0" fontId="5" fillId="6" borderId="12" xfId="0" applyFont="1" applyFill="1" applyBorder="1" applyAlignment="1">
      <alignment vertical="center" wrapText="1"/>
    </xf>
    <xf numFmtId="0" fontId="5" fillId="6" borderId="13" xfId="0" applyFont="1" applyFill="1" applyBorder="1" applyAlignment="1">
      <alignment vertical="center" wrapText="1"/>
    </xf>
    <xf numFmtId="0" fontId="5" fillId="6" borderId="14" xfId="0" applyFont="1" applyFill="1" applyBorder="1" applyAlignment="1">
      <alignment vertical="center" wrapText="1"/>
    </xf>
    <xf numFmtId="0" fontId="3" fillId="4" borderId="0" xfId="0" applyFont="1" applyFill="1" applyAlignment="1">
      <alignment horizontal="center"/>
    </xf>
    <xf numFmtId="0" fontId="9" fillId="6" borderId="7"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12" xfId="0" applyFont="1" applyFill="1" applyBorder="1" applyAlignment="1">
      <alignment horizontal="center" vertical="center"/>
    </xf>
    <xf numFmtId="0" fontId="9" fillId="6" borderId="14" xfId="0" applyFont="1" applyFill="1" applyBorder="1" applyAlignment="1">
      <alignment horizontal="center" vertical="center"/>
    </xf>
    <xf numFmtId="9" fontId="9" fillId="6" borderId="7" xfId="0" applyNumberFormat="1" applyFont="1" applyFill="1" applyBorder="1" applyAlignment="1">
      <alignment horizontal="center" vertical="center"/>
    </xf>
    <xf numFmtId="9" fontId="9" fillId="6" borderId="9" xfId="0" applyNumberFormat="1" applyFont="1" applyFill="1" applyBorder="1" applyAlignment="1">
      <alignment horizontal="center" vertical="center"/>
    </xf>
    <xf numFmtId="9" fontId="9" fillId="6" borderId="12" xfId="0" applyNumberFormat="1" applyFont="1" applyFill="1" applyBorder="1" applyAlignment="1">
      <alignment horizontal="center" vertical="center"/>
    </xf>
    <xf numFmtId="9" fontId="9" fillId="6" borderId="14" xfId="0" applyNumberFormat="1" applyFont="1" applyFill="1" applyBorder="1" applyAlignment="1">
      <alignment horizontal="center" vertical="center"/>
    </xf>
    <xf numFmtId="0" fontId="5" fillId="6" borderId="10" xfId="0" applyFont="1" applyFill="1" applyBorder="1" applyAlignment="1">
      <alignment wrapText="1"/>
    </xf>
    <xf numFmtId="0" fontId="5" fillId="6" borderId="0" xfId="0" applyFont="1" applyFill="1" applyAlignment="1">
      <alignment wrapText="1"/>
    </xf>
    <xf numFmtId="0" fontId="5" fillId="6" borderId="11" xfId="0" applyFont="1" applyFill="1" applyBorder="1" applyAlignment="1">
      <alignment wrapText="1"/>
    </xf>
    <xf numFmtId="0" fontId="5" fillId="6" borderId="12" xfId="0" applyFont="1" applyFill="1" applyBorder="1" applyAlignment="1">
      <alignment wrapText="1"/>
    </xf>
    <xf numFmtId="0" fontId="5" fillId="6" borderId="13" xfId="0" applyFont="1" applyFill="1" applyBorder="1" applyAlignment="1">
      <alignment wrapText="1"/>
    </xf>
    <xf numFmtId="0" fontId="5" fillId="6" borderId="14" xfId="0" applyFont="1" applyFill="1" applyBorder="1" applyAlignment="1">
      <alignment wrapText="1"/>
    </xf>
    <xf numFmtId="0" fontId="5" fillId="6" borderId="7" xfId="0" applyFont="1" applyFill="1" applyBorder="1" applyAlignment="1">
      <alignment wrapText="1"/>
    </xf>
    <xf numFmtId="0" fontId="5" fillId="6" borderId="8" xfId="0" applyFont="1" applyFill="1" applyBorder="1" applyAlignment="1">
      <alignment wrapText="1"/>
    </xf>
    <xf numFmtId="0" fontId="5" fillId="6" borderId="9" xfId="0" applyFont="1" applyFill="1" applyBorder="1" applyAlignment="1">
      <alignment wrapText="1"/>
    </xf>
    <xf numFmtId="0" fontId="4" fillId="10" borderId="0" xfId="0" applyFont="1" applyFill="1"/>
    <xf numFmtId="0" fontId="0" fillId="0" borderId="0" xfId="0"/>
    <xf numFmtId="9" fontId="11" fillId="6" borderId="7" xfId="0" applyNumberFormat="1" applyFont="1" applyFill="1" applyBorder="1" applyAlignment="1">
      <alignment horizontal="center" vertical="center"/>
    </xf>
    <xf numFmtId="9" fontId="11" fillId="6" borderId="9" xfId="0" applyNumberFormat="1" applyFont="1" applyFill="1" applyBorder="1" applyAlignment="1">
      <alignment horizontal="center" vertical="center"/>
    </xf>
    <xf numFmtId="9" fontId="11" fillId="6" borderId="12" xfId="0" applyNumberFormat="1" applyFont="1" applyFill="1" applyBorder="1" applyAlignment="1">
      <alignment horizontal="center" vertical="center"/>
    </xf>
    <xf numFmtId="9" fontId="11" fillId="6" borderId="14" xfId="0" applyNumberFormat="1" applyFont="1" applyFill="1" applyBorder="1" applyAlignment="1">
      <alignment horizontal="center" vertical="center"/>
    </xf>
    <xf numFmtId="0" fontId="12" fillId="6" borderId="7" xfId="0" applyFont="1" applyFill="1" applyBorder="1" applyAlignment="1">
      <alignment horizontal="center" vertical="center"/>
    </xf>
    <xf numFmtId="0" fontId="12" fillId="6" borderId="9" xfId="0" applyFont="1" applyFill="1" applyBorder="1" applyAlignment="1">
      <alignment horizontal="center" vertical="center"/>
    </xf>
    <xf numFmtId="0" fontId="12" fillId="6" borderId="12" xfId="0" applyFont="1" applyFill="1" applyBorder="1" applyAlignment="1">
      <alignment horizontal="center" vertical="center"/>
    </xf>
    <xf numFmtId="0" fontId="12" fillId="6" borderId="14" xfId="0" applyFont="1" applyFill="1" applyBorder="1" applyAlignment="1">
      <alignment horizontal="center" vertical="center"/>
    </xf>
    <xf numFmtId="0" fontId="13" fillId="9" borderId="7" xfId="0" applyFont="1" applyFill="1" applyBorder="1" applyAlignment="1">
      <alignment vertical="center" wrapText="1"/>
    </xf>
    <xf numFmtId="0" fontId="13" fillId="9" borderId="8" xfId="0" applyFont="1" applyFill="1" applyBorder="1" applyAlignment="1">
      <alignment vertical="center" wrapText="1"/>
    </xf>
    <xf numFmtId="0" fontId="13" fillId="9" borderId="9" xfId="0" applyFont="1" applyFill="1" applyBorder="1" applyAlignment="1">
      <alignment vertical="center" wrapText="1"/>
    </xf>
    <xf numFmtId="0" fontId="13" fillId="9" borderId="12" xfId="0" applyFont="1" applyFill="1" applyBorder="1" applyAlignment="1">
      <alignment vertical="center" wrapText="1"/>
    </xf>
    <xf numFmtId="0" fontId="13" fillId="9" borderId="13" xfId="0" applyFont="1" applyFill="1" applyBorder="1" applyAlignment="1">
      <alignment vertical="center" wrapText="1"/>
    </xf>
    <xf numFmtId="0" fontId="13" fillId="9" borderId="14" xfId="0" applyFont="1" applyFill="1" applyBorder="1" applyAlignment="1">
      <alignment vertical="center" wrapText="1"/>
    </xf>
    <xf numFmtId="0" fontId="3" fillId="12" borderId="15" xfId="0" applyFont="1" applyFill="1" applyBorder="1" applyAlignment="1">
      <alignment vertical="center" wrapText="1"/>
    </xf>
    <xf numFmtId="0" fontId="13" fillId="9" borderId="1" xfId="0" applyFont="1" applyFill="1" applyBorder="1" applyAlignment="1">
      <alignment wrapText="1"/>
    </xf>
    <xf numFmtId="0" fontId="13" fillId="9" borderId="2" xfId="0" applyFont="1" applyFill="1" applyBorder="1" applyAlignment="1">
      <alignment wrapText="1"/>
    </xf>
    <xf numFmtId="0" fontId="13" fillId="9" borderId="3" xfId="0" applyFont="1" applyFill="1" applyBorder="1" applyAlignment="1">
      <alignment wrapText="1"/>
    </xf>
    <xf numFmtId="0" fontId="1" fillId="10" borderId="0" xfId="0" applyFont="1" applyFill="1" applyAlignment="1">
      <alignment vertical="top"/>
    </xf>
    <xf numFmtId="0" fontId="2" fillId="11" borderId="0" xfId="0" applyFont="1" applyFill="1" applyAlignment="1">
      <alignment vertical="top" wrapText="1"/>
    </xf>
    <xf numFmtId="0" fontId="8" fillId="8" borderId="1" xfId="0" applyFont="1" applyFill="1" applyBorder="1" applyAlignment="1">
      <alignment wrapText="1"/>
    </xf>
    <xf numFmtId="0" fontId="8" fillId="8" borderId="2" xfId="0" applyFont="1" applyFill="1" applyBorder="1" applyAlignment="1">
      <alignment wrapText="1"/>
    </xf>
    <xf numFmtId="0" fontId="8" fillId="8" borderId="3" xfId="0" applyFont="1" applyFill="1" applyBorder="1" applyAlignment="1">
      <alignment wrapText="1"/>
    </xf>
    <xf numFmtId="0" fontId="4" fillId="14" borderId="0" xfId="0" applyFont="1" applyFill="1" applyAlignment="1">
      <alignment horizontal="left" vertical="center" wrapText="1"/>
    </xf>
    <xf numFmtId="0" fontId="7" fillId="15" borderId="0" xfId="0" applyFont="1" applyFill="1" applyAlignment="1">
      <alignment wrapText="1"/>
    </xf>
    <xf numFmtId="0" fontId="4" fillId="13" borderId="0" xfId="0" applyFont="1" applyFill="1" applyAlignment="1">
      <alignment wrapText="1"/>
    </xf>
  </cellXfs>
  <cellStyles count="1">
    <cellStyle name="Normal" xfId="0" builtinId="0"/>
  </cellStyles>
  <dxfs count="63">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SG"/>
              <a:t>Completion by week</a:t>
            </a:r>
          </a:p>
        </c:rich>
      </c:tx>
      <c:overlay val="0"/>
    </c:title>
    <c:autoTitleDeleted val="0"/>
    <c:plotArea>
      <c:layout/>
      <c:barChart>
        <c:barDir val="col"/>
        <c:grouping val="clustered"/>
        <c:varyColors val="0"/>
        <c:ser>
          <c:idx val="0"/>
          <c:order val="0"/>
          <c:tx>
            <c:v>Progress</c:v>
          </c:tx>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0.38461538461538464</c:v>
                </c:pt>
                <c:pt idx="2">
                  <c:v>0</c:v>
                </c:pt>
                <c:pt idx="3">
                  <c:v>0</c:v>
                </c:pt>
                <c:pt idx="4">
                  <c:v>0</c:v>
                </c:pt>
                <c:pt idx="5">
                  <c:v>0</c:v>
                </c:pt>
              </c:numCache>
            </c:numRef>
          </c:val>
          <c:extLst>
            <c:ext xmlns:c16="http://schemas.microsoft.com/office/drawing/2014/chart" uri="{C3380CC4-5D6E-409C-BE32-E72D297353CC}">
              <c16:uniqueId val="{00000000-1A71-462B-BD2E-E8534DFC8A3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85" totalsRowShown="0">
  <autoFilter ref="A5:T85" xr:uid="{00000000-0009-0000-0100-000001000000}">
    <filterColumn colId="1">
      <filters>
        <filter val="Week 2"/>
      </filters>
    </filterColumn>
    <filterColumn colId="9">
      <filters>
        <filter val="W2-001"/>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O22" totalsRowShown="0">
  <autoFilter ref="A9:O22" xr:uid="{00000000-0009-0000-0100-000002000000}"/>
  <tableColumns count="15">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Verify"/>
    <tableColumn id="13" xr3:uid="{00000000-0010-0000-0100-00000D000000}" name="Evidence"/>
    <tableColumn id="14" xr3:uid="{00000000-0010-0000-0100-00000E000000}" name="Rollback/Teardown"/>
    <tableColumn id="15" xr3:uid="{00000000-0010-0000-0100-00000F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O22" totalsRowShown="0">
  <autoFilter ref="A9:O22" xr:uid="{00000000-0009-0000-0100-000003000000}">
    <filterColumn colId="8">
      <filters>
        <filter val="W2-001"/>
      </filters>
    </filterColumn>
  </autoFilter>
  <tableColumns count="15">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Verify"/>
    <tableColumn id="13" xr3:uid="{00000000-0010-0000-0200-00000D000000}" name="Evidence"/>
    <tableColumn id="14" xr3:uid="{00000000-0010-0000-0200-00000E000000}" name="Rollback/Teardown"/>
    <tableColumn id="15" xr3:uid="{00000000-0010-0000-0200-00000F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O22" totalsRowShown="0">
  <autoFilter ref="A9:O22" xr:uid="{00000000-0009-0000-0100-000004000000}"/>
  <tableColumns count="15">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Verify"/>
    <tableColumn id="13" xr3:uid="{00000000-0010-0000-0300-00000D000000}" name="Evidence"/>
    <tableColumn id="14" xr3:uid="{00000000-0010-0000-0300-00000E000000}" name="Rollback/Teardown"/>
    <tableColumn id="15" xr3:uid="{00000000-0010-0000-0300-00000F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O22" totalsRowShown="0">
  <autoFilter ref="A9:O22" xr:uid="{00000000-0009-0000-0100-000005000000}"/>
  <tableColumns count="15">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Verify"/>
    <tableColumn id="13" xr3:uid="{00000000-0010-0000-0400-00000D000000}" name="Evidence"/>
    <tableColumn id="14" xr3:uid="{00000000-0010-0000-0400-00000E000000}" name="Rollback/Teardown"/>
    <tableColumn id="15" xr3:uid="{00000000-0010-0000-0400-00000F000000}" nam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O23" totalsRowShown="0">
  <autoFilter ref="A9:O23" xr:uid="{00000000-0009-0000-0100-000006000000}"/>
  <tableColumns count="15">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Verify"/>
    <tableColumn id="13" xr3:uid="{00000000-0010-0000-0500-00000D000000}" name="Evidence"/>
    <tableColumn id="14" xr3:uid="{00000000-0010-0000-0500-00000E000000}" name="Rollback/Teardown"/>
    <tableColumn id="15" xr3:uid="{00000000-0010-0000-0500-00000F000000}" name="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O23" totalsRowShown="0">
  <autoFilter ref="A9:O23" xr:uid="{00000000-0009-0000-0100-000007000000}"/>
  <tableColumns count="15">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Verify"/>
    <tableColumn id="13" xr3:uid="{00000000-0010-0000-0600-00000D000000}" name="Evidence"/>
    <tableColumn id="14" xr3:uid="{00000000-0010-0000-0600-00000E000000}" name="Rollback/Teardown"/>
    <tableColumn id="15" xr3:uid="{00000000-0010-0000-0600-00000F000000}" name="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24" totalsRowShown="0">
  <autoFilter ref="A6:H24"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8000000}" name="CodexPromptTable" displayName="CodexPromptTable" ref="A5:N44" totalsRowShown="0" headerRowDxfId="62" dataDxfId="61">
  <tableColumns count="14">
    <tableColumn id="1" xr3:uid="{00000000-0010-0000-0800-000001000000}" name="Prompt ID" dataDxfId="60"/>
    <tableColumn id="2" xr3:uid="{00000000-0010-0000-0800-000002000000}" name="Week" dataDxfId="59"/>
    <tableColumn id="3" xr3:uid="{00000000-0010-0000-0800-000003000000}" name="Feature" dataDxfId="58"/>
    <tableColumn id="4" xr3:uid="{00000000-0010-0000-0800-000004000000}" name="Purpose" dataDxfId="57"/>
    <tableColumn id="5" xr3:uid="{00000000-0010-0000-0800-000005000000}" name="Required Inputs" dataDxfId="56"/>
    <tableColumn id="6" xr3:uid="{00000000-0010-0000-0800-000006000000}" name="Expected Outputs" dataDxfId="55"/>
    <tableColumn id="7" xr3:uid="{00000000-0010-0000-0800-000007000000}" name="Main Prompt (paste first)" dataDxfId="54"/>
    <tableColumn id="8" xr3:uid="{00000000-0010-0000-0800-000008000000}" name="Example Usage" dataDxfId="53"/>
    <tableColumn id="9" xr3:uid="{00000000-0010-0000-0800-000009000000}" name="Verification / Stop Point" dataDxfId="52"/>
    <tableColumn id="10" xr3:uid="{00000000-0010-0000-0800-00000A000000}" name="Owner Approval" dataDxfId="51"/>
    <tableColumn id="11" xr3:uid="{00000000-0010-0000-0800-00000B000000}" name="Covered Tracker Steps" dataDxfId="50"/>
    <tableColumn id="12" xr3:uid="{00000000-0010-0000-0800-00000C000000}" name="Code Edit Approval Prompt" dataDxfId="49"/>
    <tableColumn id="13" xr3:uid="{00000000-0010-0000-0800-00000D000000}" name="Document Writing Approval Prompt" dataDxfId="48"/>
    <tableColumn id="14" name="Column N — Final Approval + Complete Clos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9000000}" name="TestEvidenceTable" displayName="TestEvidenceTable" ref="A5:L39"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23" totalsRowShown="0">
  <autoFilter ref="A5:K23"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30" totalsRowShown="0">
  <autoFilter ref="A5:J30" xr:uid="{00000000-0009-0000-0100-00000C000000}">
    <filterColumn colId="3">
      <filters>
        <filter val="Week 1"/>
        <filter val="Week 2"/>
      </filters>
    </filterColumn>
    <filterColumn colId="7">
      <filters>
        <filter val=".pre-commit-config.yaml; .secrets.baseline; docs/test-evidence/W1-08-precommit.txt"/>
        <filter val="configs/pii-policy.yaml"/>
        <filter val="configs/tags.yaml"/>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echAdoptionTable" displayName="TechAdoptionTable" ref="A5:G69" totalsRowShown="0">
  <autoFilter ref="A5:G69" xr:uid="{00000000-0009-0000-0100-00000E000000}"/>
  <tableColumns count="7">
    <tableColumn id="1" xr3:uid="{00000000-0010-0000-0D00-000001000000}" name="Category"/>
    <tableColumn id="2" xr3:uid="{00000000-0010-0000-0D00-000002000000}" name="Technology"/>
    <tableColumn id="3" xr3:uid="{00000000-0010-0000-0D00-000003000000}" name="Priority"/>
    <tableColumn id="4" xr3:uid="{00000000-0010-0000-0D00-000004000000}" name="When"/>
    <tableColumn id="5" xr3:uid="{00000000-0010-0000-0D00-000005000000}" name="Why / Role"/>
    <tableColumn id="6" xr3:uid="{00000000-0010-0000-0D00-000006000000}" name="Open Alternative / Migration"/>
    <tableColumn id="7" xr3:uid="{00000000-0010-0000-0D00-000007000000}" name="Cost, Residency and Privacy Not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EnvironmentVariableTable" displayName="EnvironmentVariableTable" ref="A5:H38" totalsRowShown="0">
  <autoFilter ref="A5:H38" xr:uid="{00000000-0009-0000-0100-00000F000000}"/>
  <tableColumns count="8">
    <tableColumn id="1" xr3:uid="{00000000-0010-0000-0E00-000001000000}" name="Variable"/>
    <tableColumn id="2" xr3:uid="{00000000-0010-0000-0E00-000002000000}" name="Scope"/>
    <tableColumn id="3" xr3:uid="{00000000-0010-0000-0E00-000003000000}" name="Secret?"/>
    <tableColumn id="4" xr3:uid="{00000000-0010-0000-0E00-000004000000}" name="Example / Placeholder"/>
    <tableColumn id="5" xr3:uid="{00000000-0010-0000-0E00-000005000000}" name="Needed By"/>
    <tableColumn id="6" xr3:uid="{00000000-0010-0000-0E00-000006000000}" name="Validation / Rule"/>
    <tableColumn id="7" xr3:uid="{00000000-0010-0000-0E00-000007000000}" name="Consumer"/>
    <tableColumn id="8" xr3:uid="{00000000-0010-0000-0E00-000008000000}" name="Owner Note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SourceTraceTable" displayName="SourceTraceTable" ref="A5:F8" totalsRowShown="0">
  <autoFilter ref="A5:F8" xr:uid="{00000000-0009-0000-0100-000010000000}"/>
  <tableColumns count="6">
    <tableColumn id="1" xr3:uid="{00000000-0010-0000-0F00-000001000000}" name="Source"/>
    <tableColumn id="2" xr3:uid="{00000000-0010-0000-0F00-000002000000}" name="Version / Type"/>
    <tableColumn id="3" xr3:uid="{00000000-0010-0000-0F00-000003000000}" name="Content Used"/>
    <tableColumn id="4" xr3:uid="{00000000-0010-0000-0F00-000004000000}" name="Authority"/>
    <tableColumn id="5" xr3:uid="{00000000-0010-0000-0F00-000005000000}" name="Conflict Rule"/>
    <tableColumn id="6" xr3:uid="{00000000-0010-0000-0F00-000006000000}" name="Review Statu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LearningJourneyTable" displayName="LearningJourneyTable" ref="A12:H18" totalsRowShown="0">
  <tableColumns count="8">
    <tableColumn id="1" xr3:uid="{00000000-0010-0000-1000-000001000000}" name="Week"/>
    <tableColumn id="2" xr3:uid="{00000000-0010-0000-1000-000002000000}" name="Business Outcome"/>
    <tableColumn id="3" xr3:uid="{00000000-0010-0000-1000-000003000000}" name="Technical Focus"/>
    <tableColumn id="4" xr3:uid="{00000000-0010-0000-1000-000004000000}" name="Owner Hands-On"/>
    <tableColumn id="5" xr3:uid="{00000000-0010-0000-1000-000005000000}" name="Decisions to Explain"/>
    <tableColumn id="6" xr3:uid="{00000000-0010-0000-1000-000006000000}" name="Interview Story"/>
    <tableColumn id="7" xr3:uid="{00000000-0010-0000-1000-000007000000}" name="Weekly Learning Task"/>
    <tableColumn id="8" xr3:uid="{00000000-0010-0000-1000-000008000000}" name="Learning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showGridLines="0" topLeftCell="A11" workbookViewId="0">
      <selection activeCell="F17" sqref="F17"/>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 r="A1" s="56" t="s">
        <v>2332</v>
      </c>
      <c r="B1" s="56"/>
      <c r="C1" s="56"/>
      <c r="D1" s="56"/>
      <c r="E1" s="56"/>
      <c r="F1" s="56"/>
      <c r="G1" s="56"/>
      <c r="H1" s="56"/>
      <c r="I1" s="56"/>
      <c r="J1" s="56"/>
    </row>
    <row r="2" spans="1:10">
      <c r="A2" s="57" t="s">
        <v>2333</v>
      </c>
      <c r="B2" s="57"/>
      <c r="C2" s="57"/>
      <c r="D2" s="57"/>
      <c r="E2" s="57"/>
      <c r="F2" s="57"/>
      <c r="G2" s="57"/>
      <c r="H2" s="57"/>
      <c r="I2" s="57"/>
      <c r="J2" s="57"/>
    </row>
    <row r="4" spans="1:10">
      <c r="A4" s="58" t="s">
        <v>2334</v>
      </c>
      <c r="B4" s="59"/>
      <c r="C4" s="59"/>
      <c r="D4" s="59"/>
      <c r="E4" s="58" t="s">
        <v>0</v>
      </c>
      <c r="F4" s="59"/>
      <c r="G4" s="59"/>
      <c r="H4" s="59"/>
      <c r="I4" s="59"/>
      <c r="J4" s="60"/>
    </row>
    <row r="5" spans="1:10" ht="39.6">
      <c r="A5" s="21">
        <v>1</v>
      </c>
      <c r="B5" s="4" t="s">
        <v>1339</v>
      </c>
      <c r="C5" s="4" t="s">
        <v>1340</v>
      </c>
      <c r="E5" s="61" t="s">
        <v>1</v>
      </c>
      <c r="F5" s="62"/>
      <c r="G5" s="62"/>
      <c r="H5" s="62"/>
      <c r="I5" s="62"/>
      <c r="J5" s="63"/>
    </row>
    <row r="6" spans="1:10" ht="39.6">
      <c r="A6" s="21">
        <v>2</v>
      </c>
      <c r="B6" s="5" t="s">
        <v>1341</v>
      </c>
      <c r="C6" s="5" t="s">
        <v>1342</v>
      </c>
      <c r="E6" s="64" t="s">
        <v>2</v>
      </c>
      <c r="F6" s="65"/>
      <c r="G6" s="65"/>
      <c r="H6" s="65"/>
      <c r="I6" s="65"/>
      <c r="J6" s="66"/>
    </row>
    <row r="7" spans="1:10" ht="66">
      <c r="A7" s="21">
        <v>3</v>
      </c>
      <c r="B7" s="5" t="s">
        <v>2335</v>
      </c>
      <c r="C7" s="5" t="s">
        <v>2336</v>
      </c>
      <c r="E7" s="64" t="s">
        <v>3</v>
      </c>
      <c r="F7" s="65"/>
      <c r="G7" s="65"/>
      <c r="H7" s="65"/>
      <c r="I7" s="65"/>
      <c r="J7" s="66"/>
    </row>
    <row r="8" spans="1:10" ht="79.2">
      <c r="A8" s="21">
        <v>4</v>
      </c>
      <c r="B8" s="5" t="s">
        <v>2337</v>
      </c>
      <c r="C8" s="5" t="s">
        <v>2338</v>
      </c>
      <c r="E8" s="64" t="s">
        <v>1343</v>
      </c>
      <c r="F8" s="65"/>
      <c r="G8" s="65"/>
      <c r="H8" s="65"/>
      <c r="I8" s="65"/>
      <c r="J8" s="66"/>
    </row>
    <row r="9" spans="1:10" ht="66">
      <c r="A9" s="21">
        <v>5</v>
      </c>
      <c r="B9" s="5" t="s">
        <v>2339</v>
      </c>
      <c r="C9" s="5" t="s">
        <v>2340</v>
      </c>
      <c r="E9" s="64" t="s">
        <v>1344</v>
      </c>
      <c r="F9" s="65"/>
      <c r="G9" s="65"/>
      <c r="H9" s="65"/>
      <c r="I9" s="65"/>
      <c r="J9" s="66"/>
    </row>
    <row r="10" spans="1:10" ht="79.2">
      <c r="A10" s="21">
        <v>6</v>
      </c>
      <c r="B10" s="5" t="s">
        <v>2341</v>
      </c>
      <c r="C10" s="5" t="s">
        <v>2342</v>
      </c>
      <c r="E10" s="64" t="s">
        <v>1345</v>
      </c>
      <c r="F10" s="65"/>
      <c r="G10" s="65"/>
      <c r="H10" s="65"/>
      <c r="I10" s="65"/>
      <c r="J10" s="66"/>
    </row>
    <row r="11" spans="1:10" ht="92.4">
      <c r="A11" s="21">
        <v>7</v>
      </c>
      <c r="B11" s="5" t="s">
        <v>2343</v>
      </c>
      <c r="C11" s="5" t="s">
        <v>2344</v>
      </c>
      <c r="E11" s="73" t="s">
        <v>1346</v>
      </c>
      <c r="F11" s="74"/>
      <c r="G11" s="74"/>
      <c r="H11" s="74"/>
      <c r="I11" s="74"/>
      <c r="J11" s="75"/>
    </row>
    <row r="12" spans="1:10" ht="66">
      <c r="A12" s="21">
        <v>8</v>
      </c>
      <c r="B12" s="5" t="s">
        <v>2345</v>
      </c>
      <c r="C12" s="5" t="s">
        <v>2346</v>
      </c>
      <c r="E12" t="s">
        <v>1347</v>
      </c>
    </row>
    <row r="13" spans="1:10" ht="66">
      <c r="A13" s="21">
        <v>9</v>
      </c>
      <c r="B13" s="5" t="s">
        <v>2347</v>
      </c>
      <c r="C13" s="5" t="s">
        <v>2348</v>
      </c>
      <c r="E13" s="58" t="s">
        <v>4</v>
      </c>
      <c r="F13" s="59"/>
      <c r="G13" s="59"/>
      <c r="H13" s="59"/>
      <c r="I13" s="59"/>
      <c r="J13" s="60"/>
    </row>
    <row r="14" spans="1:10" ht="79.2">
      <c r="A14" s="21">
        <v>10</v>
      </c>
      <c r="B14" s="6" t="s">
        <v>2349</v>
      </c>
      <c r="C14" s="6" t="s">
        <v>2350</v>
      </c>
      <c r="E14" s="7" t="s">
        <v>5</v>
      </c>
      <c r="F14" s="9"/>
    </row>
    <row r="15" spans="1:10">
      <c r="E15" s="7" t="s">
        <v>6</v>
      </c>
      <c r="F15" s="8" t="s">
        <v>7</v>
      </c>
    </row>
    <row r="16" spans="1:10">
      <c r="E16" s="7" t="s">
        <v>8</v>
      </c>
      <c r="F16" s="8" t="s">
        <v>24</v>
      </c>
    </row>
    <row r="17" spans="1:10">
      <c r="E17" s="7" t="s">
        <v>10</v>
      </c>
      <c r="F17" s="8" t="s">
        <v>11</v>
      </c>
    </row>
    <row r="18" spans="1:10">
      <c r="E18" t="s">
        <v>1348</v>
      </c>
      <c r="F18" t="s">
        <v>2330</v>
      </c>
    </row>
    <row r="19" spans="1:10">
      <c r="A19" s="67" t="s">
        <v>1349</v>
      </c>
      <c r="B19" s="68"/>
      <c r="C19" s="68"/>
      <c r="D19" s="68"/>
      <c r="E19" s="68"/>
      <c r="F19" s="68"/>
      <c r="G19" s="68"/>
      <c r="H19" s="68"/>
      <c r="I19" s="68"/>
      <c r="J19" s="69"/>
    </row>
    <row r="20" spans="1:10">
      <c r="A20" s="70"/>
      <c r="B20" s="71"/>
      <c r="C20" s="71"/>
      <c r="D20" s="71"/>
      <c r="E20" s="71"/>
      <c r="F20" s="71"/>
      <c r="G20" s="71"/>
      <c r="H20" s="71"/>
      <c r="I20" s="71"/>
      <c r="J20" s="72"/>
    </row>
  </sheetData>
  <mergeCells count="12">
    <mergeCell ref="E13:J13"/>
    <mergeCell ref="A19:J20"/>
    <mergeCell ref="E7:J7"/>
    <mergeCell ref="E8:J8"/>
    <mergeCell ref="E9:J9"/>
    <mergeCell ref="E10:J10"/>
    <mergeCell ref="E11:J11"/>
    <mergeCell ref="A1:J1"/>
    <mergeCell ref="A2:J2"/>
    <mergeCell ref="A4:J4"/>
    <mergeCell ref="E5:J5"/>
    <mergeCell ref="E6:J6"/>
  </mergeCells>
  <dataValidations count="1">
    <dataValidation type="list" sqref="F16" xr:uid="{00000000-0002-0000-0000-000000000000}">
      <formula1>"Week 1,Week 2,Week 3,Week 4,Week 5,Week 6,Complete"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showGridLines="0" workbookViewId="0">
      <selection sqref="A1:P1"/>
    </sheetView>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56" t="s">
        <v>12</v>
      </c>
      <c r="B1" s="56"/>
      <c r="C1" s="56"/>
      <c r="D1" s="56"/>
      <c r="E1" s="56"/>
      <c r="F1" s="56"/>
      <c r="G1" s="56"/>
      <c r="H1" s="56"/>
      <c r="I1" s="56"/>
      <c r="J1" s="56"/>
      <c r="K1" s="56"/>
      <c r="L1" s="56"/>
      <c r="M1" s="56"/>
      <c r="N1" s="56"/>
      <c r="O1" s="56"/>
      <c r="P1" s="56"/>
    </row>
    <row r="2" spans="1:16" ht="31.95" customHeight="1">
      <c r="A2" s="57" t="s">
        <v>1350</v>
      </c>
      <c r="B2" s="57"/>
      <c r="C2" s="57"/>
      <c r="D2" s="57"/>
      <c r="E2" s="57"/>
      <c r="F2" s="57"/>
      <c r="G2" s="57"/>
      <c r="H2" s="57"/>
      <c r="I2" s="57"/>
      <c r="J2" s="57"/>
      <c r="K2" s="57"/>
      <c r="L2" s="57"/>
      <c r="M2" s="57"/>
      <c r="N2" s="57"/>
      <c r="O2" s="57"/>
      <c r="P2" s="57"/>
    </row>
    <row r="4" spans="1:16">
      <c r="A4" s="76" t="s">
        <v>13</v>
      </c>
      <c r="B4" s="76"/>
      <c r="D4" s="76" t="s">
        <v>14</v>
      </c>
      <c r="E4" s="76"/>
      <c r="G4" s="76" t="s">
        <v>15</v>
      </c>
      <c r="H4" s="76"/>
      <c r="J4" s="76" t="s">
        <v>16</v>
      </c>
      <c r="K4" s="76"/>
    </row>
    <row r="5" spans="1:16">
      <c r="A5" s="77">
        <f>COUNTA('02 Master Plan'!$A$6:$A$120)</f>
        <v>80</v>
      </c>
      <c r="B5" s="78"/>
      <c r="D5" s="77">
        <f>COUNTIF('02 Master Plan'!$S$6:$S$120,"Done")</f>
        <v>18</v>
      </c>
      <c r="E5" s="78"/>
      <c r="G5" s="81">
        <f>IF(A5=0,0,D5/A5)</f>
        <v>0.22500000000000001</v>
      </c>
      <c r="H5" s="82"/>
      <c r="J5" s="77">
        <f>COUNTIF('02 Master Plan'!$S$6:$S$120,"Blocked")</f>
        <v>0</v>
      </c>
      <c r="K5" s="78"/>
    </row>
    <row r="6" spans="1:16">
      <c r="A6" s="79"/>
      <c r="B6" s="80"/>
      <c r="D6" s="79"/>
      <c r="E6" s="80"/>
      <c r="G6" s="83"/>
      <c r="H6" s="84"/>
      <c r="J6" s="79"/>
      <c r="K6" s="80"/>
    </row>
    <row r="7" spans="1:16">
      <c r="A7" s="76" t="s">
        <v>17</v>
      </c>
      <c r="B7" s="76"/>
      <c r="D7" s="76" t="s">
        <v>18</v>
      </c>
      <c r="E7" s="76"/>
      <c r="G7" s="76" t="s">
        <v>19</v>
      </c>
      <c r="H7" s="76"/>
      <c r="J7" s="76" t="s">
        <v>20</v>
      </c>
      <c r="K7" s="76"/>
    </row>
    <row r="8" spans="1:16">
      <c r="A8" s="77">
        <f>COUNTIFS('13 Owner TODOs'!$F$6:$F$80,"&lt;&gt;Done",'13 Owner TODOs'!$A$6:$A$80,"&lt;&gt;")</f>
        <v>15</v>
      </c>
      <c r="B8" s="78"/>
      <c r="D8" s="77">
        <f>COUNTIF('11 Test Evidence'!$H$6:$H$80,"Pass")</f>
        <v>6</v>
      </c>
      <c r="E8" s="78"/>
      <c r="G8" s="77">
        <f>COUNTIF('12 Decision Log'!$C$6:$C$60,"Baseline Approved")+COUNTIF('12 Decision Log'!$C$6:$C$60,"Approved")</f>
        <v>18</v>
      </c>
      <c r="H8" s="78"/>
      <c r="J8" s="77">
        <f>COUNTIFS('11 Test Evidence'!$C$6:$C$80,"Teardown",'11 Test Evidence'!$H$6:$H$80,"Pass")</f>
        <v>1</v>
      </c>
      <c r="K8" s="78"/>
    </row>
    <row r="9" spans="1:16">
      <c r="A9" s="79"/>
      <c r="B9" s="80"/>
      <c r="D9" s="79"/>
      <c r="E9" s="80"/>
      <c r="G9" s="79"/>
      <c r="H9" s="80"/>
      <c r="J9" s="79"/>
      <c r="K9" s="80"/>
    </row>
    <row r="12" spans="1:16" ht="28.05" customHeight="1">
      <c r="A12" s="1" t="s">
        <v>21</v>
      </c>
      <c r="B12" s="2" t="s">
        <v>22</v>
      </c>
      <c r="C12" s="2" t="s">
        <v>14</v>
      </c>
      <c r="D12" s="2" t="s">
        <v>23</v>
      </c>
      <c r="E12" s="3" t="s">
        <v>16</v>
      </c>
      <c r="G12" s="1" t="s">
        <v>21</v>
      </c>
      <c r="H12" s="3" t="s">
        <v>23</v>
      </c>
    </row>
    <row r="13" spans="1:16">
      <c r="A13" s="10" t="s">
        <v>9</v>
      </c>
      <c r="B13" s="10">
        <f>COUNTIF('02 Master Plan'!$B$6:$B$120,A13)</f>
        <v>13</v>
      </c>
      <c r="C13" s="10">
        <f>COUNTIFS('02 Master Plan'!$B$6:$B$120,A13,'02 Master Plan'!$S$6:$S$120,"Done")</f>
        <v>13</v>
      </c>
      <c r="D13" s="12">
        <f t="shared" ref="D13:D18" si="0">IF(B13=0,0,C13/B13)</f>
        <v>1</v>
      </c>
      <c r="E13" s="10">
        <f>COUNTIFS('02 Master Plan'!$B$6:$B$120,A13,'02 Master Plan'!$S$6:$S$120,"Blocked")</f>
        <v>0</v>
      </c>
      <c r="G13" t="str">
        <f t="shared" ref="G13:G18" si="1">A13</f>
        <v>Week 1</v>
      </c>
      <c r="H13" s="14">
        <f t="shared" ref="H13:H18" si="2">D13</f>
        <v>1</v>
      </c>
    </row>
    <row r="14" spans="1:16">
      <c r="A14" s="11" t="s">
        <v>24</v>
      </c>
      <c r="B14" s="11">
        <f>COUNTIF('02 Master Plan'!$B$6:$B$120,A14)</f>
        <v>13</v>
      </c>
      <c r="C14" s="11">
        <f>COUNTIFS('02 Master Plan'!$B$6:$B$120,A14,'02 Master Plan'!$S$6:$S$120,"Done")</f>
        <v>5</v>
      </c>
      <c r="D14" s="13">
        <f t="shared" si="0"/>
        <v>0.38461538461538464</v>
      </c>
      <c r="E14" s="11">
        <f>COUNTIFS('02 Master Plan'!$B$6:$B$120,A14,'02 Master Plan'!$S$6:$S$120,"Blocked")</f>
        <v>0</v>
      </c>
      <c r="G14" t="str">
        <f t="shared" si="1"/>
        <v>Week 2</v>
      </c>
      <c r="H14" s="14">
        <f t="shared" si="2"/>
        <v>0.38461538461538464</v>
      </c>
    </row>
    <row r="15" spans="1:16">
      <c r="A15" s="11" t="s">
        <v>25</v>
      </c>
      <c r="B15" s="11">
        <f>COUNTIF('02 Master Plan'!$B$6:$B$120,A15)</f>
        <v>13</v>
      </c>
      <c r="C15" s="11">
        <f>COUNTIFS('02 Master Plan'!$B$6:$B$120,A15,'02 Master Plan'!$S$6:$S$120,"Done")</f>
        <v>0</v>
      </c>
      <c r="D15" s="13">
        <f t="shared" si="0"/>
        <v>0</v>
      </c>
      <c r="E15" s="11">
        <f>COUNTIFS('02 Master Plan'!$B$6:$B$120,A15,'02 Master Plan'!$S$6:$S$120,"Blocked")</f>
        <v>0</v>
      </c>
      <c r="G15" t="str">
        <f t="shared" si="1"/>
        <v>Week 3</v>
      </c>
      <c r="H15" s="14">
        <f t="shared" si="2"/>
        <v>0</v>
      </c>
    </row>
    <row r="16" spans="1:16">
      <c r="A16" s="11" t="s">
        <v>26</v>
      </c>
      <c r="B16" s="11">
        <f>COUNTIF('02 Master Plan'!$B$6:$B$120,A16)</f>
        <v>13</v>
      </c>
      <c r="C16" s="11">
        <f>COUNTIFS('02 Master Plan'!$B$6:$B$120,A16,'02 Master Plan'!$S$6:$S$120,"Done")</f>
        <v>0</v>
      </c>
      <c r="D16" s="13">
        <f t="shared" si="0"/>
        <v>0</v>
      </c>
      <c r="E16" s="11">
        <f>COUNTIFS('02 Master Plan'!$B$6:$B$120,A16,'02 Master Plan'!$S$6:$S$120,"Blocked")</f>
        <v>0</v>
      </c>
      <c r="G16" t="str">
        <f t="shared" si="1"/>
        <v>Week 4</v>
      </c>
      <c r="H16" s="14">
        <f t="shared" si="2"/>
        <v>0</v>
      </c>
    </row>
    <row r="17" spans="1:8">
      <c r="A17" s="11" t="s">
        <v>27</v>
      </c>
      <c r="B17" s="11">
        <f>COUNTIF('02 Master Plan'!$B$6:$B$120,A17)</f>
        <v>14</v>
      </c>
      <c r="C17" s="11">
        <f>COUNTIFS('02 Master Plan'!$B$6:$B$120,A17,'02 Master Plan'!$S$6:$S$120,"Done")</f>
        <v>0</v>
      </c>
      <c r="D17" s="13">
        <f t="shared" si="0"/>
        <v>0</v>
      </c>
      <c r="E17" s="11">
        <f>COUNTIFS('02 Master Plan'!$B$6:$B$120,A17,'02 Master Plan'!$S$6:$S$120,"Blocked")</f>
        <v>0</v>
      </c>
      <c r="G17" t="str">
        <f t="shared" si="1"/>
        <v>Week 5</v>
      </c>
      <c r="H17" s="14">
        <f t="shared" si="2"/>
        <v>0</v>
      </c>
    </row>
    <row r="18" spans="1:8">
      <c r="A18" s="11" t="s">
        <v>28</v>
      </c>
      <c r="B18" s="11">
        <f>COUNTIF('02 Master Plan'!$B$6:$B$120,A18)</f>
        <v>14</v>
      </c>
      <c r="C18" s="11">
        <f>COUNTIFS('02 Master Plan'!$B$6:$B$120,A18,'02 Master Plan'!$S$6:$S$120,"Done")</f>
        <v>0</v>
      </c>
      <c r="D18" s="13">
        <f t="shared" si="0"/>
        <v>0</v>
      </c>
      <c r="E18" s="11">
        <f>COUNTIFS('02 Master Plan'!$B$6:$B$120,A18,'02 Master Plan'!$S$6:$S$120,"Blocked")</f>
        <v>0</v>
      </c>
      <c r="G18" t="str">
        <f t="shared" si="1"/>
        <v>Week 6</v>
      </c>
      <c r="H18" s="14">
        <f t="shared" si="2"/>
        <v>0</v>
      </c>
    </row>
    <row r="21" spans="1:8" ht="28.05" customHeight="1">
      <c r="A21" s="58" t="s">
        <v>29</v>
      </c>
      <c r="B21" s="59"/>
      <c r="C21" s="59"/>
      <c r="D21" s="59"/>
      <c r="E21" s="59"/>
      <c r="F21" s="59"/>
      <c r="G21" s="59"/>
      <c r="H21" s="60"/>
    </row>
    <row r="22" spans="1:8" ht="30" customHeight="1">
      <c r="A22" s="91" t="s">
        <v>30</v>
      </c>
      <c r="B22" s="92"/>
      <c r="C22" s="92"/>
      <c r="D22" s="92"/>
      <c r="E22" s="92"/>
      <c r="F22" s="92"/>
      <c r="G22" s="92"/>
      <c r="H22" s="93"/>
    </row>
    <row r="23" spans="1:8" ht="30" customHeight="1">
      <c r="A23" s="85" t="s">
        <v>31</v>
      </c>
      <c r="B23" s="86"/>
      <c r="C23" s="86"/>
      <c r="D23" s="86"/>
      <c r="E23" s="86"/>
      <c r="F23" s="86"/>
      <c r="G23" s="86"/>
      <c r="H23" s="87"/>
    </row>
    <row r="24" spans="1:8" ht="30" customHeight="1">
      <c r="A24" s="85" t="s">
        <v>1351</v>
      </c>
      <c r="B24" s="86"/>
      <c r="C24" s="86"/>
      <c r="D24" s="86"/>
      <c r="E24" s="86"/>
      <c r="F24" s="86"/>
      <c r="G24" s="86"/>
      <c r="H24" s="87"/>
    </row>
    <row r="25" spans="1:8" ht="30" customHeight="1">
      <c r="A25" s="85" t="s">
        <v>1352</v>
      </c>
      <c r="B25" s="86"/>
      <c r="C25" s="86"/>
      <c r="D25" s="86"/>
      <c r="E25" s="86"/>
      <c r="F25" s="86"/>
      <c r="G25" s="86"/>
      <c r="H25" s="87"/>
    </row>
    <row r="26" spans="1:8" ht="30" customHeight="1">
      <c r="A26" s="88" t="s">
        <v>32</v>
      </c>
      <c r="B26" s="89"/>
      <c r="C26" s="89"/>
      <c r="D26" s="89"/>
      <c r="E26" s="89"/>
      <c r="F26" s="89"/>
      <c r="G26" s="89"/>
      <c r="H26" s="90"/>
    </row>
  </sheetData>
  <mergeCells count="24">
    <mergeCell ref="A24:H24"/>
    <mergeCell ref="A25:H25"/>
    <mergeCell ref="A26:H26"/>
    <mergeCell ref="J7:K7"/>
    <mergeCell ref="J8:K9"/>
    <mergeCell ref="A21:H21"/>
    <mergeCell ref="A22:H22"/>
    <mergeCell ref="A23:H23"/>
    <mergeCell ref="A7:B7"/>
    <mergeCell ref="A8:B9"/>
    <mergeCell ref="D7:E7"/>
    <mergeCell ref="D8:E9"/>
    <mergeCell ref="G7:H7"/>
    <mergeCell ref="G8:H9"/>
    <mergeCell ref="A1:P1"/>
    <mergeCell ref="A2:P2"/>
    <mergeCell ref="A4:B4"/>
    <mergeCell ref="A5:B6"/>
    <mergeCell ref="D4:E4"/>
    <mergeCell ref="D5:E6"/>
    <mergeCell ref="G4:H4"/>
    <mergeCell ref="G5:H6"/>
    <mergeCell ref="J4:K4"/>
    <mergeCell ref="J5:K6"/>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extLst>
        <ext xmlns:x14="http://schemas.microsoft.com/office/spreadsheetml/2009/9/main" uri="{B025F937-C7B1-47D3-B67F-A62EFF666E3E}">
          <x14:id>{7ACD7930-3F82-D6B8-3D5C-A73611924FBF}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ACD7930-3F82-D6B8-3D5C-A73611924FBF}">
            <x14:dataBar gradient="0">
              <x14:cfvo type="min"/>
              <x14:cfvo type="max"/>
              <x14:negativeFillColor auto="1"/>
              <x14:axisColor auto="1"/>
            </x14:dataBar>
          </x14:cfRule>
          <xm:sqref>D13:D18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5"/>
  <sheetViews>
    <sheetView showGridLines="0" workbookViewId="0">
      <selection activeCell="T87" sqref="T87"/>
    </sheetView>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customWidth="1"/>
  </cols>
  <sheetData>
    <row r="1" spans="1:21" ht="31.95" customHeight="1">
      <c r="A1" s="56" t="s">
        <v>2351</v>
      </c>
      <c r="B1" s="56"/>
      <c r="C1" s="56"/>
      <c r="D1" s="56"/>
      <c r="E1" s="56"/>
      <c r="F1" s="56"/>
      <c r="G1" s="56"/>
      <c r="H1" s="56"/>
      <c r="I1" s="56"/>
      <c r="J1" s="56"/>
      <c r="K1" s="56"/>
      <c r="L1" s="56"/>
      <c r="M1" s="56"/>
      <c r="N1" s="56"/>
      <c r="O1" s="56"/>
      <c r="P1" s="56"/>
      <c r="Q1" s="56"/>
      <c r="R1" s="56"/>
      <c r="S1" s="56"/>
      <c r="T1" s="56"/>
    </row>
    <row r="2" spans="1:21" ht="31.95" customHeight="1">
      <c r="A2" s="57" t="s">
        <v>2352</v>
      </c>
      <c r="B2" s="57"/>
      <c r="C2" s="57"/>
      <c r="D2" s="57"/>
      <c r="E2" s="57"/>
      <c r="F2" s="57"/>
      <c r="G2" s="57"/>
      <c r="H2" s="57"/>
      <c r="I2" s="57"/>
      <c r="J2" s="57"/>
      <c r="K2" s="57"/>
      <c r="L2" s="57"/>
      <c r="M2" s="57"/>
      <c r="N2" s="57"/>
      <c r="O2" s="57"/>
      <c r="P2" s="57"/>
      <c r="Q2" s="57"/>
      <c r="R2" s="57"/>
      <c r="S2" s="57"/>
      <c r="T2" s="57"/>
    </row>
    <row r="5" spans="1:21" ht="28.05" customHeight="1">
      <c r="A5" s="1" t="s">
        <v>1353</v>
      </c>
      <c r="B5" s="2" t="s">
        <v>21</v>
      </c>
      <c r="C5" s="2" t="s">
        <v>1354</v>
      </c>
      <c r="D5" s="2" t="s">
        <v>883</v>
      </c>
      <c r="E5" s="2" t="s">
        <v>1355</v>
      </c>
      <c r="F5" s="2" t="s">
        <v>1356</v>
      </c>
      <c r="G5" s="2" t="s">
        <v>1357</v>
      </c>
      <c r="H5" s="2" t="s">
        <v>6</v>
      </c>
      <c r="I5" s="2" t="s">
        <v>1358</v>
      </c>
      <c r="J5" s="2" t="s">
        <v>183</v>
      </c>
      <c r="K5" s="2" t="s">
        <v>1359</v>
      </c>
      <c r="L5" s="2" t="s">
        <v>1360</v>
      </c>
      <c r="M5" s="2" t="s">
        <v>1361</v>
      </c>
      <c r="N5" s="2" t="s">
        <v>352</v>
      </c>
      <c r="O5" s="2" t="s">
        <v>353</v>
      </c>
      <c r="P5" s="2" t="s">
        <v>560</v>
      </c>
      <c r="Q5" s="2" t="s">
        <v>1362</v>
      </c>
      <c r="R5" s="2" t="s">
        <v>1363</v>
      </c>
      <c r="S5" s="2" t="s">
        <v>354</v>
      </c>
      <c r="T5" s="3" t="s">
        <v>1364</v>
      </c>
      <c r="U5" s="29" t="s">
        <v>1365</v>
      </c>
    </row>
    <row r="6" spans="1:21" ht="96.6" hidden="1">
      <c r="A6" s="10" t="s">
        <v>204</v>
      </c>
      <c r="B6" s="10" t="s">
        <v>9</v>
      </c>
      <c r="C6" s="10">
        <v>1</v>
      </c>
      <c r="D6" s="10" t="s">
        <v>913</v>
      </c>
      <c r="E6" s="10" t="s">
        <v>350</v>
      </c>
      <c r="F6" s="10" t="s">
        <v>1366</v>
      </c>
      <c r="G6" s="10" t="s">
        <v>1367</v>
      </c>
      <c r="H6" s="10" t="s">
        <v>576</v>
      </c>
      <c r="I6" s="15">
        <v>1</v>
      </c>
      <c r="J6" s="10" t="s">
        <v>200</v>
      </c>
      <c r="K6" s="10" t="s">
        <v>1368</v>
      </c>
      <c r="L6" s="10" t="s">
        <v>1369</v>
      </c>
      <c r="M6" s="10" t="s">
        <v>1370</v>
      </c>
      <c r="N6" s="10" t="s">
        <v>1371</v>
      </c>
      <c r="O6" s="10" t="s">
        <v>547</v>
      </c>
      <c r="P6" s="10" t="s">
        <v>569</v>
      </c>
      <c r="Q6" s="10" t="s">
        <v>1372</v>
      </c>
      <c r="R6" s="10" t="s">
        <v>1373</v>
      </c>
      <c r="S6" s="10" t="s">
        <v>14</v>
      </c>
      <c r="T6" s="10" t="s">
        <v>1374</v>
      </c>
      <c r="U6" s="29" t="s">
        <v>1375</v>
      </c>
    </row>
    <row r="7" spans="1:21" ht="96.6" hidden="1">
      <c r="A7" s="11" t="s">
        <v>209</v>
      </c>
      <c r="B7" s="11" t="s">
        <v>9</v>
      </c>
      <c r="C7" s="11">
        <v>2</v>
      </c>
      <c r="D7" s="11" t="s">
        <v>913</v>
      </c>
      <c r="E7" s="11" t="s">
        <v>551</v>
      </c>
      <c r="F7" s="11" t="s">
        <v>1376</v>
      </c>
      <c r="G7" s="11" t="s">
        <v>1377</v>
      </c>
      <c r="H7" s="11" t="s">
        <v>1378</v>
      </c>
      <c r="I7" s="16">
        <v>0.5</v>
      </c>
      <c r="J7" s="11" t="s">
        <v>205</v>
      </c>
      <c r="K7" s="11" t="s">
        <v>1372</v>
      </c>
      <c r="L7" s="11" t="s">
        <v>1379</v>
      </c>
      <c r="M7" s="11" t="s">
        <v>553</v>
      </c>
      <c r="N7" s="11" t="s">
        <v>1380</v>
      </c>
      <c r="O7" s="11" t="s">
        <v>555</v>
      </c>
      <c r="P7" s="11" t="s">
        <v>668</v>
      </c>
      <c r="Q7" s="11" t="s">
        <v>204</v>
      </c>
      <c r="R7" s="11" t="s">
        <v>1381</v>
      </c>
      <c r="S7" s="11" t="s">
        <v>14</v>
      </c>
      <c r="T7" s="11" t="s">
        <v>1382</v>
      </c>
      <c r="U7" s="29" t="s">
        <v>1383</v>
      </c>
    </row>
    <row r="8" spans="1:21" ht="110.4" hidden="1">
      <c r="A8" s="11" t="s">
        <v>1384</v>
      </c>
      <c r="B8" s="11" t="s">
        <v>9</v>
      </c>
      <c r="C8" s="11">
        <v>3</v>
      </c>
      <c r="D8" s="11" t="s">
        <v>913</v>
      </c>
      <c r="E8" s="11" t="s">
        <v>1385</v>
      </c>
      <c r="F8" s="11" t="s">
        <v>1386</v>
      </c>
      <c r="G8" s="11" t="s">
        <v>1387</v>
      </c>
      <c r="H8" s="11" t="s">
        <v>1388</v>
      </c>
      <c r="I8" s="16">
        <v>1.5</v>
      </c>
      <c r="J8" s="11" t="s">
        <v>210</v>
      </c>
      <c r="K8" s="11" t="s">
        <v>731</v>
      </c>
      <c r="L8" s="11" t="s">
        <v>1389</v>
      </c>
      <c r="M8" s="11" t="s">
        <v>1390</v>
      </c>
      <c r="N8" s="11" t="s">
        <v>1391</v>
      </c>
      <c r="O8" s="11" t="s">
        <v>1392</v>
      </c>
      <c r="P8" s="11" t="s">
        <v>668</v>
      </c>
      <c r="Q8" s="11" t="s">
        <v>209</v>
      </c>
      <c r="R8" s="11" t="s">
        <v>1393</v>
      </c>
      <c r="S8" s="11" t="s">
        <v>14</v>
      </c>
      <c r="T8" s="11" t="s">
        <v>1394</v>
      </c>
      <c r="U8" s="29" t="s">
        <v>1395</v>
      </c>
    </row>
    <row r="9" spans="1:21" ht="110.4" hidden="1">
      <c r="A9" s="11" t="s">
        <v>1396</v>
      </c>
      <c r="B9" s="11" t="s">
        <v>9</v>
      </c>
      <c r="C9" s="11">
        <v>4</v>
      </c>
      <c r="D9" s="11" t="s">
        <v>913</v>
      </c>
      <c r="E9" s="11" t="s">
        <v>1397</v>
      </c>
      <c r="F9" s="11" t="s">
        <v>1398</v>
      </c>
      <c r="G9" s="11" t="s">
        <v>1399</v>
      </c>
      <c r="H9" s="11" t="s">
        <v>1388</v>
      </c>
      <c r="I9" s="16">
        <v>1</v>
      </c>
      <c r="J9" s="11" t="s">
        <v>210</v>
      </c>
      <c r="K9" s="11" t="s">
        <v>1400</v>
      </c>
      <c r="L9" s="11" t="s">
        <v>1401</v>
      </c>
      <c r="M9" s="11" t="s">
        <v>371</v>
      </c>
      <c r="N9" s="11" t="s">
        <v>1402</v>
      </c>
      <c r="O9" s="11" t="s">
        <v>373</v>
      </c>
      <c r="P9" s="11" t="s">
        <v>668</v>
      </c>
      <c r="Q9" s="11" t="s">
        <v>1384</v>
      </c>
      <c r="R9" s="11" t="s">
        <v>1403</v>
      </c>
      <c r="S9" s="11" t="s">
        <v>14</v>
      </c>
      <c r="T9" s="11" t="s">
        <v>1394</v>
      </c>
      <c r="U9" s="29" t="s">
        <v>1404</v>
      </c>
    </row>
    <row r="10" spans="1:21" ht="110.4" hidden="1">
      <c r="A10" s="11" t="s">
        <v>219</v>
      </c>
      <c r="B10" s="11" t="s">
        <v>9</v>
      </c>
      <c r="C10" s="11">
        <v>5</v>
      </c>
      <c r="D10" s="11" t="s">
        <v>913</v>
      </c>
      <c r="E10" s="11" t="s">
        <v>1405</v>
      </c>
      <c r="F10" s="11" t="s">
        <v>1406</v>
      </c>
      <c r="G10" s="11" t="s">
        <v>1407</v>
      </c>
      <c r="H10" s="11" t="s">
        <v>1388</v>
      </c>
      <c r="I10" s="16">
        <v>1.5</v>
      </c>
      <c r="J10" s="11" t="s">
        <v>215</v>
      </c>
      <c r="K10" s="11" t="s">
        <v>1408</v>
      </c>
      <c r="L10" s="11" t="s">
        <v>1409</v>
      </c>
      <c r="M10" s="11" t="s">
        <v>1410</v>
      </c>
      <c r="N10" s="11" t="s">
        <v>1411</v>
      </c>
      <c r="O10" s="11" t="s">
        <v>364</v>
      </c>
      <c r="P10" s="11" t="s">
        <v>80</v>
      </c>
      <c r="Q10" s="11" t="s">
        <v>1384</v>
      </c>
      <c r="R10" s="11" t="s">
        <v>1412</v>
      </c>
      <c r="S10" s="11" t="s">
        <v>14</v>
      </c>
      <c r="T10" s="11" t="s">
        <v>1394</v>
      </c>
      <c r="U10" s="29" t="s">
        <v>1413</v>
      </c>
    </row>
    <row r="11" spans="1:21" ht="96.6" hidden="1">
      <c r="A11" s="11" t="s">
        <v>1414</v>
      </c>
      <c r="B11" s="11" t="s">
        <v>9</v>
      </c>
      <c r="C11" s="11">
        <v>6</v>
      </c>
      <c r="D11" s="11" t="s">
        <v>913</v>
      </c>
      <c r="E11" s="11" t="s">
        <v>1415</v>
      </c>
      <c r="F11" s="11" t="s">
        <v>1416</v>
      </c>
      <c r="G11" s="11" t="s">
        <v>1417</v>
      </c>
      <c r="H11" s="11" t="s">
        <v>1388</v>
      </c>
      <c r="I11" s="16">
        <v>1.25</v>
      </c>
      <c r="J11" s="11" t="s">
        <v>220</v>
      </c>
      <c r="K11" s="11" t="s">
        <v>1372</v>
      </c>
      <c r="L11" s="11" t="s">
        <v>1418</v>
      </c>
      <c r="M11" s="11" t="s">
        <v>1419</v>
      </c>
      <c r="N11" s="11" t="s">
        <v>1420</v>
      </c>
      <c r="O11" s="11" t="s">
        <v>1421</v>
      </c>
      <c r="P11" s="11" t="s">
        <v>675</v>
      </c>
      <c r="Q11" s="11" t="s">
        <v>1422</v>
      </c>
      <c r="R11" s="11" t="s">
        <v>1423</v>
      </c>
      <c r="S11" s="11" t="s">
        <v>14</v>
      </c>
      <c r="T11" s="11" t="s">
        <v>1394</v>
      </c>
      <c r="U11" s="29" t="s">
        <v>1424</v>
      </c>
    </row>
    <row r="12" spans="1:21" ht="110.4" hidden="1">
      <c r="A12" s="11" t="s">
        <v>1425</v>
      </c>
      <c r="B12" s="11" t="s">
        <v>9</v>
      </c>
      <c r="C12" s="11">
        <v>7</v>
      </c>
      <c r="D12" s="11" t="s">
        <v>913</v>
      </c>
      <c r="E12" s="11" t="s">
        <v>1426</v>
      </c>
      <c r="F12" s="11" t="s">
        <v>1427</v>
      </c>
      <c r="G12" s="11" t="s">
        <v>1428</v>
      </c>
      <c r="H12" s="11" t="s">
        <v>1388</v>
      </c>
      <c r="I12" s="16">
        <v>1</v>
      </c>
      <c r="J12" s="11" t="s">
        <v>210</v>
      </c>
      <c r="K12" s="11" t="s">
        <v>1372</v>
      </c>
      <c r="L12" s="11" t="s">
        <v>1429</v>
      </c>
      <c r="M12" s="11" t="s">
        <v>1430</v>
      </c>
      <c r="N12" s="11" t="s">
        <v>1431</v>
      </c>
      <c r="O12" s="11" t="s">
        <v>1432</v>
      </c>
      <c r="P12" s="11" t="s">
        <v>1433</v>
      </c>
      <c r="Q12" s="11" t="s">
        <v>1384</v>
      </c>
      <c r="R12" s="11" t="s">
        <v>1434</v>
      </c>
      <c r="S12" s="11" t="s">
        <v>14</v>
      </c>
      <c r="T12" s="11" t="s">
        <v>1394</v>
      </c>
      <c r="U12" s="29" t="s">
        <v>1435</v>
      </c>
    </row>
    <row r="13" spans="1:21" ht="110.4" hidden="1">
      <c r="A13" s="11" t="s">
        <v>1436</v>
      </c>
      <c r="B13" s="11" t="s">
        <v>9</v>
      </c>
      <c r="C13" s="11">
        <v>8</v>
      </c>
      <c r="D13" s="11" t="s">
        <v>913</v>
      </c>
      <c r="E13" s="11" t="s">
        <v>751</v>
      </c>
      <c r="F13" s="11" t="s">
        <v>1437</v>
      </c>
      <c r="G13" s="11" t="s">
        <v>1438</v>
      </c>
      <c r="H13" s="11" t="s">
        <v>1388</v>
      </c>
      <c r="I13" s="16">
        <v>1</v>
      </c>
      <c r="J13" s="11" t="s">
        <v>220</v>
      </c>
      <c r="K13" s="11" t="s">
        <v>750</v>
      </c>
      <c r="L13" s="11" t="s">
        <v>1439</v>
      </c>
      <c r="M13" s="11" t="s">
        <v>378</v>
      </c>
      <c r="N13" s="11" t="s">
        <v>1440</v>
      </c>
      <c r="O13" s="11" t="s">
        <v>380</v>
      </c>
      <c r="P13" s="11" t="s">
        <v>675</v>
      </c>
      <c r="Q13" s="11" t="s">
        <v>219</v>
      </c>
      <c r="R13" s="11" t="s">
        <v>1441</v>
      </c>
      <c r="S13" s="11" t="s">
        <v>14</v>
      </c>
      <c r="T13" s="11" t="s">
        <v>1394</v>
      </c>
      <c r="U13" s="29" t="s">
        <v>1442</v>
      </c>
    </row>
    <row r="14" spans="1:21" ht="125.4" hidden="1">
      <c r="A14" s="11" t="s">
        <v>1443</v>
      </c>
      <c r="B14" s="11" t="s">
        <v>9</v>
      </c>
      <c r="C14" s="11">
        <v>9</v>
      </c>
      <c r="D14" s="11" t="s">
        <v>913</v>
      </c>
      <c r="E14" s="11" t="s">
        <v>1444</v>
      </c>
      <c r="F14" s="11" t="s">
        <v>1445</v>
      </c>
      <c r="G14" s="11" t="s">
        <v>1446</v>
      </c>
      <c r="H14" s="11" t="s">
        <v>1388</v>
      </c>
      <c r="I14" s="16">
        <v>1.25</v>
      </c>
      <c r="J14" s="11" t="s">
        <v>225</v>
      </c>
      <c r="K14" s="11" t="s">
        <v>1447</v>
      </c>
      <c r="L14" s="11" t="s">
        <v>1448</v>
      </c>
      <c r="M14" s="11" t="s">
        <v>1449</v>
      </c>
      <c r="N14" s="11" t="s">
        <v>1450</v>
      </c>
      <c r="O14" s="11" t="s">
        <v>1451</v>
      </c>
      <c r="P14" s="11" t="s">
        <v>620</v>
      </c>
      <c r="Q14" s="11" t="s">
        <v>1384</v>
      </c>
      <c r="R14" s="11" t="s">
        <v>1452</v>
      </c>
      <c r="S14" s="11" t="s">
        <v>14</v>
      </c>
      <c r="T14" s="11" t="s">
        <v>1453</v>
      </c>
      <c r="U14" s="29" t="s">
        <v>1454</v>
      </c>
    </row>
    <row r="15" spans="1:21" ht="125.4" hidden="1">
      <c r="A15" s="11" t="s">
        <v>1455</v>
      </c>
      <c r="B15" s="11" t="s">
        <v>9</v>
      </c>
      <c r="C15" s="11">
        <v>10</v>
      </c>
      <c r="D15" s="11" t="s">
        <v>913</v>
      </c>
      <c r="E15" s="11" t="s">
        <v>1456</v>
      </c>
      <c r="F15" s="11" t="s">
        <v>1457</v>
      </c>
      <c r="G15" s="11" t="s">
        <v>1458</v>
      </c>
      <c r="H15" s="11" t="s">
        <v>1388</v>
      </c>
      <c r="I15" s="16">
        <v>1.5</v>
      </c>
      <c r="J15" s="11" t="s">
        <v>225</v>
      </c>
      <c r="K15" s="11" t="s">
        <v>1459</v>
      </c>
      <c r="L15" s="11" t="s">
        <v>1460</v>
      </c>
      <c r="M15" s="11" t="s">
        <v>1461</v>
      </c>
      <c r="N15" s="11" t="s">
        <v>1462</v>
      </c>
      <c r="O15" s="11" t="s">
        <v>1463</v>
      </c>
      <c r="P15" s="11" t="s">
        <v>1464</v>
      </c>
      <c r="Q15" s="11" t="s">
        <v>1443</v>
      </c>
      <c r="R15" s="11" t="s">
        <v>1465</v>
      </c>
      <c r="S15" s="11" t="s">
        <v>14</v>
      </c>
      <c r="T15" s="11" t="s">
        <v>1453</v>
      </c>
      <c r="U15" s="29" t="s">
        <v>1466</v>
      </c>
    </row>
    <row r="16" spans="1:21" ht="125.4" hidden="1">
      <c r="A16" s="11" t="s">
        <v>1467</v>
      </c>
      <c r="B16" s="11" t="s">
        <v>9</v>
      </c>
      <c r="C16" s="11">
        <v>11</v>
      </c>
      <c r="D16" s="11" t="s">
        <v>913</v>
      </c>
      <c r="E16" s="11" t="s">
        <v>1468</v>
      </c>
      <c r="F16" s="11" t="s">
        <v>1469</v>
      </c>
      <c r="G16" s="11" t="s">
        <v>1470</v>
      </c>
      <c r="H16" s="11" t="s">
        <v>1388</v>
      </c>
      <c r="I16" s="16">
        <v>1</v>
      </c>
      <c r="J16" s="11" t="s">
        <v>225</v>
      </c>
      <c r="K16" s="11" t="s">
        <v>1471</v>
      </c>
      <c r="L16" s="11" t="s">
        <v>1472</v>
      </c>
      <c r="M16" s="11" t="s">
        <v>386</v>
      </c>
      <c r="N16" s="11" t="s">
        <v>1473</v>
      </c>
      <c r="O16" s="11" t="s">
        <v>388</v>
      </c>
      <c r="P16" s="11" t="s">
        <v>1474</v>
      </c>
      <c r="Q16" s="11" t="s">
        <v>1455</v>
      </c>
      <c r="R16" s="11" t="s">
        <v>1475</v>
      </c>
      <c r="S16" s="11" t="s">
        <v>14</v>
      </c>
      <c r="T16" s="11" t="s">
        <v>1453</v>
      </c>
      <c r="U16" s="29" t="s">
        <v>1476</v>
      </c>
    </row>
    <row r="17" spans="1:21" ht="96.6" hidden="1">
      <c r="A17" s="11" t="s">
        <v>1477</v>
      </c>
      <c r="B17" s="11" t="s">
        <v>9</v>
      </c>
      <c r="C17" s="11">
        <v>12</v>
      </c>
      <c r="D17" s="11" t="s">
        <v>913</v>
      </c>
      <c r="E17" s="11" t="s">
        <v>1478</v>
      </c>
      <c r="F17" s="11" t="s">
        <v>1479</v>
      </c>
      <c r="G17" s="11" t="s">
        <v>1480</v>
      </c>
      <c r="H17" s="11" t="s">
        <v>576</v>
      </c>
      <c r="I17" s="16">
        <v>1</v>
      </c>
      <c r="J17" s="11" t="inlineStr">
        <is>
          <t xml:space="preserve">W1-REVIEW-001</t>
        </is>
      </c>
      <c r="K17" s="11" t="s">
        <v>1481</v>
      </c>
      <c r="L17" s="11" t="s">
        <v>1482</v>
      </c>
      <c r="M17" s="11" t="s">
        <v>1483</v>
      </c>
      <c r="N17" s="11" t="s">
        <v>1484</v>
      </c>
      <c r="O17" s="11" t="s">
        <v>1485</v>
      </c>
      <c r="P17" s="11" t="s">
        <v>668</v>
      </c>
      <c r="Q17" s="11" t="s">
        <v>1486</v>
      </c>
      <c r="R17" s="11" t="s">
        <v>1487</v>
      </c>
      <c r="S17" s="11" t="s">
        <v>14</v>
      </c>
      <c r="T17" s="11" t="s">
        <v>2331</v>
      </c>
      <c r="U17" s="29" t="s">
        <v>1488</v>
      </c>
    </row>
    <row r="18" spans="1:21" ht="69" hidden="1">
      <c r="A18" s="11" t="s">
        <v>1489</v>
      </c>
      <c r="B18" s="11" t="s">
        <v>9</v>
      </c>
      <c r="C18" s="11">
        <v>13</v>
      </c>
      <c r="D18" s="11" t="s">
        <v>913</v>
      </c>
      <c r="E18" s="11" t="s">
        <v>1490</v>
      </c>
      <c r="F18" s="11" t="s">
        <v>1491</v>
      </c>
      <c r="G18" s="11" t="s">
        <v>1492</v>
      </c>
      <c r="H18" s="11" t="s">
        <v>1378</v>
      </c>
      <c r="I18" s="16">
        <v>1</v>
      </c>
      <c r="J18" s="11" t="s">
        <v>1493</v>
      </c>
      <c r="K18" s="11" t="s">
        <v>1372</v>
      </c>
      <c r="L18" s="11" t="s">
        <v>1494</v>
      </c>
      <c r="M18" s="11" t="s">
        <v>1495</v>
      </c>
      <c r="N18" s="11" t="s">
        <v>1496</v>
      </c>
      <c r="O18" s="11" t="s">
        <v>1497</v>
      </c>
      <c r="P18" s="11" t="s">
        <v>1498</v>
      </c>
      <c r="Q18" s="11" t="s">
        <v>1477</v>
      </c>
      <c r="R18" s="11" t="s">
        <v>1499</v>
      </c>
      <c r="S18" s="11" t="s">
        <v>14</v>
      </c>
      <c r="T18" s="11" t="s">
        <v>1500</v>
      </c>
      <c r="U18" s="29" t="s">
        <v>1501</v>
      </c>
    </row>
    <row r="19" spans="1:21" ht="110.4">
      <c r="A19" s="11" t="s">
        <v>1502</v>
      </c>
      <c r="B19" s="11" t="s">
        <v>24</v>
      </c>
      <c r="C19" s="11">
        <v>1</v>
      </c>
      <c r="D19" s="11" t="s">
        <v>913</v>
      </c>
      <c r="E19" s="11" t="s">
        <v>1503</v>
      </c>
      <c r="F19" s="11" t="s">
        <v>1504</v>
      </c>
      <c r="G19" s="11" t="s">
        <v>1505</v>
      </c>
      <c r="H19" s="11" t="s">
        <v>1388</v>
      </c>
      <c r="I19" s="16">
        <v>1</v>
      </c>
      <c r="J19" s="11" t="s">
        <v>230</v>
      </c>
      <c r="K19" s="11" t="s">
        <v>1506</v>
      </c>
      <c r="L19" s="11" t="s">
        <v>1507</v>
      </c>
      <c r="M19" s="11" t="s">
        <v>393</v>
      </c>
      <c r="N19" s="11" t="s">
        <v>1508</v>
      </c>
      <c r="O19" s="11" t="s">
        <v>1509</v>
      </c>
      <c r="P19" s="11" t="s">
        <v>80</v>
      </c>
      <c r="Q19" s="11" t="s">
        <v>1489</v>
      </c>
      <c r="R19" s="11" t="s">
        <v>1510</v>
      </c>
      <c r="S19" s="11" t="s">
        <v>14</v>
      </c>
      <c r="T19" s="11"/>
      <c r="U19" s="29" t="s">
        <v>1511</v>
      </c>
    </row>
    <row r="20" spans="1:21" ht="110.4">
      <c r="A20" s="11" t="s">
        <v>1512</v>
      </c>
      <c r="B20" s="11" t="s">
        <v>24</v>
      </c>
      <c r="C20" s="11">
        <v>2</v>
      </c>
      <c r="D20" s="11" t="s">
        <v>913</v>
      </c>
      <c r="E20" s="11" t="s">
        <v>1513</v>
      </c>
      <c r="F20" s="11" t="s">
        <v>1514</v>
      </c>
      <c r="G20" s="11" t="s">
        <v>1515</v>
      </c>
      <c r="H20" s="11" t="s">
        <v>1388</v>
      </c>
      <c r="I20" s="16">
        <v>1.25</v>
      </c>
      <c r="J20" s="11" t="s">
        <v>230</v>
      </c>
      <c r="K20" s="11" t="s">
        <v>1372</v>
      </c>
      <c r="L20" s="11" t="s">
        <v>1516</v>
      </c>
      <c r="M20" s="11" t="s">
        <v>1517</v>
      </c>
      <c r="N20" s="11" t="s">
        <v>1518</v>
      </c>
      <c r="O20" s="11" t="s">
        <v>1519</v>
      </c>
      <c r="P20" s="11" t="s">
        <v>112</v>
      </c>
      <c r="Q20" s="11" t="s">
        <v>1502</v>
      </c>
      <c r="R20" s="11" t="s">
        <v>1520</v>
      </c>
      <c r="S20" s="11" t="s">
        <v>14</v>
      </c>
      <c r="T20" s="11"/>
      <c r="U20" s="29" t="s">
        <v>1521</v>
      </c>
    </row>
    <row r="21" spans="1:21" ht="110.4">
      <c r="A21" s="11" t="s">
        <v>1522</v>
      </c>
      <c r="B21" s="11" t="s">
        <v>24</v>
      </c>
      <c r="C21" s="11">
        <v>3</v>
      </c>
      <c r="D21" s="11" t="s">
        <v>913</v>
      </c>
      <c r="E21" s="11" t="s">
        <v>1523</v>
      </c>
      <c r="F21" s="11" t="s">
        <v>1524</v>
      </c>
      <c r="G21" s="11" t="s">
        <v>1525</v>
      </c>
      <c r="H21" s="11" t="s">
        <v>1388</v>
      </c>
      <c r="I21" s="16">
        <v>1</v>
      </c>
      <c r="J21" s="11" t="s">
        <v>230</v>
      </c>
      <c r="K21" s="11" t="s">
        <v>1372</v>
      </c>
      <c r="L21" s="11" t="s">
        <v>1526</v>
      </c>
      <c r="M21" s="11" t="s">
        <v>1527</v>
      </c>
      <c r="N21" s="11" t="s">
        <v>1528</v>
      </c>
      <c r="O21" s="11" t="s">
        <v>1529</v>
      </c>
      <c r="P21" s="11" t="s">
        <v>86</v>
      </c>
      <c r="Q21" s="11" t="s">
        <v>1477</v>
      </c>
      <c r="R21" s="11" t="s">
        <v>1530</v>
      </c>
      <c r="S21" s="11" t="s">
        <v>14</v>
      </c>
      <c r="T21" s="11"/>
      <c r="U21" s="29" t="s">
        <v>1531</v>
      </c>
    </row>
    <row r="22" spans="1:21" ht="110.4">
      <c r="A22" s="11" t="s">
        <v>1532</v>
      </c>
      <c r="B22" s="11" t="s">
        <v>24</v>
      </c>
      <c r="C22" s="11">
        <v>4</v>
      </c>
      <c r="D22" s="11" t="s">
        <v>913</v>
      </c>
      <c r="E22" s="11" t="s">
        <v>1533</v>
      </c>
      <c r="F22" s="11" t="s">
        <v>1534</v>
      </c>
      <c r="G22" s="11" t="s">
        <v>1535</v>
      </c>
      <c r="H22" s="11" t="s">
        <v>1388</v>
      </c>
      <c r="I22" s="16">
        <v>1.5</v>
      </c>
      <c r="J22" s="11" t="s">
        <v>230</v>
      </c>
      <c r="K22" s="11" t="s">
        <v>1536</v>
      </c>
      <c r="L22" s="11" t="s">
        <v>1537</v>
      </c>
      <c r="M22" s="11" t="s">
        <v>1538</v>
      </c>
      <c r="N22" s="11" t="s">
        <v>1539</v>
      </c>
      <c r="O22" s="11" t="s">
        <v>1540</v>
      </c>
      <c r="P22" s="11" t="s">
        <v>86</v>
      </c>
      <c r="Q22" s="11" t="s">
        <v>1541</v>
      </c>
      <c r="R22" s="11" t="s">
        <v>1542</v>
      </c>
      <c r="S22" s="11" t="s">
        <v>14</v>
      </c>
      <c r="T22" s="11"/>
      <c r="U22" s="29" t="s">
        <v>1543</v>
      </c>
    </row>
    <row r="23" spans="1:21" ht="110.4" hidden="1">
      <c r="A23" s="11" t="s">
        <v>235</v>
      </c>
      <c r="B23" s="11" t="s">
        <v>24</v>
      </c>
      <c r="C23" s="11">
        <v>5</v>
      </c>
      <c r="D23" s="11" t="s">
        <v>913</v>
      </c>
      <c r="E23" s="11" t="s">
        <v>1012</v>
      </c>
      <c r="F23" s="11" t="s">
        <v>1544</v>
      </c>
      <c r="G23" s="11" t="s">
        <v>1545</v>
      </c>
      <c r="H23" s="11" t="s">
        <v>1388</v>
      </c>
      <c r="I23" s="16">
        <v>1.25</v>
      </c>
      <c r="J23" s="11" t="s">
        <v>231</v>
      </c>
      <c r="K23" s="11" t="s">
        <v>745</v>
      </c>
      <c r="L23" s="11" t="s">
        <v>1546</v>
      </c>
      <c r="M23" s="11" t="s">
        <v>405</v>
      </c>
      <c r="N23" s="11" t="s">
        <v>1547</v>
      </c>
      <c r="O23" s="11" t="s">
        <v>1548</v>
      </c>
      <c r="P23" s="11" t="s">
        <v>80</v>
      </c>
      <c r="Q23" s="11" t="s">
        <v>1502</v>
      </c>
      <c r="R23" s="11" t="s">
        <v>1549</v>
      </c>
      <c r="S23" s="11" t="s">
        <v>710</v>
      </c>
      <c r="T23" s="11"/>
      <c r="U23" s="29" t="s">
        <v>1550</v>
      </c>
    </row>
    <row r="24" spans="1:21" ht="110.4" hidden="1">
      <c r="A24" s="11" t="s">
        <v>1551</v>
      </c>
      <c r="B24" s="11" t="s">
        <v>24</v>
      </c>
      <c r="C24" s="11">
        <v>6</v>
      </c>
      <c r="D24" s="11" t="s">
        <v>913</v>
      </c>
      <c r="E24" s="11" t="s">
        <v>1231</v>
      </c>
      <c r="F24" s="11" t="s">
        <v>1552</v>
      </c>
      <c r="G24" s="11" t="s">
        <v>1553</v>
      </c>
      <c r="H24" s="11" t="s">
        <v>1388</v>
      </c>
      <c r="I24" s="16">
        <v>1.5</v>
      </c>
      <c r="J24" s="11" t="s">
        <v>236</v>
      </c>
      <c r="K24" s="11" t="s">
        <v>1554</v>
      </c>
      <c r="L24" s="11" t="s">
        <v>1555</v>
      </c>
      <c r="M24" s="11" t="s">
        <v>1556</v>
      </c>
      <c r="N24" s="11" t="s">
        <v>1557</v>
      </c>
      <c r="O24" s="11" t="s">
        <v>1558</v>
      </c>
      <c r="P24" s="11" t="s">
        <v>675</v>
      </c>
      <c r="Q24" s="11" t="s">
        <v>1559</v>
      </c>
      <c r="R24" s="11" t="s">
        <v>1560</v>
      </c>
      <c r="S24" s="11" t="s">
        <v>710</v>
      </c>
      <c r="T24" s="11"/>
      <c r="U24" s="29" t="s">
        <v>1561</v>
      </c>
    </row>
    <row r="25" spans="1:21" ht="96.6" hidden="1">
      <c r="A25" s="11" t="s">
        <v>1562</v>
      </c>
      <c r="B25" s="11" t="s">
        <v>24</v>
      </c>
      <c r="C25" s="11">
        <v>7</v>
      </c>
      <c r="D25" s="11" t="s">
        <v>913</v>
      </c>
      <c r="E25" s="11" t="s">
        <v>713</v>
      </c>
      <c r="F25" s="11" t="s">
        <v>1563</v>
      </c>
      <c r="G25" s="11" t="s">
        <v>1564</v>
      </c>
      <c r="H25" s="11" t="s">
        <v>1388</v>
      </c>
      <c r="I25" s="16">
        <v>1</v>
      </c>
      <c r="J25" s="11" t="s">
        <v>236</v>
      </c>
      <c r="K25" s="11" t="s">
        <v>712</v>
      </c>
      <c r="L25" s="11" t="s">
        <v>1565</v>
      </c>
      <c r="M25" s="11" t="s">
        <v>1566</v>
      </c>
      <c r="N25" s="11" t="s">
        <v>1567</v>
      </c>
      <c r="O25" s="11" t="s">
        <v>1568</v>
      </c>
      <c r="P25" s="11" t="s">
        <v>105</v>
      </c>
      <c r="Q25" s="11" t="s">
        <v>1551</v>
      </c>
      <c r="R25" s="11" t="s">
        <v>1569</v>
      </c>
      <c r="S25" s="11" t="s">
        <v>710</v>
      </c>
      <c r="T25" s="11"/>
      <c r="U25" s="29" t="s">
        <v>1570</v>
      </c>
    </row>
    <row r="26" spans="1:21" ht="110.4">
      <c r="A26" s="11" t="s">
        <v>1571</v>
      </c>
      <c r="B26" s="11" t="s">
        <v>24</v>
      </c>
      <c r="C26" s="11">
        <v>8</v>
      </c>
      <c r="D26" s="11" t="s">
        <v>913</v>
      </c>
      <c r="E26" s="11" t="s">
        <v>1572</v>
      </c>
      <c r="F26" s="11" t="s">
        <v>1573</v>
      </c>
      <c r="G26" s="11" t="s">
        <v>1574</v>
      </c>
      <c r="H26" s="11" t="s">
        <v>1388</v>
      </c>
      <c r="I26" s="16">
        <v>1</v>
      </c>
      <c r="J26" s="11" t="s">
        <v>230</v>
      </c>
      <c r="K26" s="11" t="s">
        <v>747</v>
      </c>
      <c r="L26" s="11" t="s">
        <v>1575</v>
      </c>
      <c r="M26" s="11" t="s">
        <v>1576</v>
      </c>
      <c r="N26" s="11" t="s">
        <v>1577</v>
      </c>
      <c r="O26" s="11" t="s">
        <v>1578</v>
      </c>
      <c r="P26" s="11" t="s">
        <v>105</v>
      </c>
      <c r="Q26" s="11" t="s">
        <v>1532</v>
      </c>
      <c r="R26" s="11" t="s">
        <v>1579</v>
      </c>
      <c r="S26" s="11" t="s">
        <v>14</v>
      </c>
      <c r="T26" s="11"/>
      <c r="U26" s="29" t="s">
        <v>1580</v>
      </c>
    </row>
    <row r="27" spans="1:21" ht="110.4" hidden="1">
      <c r="A27" s="11" t="s">
        <v>1581</v>
      </c>
      <c r="B27" s="11" t="s">
        <v>24</v>
      </c>
      <c r="C27" s="11">
        <v>9</v>
      </c>
      <c r="D27" s="11" t="s">
        <v>913</v>
      </c>
      <c r="E27" s="11" t="s">
        <v>1582</v>
      </c>
      <c r="F27" s="11" t="s">
        <v>1583</v>
      </c>
      <c r="G27" s="11" t="s">
        <v>1584</v>
      </c>
      <c r="H27" s="11" t="s">
        <v>1378</v>
      </c>
      <c r="I27" s="16">
        <v>1</v>
      </c>
      <c r="J27" s="11" t="s">
        <v>241</v>
      </c>
      <c r="K27" s="11" t="s">
        <v>1585</v>
      </c>
      <c r="L27" s="11" t="s">
        <v>1586</v>
      </c>
      <c r="M27" s="11" t="s">
        <v>1587</v>
      </c>
      <c r="N27" s="11" t="s">
        <v>1588</v>
      </c>
      <c r="O27" s="11" t="s">
        <v>1589</v>
      </c>
      <c r="P27" s="11" t="s">
        <v>1590</v>
      </c>
      <c r="Q27" s="11" t="s">
        <v>1591</v>
      </c>
      <c r="R27" s="11" t="s">
        <v>1592</v>
      </c>
      <c r="S27" s="11" t="s">
        <v>710</v>
      </c>
      <c r="T27" s="11"/>
      <c r="U27" s="29" t="s">
        <v>1593</v>
      </c>
    </row>
    <row r="28" spans="1:21" ht="110.4" hidden="1">
      <c r="A28" s="11" t="s">
        <v>1594</v>
      </c>
      <c r="B28" s="11" t="s">
        <v>24</v>
      </c>
      <c r="C28" s="11">
        <v>10</v>
      </c>
      <c r="D28" s="11" t="s">
        <v>913</v>
      </c>
      <c r="E28" s="11" t="s">
        <v>1456</v>
      </c>
      <c r="F28" s="11" t="s">
        <v>1595</v>
      </c>
      <c r="G28" s="11" t="s">
        <v>1596</v>
      </c>
      <c r="H28" s="11" t="s">
        <v>1378</v>
      </c>
      <c r="I28" s="16">
        <v>1</v>
      </c>
      <c r="J28" s="11" t="s">
        <v>241</v>
      </c>
      <c r="K28" s="11" t="s">
        <v>780</v>
      </c>
      <c r="L28" s="11" t="s">
        <v>1597</v>
      </c>
      <c r="M28" s="11" t="s">
        <v>1598</v>
      </c>
      <c r="N28" s="11" t="s">
        <v>1599</v>
      </c>
      <c r="O28" s="11" t="s">
        <v>1600</v>
      </c>
      <c r="P28" s="11" t="s">
        <v>1601</v>
      </c>
      <c r="Q28" s="11" t="s">
        <v>1581</v>
      </c>
      <c r="R28" s="11" t="s">
        <v>1602</v>
      </c>
      <c r="S28" s="11" t="s">
        <v>710</v>
      </c>
      <c r="T28" s="11"/>
      <c r="U28" s="29" t="s">
        <v>1603</v>
      </c>
    </row>
    <row r="29" spans="1:21" ht="110.4" hidden="1">
      <c r="A29" s="11" t="s">
        <v>246</v>
      </c>
      <c r="B29" s="11" t="s">
        <v>24</v>
      </c>
      <c r="C29" s="11">
        <v>11</v>
      </c>
      <c r="D29" s="11" t="s">
        <v>953</v>
      </c>
      <c r="E29" s="11" t="s">
        <v>1604</v>
      </c>
      <c r="F29" s="11" t="s">
        <v>1605</v>
      </c>
      <c r="G29" s="11" t="s">
        <v>1606</v>
      </c>
      <c r="H29" s="11" t="s">
        <v>576</v>
      </c>
      <c r="I29" s="16">
        <v>0.75</v>
      </c>
      <c r="J29" s="11" t="s">
        <v>242</v>
      </c>
      <c r="K29" s="11" t="s">
        <v>1372</v>
      </c>
      <c r="L29" s="11" t="s">
        <v>1607</v>
      </c>
      <c r="M29" s="11" t="s">
        <v>1608</v>
      </c>
      <c r="N29" s="11" t="s">
        <v>1609</v>
      </c>
      <c r="O29" s="11" t="s">
        <v>1610</v>
      </c>
      <c r="P29" s="11" t="s">
        <v>1611</v>
      </c>
      <c r="Q29" s="11" t="s">
        <v>1581</v>
      </c>
      <c r="R29" s="11" t="s">
        <v>1612</v>
      </c>
      <c r="S29" s="11" t="s">
        <v>710</v>
      </c>
      <c r="T29" s="11"/>
      <c r="U29" s="29" t="s">
        <v>1613</v>
      </c>
    </row>
    <row r="30" spans="1:21" ht="96.6" hidden="1">
      <c r="A30" s="11" t="s">
        <v>1614</v>
      </c>
      <c r="B30" s="11" t="s">
        <v>24</v>
      </c>
      <c r="C30" s="11">
        <v>12</v>
      </c>
      <c r="D30" s="11" t="s">
        <v>913</v>
      </c>
      <c r="E30" s="11" t="s">
        <v>1478</v>
      </c>
      <c r="F30" s="11" t="s">
        <v>1615</v>
      </c>
      <c r="G30" s="11" t="s">
        <v>1616</v>
      </c>
      <c r="H30" s="11" t="s">
        <v>576</v>
      </c>
      <c r="I30" s="16">
        <v>0.75</v>
      </c>
      <c r="J30" s="11" t="inlineStr">
        <is>
          <t xml:space="preserve">W2-REVIEW-001</t>
        </is>
      </c>
      <c r="K30" s="11" t="s">
        <v>1617</v>
      </c>
      <c r="L30" s="11" t="s">
        <v>1618</v>
      </c>
      <c r="M30" s="11" t="s">
        <v>1619</v>
      </c>
      <c r="N30" s="11" t="s">
        <v>1620</v>
      </c>
      <c r="O30" s="11" t="s">
        <v>1621</v>
      </c>
      <c r="P30" s="11" t="s">
        <v>668</v>
      </c>
      <c r="Q30" s="11" t="s">
        <v>1622</v>
      </c>
      <c r="R30" s="11" t="s">
        <v>1623</v>
      </c>
      <c r="S30" s="11" t="s">
        <v>710</v>
      </c>
      <c r="T30" s="11"/>
      <c r="U30" s="29" t="s">
        <v>1624</v>
      </c>
    </row>
    <row r="31" spans="1:21" ht="69" hidden="1">
      <c r="A31" s="11" t="s">
        <v>1625</v>
      </c>
      <c r="B31" s="11" t="s">
        <v>24</v>
      </c>
      <c r="C31" s="11">
        <v>13</v>
      </c>
      <c r="D31" s="11" t="s">
        <v>913</v>
      </c>
      <c r="E31" s="11" t="s">
        <v>1490</v>
      </c>
      <c r="F31" s="11" t="s">
        <v>1626</v>
      </c>
      <c r="G31" s="11" t="s">
        <v>1627</v>
      </c>
      <c r="H31" s="11" t="s">
        <v>1378</v>
      </c>
      <c r="I31" s="16">
        <v>1</v>
      </c>
      <c r="J31" s="11" t="s">
        <v>1493</v>
      </c>
      <c r="K31" s="11" t="s">
        <v>1372</v>
      </c>
      <c r="L31" s="11" t="s">
        <v>1628</v>
      </c>
      <c r="M31" s="11" t="s">
        <v>1495</v>
      </c>
      <c r="N31" s="11" t="s">
        <v>1496</v>
      </c>
      <c r="O31" s="11" t="s">
        <v>1629</v>
      </c>
      <c r="P31" s="11" t="s">
        <v>1611</v>
      </c>
      <c r="Q31" s="11" t="s">
        <v>1614</v>
      </c>
      <c r="R31" s="11" t="s">
        <v>1499</v>
      </c>
      <c r="S31" s="11" t="s">
        <v>710</v>
      </c>
      <c r="T31" s="11" t="s">
        <v>1630</v>
      </c>
      <c r="U31" s="29" t="s">
        <v>1631</v>
      </c>
    </row>
    <row r="32" spans="1:21" ht="110.4" hidden="1">
      <c r="A32" s="11" t="s">
        <v>1632</v>
      </c>
      <c r="B32" s="11" t="s">
        <v>25</v>
      </c>
      <c r="C32" s="11">
        <v>1</v>
      </c>
      <c r="D32" s="11" t="s">
        <v>913</v>
      </c>
      <c r="E32" s="11" t="s">
        <v>1633</v>
      </c>
      <c r="F32" s="11" t="s">
        <v>1634</v>
      </c>
      <c r="G32" s="11" t="s">
        <v>1635</v>
      </c>
      <c r="H32" s="11" t="s">
        <v>1388</v>
      </c>
      <c r="I32" s="16">
        <v>1</v>
      </c>
      <c r="J32" s="11" t="s">
        <v>247</v>
      </c>
      <c r="K32" s="11" t="s">
        <v>741</v>
      </c>
      <c r="L32" s="11" t="s">
        <v>1636</v>
      </c>
      <c r="M32" s="11" t="s">
        <v>1637</v>
      </c>
      <c r="N32" s="11" t="s">
        <v>1638</v>
      </c>
      <c r="O32" s="11" t="s">
        <v>1639</v>
      </c>
      <c r="P32" s="11" t="s">
        <v>1640</v>
      </c>
      <c r="Q32" s="11" t="s">
        <v>1625</v>
      </c>
      <c r="R32" s="11" t="s">
        <v>1641</v>
      </c>
      <c r="S32" s="11" t="s">
        <v>710</v>
      </c>
      <c r="T32" s="11"/>
      <c r="U32" s="29" t="s">
        <v>1642</v>
      </c>
    </row>
    <row r="33" spans="1:21" ht="110.4" hidden="1">
      <c r="A33" s="11" t="s">
        <v>1643</v>
      </c>
      <c r="B33" s="11" t="s">
        <v>25</v>
      </c>
      <c r="C33" s="11">
        <v>2</v>
      </c>
      <c r="D33" s="11" t="s">
        <v>913</v>
      </c>
      <c r="E33" s="11" t="s">
        <v>1644</v>
      </c>
      <c r="F33" s="11" t="s">
        <v>1645</v>
      </c>
      <c r="G33" s="11" t="s">
        <v>1646</v>
      </c>
      <c r="H33" s="11" t="s">
        <v>1388</v>
      </c>
      <c r="I33" s="16">
        <v>1.25</v>
      </c>
      <c r="J33" s="11" t="s">
        <v>247</v>
      </c>
      <c r="K33" s="11" t="s">
        <v>1647</v>
      </c>
      <c r="L33" s="11" t="s">
        <v>1648</v>
      </c>
      <c r="M33" s="11" t="s">
        <v>1649</v>
      </c>
      <c r="N33" s="11" t="s">
        <v>1650</v>
      </c>
      <c r="O33" s="11" t="s">
        <v>1651</v>
      </c>
      <c r="P33" s="11" t="s">
        <v>118</v>
      </c>
      <c r="Q33" s="11" t="s">
        <v>1632</v>
      </c>
      <c r="R33" s="11" t="s">
        <v>1652</v>
      </c>
      <c r="S33" s="11" t="s">
        <v>710</v>
      </c>
      <c r="T33" s="11"/>
      <c r="U33" s="29" t="s">
        <v>1653</v>
      </c>
    </row>
    <row r="34" spans="1:21" ht="96.6" hidden="1">
      <c r="A34" s="11" t="s">
        <v>1654</v>
      </c>
      <c r="B34" s="11" t="s">
        <v>25</v>
      </c>
      <c r="C34" s="11">
        <v>3</v>
      </c>
      <c r="D34" s="11" t="s">
        <v>913</v>
      </c>
      <c r="E34" s="11" t="s">
        <v>1655</v>
      </c>
      <c r="F34" s="11" t="s">
        <v>1656</v>
      </c>
      <c r="G34" s="11" t="s">
        <v>1657</v>
      </c>
      <c r="H34" s="11" t="s">
        <v>1388</v>
      </c>
      <c r="I34" s="16">
        <v>0.75</v>
      </c>
      <c r="J34" s="11" t="s">
        <v>247</v>
      </c>
      <c r="K34" s="11" t="s">
        <v>1372</v>
      </c>
      <c r="L34" s="11" t="s">
        <v>1658</v>
      </c>
      <c r="M34" s="11" t="s">
        <v>1659</v>
      </c>
      <c r="N34" s="11" t="s">
        <v>1660</v>
      </c>
      <c r="O34" s="11" t="s">
        <v>1661</v>
      </c>
      <c r="P34" s="11" t="s">
        <v>74</v>
      </c>
      <c r="Q34" s="11" t="s">
        <v>1632</v>
      </c>
      <c r="R34" s="11" t="s">
        <v>1662</v>
      </c>
      <c r="S34" s="11" t="s">
        <v>710</v>
      </c>
      <c r="T34" s="11"/>
      <c r="U34" s="29" t="s">
        <v>1663</v>
      </c>
    </row>
    <row r="35" spans="1:21" ht="110.4" hidden="1">
      <c r="A35" s="11" t="s">
        <v>1664</v>
      </c>
      <c r="B35" s="11" t="s">
        <v>25</v>
      </c>
      <c r="C35" s="11">
        <v>4</v>
      </c>
      <c r="D35" s="11" t="s">
        <v>913</v>
      </c>
      <c r="E35" s="11" t="s">
        <v>1665</v>
      </c>
      <c r="F35" s="11" t="s">
        <v>1666</v>
      </c>
      <c r="G35" s="11" t="s">
        <v>1667</v>
      </c>
      <c r="H35" s="11" t="s">
        <v>1388</v>
      </c>
      <c r="I35" s="16">
        <v>1.5</v>
      </c>
      <c r="J35" s="11" t="s">
        <v>247</v>
      </c>
      <c r="K35" s="11" t="s">
        <v>788</v>
      </c>
      <c r="L35" s="11" t="s">
        <v>1668</v>
      </c>
      <c r="M35" s="11" t="s">
        <v>425</v>
      </c>
      <c r="N35" s="11" t="s">
        <v>1669</v>
      </c>
      <c r="O35" s="11" t="s">
        <v>1670</v>
      </c>
      <c r="P35" s="11" t="s">
        <v>74</v>
      </c>
      <c r="Q35" s="11" t="s">
        <v>1671</v>
      </c>
      <c r="R35" s="11" t="s">
        <v>1672</v>
      </c>
      <c r="S35" s="11" t="s">
        <v>710</v>
      </c>
      <c r="T35" s="11"/>
      <c r="U35" s="29" t="s">
        <v>1673</v>
      </c>
    </row>
    <row r="36" spans="1:21" ht="110.4" hidden="1">
      <c r="A36" s="11" t="s">
        <v>1674</v>
      </c>
      <c r="B36" s="11" t="s">
        <v>25</v>
      </c>
      <c r="C36" s="11">
        <v>5</v>
      </c>
      <c r="D36" s="11" t="s">
        <v>913</v>
      </c>
      <c r="E36" s="11" t="s">
        <v>947</v>
      </c>
      <c r="F36" s="11" t="s">
        <v>1675</v>
      </c>
      <c r="G36" s="11" t="s">
        <v>1676</v>
      </c>
      <c r="H36" s="11" t="s">
        <v>1388</v>
      </c>
      <c r="I36" s="16">
        <v>1</v>
      </c>
      <c r="J36" s="11" t="s">
        <v>257</v>
      </c>
      <c r="K36" s="11" t="s">
        <v>1677</v>
      </c>
      <c r="L36" s="11" t="s">
        <v>1678</v>
      </c>
      <c r="M36" s="11" t="s">
        <v>1679</v>
      </c>
      <c r="N36" s="11" t="s">
        <v>1680</v>
      </c>
      <c r="O36" s="11" t="s">
        <v>1681</v>
      </c>
      <c r="P36" s="11" t="s">
        <v>105</v>
      </c>
      <c r="Q36" s="11" t="s">
        <v>1664</v>
      </c>
      <c r="R36" s="11" t="s">
        <v>1682</v>
      </c>
      <c r="S36" s="11" t="s">
        <v>710</v>
      </c>
      <c r="T36" s="11"/>
      <c r="U36" s="29" t="s">
        <v>1683</v>
      </c>
    </row>
    <row r="37" spans="1:21" ht="110.4" hidden="1">
      <c r="A37" s="11" t="s">
        <v>1684</v>
      </c>
      <c r="B37" s="11" t="s">
        <v>25</v>
      </c>
      <c r="C37" s="11">
        <v>6</v>
      </c>
      <c r="D37" s="11" t="s">
        <v>913</v>
      </c>
      <c r="E37" s="11" t="s">
        <v>1685</v>
      </c>
      <c r="F37" s="11" t="s">
        <v>1686</v>
      </c>
      <c r="G37" s="11" t="s">
        <v>1687</v>
      </c>
      <c r="H37" s="11" t="s">
        <v>576</v>
      </c>
      <c r="I37" s="16">
        <v>1.25</v>
      </c>
      <c r="J37" s="11" t="s">
        <v>252</v>
      </c>
      <c r="K37" s="11" t="s">
        <v>1688</v>
      </c>
      <c r="L37" s="11" t="s">
        <v>1689</v>
      </c>
      <c r="M37" s="11" t="s">
        <v>1690</v>
      </c>
      <c r="N37" s="11" t="s">
        <v>1691</v>
      </c>
      <c r="O37" s="11" t="s">
        <v>1692</v>
      </c>
      <c r="P37" s="11" t="s">
        <v>675</v>
      </c>
      <c r="Q37" s="11" t="s">
        <v>1581</v>
      </c>
      <c r="R37" s="11" t="s">
        <v>1693</v>
      </c>
      <c r="S37" s="11" t="s">
        <v>710</v>
      </c>
      <c r="T37" s="11"/>
      <c r="U37" s="29" t="s">
        <v>1694</v>
      </c>
    </row>
    <row r="38" spans="1:21" ht="110.4" hidden="1">
      <c r="A38" s="11" t="s">
        <v>1695</v>
      </c>
      <c r="B38" s="11" t="s">
        <v>25</v>
      </c>
      <c r="C38" s="11">
        <v>7</v>
      </c>
      <c r="D38" s="11" t="s">
        <v>913</v>
      </c>
      <c r="E38" s="11" t="s">
        <v>1696</v>
      </c>
      <c r="F38" s="11" t="s">
        <v>1697</v>
      </c>
      <c r="G38" s="11" t="s">
        <v>1698</v>
      </c>
      <c r="H38" s="11" t="s">
        <v>1388</v>
      </c>
      <c r="I38" s="16">
        <v>1.5</v>
      </c>
      <c r="J38" s="11" t="s">
        <v>252</v>
      </c>
      <c r="K38" s="11" t="s">
        <v>716</v>
      </c>
      <c r="L38" s="11" t="s">
        <v>1699</v>
      </c>
      <c r="M38" s="11" t="s">
        <v>1700</v>
      </c>
      <c r="N38" s="11" t="s">
        <v>1701</v>
      </c>
      <c r="O38" s="11" t="s">
        <v>438</v>
      </c>
      <c r="P38" s="11" t="s">
        <v>675</v>
      </c>
      <c r="Q38" s="11" t="s">
        <v>1702</v>
      </c>
      <c r="R38" s="11" t="s">
        <v>1703</v>
      </c>
      <c r="S38" s="11" t="s">
        <v>710</v>
      </c>
      <c r="T38" s="11"/>
      <c r="U38" s="29" t="s">
        <v>1704</v>
      </c>
    </row>
    <row r="39" spans="1:21" ht="110.4" hidden="1">
      <c r="A39" s="11" t="s">
        <v>1705</v>
      </c>
      <c r="B39" s="11" t="s">
        <v>25</v>
      </c>
      <c r="C39" s="11">
        <v>8</v>
      </c>
      <c r="D39" s="11" t="s">
        <v>913</v>
      </c>
      <c r="E39" s="11" t="s">
        <v>1706</v>
      </c>
      <c r="F39" s="11" t="s">
        <v>1707</v>
      </c>
      <c r="G39" s="11" t="s">
        <v>1708</v>
      </c>
      <c r="H39" s="11" t="s">
        <v>1388</v>
      </c>
      <c r="I39" s="16">
        <v>1</v>
      </c>
      <c r="J39" s="11" t="s">
        <v>257</v>
      </c>
      <c r="K39" s="11" t="s">
        <v>747</v>
      </c>
      <c r="L39" s="11" t="s">
        <v>1709</v>
      </c>
      <c r="M39" s="11" t="s">
        <v>430</v>
      </c>
      <c r="N39" s="11" t="s">
        <v>1710</v>
      </c>
      <c r="O39" s="11" t="s">
        <v>1711</v>
      </c>
      <c r="P39" s="11" t="s">
        <v>105</v>
      </c>
      <c r="Q39" s="11" t="s">
        <v>1674</v>
      </c>
      <c r="R39" s="11" t="s">
        <v>1712</v>
      </c>
      <c r="S39" s="11" t="s">
        <v>710</v>
      </c>
      <c r="T39" s="11"/>
      <c r="U39" s="29" t="s">
        <v>1713</v>
      </c>
    </row>
    <row r="40" spans="1:21" ht="110.4" hidden="1">
      <c r="A40" s="11" t="s">
        <v>1714</v>
      </c>
      <c r="B40" s="11" t="s">
        <v>25</v>
      </c>
      <c r="C40" s="11">
        <v>9</v>
      </c>
      <c r="D40" s="11" t="s">
        <v>913</v>
      </c>
      <c r="E40" s="11" t="s">
        <v>1284</v>
      </c>
      <c r="F40" s="11" t="s">
        <v>1715</v>
      </c>
      <c r="G40" s="11" t="s">
        <v>1716</v>
      </c>
      <c r="H40" s="11" t="s">
        <v>1388</v>
      </c>
      <c r="I40" s="16">
        <v>0.75</v>
      </c>
      <c r="J40" s="11" t="s">
        <v>277</v>
      </c>
      <c r="K40" s="11" t="s">
        <v>760</v>
      </c>
      <c r="L40" s="11" t="s">
        <v>1717</v>
      </c>
      <c r="M40" s="11" t="s">
        <v>1718</v>
      </c>
      <c r="N40" s="11" t="s">
        <v>1719</v>
      </c>
      <c r="O40" s="11" t="s">
        <v>1720</v>
      </c>
      <c r="P40" s="11" t="s">
        <v>166</v>
      </c>
      <c r="Q40" s="11" t="s">
        <v>1664</v>
      </c>
      <c r="R40" s="11" t="s">
        <v>1721</v>
      </c>
      <c r="S40" s="11" t="s">
        <v>710</v>
      </c>
      <c r="T40" s="11"/>
      <c r="U40" s="29" t="s">
        <v>1722</v>
      </c>
    </row>
    <row r="41" spans="1:21" ht="110.4" hidden="1">
      <c r="A41" s="11" t="s">
        <v>1723</v>
      </c>
      <c r="B41" s="11" t="s">
        <v>25</v>
      </c>
      <c r="C41" s="11">
        <v>10</v>
      </c>
      <c r="D41" s="11" t="s">
        <v>913</v>
      </c>
      <c r="E41" s="11" t="s">
        <v>1724</v>
      </c>
      <c r="F41" s="11" t="s">
        <v>1725</v>
      </c>
      <c r="G41" s="11" t="s">
        <v>1726</v>
      </c>
      <c r="H41" s="11" t="s">
        <v>1378</v>
      </c>
      <c r="I41" s="16">
        <v>0.75</v>
      </c>
      <c r="J41" s="11" t="s">
        <v>252</v>
      </c>
      <c r="K41" s="11" t="s">
        <v>764</v>
      </c>
      <c r="L41" s="11" t="s">
        <v>1727</v>
      </c>
      <c r="M41" s="11" t="s">
        <v>436</v>
      </c>
      <c r="N41" s="11" t="s">
        <v>1728</v>
      </c>
      <c r="O41" s="11" t="s">
        <v>1729</v>
      </c>
      <c r="P41" s="11" t="s">
        <v>675</v>
      </c>
      <c r="Q41" s="11" t="s">
        <v>1695</v>
      </c>
      <c r="R41" s="11" t="s">
        <v>1730</v>
      </c>
      <c r="S41" s="11" t="s">
        <v>710</v>
      </c>
      <c r="T41" s="11"/>
      <c r="U41" s="29" t="s">
        <v>1731</v>
      </c>
    </row>
    <row r="42" spans="1:21" ht="110.4" hidden="1">
      <c r="A42" s="11" t="s">
        <v>266</v>
      </c>
      <c r="B42" s="11" t="s">
        <v>25</v>
      </c>
      <c r="C42" s="11">
        <v>11</v>
      </c>
      <c r="D42" s="11" t="s">
        <v>913</v>
      </c>
      <c r="E42" s="11" t="s">
        <v>1732</v>
      </c>
      <c r="F42" s="11" t="s">
        <v>1733</v>
      </c>
      <c r="G42" s="11" t="s">
        <v>1734</v>
      </c>
      <c r="H42" s="11" t="s">
        <v>1378</v>
      </c>
      <c r="I42" s="16">
        <v>1</v>
      </c>
      <c r="J42" s="11" t="s">
        <v>262</v>
      </c>
      <c r="K42" s="11" t="s">
        <v>1372</v>
      </c>
      <c r="L42" s="11" t="s">
        <v>1735</v>
      </c>
      <c r="M42" s="11" t="s">
        <v>442</v>
      </c>
      <c r="N42" s="11" t="s">
        <v>1736</v>
      </c>
      <c r="O42" s="11" t="s">
        <v>444</v>
      </c>
      <c r="P42" s="11" t="s">
        <v>641</v>
      </c>
      <c r="Q42" s="11" t="s">
        <v>1723</v>
      </c>
      <c r="R42" s="11" t="s">
        <v>1737</v>
      </c>
      <c r="S42" s="11" t="s">
        <v>710</v>
      </c>
      <c r="T42" s="11"/>
      <c r="U42" s="29" t="s">
        <v>1738</v>
      </c>
    </row>
    <row r="43" spans="1:21" ht="96.6" hidden="1">
      <c r="A43" s="11" t="s">
        <v>1739</v>
      </c>
      <c r="B43" s="11" t="s">
        <v>25</v>
      </c>
      <c r="C43" s="11">
        <v>12</v>
      </c>
      <c r="D43" s="11" t="s">
        <v>913</v>
      </c>
      <c r="E43" s="11" t="s">
        <v>1478</v>
      </c>
      <c r="F43" s="11" t="s">
        <v>1740</v>
      </c>
      <c r="G43" s="11" t="s">
        <v>1741</v>
      </c>
      <c r="H43" s="11" t="s">
        <v>576</v>
      </c>
      <c r="I43" s="16">
        <v>0.75</v>
      </c>
      <c r="J43" s="11" t="inlineStr">
        <is>
          <t xml:space="preserve">W3-REVIEW-001</t>
        </is>
      </c>
      <c r="K43" s="11" t="s">
        <v>756</v>
      </c>
      <c r="L43" s="11" t="s">
        <v>1742</v>
      </c>
      <c r="M43" s="11" t="s">
        <v>1743</v>
      </c>
      <c r="N43" s="11" t="s">
        <v>1744</v>
      </c>
      <c r="O43" s="11" t="s">
        <v>1745</v>
      </c>
      <c r="P43" s="11" t="s">
        <v>668</v>
      </c>
      <c r="Q43" s="11" t="s">
        <v>1746</v>
      </c>
      <c r="R43" s="11" t="s">
        <v>1747</v>
      </c>
      <c r="S43" s="11" t="s">
        <v>710</v>
      </c>
      <c r="T43" s="11"/>
      <c r="U43" s="29" t="s">
        <v>1748</v>
      </c>
    </row>
    <row r="44" spans="1:21" ht="69" hidden="1">
      <c r="A44" s="11" t="s">
        <v>1749</v>
      </c>
      <c r="B44" s="11" t="s">
        <v>25</v>
      </c>
      <c r="C44" s="11">
        <v>13</v>
      </c>
      <c r="D44" s="11" t="s">
        <v>913</v>
      </c>
      <c r="E44" s="11" t="s">
        <v>1490</v>
      </c>
      <c r="F44" s="11" t="s">
        <v>1750</v>
      </c>
      <c r="G44" s="11" t="s">
        <v>1751</v>
      </c>
      <c r="H44" s="11" t="s">
        <v>1378</v>
      </c>
      <c r="I44" s="16">
        <v>1</v>
      </c>
      <c r="J44" s="11" t="s">
        <v>1493</v>
      </c>
      <c r="K44" s="11" t="s">
        <v>1372</v>
      </c>
      <c r="L44" s="11" t="s">
        <v>1752</v>
      </c>
      <c r="M44" s="11" t="s">
        <v>1495</v>
      </c>
      <c r="N44" s="11" t="s">
        <v>1496</v>
      </c>
      <c r="O44" s="11" t="s">
        <v>1753</v>
      </c>
      <c r="P44" s="11" t="s">
        <v>1754</v>
      </c>
      <c r="Q44" s="11" t="s">
        <v>1739</v>
      </c>
      <c r="R44" s="11" t="s">
        <v>1499</v>
      </c>
      <c r="S44" s="11" t="s">
        <v>710</v>
      </c>
      <c r="T44" s="11" t="s">
        <v>1755</v>
      </c>
      <c r="U44" s="29" t="s">
        <v>1756</v>
      </c>
    </row>
    <row r="45" spans="1:21" ht="110.4" hidden="1">
      <c r="A45" s="11" t="s">
        <v>1757</v>
      </c>
      <c r="B45" s="11" t="s">
        <v>26</v>
      </c>
      <c r="C45" s="11">
        <v>1</v>
      </c>
      <c r="D45" s="11" t="s">
        <v>913</v>
      </c>
      <c r="E45" s="11" t="s">
        <v>1758</v>
      </c>
      <c r="F45" s="11" t="s">
        <v>1759</v>
      </c>
      <c r="G45" s="11" t="s">
        <v>1760</v>
      </c>
      <c r="H45" s="11" t="s">
        <v>1388</v>
      </c>
      <c r="I45" s="16">
        <v>1.5</v>
      </c>
      <c r="J45" s="11" t="s">
        <v>267</v>
      </c>
      <c r="K45" s="11" t="s">
        <v>747</v>
      </c>
      <c r="L45" s="11" t="s">
        <v>1761</v>
      </c>
      <c r="M45" s="11" t="s">
        <v>447</v>
      </c>
      <c r="N45" s="11" t="s">
        <v>1762</v>
      </c>
      <c r="O45" s="11" t="s">
        <v>1763</v>
      </c>
      <c r="P45" s="11" t="s">
        <v>98</v>
      </c>
      <c r="Q45" s="11" t="s">
        <v>1749</v>
      </c>
      <c r="R45" s="11" t="s">
        <v>1764</v>
      </c>
      <c r="S45" s="11" t="s">
        <v>710</v>
      </c>
      <c r="T45" s="11"/>
      <c r="U45" s="29" t="s">
        <v>1765</v>
      </c>
    </row>
    <row r="46" spans="1:21" ht="110.4" hidden="1">
      <c r="A46" s="11" t="s">
        <v>1766</v>
      </c>
      <c r="B46" s="11" t="s">
        <v>26</v>
      </c>
      <c r="C46" s="11">
        <v>2</v>
      </c>
      <c r="D46" s="11" t="s">
        <v>913</v>
      </c>
      <c r="E46" s="11" t="s">
        <v>1572</v>
      </c>
      <c r="F46" s="11" t="s">
        <v>1767</v>
      </c>
      <c r="G46" s="11" t="s">
        <v>1768</v>
      </c>
      <c r="H46" s="11" t="s">
        <v>1388</v>
      </c>
      <c r="I46" s="16">
        <v>1</v>
      </c>
      <c r="J46" s="11" t="s">
        <v>267</v>
      </c>
      <c r="K46" s="11" t="s">
        <v>747</v>
      </c>
      <c r="L46" s="11" t="s">
        <v>1769</v>
      </c>
      <c r="M46" s="11" t="s">
        <v>1770</v>
      </c>
      <c r="N46" s="11" t="s">
        <v>1771</v>
      </c>
      <c r="O46" s="11" t="s">
        <v>1772</v>
      </c>
      <c r="P46" s="11" t="s">
        <v>105</v>
      </c>
      <c r="Q46" s="11" t="s">
        <v>1757</v>
      </c>
      <c r="R46" s="11" t="s">
        <v>1773</v>
      </c>
      <c r="S46" s="11" t="s">
        <v>710</v>
      </c>
      <c r="T46" s="11"/>
      <c r="U46" s="29" t="s">
        <v>1774</v>
      </c>
    </row>
    <row r="47" spans="1:21" ht="110.4" hidden="1">
      <c r="A47" s="11" t="s">
        <v>1775</v>
      </c>
      <c r="B47" s="11" t="s">
        <v>26</v>
      </c>
      <c r="C47" s="11">
        <v>3</v>
      </c>
      <c r="D47" s="11" t="s">
        <v>913</v>
      </c>
      <c r="E47" s="11" t="s">
        <v>1776</v>
      </c>
      <c r="F47" s="11" t="s">
        <v>1777</v>
      </c>
      <c r="G47" s="11" t="s">
        <v>1778</v>
      </c>
      <c r="H47" s="11" t="s">
        <v>1388</v>
      </c>
      <c r="I47" s="16">
        <v>1.25</v>
      </c>
      <c r="J47" s="11" t="s">
        <v>272</v>
      </c>
      <c r="K47" s="11" t="s">
        <v>756</v>
      </c>
      <c r="L47" s="11" t="s">
        <v>1779</v>
      </c>
      <c r="M47" s="11" t="s">
        <v>1780</v>
      </c>
      <c r="N47" s="11" t="s">
        <v>1781</v>
      </c>
      <c r="O47" s="11" t="s">
        <v>1782</v>
      </c>
      <c r="P47" s="11" t="s">
        <v>130</v>
      </c>
      <c r="Q47" s="11" t="s">
        <v>1766</v>
      </c>
      <c r="R47" s="11" t="s">
        <v>1783</v>
      </c>
      <c r="S47" s="11" t="s">
        <v>710</v>
      </c>
      <c r="T47" s="11"/>
      <c r="U47" s="29" t="s">
        <v>1784</v>
      </c>
    </row>
    <row r="48" spans="1:21" ht="96.6" hidden="1">
      <c r="A48" s="11" t="s">
        <v>1785</v>
      </c>
      <c r="B48" s="11" t="s">
        <v>26</v>
      </c>
      <c r="C48" s="11">
        <v>4</v>
      </c>
      <c r="D48" s="11" t="s">
        <v>913</v>
      </c>
      <c r="E48" s="11" t="s">
        <v>1786</v>
      </c>
      <c r="F48" s="11" t="s">
        <v>1787</v>
      </c>
      <c r="G48" s="11" t="s">
        <v>1788</v>
      </c>
      <c r="H48" s="11" t="s">
        <v>1388</v>
      </c>
      <c r="I48" s="16">
        <v>0.75</v>
      </c>
      <c r="J48" s="11" t="s">
        <v>272</v>
      </c>
      <c r="K48" s="11" t="s">
        <v>1372</v>
      </c>
      <c r="L48" s="11" t="s">
        <v>1789</v>
      </c>
      <c r="M48" s="11" t="s">
        <v>1790</v>
      </c>
      <c r="N48" s="11" t="s">
        <v>1791</v>
      </c>
      <c r="O48" s="11" t="s">
        <v>1792</v>
      </c>
      <c r="P48" s="11" t="s">
        <v>130</v>
      </c>
      <c r="Q48" s="11" t="s">
        <v>1775</v>
      </c>
      <c r="R48" s="11" t="s">
        <v>1793</v>
      </c>
      <c r="S48" s="11" t="s">
        <v>710</v>
      </c>
      <c r="T48" s="11"/>
      <c r="U48" s="29" t="s">
        <v>1794</v>
      </c>
    </row>
    <row r="49" spans="1:21" ht="96.6" hidden="1">
      <c r="A49" s="11" t="s">
        <v>1795</v>
      </c>
      <c r="B49" s="11" t="s">
        <v>26</v>
      </c>
      <c r="C49" s="11">
        <v>5</v>
      </c>
      <c r="D49" s="11" t="s">
        <v>913</v>
      </c>
      <c r="E49" s="11" t="s">
        <v>1796</v>
      </c>
      <c r="F49" s="11" t="s">
        <v>1797</v>
      </c>
      <c r="G49" s="11" t="s">
        <v>1798</v>
      </c>
      <c r="H49" s="11" t="s">
        <v>1388</v>
      </c>
      <c r="I49" s="16">
        <v>1.25</v>
      </c>
      <c r="J49" s="11" t="s">
        <v>272</v>
      </c>
      <c r="K49" s="11" t="s">
        <v>756</v>
      </c>
      <c r="L49" s="11" t="s">
        <v>1799</v>
      </c>
      <c r="M49" s="11" t="s">
        <v>452</v>
      </c>
      <c r="N49" s="11" t="s">
        <v>1800</v>
      </c>
      <c r="O49" s="11" t="s">
        <v>1801</v>
      </c>
      <c r="P49" s="11" t="s">
        <v>136</v>
      </c>
      <c r="Q49" s="11" t="s">
        <v>1802</v>
      </c>
      <c r="R49" s="11" t="s">
        <v>1803</v>
      </c>
      <c r="S49" s="11" t="s">
        <v>710</v>
      </c>
      <c r="T49" s="11"/>
      <c r="U49" s="29" t="s">
        <v>1804</v>
      </c>
    </row>
    <row r="50" spans="1:21" ht="110.4" hidden="1">
      <c r="A50" s="11" t="s">
        <v>1805</v>
      </c>
      <c r="B50" s="11" t="s">
        <v>26</v>
      </c>
      <c r="C50" s="11">
        <v>6</v>
      </c>
      <c r="D50" s="11" t="s">
        <v>913</v>
      </c>
      <c r="E50" s="11" t="s">
        <v>1806</v>
      </c>
      <c r="F50" s="11" t="s">
        <v>1807</v>
      </c>
      <c r="G50" s="11" t="s">
        <v>1808</v>
      </c>
      <c r="H50" s="11" t="s">
        <v>1388</v>
      </c>
      <c r="I50" s="16">
        <v>1</v>
      </c>
      <c r="J50" s="11" t="s">
        <v>272</v>
      </c>
      <c r="K50" s="11" t="s">
        <v>767</v>
      </c>
      <c r="L50" s="11" t="s">
        <v>1809</v>
      </c>
      <c r="M50" s="11" t="s">
        <v>1810</v>
      </c>
      <c r="N50" s="11" t="s">
        <v>1811</v>
      </c>
      <c r="O50" s="11" t="s">
        <v>1812</v>
      </c>
      <c r="P50" s="11" t="s">
        <v>130</v>
      </c>
      <c r="Q50" s="11" t="s">
        <v>1775</v>
      </c>
      <c r="R50" s="11" t="s">
        <v>1813</v>
      </c>
      <c r="S50" s="11" t="s">
        <v>710</v>
      </c>
      <c r="T50" s="11"/>
      <c r="U50" s="29" t="s">
        <v>1814</v>
      </c>
    </row>
    <row r="51" spans="1:21" ht="96.6" hidden="1">
      <c r="A51" s="11" t="s">
        <v>1815</v>
      </c>
      <c r="B51" s="11" t="s">
        <v>26</v>
      </c>
      <c r="C51" s="11">
        <v>7</v>
      </c>
      <c r="D51" s="11" t="s">
        <v>913</v>
      </c>
      <c r="E51" s="11" t="s">
        <v>1816</v>
      </c>
      <c r="F51" s="11" t="s">
        <v>1817</v>
      </c>
      <c r="G51" s="11" t="s">
        <v>1818</v>
      </c>
      <c r="H51" s="11" t="s">
        <v>1388</v>
      </c>
      <c r="I51" s="16">
        <v>0.75</v>
      </c>
      <c r="J51" s="11" t="s">
        <v>272</v>
      </c>
      <c r="K51" s="11" t="s">
        <v>774</v>
      </c>
      <c r="L51" s="11" t="s">
        <v>1819</v>
      </c>
      <c r="M51" s="11" t="s">
        <v>1820</v>
      </c>
      <c r="N51" s="11" t="s">
        <v>1821</v>
      </c>
      <c r="O51" s="11" t="s">
        <v>1822</v>
      </c>
      <c r="P51" s="11" t="s">
        <v>105</v>
      </c>
      <c r="Q51" s="11" t="s">
        <v>1795</v>
      </c>
      <c r="R51" s="11" t="s">
        <v>1823</v>
      </c>
      <c r="S51" s="11" t="s">
        <v>710</v>
      </c>
      <c r="T51" s="11"/>
      <c r="U51" s="29" t="s">
        <v>1824</v>
      </c>
    </row>
    <row r="52" spans="1:21" ht="110.4" hidden="1">
      <c r="A52" s="11" t="s">
        <v>1825</v>
      </c>
      <c r="B52" s="11" t="s">
        <v>26</v>
      </c>
      <c r="C52" s="11">
        <v>8</v>
      </c>
      <c r="D52" s="11" t="s">
        <v>913</v>
      </c>
      <c r="E52" s="11" t="s">
        <v>461</v>
      </c>
      <c r="F52" s="11" t="s">
        <v>1826</v>
      </c>
      <c r="G52" s="11" t="s">
        <v>1827</v>
      </c>
      <c r="H52" s="11" t="s">
        <v>1388</v>
      </c>
      <c r="I52" s="16">
        <v>1</v>
      </c>
      <c r="J52" s="11" t="s">
        <v>277</v>
      </c>
      <c r="K52" s="11" t="s">
        <v>760</v>
      </c>
      <c r="L52" s="11" t="s">
        <v>1828</v>
      </c>
      <c r="M52" s="11" t="s">
        <v>1829</v>
      </c>
      <c r="N52" s="11" t="s">
        <v>1830</v>
      </c>
      <c r="O52" s="11" t="s">
        <v>1831</v>
      </c>
      <c r="P52" s="11" t="s">
        <v>166</v>
      </c>
      <c r="Q52" s="11" t="s">
        <v>1832</v>
      </c>
      <c r="R52" s="11" t="s">
        <v>1833</v>
      </c>
      <c r="S52" s="11" t="s">
        <v>710</v>
      </c>
      <c r="T52" s="11"/>
      <c r="U52" s="29" t="s">
        <v>1834</v>
      </c>
    </row>
    <row r="53" spans="1:21" ht="110.4" hidden="1">
      <c r="A53" s="11" t="s">
        <v>1835</v>
      </c>
      <c r="B53" s="11" t="s">
        <v>26</v>
      </c>
      <c r="C53" s="11">
        <v>9</v>
      </c>
      <c r="D53" s="11" t="s">
        <v>913</v>
      </c>
      <c r="E53" s="11" t="s">
        <v>1836</v>
      </c>
      <c r="F53" s="11" t="s">
        <v>1837</v>
      </c>
      <c r="G53" s="11" t="s">
        <v>1838</v>
      </c>
      <c r="H53" s="11" t="s">
        <v>1388</v>
      </c>
      <c r="I53" s="16">
        <v>1</v>
      </c>
      <c r="J53" s="11" t="s">
        <v>272</v>
      </c>
      <c r="K53" s="11" t="s">
        <v>1372</v>
      </c>
      <c r="L53" s="11" t="s">
        <v>1839</v>
      </c>
      <c r="M53" s="11" t="s">
        <v>1840</v>
      </c>
      <c r="N53" s="11" t="s">
        <v>1841</v>
      </c>
      <c r="O53" s="11" t="s">
        <v>1842</v>
      </c>
      <c r="P53" s="11" t="s">
        <v>1843</v>
      </c>
      <c r="Q53" s="11" t="s">
        <v>1844</v>
      </c>
      <c r="R53" s="11" t="s">
        <v>1845</v>
      </c>
      <c r="S53" s="11" t="s">
        <v>710</v>
      </c>
      <c r="T53" s="11"/>
      <c r="U53" s="29" t="s">
        <v>1846</v>
      </c>
    </row>
    <row r="54" spans="1:21" ht="110.4" hidden="1">
      <c r="A54" s="11" t="s">
        <v>1847</v>
      </c>
      <c r="B54" s="11" t="s">
        <v>26</v>
      </c>
      <c r="C54" s="11">
        <v>10</v>
      </c>
      <c r="D54" s="11" t="s">
        <v>953</v>
      </c>
      <c r="E54" s="11" t="s">
        <v>1848</v>
      </c>
      <c r="F54" s="11" t="s">
        <v>1849</v>
      </c>
      <c r="G54" s="11" t="s">
        <v>1850</v>
      </c>
      <c r="H54" s="11" t="s">
        <v>1388</v>
      </c>
      <c r="I54" s="16">
        <v>0.75</v>
      </c>
      <c r="J54" s="11" t="s">
        <v>267</v>
      </c>
      <c r="K54" s="11" t="s">
        <v>767</v>
      </c>
      <c r="L54" s="11" t="s">
        <v>1851</v>
      </c>
      <c r="M54" s="11" t="s">
        <v>1852</v>
      </c>
      <c r="N54" s="11" t="s">
        <v>1853</v>
      </c>
      <c r="O54" s="11" t="s">
        <v>1854</v>
      </c>
      <c r="P54" s="11" t="s">
        <v>1855</v>
      </c>
      <c r="Q54" s="11" t="s">
        <v>1856</v>
      </c>
      <c r="R54" s="11" t="s">
        <v>1857</v>
      </c>
      <c r="S54" s="11" t="s">
        <v>710</v>
      </c>
      <c r="T54" s="11"/>
      <c r="U54" s="29" t="s">
        <v>1858</v>
      </c>
    </row>
    <row r="55" spans="1:21" ht="110.4" hidden="1">
      <c r="A55" s="11" t="s">
        <v>286</v>
      </c>
      <c r="B55" s="11" t="s">
        <v>26</v>
      </c>
      <c r="C55" s="11">
        <v>11</v>
      </c>
      <c r="D55" s="11" t="s">
        <v>913</v>
      </c>
      <c r="E55" s="11" t="s">
        <v>802</v>
      </c>
      <c r="F55" s="11" t="s">
        <v>1859</v>
      </c>
      <c r="G55" s="11" t="s">
        <v>1860</v>
      </c>
      <c r="H55" s="11" t="s">
        <v>1378</v>
      </c>
      <c r="I55" s="16">
        <v>1</v>
      </c>
      <c r="J55" s="11" t="s">
        <v>282</v>
      </c>
      <c r="K55" s="11" t="s">
        <v>1372</v>
      </c>
      <c r="L55" s="11" t="s">
        <v>1861</v>
      </c>
      <c r="M55" s="11" t="s">
        <v>468</v>
      </c>
      <c r="N55" s="11" t="s">
        <v>1862</v>
      </c>
      <c r="O55" s="11" t="s">
        <v>470</v>
      </c>
      <c r="P55" s="11" t="s">
        <v>641</v>
      </c>
      <c r="Q55" s="11" t="s">
        <v>1863</v>
      </c>
      <c r="R55" s="11" t="s">
        <v>1864</v>
      </c>
      <c r="S55" s="11" t="s">
        <v>710</v>
      </c>
      <c r="T55" s="11"/>
      <c r="U55" s="29" t="s">
        <v>1865</v>
      </c>
    </row>
    <row r="56" spans="1:21" ht="96.6" hidden="1">
      <c r="A56" s="11" t="s">
        <v>1866</v>
      </c>
      <c r="B56" s="11" t="s">
        <v>26</v>
      </c>
      <c r="C56" s="11">
        <v>12</v>
      </c>
      <c r="D56" s="11" t="s">
        <v>913</v>
      </c>
      <c r="E56" s="11" t="s">
        <v>1478</v>
      </c>
      <c r="F56" s="11" t="s">
        <v>1867</v>
      </c>
      <c r="G56" s="11" t="s">
        <v>1868</v>
      </c>
      <c r="H56" s="11" t="s">
        <v>576</v>
      </c>
      <c r="I56" s="16">
        <v>0.75</v>
      </c>
      <c r="J56" s="11" t="inlineStr">
        <is>
          <t xml:space="preserve">W4-REVIEW-001</t>
        </is>
      </c>
      <c r="K56" s="11" t="s">
        <v>1869</v>
      </c>
      <c r="L56" s="11" t="s">
        <v>1870</v>
      </c>
      <c r="M56" s="11" t="s">
        <v>1871</v>
      </c>
      <c r="N56" s="11" t="s">
        <v>1872</v>
      </c>
      <c r="O56" s="11" t="s">
        <v>1873</v>
      </c>
      <c r="P56" s="11" t="s">
        <v>668</v>
      </c>
      <c r="Q56" s="11" t="s">
        <v>1874</v>
      </c>
      <c r="R56" s="11" t="s">
        <v>1875</v>
      </c>
      <c r="S56" s="11" t="s">
        <v>710</v>
      </c>
      <c r="T56" s="11"/>
      <c r="U56" s="29" t="s">
        <v>1876</v>
      </c>
    </row>
    <row r="57" spans="1:21" ht="69" hidden="1">
      <c r="A57" s="11" t="s">
        <v>1877</v>
      </c>
      <c r="B57" s="11" t="s">
        <v>26</v>
      </c>
      <c r="C57" s="11">
        <v>13</v>
      </c>
      <c r="D57" s="11" t="s">
        <v>913</v>
      </c>
      <c r="E57" s="11" t="s">
        <v>1490</v>
      </c>
      <c r="F57" s="11" t="s">
        <v>1878</v>
      </c>
      <c r="G57" s="11" t="s">
        <v>1879</v>
      </c>
      <c r="H57" s="11" t="s">
        <v>1378</v>
      </c>
      <c r="I57" s="16">
        <v>1</v>
      </c>
      <c r="J57" s="11" t="s">
        <v>1493</v>
      </c>
      <c r="K57" s="11" t="s">
        <v>1372</v>
      </c>
      <c r="L57" s="11" t="s">
        <v>1880</v>
      </c>
      <c r="M57" s="11" t="s">
        <v>1495</v>
      </c>
      <c r="N57" s="11" t="s">
        <v>1496</v>
      </c>
      <c r="O57" s="11" t="s">
        <v>1881</v>
      </c>
      <c r="P57" s="11" t="s">
        <v>1882</v>
      </c>
      <c r="Q57" s="11" t="s">
        <v>1866</v>
      </c>
      <c r="R57" s="11" t="s">
        <v>1499</v>
      </c>
      <c r="S57" s="11" t="s">
        <v>710</v>
      </c>
      <c r="T57" s="11" t="s">
        <v>1883</v>
      </c>
      <c r="U57" s="29" t="s">
        <v>1884</v>
      </c>
    </row>
    <row r="58" spans="1:21" ht="96.6" hidden="1">
      <c r="A58" s="11" t="s">
        <v>291</v>
      </c>
      <c r="B58" s="11" t="s">
        <v>27</v>
      </c>
      <c r="C58" s="11">
        <v>1</v>
      </c>
      <c r="D58" s="11" t="s">
        <v>913</v>
      </c>
      <c r="E58" s="11" t="s">
        <v>1885</v>
      </c>
      <c r="F58" s="11" t="s">
        <v>1886</v>
      </c>
      <c r="G58" s="11" t="s">
        <v>1887</v>
      </c>
      <c r="H58" s="11" t="s">
        <v>576</v>
      </c>
      <c r="I58" s="16">
        <v>1</v>
      </c>
      <c r="J58" s="11" t="s">
        <v>287</v>
      </c>
      <c r="K58" s="11" t="s">
        <v>1888</v>
      </c>
      <c r="L58" s="11" t="s">
        <v>1889</v>
      </c>
      <c r="M58" s="11" t="s">
        <v>1890</v>
      </c>
      <c r="N58" s="11" t="s">
        <v>1891</v>
      </c>
      <c r="O58" s="11" t="s">
        <v>1892</v>
      </c>
      <c r="P58" s="11" t="s">
        <v>1433</v>
      </c>
      <c r="Q58" s="11" t="s">
        <v>1877</v>
      </c>
      <c r="R58" s="11" t="s">
        <v>1893</v>
      </c>
      <c r="S58" s="11" t="s">
        <v>710</v>
      </c>
      <c r="T58" s="11"/>
      <c r="U58" s="29" t="s">
        <v>1894</v>
      </c>
    </row>
    <row r="59" spans="1:21" ht="110.4" hidden="1">
      <c r="A59" s="11" t="s">
        <v>1895</v>
      </c>
      <c r="B59" s="11" t="s">
        <v>27</v>
      </c>
      <c r="C59" s="11">
        <v>2</v>
      </c>
      <c r="D59" s="11" t="s">
        <v>913</v>
      </c>
      <c r="E59" s="11" t="s">
        <v>1896</v>
      </c>
      <c r="F59" s="11" t="s">
        <v>1897</v>
      </c>
      <c r="G59" s="11" t="s">
        <v>1898</v>
      </c>
      <c r="H59" s="11" t="s">
        <v>1388</v>
      </c>
      <c r="I59" s="16">
        <v>1.25</v>
      </c>
      <c r="J59" s="11" t="s">
        <v>292</v>
      </c>
      <c r="K59" s="11" t="s">
        <v>1447</v>
      </c>
      <c r="L59" s="11" t="s">
        <v>1899</v>
      </c>
      <c r="M59" s="11" t="s">
        <v>1900</v>
      </c>
      <c r="N59" s="11" t="s">
        <v>1901</v>
      </c>
      <c r="O59" s="11" t="s">
        <v>1902</v>
      </c>
      <c r="P59" s="11" t="s">
        <v>620</v>
      </c>
      <c r="Q59" s="11" t="s">
        <v>291</v>
      </c>
      <c r="R59" s="11" t="s">
        <v>1903</v>
      </c>
      <c r="S59" s="11" t="s">
        <v>710</v>
      </c>
      <c r="T59" s="11"/>
      <c r="U59" s="29" t="s">
        <v>1904</v>
      </c>
    </row>
    <row r="60" spans="1:21" ht="110.4" hidden="1">
      <c r="A60" s="11" t="s">
        <v>1905</v>
      </c>
      <c r="B60" s="11" t="s">
        <v>27</v>
      </c>
      <c r="C60" s="11">
        <v>3</v>
      </c>
      <c r="D60" s="11" t="s">
        <v>913</v>
      </c>
      <c r="E60" s="11" t="s">
        <v>1906</v>
      </c>
      <c r="F60" s="11" t="s">
        <v>1907</v>
      </c>
      <c r="G60" s="11" t="s">
        <v>1908</v>
      </c>
      <c r="H60" s="11" t="s">
        <v>1388</v>
      </c>
      <c r="I60" s="16">
        <v>1.25</v>
      </c>
      <c r="J60" s="11" t="s">
        <v>292</v>
      </c>
      <c r="K60" s="11" t="s">
        <v>1909</v>
      </c>
      <c r="L60" s="11" t="s">
        <v>1910</v>
      </c>
      <c r="M60" s="11" t="s">
        <v>1911</v>
      </c>
      <c r="N60" s="11" t="s">
        <v>1912</v>
      </c>
      <c r="O60" s="11" t="s">
        <v>1913</v>
      </c>
      <c r="P60" s="11" t="s">
        <v>1914</v>
      </c>
      <c r="Q60" s="11" t="s">
        <v>1915</v>
      </c>
      <c r="R60" s="11" t="s">
        <v>1916</v>
      </c>
      <c r="S60" s="11" t="s">
        <v>710</v>
      </c>
      <c r="T60" s="11"/>
      <c r="U60" s="29" t="s">
        <v>1917</v>
      </c>
    </row>
    <row r="61" spans="1:21" ht="96.6" hidden="1">
      <c r="A61" s="11" t="s">
        <v>1918</v>
      </c>
      <c r="B61" s="11" t="s">
        <v>27</v>
      </c>
      <c r="C61" s="11">
        <v>4</v>
      </c>
      <c r="D61" s="11" t="s">
        <v>913</v>
      </c>
      <c r="E61" s="11" t="s">
        <v>1919</v>
      </c>
      <c r="F61" s="11" t="s">
        <v>1920</v>
      </c>
      <c r="G61" s="11" t="s">
        <v>1921</v>
      </c>
      <c r="H61" s="11" t="s">
        <v>1388</v>
      </c>
      <c r="I61" s="16">
        <v>1.25</v>
      </c>
      <c r="J61" s="11" t="s">
        <v>292</v>
      </c>
      <c r="K61" s="11" t="s">
        <v>1922</v>
      </c>
      <c r="L61" s="11" t="s">
        <v>1923</v>
      </c>
      <c r="M61" s="11" t="s">
        <v>1924</v>
      </c>
      <c r="N61" s="11" t="s">
        <v>1925</v>
      </c>
      <c r="O61" s="11" t="s">
        <v>1926</v>
      </c>
      <c r="P61" s="11" t="s">
        <v>1927</v>
      </c>
      <c r="Q61" s="11" t="s">
        <v>291</v>
      </c>
      <c r="R61" s="11" t="s">
        <v>1928</v>
      </c>
      <c r="S61" s="11" t="s">
        <v>710</v>
      </c>
      <c r="T61" s="11"/>
      <c r="U61" s="29" t="s">
        <v>1929</v>
      </c>
    </row>
    <row r="62" spans="1:21" ht="110.4" hidden="1">
      <c r="A62" s="11" t="s">
        <v>1930</v>
      </c>
      <c r="B62" s="11" t="s">
        <v>27</v>
      </c>
      <c r="C62" s="11">
        <v>5</v>
      </c>
      <c r="D62" s="11" t="s">
        <v>913</v>
      </c>
      <c r="E62" s="11" t="s">
        <v>1931</v>
      </c>
      <c r="F62" s="11" t="s">
        <v>1932</v>
      </c>
      <c r="G62" s="11" t="s">
        <v>1933</v>
      </c>
      <c r="H62" s="11" t="s">
        <v>1388</v>
      </c>
      <c r="I62" s="16">
        <v>1.5</v>
      </c>
      <c r="J62" s="11" t="s">
        <v>292</v>
      </c>
      <c r="K62" s="11" t="s">
        <v>1934</v>
      </c>
      <c r="L62" s="11" t="s">
        <v>1935</v>
      </c>
      <c r="M62" s="11" t="s">
        <v>1936</v>
      </c>
      <c r="N62" s="11" t="s">
        <v>1937</v>
      </c>
      <c r="O62" s="11" t="s">
        <v>1938</v>
      </c>
      <c r="P62" s="11" t="s">
        <v>1939</v>
      </c>
      <c r="Q62" s="11" t="s">
        <v>1940</v>
      </c>
      <c r="R62" s="11" t="s">
        <v>1941</v>
      </c>
      <c r="S62" s="11" t="s">
        <v>710</v>
      </c>
      <c r="T62" s="11"/>
      <c r="U62" s="29" t="s">
        <v>1942</v>
      </c>
    </row>
    <row r="63" spans="1:21" ht="110.4" hidden="1">
      <c r="A63" s="11" t="s">
        <v>306</v>
      </c>
      <c r="B63" s="11" t="s">
        <v>27</v>
      </c>
      <c r="C63" s="11">
        <v>6</v>
      </c>
      <c r="D63" s="11" t="s">
        <v>913</v>
      </c>
      <c r="E63" s="11" t="s">
        <v>1943</v>
      </c>
      <c r="F63" s="11" t="s">
        <v>1944</v>
      </c>
      <c r="G63" s="11" t="s">
        <v>1945</v>
      </c>
      <c r="H63" s="11" t="s">
        <v>1388</v>
      </c>
      <c r="I63" s="16">
        <v>1</v>
      </c>
      <c r="J63" s="11" t="s">
        <v>302</v>
      </c>
      <c r="K63" s="11" t="s">
        <v>1946</v>
      </c>
      <c r="L63" s="11" t="s">
        <v>1947</v>
      </c>
      <c r="M63" s="11" t="s">
        <v>1948</v>
      </c>
      <c r="N63" s="11" t="s">
        <v>1949</v>
      </c>
      <c r="O63" s="11" t="s">
        <v>1950</v>
      </c>
      <c r="P63" s="11" t="s">
        <v>1951</v>
      </c>
      <c r="Q63" s="11" t="s">
        <v>1952</v>
      </c>
      <c r="R63" s="11" t="s">
        <v>1953</v>
      </c>
      <c r="S63" s="11" t="s">
        <v>710</v>
      </c>
      <c r="T63" s="11"/>
      <c r="U63" s="29" t="s">
        <v>1954</v>
      </c>
    </row>
    <row r="64" spans="1:21" ht="110.4" hidden="1">
      <c r="A64" s="11" t="s">
        <v>1955</v>
      </c>
      <c r="B64" s="11" t="s">
        <v>27</v>
      </c>
      <c r="C64" s="11">
        <v>7</v>
      </c>
      <c r="D64" s="11" t="s">
        <v>913</v>
      </c>
      <c r="E64" s="11" t="s">
        <v>738</v>
      </c>
      <c r="F64" s="11" t="s">
        <v>1956</v>
      </c>
      <c r="G64" s="11" t="s">
        <v>1957</v>
      </c>
      <c r="H64" s="11" t="s">
        <v>1388</v>
      </c>
      <c r="I64" s="16">
        <v>1.5</v>
      </c>
      <c r="J64" s="11" t="s">
        <v>297</v>
      </c>
      <c r="K64" s="11" t="s">
        <v>737</v>
      </c>
      <c r="L64" s="11" t="s">
        <v>1958</v>
      </c>
      <c r="M64" s="11" t="s">
        <v>1959</v>
      </c>
      <c r="N64" s="11" t="s">
        <v>1960</v>
      </c>
      <c r="O64" s="11" t="s">
        <v>1961</v>
      </c>
      <c r="P64" s="11" t="s">
        <v>1433</v>
      </c>
      <c r="Q64" s="11" t="s">
        <v>1962</v>
      </c>
      <c r="R64" s="11" t="s">
        <v>1963</v>
      </c>
      <c r="S64" s="11" t="s">
        <v>710</v>
      </c>
      <c r="T64" s="11"/>
      <c r="U64" s="29" t="s">
        <v>1964</v>
      </c>
    </row>
    <row r="65" spans="1:21" ht="110.4" hidden="1">
      <c r="A65" s="11" t="s">
        <v>1965</v>
      </c>
      <c r="B65" s="11" t="s">
        <v>27</v>
      </c>
      <c r="C65" s="11">
        <v>8</v>
      </c>
      <c r="D65" s="11" t="s">
        <v>913</v>
      </c>
      <c r="E65" s="11" t="s">
        <v>489</v>
      </c>
      <c r="F65" s="11" t="s">
        <v>1966</v>
      </c>
      <c r="G65" s="11" t="s">
        <v>1967</v>
      </c>
      <c r="H65" s="11" t="s">
        <v>1388</v>
      </c>
      <c r="I65" s="16">
        <v>1</v>
      </c>
      <c r="J65" s="11" t="s">
        <v>297</v>
      </c>
      <c r="K65" s="11" t="s">
        <v>1372</v>
      </c>
      <c r="L65" s="11" t="s">
        <v>1968</v>
      </c>
      <c r="M65" s="11" t="s">
        <v>1969</v>
      </c>
      <c r="N65" s="11" t="s">
        <v>1970</v>
      </c>
      <c r="O65" s="11" t="s">
        <v>1971</v>
      </c>
      <c r="P65" s="11" t="s">
        <v>675</v>
      </c>
      <c r="Q65" s="11" t="s">
        <v>1955</v>
      </c>
      <c r="R65" s="11" t="s">
        <v>1972</v>
      </c>
      <c r="S65" s="11" t="s">
        <v>710</v>
      </c>
      <c r="T65" s="11"/>
      <c r="U65" s="29" t="s">
        <v>1973</v>
      </c>
    </row>
    <row r="66" spans="1:21" ht="110.4" hidden="1">
      <c r="A66" s="11" t="s">
        <v>1974</v>
      </c>
      <c r="B66" s="11" t="s">
        <v>27</v>
      </c>
      <c r="C66" s="11">
        <v>9</v>
      </c>
      <c r="D66" s="11" t="s">
        <v>913</v>
      </c>
      <c r="E66" s="11" t="s">
        <v>1975</v>
      </c>
      <c r="F66" s="11" t="s">
        <v>1976</v>
      </c>
      <c r="G66" s="11" t="s">
        <v>1977</v>
      </c>
      <c r="H66" s="11" t="s">
        <v>1378</v>
      </c>
      <c r="I66" s="16">
        <v>1</v>
      </c>
      <c r="J66" s="11" t="s">
        <v>307</v>
      </c>
      <c r="K66" s="11" t="s">
        <v>767</v>
      </c>
      <c r="L66" s="11" t="s">
        <v>1978</v>
      </c>
      <c r="M66" s="11" t="s">
        <v>485</v>
      </c>
      <c r="N66" s="11" t="s">
        <v>1979</v>
      </c>
      <c r="O66" s="11" t="s">
        <v>487</v>
      </c>
      <c r="P66" s="11" t="s">
        <v>1433</v>
      </c>
      <c r="Q66" s="11" t="s">
        <v>1980</v>
      </c>
      <c r="R66" s="11" t="s">
        <v>1981</v>
      </c>
      <c r="S66" s="11" t="s">
        <v>710</v>
      </c>
      <c r="T66" s="11"/>
      <c r="U66" s="29" t="s">
        <v>1982</v>
      </c>
    </row>
    <row r="67" spans="1:21" ht="124.2" hidden="1">
      <c r="A67" s="11" t="s">
        <v>1983</v>
      </c>
      <c r="B67" s="11" t="s">
        <v>27</v>
      </c>
      <c r="C67" s="11">
        <v>10</v>
      </c>
      <c r="D67" s="11" t="s">
        <v>913</v>
      </c>
      <c r="E67" s="11" t="s">
        <v>1984</v>
      </c>
      <c r="F67" s="11" t="s">
        <v>1985</v>
      </c>
      <c r="G67" s="11" t="s">
        <v>1986</v>
      </c>
      <c r="H67" s="11" t="s">
        <v>576</v>
      </c>
      <c r="I67" s="16">
        <v>1.5</v>
      </c>
      <c r="J67" s="11" t="s">
        <v>307</v>
      </c>
      <c r="K67" s="11" t="s">
        <v>780</v>
      </c>
      <c r="L67" s="11" t="s">
        <v>1987</v>
      </c>
      <c r="M67" s="11" t="s">
        <v>1988</v>
      </c>
      <c r="N67" s="11" t="s">
        <v>1989</v>
      </c>
      <c r="O67" s="11" t="s">
        <v>1990</v>
      </c>
      <c r="P67" s="11" t="s">
        <v>641</v>
      </c>
      <c r="Q67" s="11" t="s">
        <v>1974</v>
      </c>
      <c r="R67" s="11" t="s">
        <v>1991</v>
      </c>
      <c r="S67" s="11" t="s">
        <v>710</v>
      </c>
      <c r="T67" s="11"/>
      <c r="U67" s="29" t="s">
        <v>1992</v>
      </c>
    </row>
    <row r="68" spans="1:21" ht="110.4" hidden="1">
      <c r="A68" s="11" t="s">
        <v>1993</v>
      </c>
      <c r="B68" s="11" t="s">
        <v>27</v>
      </c>
      <c r="C68" s="11">
        <v>11</v>
      </c>
      <c r="D68" s="11" t="s">
        <v>913</v>
      </c>
      <c r="E68" s="11" t="s">
        <v>1994</v>
      </c>
      <c r="F68" s="11" t="s">
        <v>1995</v>
      </c>
      <c r="G68" s="11" t="s">
        <v>1996</v>
      </c>
      <c r="H68" s="11" t="s">
        <v>1378</v>
      </c>
      <c r="I68" s="16">
        <v>0.75</v>
      </c>
      <c r="J68" s="11" t="s">
        <v>307</v>
      </c>
      <c r="K68" s="11" t="s">
        <v>780</v>
      </c>
      <c r="L68" s="11" t="s">
        <v>1997</v>
      </c>
      <c r="M68" s="11" t="s">
        <v>1998</v>
      </c>
      <c r="N68" s="11" t="s">
        <v>1999</v>
      </c>
      <c r="O68" s="11" t="s">
        <v>2000</v>
      </c>
      <c r="P68" s="11" t="s">
        <v>2001</v>
      </c>
      <c r="Q68" s="11" t="s">
        <v>1983</v>
      </c>
      <c r="R68" s="11" t="s">
        <v>2002</v>
      </c>
      <c r="S68" s="11" t="s">
        <v>710</v>
      </c>
      <c r="T68" s="11"/>
      <c r="U68" s="29" t="s">
        <v>2003</v>
      </c>
    </row>
    <row r="69" spans="1:21" ht="110.4" hidden="1">
      <c r="A69" s="11" t="s">
        <v>2004</v>
      </c>
      <c r="B69" s="11" t="s">
        <v>27</v>
      </c>
      <c r="C69" s="11">
        <v>12</v>
      </c>
      <c r="D69" s="11" t="s">
        <v>913</v>
      </c>
      <c r="E69" s="11" t="s">
        <v>2005</v>
      </c>
      <c r="F69" s="11" t="s">
        <v>2006</v>
      </c>
      <c r="G69" s="11" t="s">
        <v>2007</v>
      </c>
      <c r="H69" s="11" t="s">
        <v>1378</v>
      </c>
      <c r="I69" s="16">
        <v>1</v>
      </c>
      <c r="J69" s="11" t="s">
        <v>307</v>
      </c>
      <c r="K69" s="11" t="s">
        <v>1471</v>
      </c>
      <c r="L69" s="11" t="s">
        <v>2008</v>
      </c>
      <c r="M69" s="11" t="s">
        <v>2009</v>
      </c>
      <c r="N69" s="11" t="s">
        <v>2010</v>
      </c>
      <c r="O69" s="11" t="s">
        <v>504</v>
      </c>
      <c r="P69" s="11" t="s">
        <v>1474</v>
      </c>
      <c r="Q69" s="11" t="s">
        <v>1993</v>
      </c>
      <c r="R69" s="11" t="s">
        <v>2011</v>
      </c>
      <c r="S69" s="11" t="s">
        <v>710</v>
      </c>
      <c r="T69" s="11"/>
      <c r="U69" s="29" t="s">
        <v>2012</v>
      </c>
    </row>
    <row r="70" spans="1:21" ht="96.6" hidden="1">
      <c r="A70" s="11" t="s">
        <v>2013</v>
      </c>
      <c r="B70" s="11" t="s">
        <v>27</v>
      </c>
      <c r="C70" s="11">
        <v>13</v>
      </c>
      <c r="D70" s="11" t="s">
        <v>913</v>
      </c>
      <c r="E70" s="11" t="s">
        <v>1478</v>
      </c>
      <c r="F70" s="11" t="s">
        <v>2014</v>
      </c>
      <c r="G70" s="11" t="s">
        <v>2015</v>
      </c>
      <c r="H70" s="11" t="s">
        <v>576</v>
      </c>
      <c r="I70" s="16">
        <v>0.75</v>
      </c>
      <c r="J70" s="11" t="inlineStr">
        <is>
          <t xml:space="preserve">W5-REVIEW-001</t>
        </is>
      </c>
      <c r="K70" s="11" t="s">
        <v>2016</v>
      </c>
      <c r="L70" s="11" t="s">
        <v>2017</v>
      </c>
      <c r="M70" s="11" t="s">
        <v>2018</v>
      </c>
      <c r="N70" s="11" t="s">
        <v>2019</v>
      </c>
      <c r="O70" s="11" t="s">
        <v>2020</v>
      </c>
      <c r="P70" s="11" t="s">
        <v>668</v>
      </c>
      <c r="Q70" s="11" t="s">
        <v>2021</v>
      </c>
      <c r="R70" s="11" t="s">
        <v>2022</v>
      </c>
      <c r="S70" s="11" t="s">
        <v>710</v>
      </c>
      <c r="T70" s="11"/>
      <c r="U70" s="29" t="s">
        <v>2023</v>
      </c>
    </row>
    <row r="71" spans="1:21" ht="69" hidden="1">
      <c r="A71" s="11" t="s">
        <v>2024</v>
      </c>
      <c r="B71" s="11" t="s">
        <v>27</v>
      </c>
      <c r="C71" s="11">
        <v>14</v>
      </c>
      <c r="D71" s="11" t="s">
        <v>913</v>
      </c>
      <c r="E71" s="11" t="s">
        <v>1490</v>
      </c>
      <c r="F71" s="11" t="s">
        <v>2025</v>
      </c>
      <c r="G71" s="11" t="s">
        <v>2026</v>
      </c>
      <c r="H71" s="11" t="s">
        <v>1378</v>
      </c>
      <c r="I71" s="16">
        <v>1</v>
      </c>
      <c r="J71" s="11" t="s">
        <v>1493</v>
      </c>
      <c r="K71" s="11" t="s">
        <v>1372</v>
      </c>
      <c r="L71" s="11" t="s">
        <v>2027</v>
      </c>
      <c r="M71" s="11" t="s">
        <v>1495</v>
      </c>
      <c r="N71" s="11" t="s">
        <v>1496</v>
      </c>
      <c r="O71" s="11" t="s">
        <v>2028</v>
      </c>
      <c r="P71" s="11" t="s">
        <v>2029</v>
      </c>
      <c r="Q71" s="11" t="s">
        <v>2013</v>
      </c>
      <c r="R71" s="11" t="s">
        <v>1499</v>
      </c>
      <c r="S71" s="11" t="s">
        <v>710</v>
      </c>
      <c r="T71" s="11" t="s">
        <v>2030</v>
      </c>
      <c r="U71" s="29" t="s">
        <v>2031</v>
      </c>
    </row>
    <row r="72" spans="1:21" ht="110.4" hidden="1">
      <c r="A72" s="11" t="s">
        <v>2032</v>
      </c>
      <c r="B72" s="11" t="s">
        <v>28</v>
      </c>
      <c r="C72" s="11">
        <v>1</v>
      </c>
      <c r="D72" s="11" t="s">
        <v>913</v>
      </c>
      <c r="E72" s="11" t="s">
        <v>2033</v>
      </c>
      <c r="F72" s="11" t="s">
        <v>2034</v>
      </c>
      <c r="G72" s="11" t="s">
        <v>2035</v>
      </c>
      <c r="H72" s="11" t="s">
        <v>1378</v>
      </c>
      <c r="I72" s="16">
        <v>0.75</v>
      </c>
      <c r="J72" s="11" t="s">
        <v>297</v>
      </c>
      <c r="K72" s="11" t="s">
        <v>771</v>
      </c>
      <c r="L72" s="11" t="s">
        <v>2036</v>
      </c>
      <c r="M72" s="11" t="s">
        <v>2037</v>
      </c>
      <c r="N72" s="11" t="s">
        <v>2038</v>
      </c>
      <c r="O72" s="11" t="s">
        <v>2039</v>
      </c>
      <c r="P72" s="11" t="s">
        <v>2040</v>
      </c>
      <c r="Q72" s="11" t="s">
        <v>2024</v>
      </c>
      <c r="R72" s="11" t="s">
        <v>2041</v>
      </c>
      <c r="S72" s="11" t="s">
        <v>710</v>
      </c>
      <c r="T72" s="11"/>
      <c r="U72" s="29" t="s">
        <v>2042</v>
      </c>
    </row>
    <row r="73" spans="1:21" ht="110.4" hidden="1">
      <c r="A73" s="11" t="s">
        <v>2043</v>
      </c>
      <c r="B73" s="11" t="s">
        <v>28</v>
      </c>
      <c r="C73" s="11">
        <v>2</v>
      </c>
      <c r="D73" s="11" t="s">
        <v>913</v>
      </c>
      <c r="E73" s="11" t="s">
        <v>506</v>
      </c>
      <c r="F73" s="11" t="s">
        <v>2044</v>
      </c>
      <c r="G73" s="11" t="s">
        <v>2045</v>
      </c>
      <c r="H73" s="11" t="s">
        <v>1388</v>
      </c>
      <c r="I73" s="16">
        <v>1.5</v>
      </c>
      <c r="J73" s="11" t="s">
        <v>312</v>
      </c>
      <c r="K73" s="11" t="s">
        <v>771</v>
      </c>
      <c r="L73" s="11" t="s">
        <v>2046</v>
      </c>
      <c r="M73" s="11" t="s">
        <v>508</v>
      </c>
      <c r="N73" s="11" t="s">
        <v>2047</v>
      </c>
      <c r="O73" s="11" t="s">
        <v>2048</v>
      </c>
      <c r="P73" s="11" t="s">
        <v>143</v>
      </c>
      <c r="Q73" s="11" t="s">
        <v>2032</v>
      </c>
      <c r="R73" s="11" t="s">
        <v>2049</v>
      </c>
      <c r="S73" s="11" t="s">
        <v>710</v>
      </c>
      <c r="T73" s="11"/>
      <c r="U73" s="29" t="s">
        <v>2050</v>
      </c>
    </row>
    <row r="74" spans="1:21" ht="110.4" hidden="1">
      <c r="A74" s="11" t="s">
        <v>2051</v>
      </c>
      <c r="B74" s="11" t="s">
        <v>28</v>
      </c>
      <c r="C74" s="11">
        <v>3</v>
      </c>
      <c r="D74" s="11" t="s">
        <v>913</v>
      </c>
      <c r="E74" s="11" t="s">
        <v>2052</v>
      </c>
      <c r="F74" s="11" t="s">
        <v>2053</v>
      </c>
      <c r="G74" s="11" t="s">
        <v>2054</v>
      </c>
      <c r="H74" s="11" t="s">
        <v>1388</v>
      </c>
      <c r="I74" s="16">
        <v>1</v>
      </c>
      <c r="J74" s="11" t="s">
        <v>312</v>
      </c>
      <c r="K74" s="11" t="s">
        <v>2055</v>
      </c>
      <c r="L74" s="11" t="s">
        <v>2056</v>
      </c>
      <c r="M74" s="11" t="s">
        <v>2057</v>
      </c>
      <c r="N74" s="11" t="s">
        <v>2058</v>
      </c>
      <c r="O74" s="11" t="s">
        <v>2059</v>
      </c>
      <c r="P74" s="11" t="s">
        <v>105</v>
      </c>
      <c r="Q74" s="11" t="s">
        <v>2060</v>
      </c>
      <c r="R74" s="11" t="s">
        <v>2061</v>
      </c>
      <c r="S74" s="11" t="s">
        <v>710</v>
      </c>
      <c r="T74" s="11"/>
      <c r="U74" s="29" t="s">
        <v>2062</v>
      </c>
    </row>
    <row r="75" spans="1:21" ht="110.4" hidden="1">
      <c r="A75" s="11" t="s">
        <v>2063</v>
      </c>
      <c r="B75" s="11" t="s">
        <v>28</v>
      </c>
      <c r="C75" s="11">
        <v>4</v>
      </c>
      <c r="D75" s="11" t="s">
        <v>913</v>
      </c>
      <c r="E75" s="11" t="s">
        <v>2064</v>
      </c>
      <c r="F75" s="11" t="s">
        <v>2065</v>
      </c>
      <c r="G75" s="11" t="s">
        <v>2066</v>
      </c>
      <c r="H75" s="11" t="s">
        <v>1388</v>
      </c>
      <c r="I75" s="16">
        <v>1</v>
      </c>
      <c r="J75" s="11" t="s">
        <v>312</v>
      </c>
      <c r="K75" s="11" t="s">
        <v>2067</v>
      </c>
      <c r="L75" s="11" t="s">
        <v>2068</v>
      </c>
      <c r="M75" s="11" t="s">
        <v>2069</v>
      </c>
      <c r="N75" s="11" t="s">
        <v>2070</v>
      </c>
      <c r="O75" s="11" t="s">
        <v>2071</v>
      </c>
      <c r="P75" s="11" t="s">
        <v>2072</v>
      </c>
      <c r="Q75" s="11" t="s">
        <v>2051</v>
      </c>
      <c r="R75" s="11" t="s">
        <v>2073</v>
      </c>
      <c r="S75" s="11" t="s">
        <v>710</v>
      </c>
      <c r="T75" s="11"/>
      <c r="U75" s="29" t="s">
        <v>2074</v>
      </c>
    </row>
    <row r="76" spans="1:21" ht="110.4" hidden="1">
      <c r="A76" s="11" t="s">
        <v>2075</v>
      </c>
      <c r="B76" s="11" t="s">
        <v>28</v>
      </c>
      <c r="C76" s="11">
        <v>5</v>
      </c>
      <c r="D76" s="11" t="s">
        <v>913</v>
      </c>
      <c r="E76" s="11" t="s">
        <v>2076</v>
      </c>
      <c r="F76" s="11" t="s">
        <v>2077</v>
      </c>
      <c r="G76" s="11" t="s">
        <v>2078</v>
      </c>
      <c r="H76" s="11" t="s">
        <v>1388</v>
      </c>
      <c r="I76" s="16">
        <v>1</v>
      </c>
      <c r="J76" s="11" t="s">
        <v>312</v>
      </c>
      <c r="K76" s="11" t="s">
        <v>764</v>
      </c>
      <c r="L76" s="11" t="s">
        <v>2079</v>
      </c>
      <c r="M76" s="11" t="s">
        <v>508</v>
      </c>
      <c r="N76" s="11" t="s">
        <v>2080</v>
      </c>
      <c r="O76" s="11" t="s">
        <v>2081</v>
      </c>
      <c r="P76" s="11" t="s">
        <v>143</v>
      </c>
      <c r="Q76" s="11" t="s">
        <v>2043</v>
      </c>
      <c r="R76" s="11" t="s">
        <v>2082</v>
      </c>
      <c r="S76" s="11" t="s">
        <v>710</v>
      </c>
      <c r="T76" s="11"/>
      <c r="U76" s="29" t="s">
        <v>2083</v>
      </c>
    </row>
    <row r="77" spans="1:21" ht="110.4" hidden="1">
      <c r="A77" s="11" t="s">
        <v>2084</v>
      </c>
      <c r="B77" s="11" t="s">
        <v>28</v>
      </c>
      <c r="C77" s="11">
        <v>6</v>
      </c>
      <c r="D77" s="11" t="s">
        <v>913</v>
      </c>
      <c r="E77" s="11" t="s">
        <v>2085</v>
      </c>
      <c r="F77" s="11" t="s">
        <v>2086</v>
      </c>
      <c r="G77" s="11" t="s">
        <v>2087</v>
      </c>
      <c r="H77" s="11" t="s">
        <v>1388</v>
      </c>
      <c r="I77" s="16">
        <v>1.25</v>
      </c>
      <c r="J77" s="11" t="s">
        <v>317</v>
      </c>
      <c r="K77" s="11" t="s">
        <v>760</v>
      </c>
      <c r="L77" s="11" t="s">
        <v>2088</v>
      </c>
      <c r="M77" s="11" t="s">
        <v>1829</v>
      </c>
      <c r="N77" s="11" t="s">
        <v>2089</v>
      </c>
      <c r="O77" s="11" t="s">
        <v>2090</v>
      </c>
      <c r="P77" s="11" t="s">
        <v>166</v>
      </c>
      <c r="Q77" s="11" t="s">
        <v>2091</v>
      </c>
      <c r="R77" s="11" t="s">
        <v>2092</v>
      </c>
      <c r="S77" s="11" t="s">
        <v>710</v>
      </c>
      <c r="T77" s="11"/>
      <c r="U77" s="29" t="s">
        <v>2093</v>
      </c>
    </row>
    <row r="78" spans="1:21" ht="110.4" hidden="1">
      <c r="A78" s="11" t="s">
        <v>2094</v>
      </c>
      <c r="B78" s="11" t="s">
        <v>28</v>
      </c>
      <c r="C78" s="11">
        <v>7</v>
      </c>
      <c r="D78" s="11" t="s">
        <v>913</v>
      </c>
      <c r="E78" s="11" t="s">
        <v>2095</v>
      </c>
      <c r="F78" s="11" t="s">
        <v>2096</v>
      </c>
      <c r="G78" s="11" t="s">
        <v>2097</v>
      </c>
      <c r="H78" s="11" t="s">
        <v>1378</v>
      </c>
      <c r="I78" s="16">
        <v>1</v>
      </c>
      <c r="J78" s="11" t="s">
        <v>317</v>
      </c>
      <c r="K78" s="11" t="s">
        <v>2098</v>
      </c>
      <c r="L78" s="11" t="s">
        <v>2099</v>
      </c>
      <c r="M78" s="11" t="s">
        <v>519</v>
      </c>
      <c r="N78" s="11" t="s">
        <v>2100</v>
      </c>
      <c r="O78" s="11" t="s">
        <v>766</v>
      </c>
      <c r="P78" s="11" t="s">
        <v>675</v>
      </c>
      <c r="Q78" s="11" t="s">
        <v>2084</v>
      </c>
      <c r="R78" s="11" t="s">
        <v>2101</v>
      </c>
      <c r="S78" s="11" t="s">
        <v>710</v>
      </c>
      <c r="T78" s="11"/>
      <c r="U78" s="29" t="s">
        <v>2102</v>
      </c>
    </row>
    <row r="79" spans="1:21" ht="96.6" hidden="1">
      <c r="A79" s="11" t="s">
        <v>2103</v>
      </c>
      <c r="B79" s="11" t="s">
        <v>28</v>
      </c>
      <c r="C79" s="11">
        <v>8</v>
      </c>
      <c r="D79" s="11" t="s">
        <v>913</v>
      </c>
      <c r="E79" s="11" t="s">
        <v>2104</v>
      </c>
      <c r="F79" s="11" t="s">
        <v>2105</v>
      </c>
      <c r="G79" s="11" t="s">
        <v>2106</v>
      </c>
      <c r="H79" s="11" t="s">
        <v>2107</v>
      </c>
      <c r="I79" s="16">
        <v>1</v>
      </c>
      <c r="J79" s="11" t="s">
        <v>317</v>
      </c>
      <c r="K79" s="11" t="s">
        <v>760</v>
      </c>
      <c r="L79" s="11" t="s">
        <v>2108</v>
      </c>
      <c r="M79" s="11" t="s">
        <v>2109</v>
      </c>
      <c r="N79" s="11" t="s">
        <v>2110</v>
      </c>
      <c r="O79" s="11" t="s">
        <v>2111</v>
      </c>
      <c r="P79" s="11" t="s">
        <v>2112</v>
      </c>
      <c r="Q79" s="11" t="s">
        <v>2113</v>
      </c>
      <c r="R79" s="11" t="s">
        <v>2114</v>
      </c>
      <c r="S79" s="11" t="s">
        <v>710</v>
      </c>
      <c r="T79" s="11"/>
      <c r="U79" s="29" t="s">
        <v>2115</v>
      </c>
    </row>
    <row r="80" spans="1:21" ht="110.4" hidden="1">
      <c r="A80" t="s">
        <v>2116</v>
      </c>
      <c r="B80" t="s">
        <v>28</v>
      </c>
      <c r="C80">
        <v>9</v>
      </c>
      <c r="D80" t="s">
        <v>913</v>
      </c>
      <c r="E80" t="s">
        <v>2117</v>
      </c>
      <c r="F80" t="s">
        <v>2118</v>
      </c>
      <c r="G80" t="s">
        <v>2119</v>
      </c>
      <c r="H80" t="s">
        <v>1378</v>
      </c>
      <c r="I80">
        <v>1</v>
      </c>
      <c r="J80" t="s">
        <v>317</v>
      </c>
      <c r="K80" t="s">
        <v>777</v>
      </c>
      <c r="L80" t="s">
        <v>2120</v>
      </c>
      <c r="M80" t="s">
        <v>525</v>
      </c>
      <c r="N80" t="s">
        <v>2121</v>
      </c>
      <c r="O80" t="s">
        <v>2122</v>
      </c>
      <c r="P80" t="s">
        <v>675</v>
      </c>
      <c r="Q80" t="s">
        <v>2123</v>
      </c>
      <c r="R80" t="s">
        <v>2124</v>
      </c>
      <c r="S80" t="s">
        <v>710</v>
      </c>
      <c r="U80" s="29" t="s">
        <v>2125</v>
      </c>
    </row>
    <row r="81" spans="1:21" ht="110.4" hidden="1">
      <c r="A81" t="s">
        <v>2126</v>
      </c>
      <c r="B81" t="s">
        <v>28</v>
      </c>
      <c r="C81">
        <v>10</v>
      </c>
      <c r="D81" t="s">
        <v>913</v>
      </c>
      <c r="E81" t="s">
        <v>2127</v>
      </c>
      <c r="F81" t="s">
        <v>2128</v>
      </c>
      <c r="G81" t="s">
        <v>2129</v>
      </c>
      <c r="H81" t="s">
        <v>1378</v>
      </c>
      <c r="I81">
        <v>1.25</v>
      </c>
      <c r="J81" t="s">
        <v>322</v>
      </c>
      <c r="K81" t="s">
        <v>716</v>
      </c>
      <c r="L81" t="s">
        <v>2130</v>
      </c>
      <c r="M81" t="s">
        <v>530</v>
      </c>
      <c r="N81" t="s">
        <v>2131</v>
      </c>
      <c r="O81" t="s">
        <v>532</v>
      </c>
      <c r="P81" t="s">
        <v>675</v>
      </c>
      <c r="Q81" t="s">
        <v>2132</v>
      </c>
      <c r="R81" t="s">
        <v>2133</v>
      </c>
      <c r="S81" t="s">
        <v>710</v>
      </c>
      <c r="U81" s="29" t="s">
        <v>2134</v>
      </c>
    </row>
    <row r="82" spans="1:21" ht="110.4" hidden="1">
      <c r="A82" t="s">
        <v>2135</v>
      </c>
      <c r="B82" t="s">
        <v>28</v>
      </c>
      <c r="C82">
        <v>11</v>
      </c>
      <c r="D82" t="s">
        <v>913</v>
      </c>
      <c r="E82" t="s">
        <v>2136</v>
      </c>
      <c r="F82" t="s">
        <v>2137</v>
      </c>
      <c r="G82" t="s">
        <v>2138</v>
      </c>
      <c r="H82" t="s">
        <v>576</v>
      </c>
      <c r="I82">
        <v>0.75</v>
      </c>
      <c r="J82" t="s">
        <v>322</v>
      </c>
      <c r="K82" t="s">
        <v>780</v>
      </c>
      <c r="L82" t="s">
        <v>2139</v>
      </c>
      <c r="M82" t="s">
        <v>535</v>
      </c>
      <c r="N82" t="s">
        <v>2140</v>
      </c>
      <c r="O82" t="s">
        <v>537</v>
      </c>
      <c r="P82" t="s">
        <v>641</v>
      </c>
      <c r="Q82" t="s">
        <v>2126</v>
      </c>
      <c r="R82" t="s">
        <v>2141</v>
      </c>
      <c r="S82" t="s">
        <v>710</v>
      </c>
      <c r="U82" s="29" t="s">
        <v>2142</v>
      </c>
    </row>
    <row r="83" spans="1:21" ht="110.4" hidden="1">
      <c r="A83" t="s">
        <v>2143</v>
      </c>
      <c r="B83" t="s">
        <v>28</v>
      </c>
      <c r="C83">
        <v>12</v>
      </c>
      <c r="D83" t="s">
        <v>913</v>
      </c>
      <c r="E83" t="s">
        <v>2144</v>
      </c>
      <c r="F83" t="s">
        <v>2145</v>
      </c>
      <c r="G83" t="s">
        <v>2146</v>
      </c>
      <c r="H83" t="s">
        <v>576</v>
      </c>
      <c r="I83">
        <v>1.25</v>
      </c>
      <c r="J83" t="s">
        <v>307</v>
      </c>
      <c r="K83" t="s">
        <v>1459</v>
      </c>
      <c r="L83" t="s">
        <v>2147</v>
      </c>
      <c r="M83" t="s">
        <v>502</v>
      </c>
      <c r="N83" t="s">
        <v>2148</v>
      </c>
      <c r="O83" t="s">
        <v>541</v>
      </c>
      <c r="P83" t="s">
        <v>2149</v>
      </c>
      <c r="Q83" t="s">
        <v>2135</v>
      </c>
      <c r="R83" t="s">
        <v>2150</v>
      </c>
      <c r="S83" t="s">
        <v>710</v>
      </c>
      <c r="U83" s="29" t="s">
        <v>2151</v>
      </c>
    </row>
    <row r="84" spans="1:21" ht="110.4" hidden="1">
      <c r="A84" t="s">
        <v>2152</v>
      </c>
      <c r="B84" t="s">
        <v>28</v>
      </c>
      <c r="C84">
        <v>13</v>
      </c>
      <c r="D84" t="s">
        <v>913</v>
      </c>
      <c r="E84" t="s">
        <v>2153</v>
      </c>
      <c r="F84" t="s">
        <v>2154</v>
      </c>
      <c r="G84" t="s">
        <v>2155</v>
      </c>
      <c r="H84" t="s">
        <v>576</v>
      </c>
      <c r="I84">
        <v>1</v>
      </c>
      <c r="J84" t="s">
        <v>322</v>
      </c>
      <c r="K84" t="s">
        <v>1372</v>
      </c>
      <c r="L84" t="s">
        <v>2156</v>
      </c>
      <c r="M84" t="s">
        <v>2157</v>
      </c>
      <c r="N84" t="s">
        <v>2158</v>
      </c>
      <c r="O84" t="s">
        <v>2159</v>
      </c>
      <c r="P84" t="s">
        <v>668</v>
      </c>
      <c r="Q84" t="s">
        <v>2160</v>
      </c>
      <c r="R84" t="s">
        <v>2161</v>
      </c>
      <c r="S84" t="s">
        <v>710</v>
      </c>
      <c r="U84" s="29" t="s">
        <v>2162</v>
      </c>
    </row>
    <row r="85" spans="1:21" ht="69" hidden="1">
      <c r="A85" t="s">
        <v>2163</v>
      </c>
      <c r="B85" t="s">
        <v>28</v>
      </c>
      <c r="C85">
        <v>14</v>
      </c>
      <c r="D85" t="s">
        <v>913</v>
      </c>
      <c r="E85" t="s">
        <v>1490</v>
      </c>
      <c r="F85" t="s">
        <v>2164</v>
      </c>
      <c r="G85" t="s">
        <v>2165</v>
      </c>
      <c r="H85" t="s">
        <v>1378</v>
      </c>
      <c r="I85">
        <v>1.5</v>
      </c>
      <c r="J85" t="s">
        <v>1493</v>
      </c>
      <c r="K85" t="s">
        <v>1372</v>
      </c>
      <c r="L85" t="s">
        <v>2166</v>
      </c>
      <c r="M85" t="s">
        <v>1495</v>
      </c>
      <c r="N85" t="s">
        <v>2167</v>
      </c>
      <c r="O85" t="s">
        <v>2168</v>
      </c>
      <c r="P85" t="s">
        <v>2169</v>
      </c>
      <c r="Q85" t="s">
        <v>2152</v>
      </c>
      <c r="R85" t="s">
        <v>1499</v>
      </c>
      <c r="S85" t="s">
        <v>710</v>
      </c>
      <c r="T85" t="s">
        <v>2170</v>
      </c>
      <c r="U85" s="29" t="s">
        <v>2171</v>
      </c>
    </row>
  </sheetData>
  <mergeCells count="2">
    <mergeCell ref="A1:T1"/>
    <mergeCell ref="A2:T2"/>
  </mergeCells>
  <conditionalFormatting sqref="S6:S79">
    <cfRule type="containsText" dxfId="47" priority="1" operator="containsText" text="Done"/>
    <cfRule type="containsText" dxfId="46" priority="2" operator="containsText" text="Blocked"/>
    <cfRule type="containsText" dxfId="45" priority="3" operator="containsText" text="In Progress"/>
    <cfRule type="containsText" dxfId="44" priority="4" operator="containsText" text="Ready for Review"/>
  </conditionalFormatting>
  <dataValidations count="1">
    <dataValidation type="list" sqref="S6:S79" xr:uid="{00000000-0002-0000-0200-000000000000}">
      <formula1>"Not Started,In Progress,Blocked,Ready for Review,Done,Deferred"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topLeftCell="A26" workbookViewId="0">
      <selection activeCell="O22" sqref="O22"/>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6" t="s">
        <v>33</v>
      </c>
      <c r="B1" s="56"/>
      <c r="C1" s="56"/>
      <c r="D1" s="56"/>
      <c r="E1" s="56"/>
      <c r="F1" s="56"/>
      <c r="G1" s="56"/>
      <c r="H1" s="56"/>
      <c r="I1" s="56"/>
      <c r="J1" s="56"/>
      <c r="K1" s="56"/>
      <c r="L1" s="56"/>
      <c r="M1" s="56"/>
      <c r="N1" s="56"/>
      <c r="O1" s="56"/>
    </row>
    <row r="2" spans="1:16" ht="31.95" customHeight="1">
      <c r="A2" s="57" t="s">
        <v>34</v>
      </c>
      <c r="B2" s="57"/>
      <c r="C2" s="57"/>
      <c r="D2" s="57"/>
      <c r="E2" s="57"/>
      <c r="F2" s="57"/>
      <c r="G2" s="57"/>
      <c r="H2" s="57"/>
      <c r="I2" s="57"/>
      <c r="J2" s="57"/>
      <c r="K2" s="57"/>
      <c r="L2" s="57"/>
      <c r="M2" s="57"/>
      <c r="N2" s="57"/>
      <c r="O2" s="57"/>
    </row>
    <row r="4" spans="1:16" ht="28.05" customHeight="1">
      <c r="A4" s="58" t="s">
        <v>23</v>
      </c>
      <c r="B4" s="60"/>
      <c r="D4" s="58" t="s">
        <v>16</v>
      </c>
      <c r="E4" s="60"/>
      <c r="G4" s="58" t="s">
        <v>35</v>
      </c>
      <c r="H4" s="59"/>
      <c r="I4" s="59"/>
      <c r="J4" s="59"/>
      <c r="K4" s="59"/>
      <c r="L4" s="59"/>
      <c r="M4" s="59"/>
      <c r="N4" s="59"/>
      <c r="O4" s="60"/>
    </row>
    <row r="5" spans="1:16">
      <c r="A5" s="96">
        <f>IF(COUNTA(O10:O40)=0,0,COUNTIF(O10:O40,"Done")/COUNTA(A10:A40))</f>
        <v>0.56521739130434778</v>
      </c>
      <c r="B5" s="97"/>
      <c r="D5" s="100">
        <f>COUNTIF(O10:O40,"Blocked")</f>
        <v>0</v>
      </c>
      <c r="E5" s="101"/>
      <c r="G5" s="104" t="s">
        <v>36</v>
      </c>
      <c r="H5" s="105"/>
      <c r="I5" s="105"/>
      <c r="J5" s="105"/>
      <c r="K5" s="105"/>
      <c r="L5" s="105"/>
      <c r="M5" s="105"/>
      <c r="N5" s="105"/>
      <c r="O5" s="106"/>
    </row>
    <row r="6" spans="1:16">
      <c r="A6" s="98"/>
      <c r="B6" s="99"/>
      <c r="D6" s="102"/>
      <c r="E6" s="103"/>
      <c r="G6" s="107"/>
      <c r="H6" s="108"/>
      <c r="I6" s="108"/>
      <c r="J6" s="108"/>
      <c r="K6" s="108"/>
      <c r="L6" s="108"/>
      <c r="M6" s="108"/>
      <c r="N6" s="108"/>
      <c r="O6" s="109"/>
    </row>
    <row r="9" spans="1:16" ht="28.05" customHeight="1">
      <c r="A9" s="1" t="s">
        <v>1353</v>
      </c>
      <c r="B9" s="2" t="s">
        <v>1354</v>
      </c>
      <c r="C9" s="2" t="s">
        <v>883</v>
      </c>
      <c r="D9" s="2" t="s">
        <v>1355</v>
      </c>
      <c r="E9" s="2" t="s">
        <v>826</v>
      </c>
      <c r="F9" s="2" t="s">
        <v>2172</v>
      </c>
      <c r="G9" s="2" t="s">
        <v>6</v>
      </c>
      <c r="H9" s="2" t="s">
        <v>2173</v>
      </c>
      <c r="I9" s="2" t="s">
        <v>2174</v>
      </c>
      <c r="J9" s="2" t="s">
        <v>2175</v>
      </c>
      <c r="K9" s="2" t="s">
        <v>2176</v>
      </c>
      <c r="L9" s="2" t="s">
        <v>2177</v>
      </c>
      <c r="M9" s="2" t="s">
        <v>2178</v>
      </c>
      <c r="N9" s="2" t="s">
        <v>2179</v>
      </c>
      <c r="O9" s="3" t="s">
        <v>354</v>
      </c>
      <c r="P9" s="29" t="s">
        <v>1365</v>
      </c>
    </row>
    <row r="10" spans="1:16" ht="96.6">
      <c r="A10" s="10" t="s">
        <v>204</v>
      </c>
      <c r="B10" s="10">
        <v>1</v>
      </c>
      <c r="C10" s="10" t="s">
        <v>913</v>
      </c>
      <c r="D10" s="10" t="s">
        <v>350</v>
      </c>
      <c r="E10" s="10" t="s">
        <v>1366</v>
      </c>
      <c r="F10" s="10" t="s">
        <v>1367</v>
      </c>
      <c r="G10" s="10" t="s">
        <v>576</v>
      </c>
      <c r="H10" s="15">
        <v>1</v>
      </c>
      <c r="I10" s="10" t="s">
        <v>200</v>
      </c>
      <c r="J10" s="10" t="s">
        <v>1368</v>
      </c>
      <c r="K10" s="10" t="s">
        <v>1369</v>
      </c>
      <c r="L10" s="10" t="s">
        <v>1370</v>
      </c>
      <c r="M10" s="10" t="s">
        <v>547</v>
      </c>
      <c r="N10" s="10" t="s">
        <v>1373</v>
      </c>
      <c r="O10" s="10" t="s">
        <v>14</v>
      </c>
      <c r="P10" s="29" t="s">
        <v>1375</v>
      </c>
    </row>
    <row r="11" spans="1:16" ht="96.6">
      <c r="A11" s="11" t="s">
        <v>209</v>
      </c>
      <c r="B11" s="11">
        <v>2</v>
      </c>
      <c r="C11" s="11" t="s">
        <v>913</v>
      </c>
      <c r="D11" s="11" t="s">
        <v>551</v>
      </c>
      <c r="E11" s="11" t="s">
        <v>1376</v>
      </c>
      <c r="F11" s="11" t="s">
        <v>1377</v>
      </c>
      <c r="G11" s="11" t="s">
        <v>1378</v>
      </c>
      <c r="H11" s="16">
        <v>0.5</v>
      </c>
      <c r="I11" s="11" t="s">
        <v>205</v>
      </c>
      <c r="J11" s="11" t="s">
        <v>1372</v>
      </c>
      <c r="K11" s="11" t="s">
        <v>1379</v>
      </c>
      <c r="L11" s="11" t="s">
        <v>553</v>
      </c>
      <c r="M11" s="11" t="s">
        <v>555</v>
      </c>
      <c r="N11" s="11" t="s">
        <v>1381</v>
      </c>
      <c r="O11" s="11" t="s">
        <v>14</v>
      </c>
      <c r="P11" s="29" t="s">
        <v>1383</v>
      </c>
    </row>
    <row r="12" spans="1:16" ht="110.4">
      <c r="A12" s="11" t="s">
        <v>1384</v>
      </c>
      <c r="B12" s="11">
        <v>3</v>
      </c>
      <c r="C12" s="11" t="s">
        <v>913</v>
      </c>
      <c r="D12" s="11" t="s">
        <v>1385</v>
      </c>
      <c r="E12" s="11" t="s">
        <v>1386</v>
      </c>
      <c r="F12" s="11" t="s">
        <v>1387</v>
      </c>
      <c r="G12" s="11" t="s">
        <v>1388</v>
      </c>
      <c r="H12" s="16">
        <v>1.5</v>
      </c>
      <c r="I12" s="11" t="s">
        <v>210</v>
      </c>
      <c r="J12" s="11" t="s">
        <v>731</v>
      </c>
      <c r="K12" s="11" t="s">
        <v>1389</v>
      </c>
      <c r="L12" s="11" t="s">
        <v>1390</v>
      </c>
      <c r="M12" s="11" t="s">
        <v>1392</v>
      </c>
      <c r="N12" s="11" t="s">
        <v>1393</v>
      </c>
      <c r="O12" s="11" t="s">
        <v>14</v>
      </c>
      <c r="P12" s="29" t="s">
        <v>1395</v>
      </c>
    </row>
    <row r="13" spans="1:16" ht="110.4">
      <c r="A13" s="11" t="s">
        <v>1396</v>
      </c>
      <c r="B13" s="11">
        <v>4</v>
      </c>
      <c r="C13" s="11" t="s">
        <v>913</v>
      </c>
      <c r="D13" s="11" t="s">
        <v>1397</v>
      </c>
      <c r="E13" s="11" t="s">
        <v>1398</v>
      </c>
      <c r="F13" s="11" t="s">
        <v>1399</v>
      </c>
      <c r="G13" s="11" t="s">
        <v>1388</v>
      </c>
      <c r="H13" s="16">
        <v>1</v>
      </c>
      <c r="I13" s="11" t="s">
        <v>210</v>
      </c>
      <c r="J13" s="11" t="s">
        <v>1400</v>
      </c>
      <c r="K13" s="11" t="s">
        <v>1401</v>
      </c>
      <c r="L13" s="11" t="s">
        <v>371</v>
      </c>
      <c r="M13" s="11" t="s">
        <v>373</v>
      </c>
      <c r="N13" s="11" t="s">
        <v>1403</v>
      </c>
      <c r="O13" s="11" t="s">
        <v>14</v>
      </c>
      <c r="P13" s="29" t="s">
        <v>1404</v>
      </c>
    </row>
    <row r="14" spans="1:16" ht="124.2">
      <c r="A14" s="11" t="s">
        <v>219</v>
      </c>
      <c r="B14" s="11">
        <v>5</v>
      </c>
      <c r="C14" s="11" t="s">
        <v>913</v>
      </c>
      <c r="D14" s="11" t="s">
        <v>1405</v>
      </c>
      <c r="E14" s="11" t="s">
        <v>1406</v>
      </c>
      <c r="F14" s="11" t="s">
        <v>1407</v>
      </c>
      <c r="G14" s="11" t="s">
        <v>1388</v>
      </c>
      <c r="H14" s="16">
        <v>1.5</v>
      </c>
      <c r="I14" s="11" t="s">
        <v>215</v>
      </c>
      <c r="J14" s="11" t="s">
        <v>1408</v>
      </c>
      <c r="K14" s="11" t="s">
        <v>1409</v>
      </c>
      <c r="L14" s="11" t="s">
        <v>1410</v>
      </c>
      <c r="M14" s="11" t="s">
        <v>364</v>
      </c>
      <c r="N14" s="11" t="s">
        <v>1412</v>
      </c>
      <c r="O14" s="11" t="s">
        <v>14</v>
      </c>
      <c r="P14" s="29" t="s">
        <v>1413</v>
      </c>
    </row>
    <row r="15" spans="1:16" ht="110.4">
      <c r="A15" s="11" t="s">
        <v>1414</v>
      </c>
      <c r="B15" s="11">
        <v>6</v>
      </c>
      <c r="C15" s="11" t="s">
        <v>913</v>
      </c>
      <c r="D15" s="11" t="s">
        <v>1415</v>
      </c>
      <c r="E15" s="11" t="s">
        <v>1416</v>
      </c>
      <c r="F15" s="11" t="s">
        <v>1417</v>
      </c>
      <c r="G15" s="11" t="s">
        <v>1388</v>
      </c>
      <c r="H15" s="16">
        <v>1.25</v>
      </c>
      <c r="I15" s="11" t="s">
        <v>220</v>
      </c>
      <c r="J15" s="11" t="s">
        <v>1372</v>
      </c>
      <c r="K15" s="11" t="s">
        <v>1418</v>
      </c>
      <c r="L15" s="11" t="s">
        <v>1419</v>
      </c>
      <c r="M15" s="11" t="s">
        <v>1421</v>
      </c>
      <c r="N15" s="11" t="s">
        <v>1423</v>
      </c>
      <c r="O15" s="11" t="s">
        <v>14</v>
      </c>
      <c r="P15" s="29" t="s">
        <v>1424</v>
      </c>
    </row>
    <row r="16" spans="1:16" ht="124.2">
      <c r="A16" s="11" t="s">
        <v>1425</v>
      </c>
      <c r="B16" s="11">
        <v>7</v>
      </c>
      <c r="C16" s="11" t="s">
        <v>913</v>
      </c>
      <c r="D16" s="11" t="s">
        <v>1426</v>
      </c>
      <c r="E16" s="11" t="s">
        <v>1427</v>
      </c>
      <c r="F16" s="11" t="s">
        <v>1428</v>
      </c>
      <c r="G16" s="11" t="s">
        <v>1388</v>
      </c>
      <c r="H16" s="16">
        <v>1</v>
      </c>
      <c r="I16" s="11" t="s">
        <v>210</v>
      </c>
      <c r="J16" s="11" t="s">
        <v>1372</v>
      </c>
      <c r="K16" s="11" t="s">
        <v>1429</v>
      </c>
      <c r="L16" s="11" t="s">
        <v>1430</v>
      </c>
      <c r="M16" s="11" t="s">
        <v>1432</v>
      </c>
      <c r="N16" s="11" t="s">
        <v>1434</v>
      </c>
      <c r="O16" s="11" t="s">
        <v>14</v>
      </c>
      <c r="P16" s="29" t="s">
        <v>1435</v>
      </c>
    </row>
    <row r="17" spans="1:16" ht="110.4">
      <c r="A17" s="11" t="s">
        <v>1436</v>
      </c>
      <c r="B17" s="11">
        <v>8</v>
      </c>
      <c r="C17" s="11" t="s">
        <v>913</v>
      </c>
      <c r="D17" s="11" t="s">
        <v>751</v>
      </c>
      <c r="E17" s="11" t="s">
        <v>1437</v>
      </c>
      <c r="F17" s="11" t="s">
        <v>1438</v>
      </c>
      <c r="G17" s="11" t="s">
        <v>1388</v>
      </c>
      <c r="H17" s="16">
        <v>1</v>
      </c>
      <c r="I17" s="11" t="s">
        <v>220</v>
      </c>
      <c r="J17" s="11" t="s">
        <v>750</v>
      </c>
      <c r="K17" s="11" t="s">
        <v>1439</v>
      </c>
      <c r="L17" s="11" t="s">
        <v>378</v>
      </c>
      <c r="M17" s="11" t="s">
        <v>380</v>
      </c>
      <c r="N17" s="11" t="s">
        <v>1441</v>
      </c>
      <c r="O17" s="11" t="s">
        <v>14</v>
      </c>
      <c r="P17" s="29" t="s">
        <v>1442</v>
      </c>
    </row>
    <row r="18" spans="1:16" ht="124.2">
      <c r="A18" s="11" t="s">
        <v>1443</v>
      </c>
      <c r="B18" s="11">
        <v>9</v>
      </c>
      <c r="C18" s="11" t="s">
        <v>913</v>
      </c>
      <c r="D18" s="11" t="s">
        <v>1444</v>
      </c>
      <c r="E18" s="11" t="s">
        <v>1445</v>
      </c>
      <c r="F18" s="11" t="s">
        <v>1446</v>
      </c>
      <c r="G18" s="11" t="s">
        <v>1388</v>
      </c>
      <c r="H18" s="16">
        <v>1.25</v>
      </c>
      <c r="I18" s="11" t="s">
        <v>225</v>
      </c>
      <c r="J18" s="11" t="s">
        <v>1447</v>
      </c>
      <c r="K18" s="11" t="s">
        <v>1448</v>
      </c>
      <c r="L18" s="11" t="s">
        <v>1449</v>
      </c>
      <c r="M18" s="11" t="s">
        <v>1451</v>
      </c>
      <c r="N18" s="11" t="s">
        <v>1452</v>
      </c>
      <c r="O18" s="11" t="s">
        <v>14</v>
      </c>
      <c r="P18" s="29" t="s">
        <v>1454</v>
      </c>
    </row>
    <row r="19" spans="1:16" ht="110.4">
      <c r="A19" s="11" t="s">
        <v>1455</v>
      </c>
      <c r="B19" s="11">
        <v>10</v>
      </c>
      <c r="C19" s="11" t="s">
        <v>913</v>
      </c>
      <c r="D19" s="11" t="s">
        <v>1456</v>
      </c>
      <c r="E19" s="11" t="s">
        <v>1457</v>
      </c>
      <c r="F19" s="11" t="s">
        <v>1458</v>
      </c>
      <c r="G19" s="11" t="s">
        <v>1388</v>
      </c>
      <c r="H19" s="16">
        <v>1.5</v>
      </c>
      <c r="I19" s="11" t="s">
        <v>225</v>
      </c>
      <c r="J19" s="11" t="s">
        <v>1459</v>
      </c>
      <c r="K19" s="11" t="s">
        <v>1460</v>
      </c>
      <c r="L19" s="11" t="s">
        <v>1461</v>
      </c>
      <c r="M19" s="11" t="s">
        <v>1463</v>
      </c>
      <c r="N19" s="11" t="s">
        <v>1465</v>
      </c>
      <c r="O19" s="11" t="s">
        <v>14</v>
      </c>
      <c r="P19" s="29" t="s">
        <v>1466</v>
      </c>
    </row>
    <row r="20" spans="1:16" ht="110.4">
      <c r="A20" s="11" t="s">
        <v>1467</v>
      </c>
      <c r="B20" s="11">
        <v>11</v>
      </c>
      <c r="C20" s="11" t="s">
        <v>913</v>
      </c>
      <c r="D20" s="11" t="s">
        <v>1468</v>
      </c>
      <c r="E20" s="11" t="s">
        <v>1469</v>
      </c>
      <c r="F20" s="11" t="s">
        <v>1470</v>
      </c>
      <c r="G20" s="11" t="s">
        <v>1388</v>
      </c>
      <c r="H20" s="16">
        <v>1</v>
      </c>
      <c r="I20" s="11" t="s">
        <v>225</v>
      </c>
      <c r="J20" s="11" t="s">
        <v>1471</v>
      </c>
      <c r="K20" s="11" t="s">
        <v>1472</v>
      </c>
      <c r="L20" s="11" t="s">
        <v>386</v>
      </c>
      <c r="M20" s="11" t="s">
        <v>388</v>
      </c>
      <c r="N20" s="11" t="s">
        <v>1475</v>
      </c>
      <c r="O20" s="11" t="s">
        <v>14</v>
      </c>
      <c r="P20" s="29" t="s">
        <v>1476</v>
      </c>
    </row>
    <row r="21" spans="1:16" ht="96.6">
      <c r="A21" s="11" t="s">
        <v>1477</v>
      </c>
      <c r="B21" s="11">
        <v>12</v>
      </c>
      <c r="C21" s="11" t="s">
        <v>913</v>
      </c>
      <c r="D21" s="11" t="s">
        <v>1478</v>
      </c>
      <c r="E21" s="11" t="s">
        <v>1479</v>
      </c>
      <c r="F21" s="11" t="s">
        <v>1480</v>
      </c>
      <c r="G21" s="11" t="s">
        <v>576</v>
      </c>
      <c r="H21" s="16">
        <v>1</v>
      </c>
      <c r="I21" s="11" t="inlineStr">
        <is>
          <t xml:space="preserve">W1-REVIEW-001</t>
        </is>
      </c>
      <c r="J21" s="11" t="s">
        <v>1481</v>
      </c>
      <c r="K21" s="11" t="s">
        <v>1482</v>
      </c>
      <c r="L21" s="11" t="s">
        <v>1483</v>
      </c>
      <c r="M21" s="11" t="s">
        <v>1485</v>
      </c>
      <c r="N21" s="11" t="s">
        <v>1487</v>
      </c>
      <c r="O21" s="11" t="s">
        <v>14</v>
      </c>
      <c r="P21" s="29" t="s">
        <v>1488</v>
      </c>
    </row>
    <row r="22" spans="1:16" ht="82.8">
      <c r="A22" t="s">
        <v>1489</v>
      </c>
      <c r="B22">
        <v>13</v>
      </c>
      <c r="C22" t="s">
        <v>913</v>
      </c>
      <c r="D22" t="s">
        <v>1490</v>
      </c>
      <c r="E22" t="s">
        <v>1491</v>
      </c>
      <c r="F22" t="s">
        <v>1492</v>
      </c>
      <c r="G22" t="s">
        <v>1378</v>
      </c>
      <c r="H22">
        <v>1</v>
      </c>
      <c r="I22" t="s">
        <v>1493</v>
      </c>
      <c r="J22" t="s">
        <v>1372</v>
      </c>
      <c r="K22" t="s">
        <v>1494</v>
      </c>
      <c r="L22" t="s">
        <v>1495</v>
      </c>
      <c r="M22" t="s">
        <v>1497</v>
      </c>
      <c r="N22" t="s">
        <v>1499</v>
      </c>
      <c r="O22" s="11" t="s">
        <v>14</v>
      </c>
      <c r="P22" s="29" t="s">
        <v>1501</v>
      </c>
    </row>
    <row r="23" spans="1:16" ht="24" customHeight="1">
      <c r="A23" s="94"/>
      <c r="B23" s="94"/>
      <c r="C23" s="94"/>
      <c r="D23" s="94"/>
      <c r="E23" s="94"/>
      <c r="F23" s="94"/>
      <c r="G23" s="94"/>
      <c r="H23" s="95"/>
      <c r="I23" s="95"/>
      <c r="J23" s="95"/>
      <c r="K23" s="95"/>
      <c r="L23" s="95"/>
      <c r="M23" s="95"/>
      <c r="N23" s="95"/>
      <c r="O23" s="95"/>
    </row>
    <row r="24" spans="1:16" ht="34.049999999999997" customHeight="1">
      <c r="A24" s="30" t="s">
        <v>2180</v>
      </c>
      <c r="B24" s="30"/>
      <c r="C24" s="30"/>
      <c r="D24" s="30"/>
      <c r="E24" s="30"/>
      <c r="F24" s="30"/>
      <c r="G24" s="30"/>
      <c r="H24" s="31"/>
      <c r="I24" s="31"/>
      <c r="J24" s="31"/>
      <c r="K24" s="31"/>
      <c r="L24" s="31"/>
      <c r="M24" s="31"/>
      <c r="N24" s="31"/>
      <c r="O24" s="31"/>
      <c r="P24" s="31"/>
    </row>
    <row r="25" spans="1:16" ht="48" customHeight="1">
      <c r="A25" s="33" t="s">
        <v>825</v>
      </c>
      <c r="B25" s="33" t="s">
        <v>183</v>
      </c>
      <c r="C25" s="33" t="s">
        <v>184</v>
      </c>
      <c r="D25" s="33" t="s">
        <v>185</v>
      </c>
      <c r="E25" s="33" t="s">
        <v>186</v>
      </c>
      <c r="F25" s="33" t="s">
        <v>187</v>
      </c>
      <c r="G25" s="33" t="s">
        <v>189</v>
      </c>
    </row>
    <row r="26" spans="1:16" ht="52.05" customHeight="1">
      <c r="A26" s="22">
        <v>1</v>
      </c>
      <c r="B26" s="22" t="s">
        <v>200</v>
      </c>
      <c r="C26" s="22" t="s">
        <v>201</v>
      </c>
      <c r="D26" s="22" t="s">
        <v>202</v>
      </c>
      <c r="E26" s="22" t="s">
        <v>203</v>
      </c>
      <c r="F26" s="22" t="s">
        <v>2181</v>
      </c>
      <c r="G26" s="22" t="s">
        <v>2182</v>
      </c>
    </row>
    <row r="27" spans="1:16" ht="52.05" customHeight="1">
      <c r="A27" s="34">
        <v>2</v>
      </c>
      <c r="B27" s="34" t="s">
        <v>205</v>
      </c>
      <c r="C27" s="34" t="s">
        <v>206</v>
      </c>
      <c r="D27" s="34" t="s">
        <v>207</v>
      </c>
      <c r="E27" s="34" t="s">
        <v>208</v>
      </c>
      <c r="F27" s="34" t="s">
        <v>2183</v>
      </c>
      <c r="G27" s="34" t="s">
        <v>2182</v>
      </c>
    </row>
    <row r="28" spans="1:16" ht="52.05" customHeight="1">
      <c r="A28" s="22">
        <v>3</v>
      </c>
      <c r="B28" s="22" t="s">
        <v>210</v>
      </c>
      <c r="C28" s="22" t="s">
        <v>211</v>
      </c>
      <c r="D28" s="22" t="s">
        <v>212</v>
      </c>
      <c r="E28" s="22" t="s">
        <v>213</v>
      </c>
      <c r="F28" s="22" t="s">
        <v>2184</v>
      </c>
      <c r="G28" s="22" t="s">
        <v>2185</v>
      </c>
    </row>
    <row r="29" spans="1:16" ht="52.05" customHeight="1">
      <c r="A29" s="34">
        <v>4</v>
      </c>
      <c r="B29" s="34" t="s">
        <v>215</v>
      </c>
      <c r="C29" s="34" t="s">
        <v>216</v>
      </c>
      <c r="D29" s="34" t="s">
        <v>217</v>
      </c>
      <c r="E29" s="34" t="s">
        <v>218</v>
      </c>
      <c r="F29" s="34" t="s">
        <v>2186</v>
      </c>
      <c r="G29" s="34" t="s">
        <v>2185</v>
      </c>
    </row>
    <row r="30" spans="1:16" ht="52.05" customHeight="1">
      <c r="A30" s="22">
        <v>5</v>
      </c>
      <c r="B30" s="22" t="s">
        <v>220</v>
      </c>
      <c r="C30" s="22" t="s">
        <v>221</v>
      </c>
      <c r="D30" s="22" t="s">
        <v>222</v>
      </c>
      <c r="E30" s="22" t="s">
        <v>223</v>
      </c>
      <c r="F30" s="22" t="s">
        <v>2187</v>
      </c>
      <c r="G30" s="22" t="s">
        <v>2185</v>
      </c>
    </row>
    <row r="31" spans="1:16" ht="52.05" customHeight="1">
      <c r="A31" s="34">
        <v>6</v>
      </c>
      <c r="B31" s="34" t="s">
        <v>225</v>
      </c>
      <c r="C31" s="34" t="s">
        <v>226</v>
      </c>
      <c r="D31" s="34" t="s">
        <v>227</v>
      </c>
      <c r="E31" s="34" t="s">
        <v>228</v>
      </c>
      <c r="F31" s="34" t="s">
        <v>2188</v>
      </c>
      <c r="G31" s="34" t="s">
        <v>2185</v>
      </c>
    </row>
    <row r="32" spans="1:16" ht="52.05" customHeight="1">
      <c r="A32" s="35">
        <v>7</v>
      </c>
      <c r="B32" s="35" t="inlineStr">
        <is>
          <t xml:space="preserve">W1-REVIEW-001</t>
        </is>
      </c>
      <c r="C32" s="35" t="s">
        <v>329</v>
      </c>
      <c r="D32" s="35" t="s">
        <v>2189</v>
      </c>
      <c r="E32" s="35" t="inlineStr">
        <is>
          <t xml:space="preserve">Week 1 sheet, evidence register, ADRs, TODOs and owner-supplied results</t>
        </is>
      </c>
      <c r="F32" s="35" t="inlineStr">
        <is>
          <t xml:space="preserve">docs/deployment-records/W1-signoff.md</t>
        </is>
      </c>
      <c r="G32" s="35" t="s">
        <v>2182</v>
      </c>
    </row>
    <row r="33" spans="1:7" ht="52.05" customHeight="1">
      <c r="A33" s="35">
        <v>8</v>
      </c>
      <c r="B33" s="35" t="s">
        <v>1493</v>
      </c>
      <c r="C33" s="35" t="s">
        <v>2191</v>
      </c>
      <c r="D33" s="35" t="s">
        <v>2192</v>
      </c>
      <c r="E33" s="35" t="s">
        <v>2193</v>
      </c>
      <c r="F33" s="35" t="s">
        <v>2194</v>
      </c>
      <c r="G33" s="35" t="s">
        <v>2195</v>
      </c>
    </row>
  </sheetData>
  <mergeCells count="9">
    <mergeCell ref="A23:O23"/>
    <mergeCell ref="A1:O1"/>
    <mergeCell ref="A2:O2"/>
    <mergeCell ref="A4:B4"/>
    <mergeCell ref="A5:B6"/>
    <mergeCell ref="D4:E4"/>
    <mergeCell ref="D5:E6"/>
    <mergeCell ref="G4:O4"/>
    <mergeCell ref="G5:O6"/>
  </mergeCells>
  <conditionalFormatting sqref="O10:O22">
    <cfRule type="containsText" dxfId="43" priority="1" operator="containsText" text="Done"/>
    <cfRule type="containsText" dxfId="42" priority="2" operator="containsText" text="Blocked"/>
    <cfRule type="containsText" dxfId="41" priority="3" operator="containsText" text="In Progress"/>
    <cfRule type="containsText" dxfId="40" priority="4" operator="containsText" text="Ready for Review"/>
  </conditionalFormatting>
  <dataValidations count="1">
    <dataValidation type="list" sqref="O10:O22"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topLeftCell="K11" workbookViewId="0">
      <selection activeCell="N17" sqref="N17"/>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6" t="s">
        <v>37</v>
      </c>
      <c r="B1" s="56"/>
      <c r="C1" s="56"/>
      <c r="D1" s="56"/>
      <c r="E1" s="56"/>
      <c r="F1" s="56"/>
      <c r="G1" s="56"/>
      <c r="H1" s="56"/>
      <c r="I1" s="56"/>
      <c r="J1" s="56"/>
      <c r="K1" s="56"/>
      <c r="L1" s="56"/>
      <c r="M1" s="56"/>
      <c r="N1" s="56"/>
      <c r="O1" s="56"/>
    </row>
    <row r="2" spans="1:16" ht="31.95" customHeight="1">
      <c r="A2" s="57" t="s">
        <v>38</v>
      </c>
      <c r="B2" s="57"/>
      <c r="C2" s="57"/>
      <c r="D2" s="57"/>
      <c r="E2" s="57"/>
      <c r="F2" s="57"/>
      <c r="G2" s="57"/>
      <c r="H2" s="57"/>
      <c r="I2" s="57"/>
      <c r="J2" s="57"/>
      <c r="K2" s="57"/>
      <c r="L2" s="57"/>
      <c r="M2" s="57"/>
      <c r="N2" s="57"/>
      <c r="O2" s="57"/>
    </row>
    <row r="4" spans="1:16" ht="28.05" customHeight="1">
      <c r="A4" s="58" t="s">
        <v>23</v>
      </c>
      <c r="B4" s="60"/>
      <c r="D4" s="58" t="s">
        <v>16</v>
      </c>
      <c r="E4" s="60"/>
      <c r="G4" s="58" t="s">
        <v>35</v>
      </c>
      <c r="H4" s="59"/>
      <c r="I4" s="59"/>
      <c r="J4" s="59"/>
      <c r="K4" s="59"/>
      <c r="L4" s="59"/>
      <c r="M4" s="59"/>
      <c r="N4" s="59"/>
      <c r="O4" s="60"/>
    </row>
    <row r="5" spans="1:16">
      <c r="A5" s="96">
        <f>IF(COUNTA(O10:O40)=0,0,COUNTIF(O10:O40,"Done")/COUNTA(A10:A40))</f>
        <v>0.22727272727272727</v>
      </c>
      <c r="B5" s="97"/>
      <c r="D5" s="100">
        <f>COUNTIF(O10:O40,"Blocked")</f>
        <v>0</v>
      </c>
      <c r="E5" s="101"/>
      <c r="G5" s="104" t="s">
        <v>39</v>
      </c>
      <c r="H5" s="105"/>
      <c r="I5" s="105"/>
      <c r="J5" s="105"/>
      <c r="K5" s="105"/>
      <c r="L5" s="105"/>
      <c r="M5" s="105"/>
      <c r="N5" s="105"/>
      <c r="O5" s="106"/>
    </row>
    <row r="6" spans="1:16">
      <c r="A6" s="98"/>
      <c r="B6" s="99"/>
      <c r="D6" s="102"/>
      <c r="E6" s="103"/>
      <c r="G6" s="107"/>
      <c r="H6" s="108"/>
      <c r="I6" s="108"/>
      <c r="J6" s="108"/>
      <c r="K6" s="108"/>
      <c r="L6" s="108"/>
      <c r="M6" s="108"/>
      <c r="N6" s="108"/>
      <c r="O6" s="109"/>
    </row>
    <row r="9" spans="1:16" ht="28.05" customHeight="1">
      <c r="A9" s="1" t="s">
        <v>1353</v>
      </c>
      <c r="B9" s="2" t="s">
        <v>1354</v>
      </c>
      <c r="C9" s="2" t="s">
        <v>883</v>
      </c>
      <c r="D9" s="2" t="s">
        <v>1355</v>
      </c>
      <c r="E9" s="2" t="s">
        <v>826</v>
      </c>
      <c r="F9" s="2" t="s">
        <v>2172</v>
      </c>
      <c r="G9" s="2" t="s">
        <v>6</v>
      </c>
      <c r="H9" s="2" t="s">
        <v>2173</v>
      </c>
      <c r="I9" s="2" t="s">
        <v>2174</v>
      </c>
      <c r="J9" s="2" t="s">
        <v>2175</v>
      </c>
      <c r="K9" s="2" t="s">
        <v>2176</v>
      </c>
      <c r="L9" s="2" t="s">
        <v>2177</v>
      </c>
      <c r="M9" s="2" t="s">
        <v>2178</v>
      </c>
      <c r="N9" s="2" t="s">
        <v>2179</v>
      </c>
      <c r="O9" s="3" t="s">
        <v>354</v>
      </c>
      <c r="P9" s="29" t="s">
        <v>1365</v>
      </c>
    </row>
    <row r="10" spans="1:16" ht="110.4">
      <c r="A10" s="10" t="s">
        <v>1502</v>
      </c>
      <c r="B10" s="10">
        <v>1</v>
      </c>
      <c r="C10" s="10" t="s">
        <v>913</v>
      </c>
      <c r="D10" s="10" t="s">
        <v>1503</v>
      </c>
      <c r="E10" s="10" t="s">
        <v>1504</v>
      </c>
      <c r="F10" s="10" t="s">
        <v>1505</v>
      </c>
      <c r="G10" s="10" t="s">
        <v>1388</v>
      </c>
      <c r="H10" s="15">
        <v>1</v>
      </c>
      <c r="I10" s="10" t="s">
        <v>230</v>
      </c>
      <c r="J10" s="10" t="s">
        <v>1506</v>
      </c>
      <c r="K10" s="10" t="s">
        <v>1507</v>
      </c>
      <c r="L10" s="10" t="s">
        <v>393</v>
      </c>
      <c r="M10" s="10" t="s">
        <v>1509</v>
      </c>
      <c r="N10" s="10" t="s">
        <v>1510</v>
      </c>
      <c r="O10" s="10" t="s">
        <v>14</v>
      </c>
      <c r="P10" s="29" t="s">
        <v>1511</v>
      </c>
    </row>
    <row r="11" spans="1:16" ht="124.2">
      <c r="A11" s="11" t="s">
        <v>1512</v>
      </c>
      <c r="B11" s="11">
        <v>2</v>
      </c>
      <c r="C11" s="11" t="s">
        <v>913</v>
      </c>
      <c r="D11" s="11" t="s">
        <v>1513</v>
      </c>
      <c r="E11" s="11" t="s">
        <v>1514</v>
      </c>
      <c r="F11" s="11" t="s">
        <v>1515</v>
      </c>
      <c r="G11" s="11" t="s">
        <v>1388</v>
      </c>
      <c r="H11" s="16">
        <v>1.25</v>
      </c>
      <c r="I11" s="11" t="s">
        <v>230</v>
      </c>
      <c r="J11" s="11" t="s">
        <v>1372</v>
      </c>
      <c r="K11" s="11" t="s">
        <v>1516</v>
      </c>
      <c r="L11" s="11" t="s">
        <v>1517</v>
      </c>
      <c r="M11" s="11" t="s">
        <v>1519</v>
      </c>
      <c r="N11" s="11" t="s">
        <v>1520</v>
      </c>
      <c r="O11" s="11" t="s">
        <v>14</v>
      </c>
      <c r="P11" s="29" t="s">
        <v>1521</v>
      </c>
    </row>
    <row r="12" spans="1:16" ht="110.4">
      <c r="A12" s="11" t="s">
        <v>1522</v>
      </c>
      <c r="B12" s="11">
        <v>3</v>
      </c>
      <c r="C12" s="11" t="s">
        <v>913</v>
      </c>
      <c r="D12" s="11" t="s">
        <v>1523</v>
      </c>
      <c r="E12" s="11" t="s">
        <v>1524</v>
      </c>
      <c r="F12" s="11" t="s">
        <v>1525</v>
      </c>
      <c r="G12" s="11" t="s">
        <v>1388</v>
      </c>
      <c r="H12" s="16">
        <v>1</v>
      </c>
      <c r="I12" s="11" t="s">
        <v>230</v>
      </c>
      <c r="J12" s="11" t="s">
        <v>1372</v>
      </c>
      <c r="K12" s="11" t="s">
        <v>1526</v>
      </c>
      <c r="L12" s="11" t="s">
        <v>1527</v>
      </c>
      <c r="M12" s="11" t="s">
        <v>1529</v>
      </c>
      <c r="N12" s="11" t="s">
        <v>1530</v>
      </c>
      <c r="O12" s="11" t="s">
        <v>14</v>
      </c>
      <c r="P12" s="29" t="s">
        <v>1531</v>
      </c>
    </row>
    <row r="13" spans="1:16" ht="110.4">
      <c r="A13" s="11" t="s">
        <v>1532</v>
      </c>
      <c r="B13" s="11">
        <v>4</v>
      </c>
      <c r="C13" s="11" t="s">
        <v>913</v>
      </c>
      <c r="D13" s="11" t="s">
        <v>1533</v>
      </c>
      <c r="E13" s="11" t="s">
        <v>1534</v>
      </c>
      <c r="F13" s="11" t="s">
        <v>1535</v>
      </c>
      <c r="G13" s="11" t="s">
        <v>1388</v>
      </c>
      <c r="H13" s="16">
        <v>1.5</v>
      </c>
      <c r="I13" s="11" t="s">
        <v>230</v>
      </c>
      <c r="J13" s="11" t="s">
        <v>1536</v>
      </c>
      <c r="K13" s="11" t="s">
        <v>1537</v>
      </c>
      <c r="L13" s="11" t="s">
        <v>1538</v>
      </c>
      <c r="M13" s="11" t="s">
        <v>1540</v>
      </c>
      <c r="N13" s="11" t="s">
        <v>1542</v>
      </c>
      <c r="O13" s="11" t="s">
        <v>14</v>
      </c>
      <c r="P13" s="29" t="s">
        <v>1543</v>
      </c>
    </row>
    <row r="14" spans="1:16" ht="124.2" hidden="1">
      <c r="A14" s="11" t="s">
        <v>235</v>
      </c>
      <c r="B14" s="11">
        <v>5</v>
      </c>
      <c r="C14" s="11" t="s">
        <v>913</v>
      </c>
      <c r="D14" s="11" t="s">
        <v>1012</v>
      </c>
      <c r="E14" s="11" t="s">
        <v>1544</v>
      </c>
      <c r="F14" s="11" t="s">
        <v>1545</v>
      </c>
      <c r="G14" s="11" t="s">
        <v>1388</v>
      </c>
      <c r="H14" s="16">
        <v>1.25</v>
      </c>
      <c r="I14" s="11" t="s">
        <v>231</v>
      </c>
      <c r="J14" s="11" t="s">
        <v>745</v>
      </c>
      <c r="K14" s="11" t="s">
        <v>1546</v>
      </c>
      <c r="L14" s="11" t="s">
        <v>405</v>
      </c>
      <c r="M14" s="11" t="s">
        <v>1548</v>
      </c>
      <c r="N14" s="11" t="s">
        <v>1549</v>
      </c>
      <c r="O14" s="11" t="s">
        <v>710</v>
      </c>
      <c r="P14" s="29" t="s">
        <v>1550</v>
      </c>
    </row>
    <row r="15" spans="1:16" ht="124.2" hidden="1">
      <c r="A15" s="11" t="s">
        <v>1551</v>
      </c>
      <c r="B15" s="11">
        <v>6</v>
      </c>
      <c r="C15" s="11" t="s">
        <v>913</v>
      </c>
      <c r="D15" s="11" t="s">
        <v>1231</v>
      </c>
      <c r="E15" s="11" t="s">
        <v>1552</v>
      </c>
      <c r="F15" s="11" t="s">
        <v>1553</v>
      </c>
      <c r="G15" s="11" t="s">
        <v>1388</v>
      </c>
      <c r="H15" s="16">
        <v>1.5</v>
      </c>
      <c r="I15" s="11" t="s">
        <v>236</v>
      </c>
      <c r="J15" s="11" t="s">
        <v>1554</v>
      </c>
      <c r="K15" s="11" t="s">
        <v>1555</v>
      </c>
      <c r="L15" s="11" t="s">
        <v>1556</v>
      </c>
      <c r="M15" s="11" t="s">
        <v>1558</v>
      </c>
      <c r="N15" s="11" t="s">
        <v>1560</v>
      </c>
      <c r="O15" s="11" t="s">
        <v>710</v>
      </c>
      <c r="P15" s="29" t="s">
        <v>1561</v>
      </c>
    </row>
    <row r="16" spans="1:16" ht="110.4" hidden="1">
      <c r="A16" s="11" t="s">
        <v>1562</v>
      </c>
      <c r="B16" s="11">
        <v>7</v>
      </c>
      <c r="C16" s="11" t="s">
        <v>913</v>
      </c>
      <c r="D16" s="11" t="s">
        <v>713</v>
      </c>
      <c r="E16" s="11" t="s">
        <v>1563</v>
      </c>
      <c r="F16" s="11" t="s">
        <v>1564</v>
      </c>
      <c r="G16" s="11" t="s">
        <v>1388</v>
      </c>
      <c r="H16" s="16">
        <v>1</v>
      </c>
      <c r="I16" s="11" t="s">
        <v>236</v>
      </c>
      <c r="J16" s="11" t="s">
        <v>712</v>
      </c>
      <c r="K16" s="11" t="s">
        <v>1565</v>
      </c>
      <c r="L16" s="11" t="s">
        <v>1566</v>
      </c>
      <c r="M16" s="11" t="s">
        <v>1568</v>
      </c>
      <c r="N16" s="11" t="s">
        <v>1569</v>
      </c>
      <c r="O16" s="11" t="s">
        <v>710</v>
      </c>
      <c r="P16" s="29" t="s">
        <v>1570</v>
      </c>
    </row>
    <row r="17" spans="1:16" ht="110.4">
      <c r="A17" s="11" t="s">
        <v>1571</v>
      </c>
      <c r="B17" s="11">
        <v>8</v>
      </c>
      <c r="C17" s="11" t="s">
        <v>913</v>
      </c>
      <c r="D17" s="11" t="s">
        <v>1572</v>
      </c>
      <c r="E17" s="11" t="s">
        <v>1573</v>
      </c>
      <c r="F17" s="11" t="s">
        <v>1574</v>
      </c>
      <c r="G17" s="11" t="s">
        <v>1388</v>
      </c>
      <c r="H17" s="16">
        <v>1</v>
      </c>
      <c r="I17" s="11" t="s">
        <v>230</v>
      </c>
      <c r="J17" s="11" t="s">
        <v>747</v>
      </c>
      <c r="K17" s="11" t="s">
        <v>1575</v>
      </c>
      <c r="L17" s="11" t="s">
        <v>1576</v>
      </c>
      <c r="M17" s="11" t="s">
        <v>1578</v>
      </c>
      <c r="N17" s="11" t="s">
        <v>1579</v>
      </c>
      <c r="O17" s="11" t="s">
        <v>14</v>
      </c>
      <c r="P17" s="29" t="s">
        <v>1580</v>
      </c>
    </row>
    <row r="18" spans="1:16" ht="110.4" hidden="1">
      <c r="A18" s="11" t="s">
        <v>1581</v>
      </c>
      <c r="B18" s="11">
        <v>9</v>
      </c>
      <c r="C18" s="11" t="s">
        <v>913</v>
      </c>
      <c r="D18" s="11" t="s">
        <v>1582</v>
      </c>
      <c r="E18" s="11" t="s">
        <v>1583</v>
      </c>
      <c r="F18" s="11" t="s">
        <v>1584</v>
      </c>
      <c r="G18" s="11" t="s">
        <v>1378</v>
      </c>
      <c r="H18" s="16">
        <v>1</v>
      </c>
      <c r="I18" s="11" t="s">
        <v>241</v>
      </c>
      <c r="J18" s="11" t="s">
        <v>1585</v>
      </c>
      <c r="K18" s="11" t="s">
        <v>1586</v>
      </c>
      <c r="L18" s="11" t="s">
        <v>1587</v>
      </c>
      <c r="M18" s="11" t="s">
        <v>1589</v>
      </c>
      <c r="N18" s="11" t="s">
        <v>1592</v>
      </c>
      <c r="O18" s="11" t="s">
        <v>710</v>
      </c>
      <c r="P18" s="29" t="s">
        <v>1593</v>
      </c>
    </row>
    <row r="19" spans="1:16" ht="110.4" hidden="1">
      <c r="A19" s="11" t="s">
        <v>1594</v>
      </c>
      <c r="B19" s="11">
        <v>10</v>
      </c>
      <c r="C19" s="11" t="s">
        <v>913</v>
      </c>
      <c r="D19" s="11" t="s">
        <v>1456</v>
      </c>
      <c r="E19" s="11" t="s">
        <v>1595</v>
      </c>
      <c r="F19" s="11" t="s">
        <v>1596</v>
      </c>
      <c r="G19" s="11" t="s">
        <v>1378</v>
      </c>
      <c r="H19" s="16">
        <v>1</v>
      </c>
      <c r="I19" s="11" t="s">
        <v>241</v>
      </c>
      <c r="J19" s="11" t="s">
        <v>780</v>
      </c>
      <c r="K19" s="11" t="s">
        <v>1597</v>
      </c>
      <c r="L19" s="11" t="s">
        <v>1598</v>
      </c>
      <c r="M19" s="11" t="s">
        <v>1600</v>
      </c>
      <c r="N19" s="11" t="s">
        <v>1602</v>
      </c>
      <c r="O19" s="11" t="s">
        <v>710</v>
      </c>
      <c r="P19" s="29" t="s">
        <v>1603</v>
      </c>
    </row>
    <row r="20" spans="1:16" ht="124.2" hidden="1">
      <c r="A20" s="11" t="s">
        <v>246</v>
      </c>
      <c r="B20" s="11">
        <v>11</v>
      </c>
      <c r="C20" s="11" t="s">
        <v>953</v>
      </c>
      <c r="D20" s="11" t="s">
        <v>1604</v>
      </c>
      <c r="E20" s="11" t="s">
        <v>1605</v>
      </c>
      <c r="F20" s="11" t="s">
        <v>1606</v>
      </c>
      <c r="G20" s="11" t="s">
        <v>576</v>
      </c>
      <c r="H20" s="16">
        <v>0.75</v>
      </c>
      <c r="I20" s="11" t="s">
        <v>242</v>
      </c>
      <c r="J20" s="11" t="s">
        <v>1372</v>
      </c>
      <c r="K20" s="11" t="s">
        <v>1607</v>
      </c>
      <c r="L20" s="11" t="s">
        <v>1608</v>
      </c>
      <c r="M20" s="11" t="s">
        <v>1610</v>
      </c>
      <c r="N20" s="11" t="s">
        <v>1612</v>
      </c>
      <c r="O20" s="11" t="s">
        <v>710</v>
      </c>
      <c r="P20" s="29" t="s">
        <v>1613</v>
      </c>
    </row>
    <row r="21" spans="1:16" ht="96.6" hidden="1">
      <c r="A21" s="11" t="s">
        <v>1614</v>
      </c>
      <c r="B21" s="11">
        <v>12</v>
      </c>
      <c r="C21" s="11" t="s">
        <v>913</v>
      </c>
      <c r="D21" s="11" t="s">
        <v>1478</v>
      </c>
      <c r="E21" s="11" t="s">
        <v>1615</v>
      </c>
      <c r="F21" s="11" t="s">
        <v>1616</v>
      </c>
      <c r="G21" s="11" t="s">
        <v>576</v>
      </c>
      <c r="H21" s="16">
        <v>0.75</v>
      </c>
      <c r="I21" s="11" t="inlineStr">
        <is>
          <t xml:space="preserve">W2-REVIEW-001</t>
        </is>
      </c>
      <c r="J21" s="11" t="s">
        <v>1617</v>
      </c>
      <c r="K21" s="11" t="s">
        <v>1618</v>
      </c>
      <c r="L21" s="11" t="s">
        <v>1619</v>
      </c>
      <c r="M21" s="11" t="s">
        <v>1621</v>
      </c>
      <c r="N21" s="11" t="s">
        <v>1623</v>
      </c>
      <c r="O21" s="11" t="s">
        <v>710</v>
      </c>
      <c r="P21" s="29" t="s">
        <v>1624</v>
      </c>
    </row>
    <row r="22" spans="1:16" ht="82.8" hidden="1">
      <c r="A22" t="s">
        <v>1625</v>
      </c>
      <c r="B22">
        <v>13</v>
      </c>
      <c r="C22" t="s">
        <v>913</v>
      </c>
      <c r="D22" t="s">
        <v>1490</v>
      </c>
      <c r="E22" t="s">
        <v>1626</v>
      </c>
      <c r="F22" t="s">
        <v>1627</v>
      </c>
      <c r="G22" t="s">
        <v>1378</v>
      </c>
      <c r="H22">
        <v>1</v>
      </c>
      <c r="I22" t="s">
        <v>1493</v>
      </c>
      <c r="J22" t="s">
        <v>1372</v>
      </c>
      <c r="K22" t="s">
        <v>1628</v>
      </c>
      <c r="L22" t="s">
        <v>1495</v>
      </c>
      <c r="M22" t="s">
        <v>1629</v>
      </c>
      <c r="N22" t="s">
        <v>1499</v>
      </c>
      <c r="O22" t="s">
        <v>710</v>
      </c>
      <c r="P22" s="29" t="s">
        <v>1631</v>
      </c>
    </row>
    <row r="23" spans="1:16" ht="24" customHeight="1">
      <c r="A23" s="94"/>
      <c r="B23" s="94"/>
      <c r="C23" s="94"/>
      <c r="D23" s="94"/>
      <c r="E23" s="94"/>
      <c r="F23" s="94"/>
      <c r="G23" s="94"/>
      <c r="H23" s="95"/>
      <c r="I23" s="95"/>
      <c r="J23" s="95"/>
      <c r="K23" s="95"/>
      <c r="L23" s="95"/>
      <c r="M23" s="95"/>
      <c r="N23" s="95"/>
      <c r="O23" s="95"/>
    </row>
    <row r="24" spans="1:16" ht="34.049999999999997" customHeight="1">
      <c r="A24" s="30" t="s">
        <v>2180</v>
      </c>
      <c r="B24" s="30"/>
      <c r="C24" s="30"/>
      <c r="D24" s="30"/>
      <c r="E24" s="30"/>
      <c r="F24" s="30"/>
      <c r="G24" s="30"/>
      <c r="H24" s="31"/>
      <c r="I24" s="31"/>
      <c r="J24" s="31"/>
      <c r="K24" s="31"/>
      <c r="L24" s="31"/>
      <c r="M24" s="31"/>
      <c r="N24" s="31"/>
      <c r="O24" s="31"/>
      <c r="P24" s="31"/>
    </row>
    <row r="25" spans="1:16" ht="48" customHeight="1">
      <c r="A25" s="33" t="s">
        <v>825</v>
      </c>
      <c r="B25" s="33" t="s">
        <v>183</v>
      </c>
      <c r="C25" s="33" t="s">
        <v>184</v>
      </c>
      <c r="D25" s="33" t="s">
        <v>185</v>
      </c>
      <c r="E25" s="33" t="s">
        <v>186</v>
      </c>
      <c r="F25" s="33" t="s">
        <v>187</v>
      </c>
      <c r="G25" s="33" t="s">
        <v>189</v>
      </c>
    </row>
    <row r="26" spans="1:16" ht="52.05" customHeight="1">
      <c r="A26" s="22">
        <v>1</v>
      </c>
      <c r="B26" s="22" t="s">
        <v>230</v>
      </c>
      <c r="C26" s="22" t="s">
        <v>2196</v>
      </c>
      <c r="D26" s="22" t="s">
        <v>2197</v>
      </c>
      <c r="E26" s="22" t="s">
        <v>2198</v>
      </c>
      <c r="F26" s="22" t="s">
        <v>2199</v>
      </c>
      <c r="G26" s="22" t="s">
        <v>2185</v>
      </c>
    </row>
    <row r="27" spans="1:16" ht="52.05" customHeight="1">
      <c r="A27" s="34">
        <v>2</v>
      </c>
      <c r="B27" s="34" t="s">
        <v>231</v>
      </c>
      <c r="C27" s="34" t="s">
        <v>232</v>
      </c>
      <c r="D27" s="34" t="s">
        <v>233</v>
      </c>
      <c r="E27" s="34" t="s">
        <v>234</v>
      </c>
      <c r="F27" s="34" t="s">
        <v>2200</v>
      </c>
      <c r="G27" s="34" t="s">
        <v>2185</v>
      </c>
    </row>
    <row r="28" spans="1:16" ht="52.05" customHeight="1">
      <c r="A28" s="22">
        <v>3</v>
      </c>
      <c r="B28" s="22" t="s">
        <v>236</v>
      </c>
      <c r="C28" s="22" t="s">
        <v>237</v>
      </c>
      <c r="D28" s="22" t="s">
        <v>238</v>
      </c>
      <c r="E28" s="22" t="s">
        <v>239</v>
      </c>
      <c r="F28" s="22" t="s">
        <v>2201</v>
      </c>
      <c r="G28" s="22" t="s">
        <v>2185</v>
      </c>
    </row>
    <row r="29" spans="1:16" ht="52.05" customHeight="1">
      <c r="A29" s="34">
        <v>4</v>
      </c>
      <c r="B29" s="34" t="s">
        <v>241</v>
      </c>
      <c r="C29" s="34" t="s">
        <v>2202</v>
      </c>
      <c r="D29" s="34" t="s">
        <v>2203</v>
      </c>
      <c r="E29" s="34" t="s">
        <v>2204</v>
      </c>
      <c r="F29" s="34" t="s">
        <v>2205</v>
      </c>
      <c r="G29" s="34" t="s">
        <v>2185</v>
      </c>
    </row>
    <row r="30" spans="1:16" ht="52.05" customHeight="1">
      <c r="A30" s="22">
        <v>5</v>
      </c>
      <c r="B30" s="22" t="s">
        <v>242</v>
      </c>
      <c r="C30" s="22" t="s">
        <v>243</v>
      </c>
      <c r="D30" s="22" t="s">
        <v>244</v>
      </c>
      <c r="E30" s="22" t="s">
        <v>245</v>
      </c>
      <c r="F30" s="22" t="s">
        <v>1610</v>
      </c>
      <c r="G30" s="22" t="s">
        <v>2206</v>
      </c>
    </row>
    <row r="31" spans="1:16" ht="52.05" customHeight="1">
      <c r="A31" s="35">
        <v>6</v>
      </c>
      <c r="B31" s="35" t="inlineStr">
        <is>
          <t xml:space="preserve">W2-REVIEW-001</t>
        </is>
      </c>
      <c r="C31" s="35" t="s">
        <v>329</v>
      </c>
      <c r="D31" s="35" t="s">
        <v>2189</v>
      </c>
      <c r="E31" s="35" t="inlineStr">
        <is>
          <t xml:space="preserve">Week 2 sheet, evidence register, ADRs, TODOs and owner-supplied results</t>
        </is>
      </c>
      <c r="F31" s="35" t="inlineStr">
        <is>
          <t xml:space="preserve">docs/deployment-records/W2-signoff.md</t>
        </is>
      </c>
      <c r="G31" s="35" t="s">
        <v>2182</v>
      </c>
    </row>
    <row r="32" spans="1:16" ht="52.05" customHeight="1">
      <c r="A32" s="35">
        <v>7</v>
      </c>
      <c r="B32" s="35" t="s">
        <v>1493</v>
      </c>
      <c r="C32" s="35" t="s">
        <v>2207</v>
      </c>
      <c r="D32" s="35" t="s">
        <v>2192</v>
      </c>
      <c r="E32" s="35" t="s">
        <v>2193</v>
      </c>
      <c r="F32" s="35" t="s">
        <v>2208</v>
      </c>
      <c r="G32" s="35" t="s">
        <v>2195</v>
      </c>
    </row>
  </sheetData>
  <mergeCells count="9">
    <mergeCell ref="A23:O23"/>
    <mergeCell ref="A1:O1"/>
    <mergeCell ref="A2:O2"/>
    <mergeCell ref="A4:B4"/>
    <mergeCell ref="A5:B6"/>
    <mergeCell ref="D4:E4"/>
    <mergeCell ref="D5:E6"/>
    <mergeCell ref="G4:O4"/>
    <mergeCell ref="G5:O6"/>
  </mergeCells>
  <conditionalFormatting sqref="O10:O21">
    <cfRule type="containsText" dxfId="39" priority="1" operator="containsText" text="Done"/>
    <cfRule type="containsText" dxfId="38" priority="2" operator="containsText" text="Blocked"/>
    <cfRule type="containsText" dxfId="37" priority="3" operator="containsText" text="In Progress"/>
    <cfRule type="containsText" dxfId="36" priority="4" operator="containsText" text="Ready for Review"/>
  </conditionalFormatting>
  <dataValidations count="1">
    <dataValidation type="list" sqref="O10:O21"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6" t="s">
        <v>40</v>
      </c>
      <c r="B1" s="56"/>
      <c r="C1" s="56"/>
      <c r="D1" s="56"/>
      <c r="E1" s="56"/>
      <c r="F1" s="56"/>
      <c r="G1" s="56"/>
      <c r="H1" s="56"/>
      <c r="I1" s="56"/>
      <c r="J1" s="56"/>
      <c r="K1" s="56"/>
      <c r="L1" s="56"/>
      <c r="M1" s="56"/>
      <c r="N1" s="56"/>
      <c r="O1" s="56"/>
    </row>
    <row r="2" spans="1:16" ht="31.95" customHeight="1">
      <c r="A2" s="57" t="s">
        <v>41</v>
      </c>
      <c r="B2" s="57"/>
      <c r="C2" s="57"/>
      <c r="D2" s="57"/>
      <c r="E2" s="57"/>
      <c r="F2" s="57"/>
      <c r="G2" s="57"/>
      <c r="H2" s="57"/>
      <c r="I2" s="57"/>
      <c r="J2" s="57"/>
      <c r="K2" s="57"/>
      <c r="L2" s="57"/>
      <c r="M2" s="57"/>
      <c r="N2" s="57"/>
      <c r="O2" s="57"/>
    </row>
    <row r="4" spans="1:16" ht="28.05" customHeight="1">
      <c r="A4" s="58" t="s">
        <v>23</v>
      </c>
      <c r="B4" s="60"/>
      <c r="D4" s="58" t="s">
        <v>16</v>
      </c>
      <c r="E4" s="60"/>
      <c r="G4" s="58" t="s">
        <v>35</v>
      </c>
      <c r="H4" s="59"/>
      <c r="I4" s="59"/>
      <c r="J4" s="59"/>
      <c r="K4" s="59"/>
      <c r="L4" s="59"/>
      <c r="M4" s="59"/>
      <c r="N4" s="59"/>
      <c r="O4" s="60"/>
    </row>
    <row r="5" spans="1:16">
      <c r="A5" s="96">
        <f>IF(COUNTA(O10:O40)=0,0,COUNTIF(O10:O40,"Done")/COUNTA(A10:A40))</f>
        <v>0</v>
      </c>
      <c r="B5" s="97"/>
      <c r="D5" s="100">
        <f>COUNTIF(O10:O40,"Blocked")</f>
        <v>0</v>
      </c>
      <c r="E5" s="101"/>
      <c r="G5" s="104" t="s">
        <v>42</v>
      </c>
      <c r="H5" s="105"/>
      <c r="I5" s="105"/>
      <c r="J5" s="105"/>
      <c r="K5" s="105"/>
      <c r="L5" s="105"/>
      <c r="M5" s="105"/>
      <c r="N5" s="105"/>
      <c r="O5" s="106"/>
    </row>
    <row r="6" spans="1:16">
      <c r="A6" s="98"/>
      <c r="B6" s="99"/>
      <c r="D6" s="102"/>
      <c r="E6" s="103"/>
      <c r="G6" s="107"/>
      <c r="H6" s="108"/>
      <c r="I6" s="108"/>
      <c r="J6" s="108"/>
      <c r="K6" s="108"/>
      <c r="L6" s="108"/>
      <c r="M6" s="108"/>
      <c r="N6" s="108"/>
      <c r="O6" s="109"/>
    </row>
    <row r="9" spans="1:16" ht="28.05" customHeight="1">
      <c r="A9" s="1" t="s">
        <v>1353</v>
      </c>
      <c r="B9" s="2" t="s">
        <v>1354</v>
      </c>
      <c r="C9" s="2" t="s">
        <v>883</v>
      </c>
      <c r="D9" s="2" t="s">
        <v>1355</v>
      </c>
      <c r="E9" s="2" t="s">
        <v>826</v>
      </c>
      <c r="F9" s="2" t="s">
        <v>2172</v>
      </c>
      <c r="G9" s="2" t="s">
        <v>6</v>
      </c>
      <c r="H9" s="2" t="s">
        <v>2173</v>
      </c>
      <c r="I9" s="2" t="s">
        <v>2174</v>
      </c>
      <c r="J9" s="2" t="s">
        <v>2175</v>
      </c>
      <c r="K9" s="2" t="s">
        <v>2176</v>
      </c>
      <c r="L9" s="2" t="s">
        <v>2177</v>
      </c>
      <c r="M9" s="2" t="s">
        <v>2178</v>
      </c>
      <c r="N9" s="2" t="s">
        <v>2179</v>
      </c>
      <c r="O9" s="3" t="s">
        <v>354</v>
      </c>
      <c r="P9" s="29" t="s">
        <v>1365</v>
      </c>
    </row>
    <row r="10" spans="1:16" ht="110.4">
      <c r="A10" s="10" t="s">
        <v>1632</v>
      </c>
      <c r="B10" s="10">
        <v>1</v>
      </c>
      <c r="C10" s="10" t="s">
        <v>913</v>
      </c>
      <c r="D10" s="10" t="s">
        <v>1633</v>
      </c>
      <c r="E10" s="10" t="s">
        <v>1634</v>
      </c>
      <c r="F10" s="10" t="s">
        <v>1635</v>
      </c>
      <c r="G10" s="10" t="s">
        <v>1388</v>
      </c>
      <c r="H10" s="15">
        <v>1</v>
      </c>
      <c r="I10" s="10" t="s">
        <v>247</v>
      </c>
      <c r="J10" s="10" t="s">
        <v>741</v>
      </c>
      <c r="K10" s="10" t="s">
        <v>1636</v>
      </c>
      <c r="L10" s="10" t="s">
        <v>1637</v>
      </c>
      <c r="M10" s="10" t="s">
        <v>1639</v>
      </c>
      <c r="N10" s="10" t="s">
        <v>1641</v>
      </c>
      <c r="O10" s="10" t="s">
        <v>710</v>
      </c>
      <c r="P10" s="29" t="s">
        <v>1642</v>
      </c>
    </row>
    <row r="11" spans="1:16" ht="110.4">
      <c r="A11" s="11" t="s">
        <v>1643</v>
      </c>
      <c r="B11" s="11">
        <v>2</v>
      </c>
      <c r="C11" s="11" t="s">
        <v>913</v>
      </c>
      <c r="D11" s="11" t="s">
        <v>1644</v>
      </c>
      <c r="E11" s="11" t="s">
        <v>1645</v>
      </c>
      <c r="F11" s="11" t="s">
        <v>1646</v>
      </c>
      <c r="G11" s="11" t="s">
        <v>1388</v>
      </c>
      <c r="H11" s="16">
        <v>1.25</v>
      </c>
      <c r="I11" s="11" t="s">
        <v>247</v>
      </c>
      <c r="J11" s="11" t="s">
        <v>1647</v>
      </c>
      <c r="K11" s="11" t="s">
        <v>1648</v>
      </c>
      <c r="L11" s="11" t="s">
        <v>1649</v>
      </c>
      <c r="M11" s="11" t="s">
        <v>1651</v>
      </c>
      <c r="N11" s="11" t="s">
        <v>1652</v>
      </c>
      <c r="O11" s="11" t="s">
        <v>710</v>
      </c>
      <c r="P11" s="29" t="s">
        <v>1653</v>
      </c>
    </row>
    <row r="12" spans="1:16" ht="110.4">
      <c r="A12" s="11" t="s">
        <v>1654</v>
      </c>
      <c r="B12" s="11">
        <v>3</v>
      </c>
      <c r="C12" s="11" t="s">
        <v>913</v>
      </c>
      <c r="D12" s="11" t="s">
        <v>1655</v>
      </c>
      <c r="E12" s="11" t="s">
        <v>1656</v>
      </c>
      <c r="F12" s="11" t="s">
        <v>1657</v>
      </c>
      <c r="G12" s="11" t="s">
        <v>1388</v>
      </c>
      <c r="H12" s="16">
        <v>0.75</v>
      </c>
      <c r="I12" s="11" t="s">
        <v>247</v>
      </c>
      <c r="J12" s="11" t="s">
        <v>1372</v>
      </c>
      <c r="K12" s="11" t="s">
        <v>1658</v>
      </c>
      <c r="L12" s="11" t="s">
        <v>1659</v>
      </c>
      <c r="M12" s="11" t="s">
        <v>1661</v>
      </c>
      <c r="N12" s="11" t="s">
        <v>1662</v>
      </c>
      <c r="O12" s="11" t="s">
        <v>710</v>
      </c>
      <c r="P12" s="29" t="s">
        <v>1663</v>
      </c>
    </row>
    <row r="13" spans="1:16" ht="110.4">
      <c r="A13" s="11" t="s">
        <v>1664</v>
      </c>
      <c r="B13" s="11">
        <v>4</v>
      </c>
      <c r="C13" s="11" t="s">
        <v>913</v>
      </c>
      <c r="D13" s="11" t="s">
        <v>1665</v>
      </c>
      <c r="E13" s="11" t="s">
        <v>1666</v>
      </c>
      <c r="F13" s="11" t="s">
        <v>1667</v>
      </c>
      <c r="G13" s="11" t="s">
        <v>1388</v>
      </c>
      <c r="H13" s="16">
        <v>1.5</v>
      </c>
      <c r="I13" s="11" t="s">
        <v>247</v>
      </c>
      <c r="J13" s="11" t="s">
        <v>788</v>
      </c>
      <c r="K13" s="11" t="s">
        <v>1668</v>
      </c>
      <c r="L13" s="11" t="s">
        <v>425</v>
      </c>
      <c r="M13" s="11" t="s">
        <v>1670</v>
      </c>
      <c r="N13" s="11" t="s">
        <v>1672</v>
      </c>
      <c r="O13" s="11" t="s">
        <v>710</v>
      </c>
      <c r="P13" s="29" t="s">
        <v>1673</v>
      </c>
    </row>
    <row r="14" spans="1:16" ht="110.4">
      <c r="A14" s="11" t="s">
        <v>1674</v>
      </c>
      <c r="B14" s="11">
        <v>5</v>
      </c>
      <c r="C14" s="11" t="s">
        <v>913</v>
      </c>
      <c r="D14" s="11" t="s">
        <v>947</v>
      </c>
      <c r="E14" s="11" t="s">
        <v>1675</v>
      </c>
      <c r="F14" s="11" t="s">
        <v>1676</v>
      </c>
      <c r="G14" s="11" t="s">
        <v>1388</v>
      </c>
      <c r="H14" s="16">
        <v>1</v>
      </c>
      <c r="I14" s="11" t="s">
        <v>257</v>
      </c>
      <c r="J14" s="11" t="s">
        <v>1677</v>
      </c>
      <c r="K14" s="11" t="s">
        <v>1678</v>
      </c>
      <c r="L14" s="11" t="s">
        <v>1679</v>
      </c>
      <c r="M14" s="11" t="s">
        <v>1681</v>
      </c>
      <c r="N14" s="11" t="s">
        <v>1682</v>
      </c>
      <c r="O14" s="11" t="s">
        <v>710</v>
      </c>
      <c r="P14" s="29" t="s">
        <v>1683</v>
      </c>
    </row>
    <row r="15" spans="1:16" ht="110.4">
      <c r="A15" s="11" t="s">
        <v>1684</v>
      </c>
      <c r="B15" s="11">
        <v>6</v>
      </c>
      <c r="C15" s="11" t="s">
        <v>913</v>
      </c>
      <c r="D15" s="11" t="s">
        <v>1685</v>
      </c>
      <c r="E15" s="11" t="s">
        <v>1686</v>
      </c>
      <c r="F15" s="11" t="s">
        <v>1687</v>
      </c>
      <c r="G15" s="11" t="s">
        <v>576</v>
      </c>
      <c r="H15" s="16">
        <v>1.25</v>
      </c>
      <c r="I15" s="11" t="s">
        <v>252</v>
      </c>
      <c r="J15" s="11" t="s">
        <v>1688</v>
      </c>
      <c r="K15" s="11" t="s">
        <v>1689</v>
      </c>
      <c r="L15" s="11" t="s">
        <v>1690</v>
      </c>
      <c r="M15" s="11" t="s">
        <v>1692</v>
      </c>
      <c r="N15" s="11" t="s">
        <v>1693</v>
      </c>
      <c r="O15" s="11" t="s">
        <v>710</v>
      </c>
      <c r="P15" s="29" t="s">
        <v>1694</v>
      </c>
    </row>
    <row r="16" spans="1:16" ht="110.4">
      <c r="A16" s="11" t="s">
        <v>1695</v>
      </c>
      <c r="B16" s="11">
        <v>7</v>
      </c>
      <c r="C16" s="11" t="s">
        <v>913</v>
      </c>
      <c r="D16" s="11" t="s">
        <v>1696</v>
      </c>
      <c r="E16" s="11" t="s">
        <v>1697</v>
      </c>
      <c r="F16" s="11" t="s">
        <v>1698</v>
      </c>
      <c r="G16" s="11" t="s">
        <v>1388</v>
      </c>
      <c r="H16" s="16">
        <v>1.5</v>
      </c>
      <c r="I16" s="11" t="s">
        <v>252</v>
      </c>
      <c r="J16" s="11" t="s">
        <v>716</v>
      </c>
      <c r="K16" s="11" t="s">
        <v>1699</v>
      </c>
      <c r="L16" s="11" t="s">
        <v>1700</v>
      </c>
      <c r="M16" s="11" t="s">
        <v>438</v>
      </c>
      <c r="N16" s="11" t="s">
        <v>1703</v>
      </c>
      <c r="O16" s="11" t="s">
        <v>710</v>
      </c>
      <c r="P16" s="29" t="s">
        <v>1704</v>
      </c>
    </row>
    <row r="17" spans="1:16" ht="110.4">
      <c r="A17" s="11" t="s">
        <v>1705</v>
      </c>
      <c r="B17" s="11">
        <v>8</v>
      </c>
      <c r="C17" s="11" t="s">
        <v>913</v>
      </c>
      <c r="D17" s="11" t="s">
        <v>1706</v>
      </c>
      <c r="E17" s="11" t="s">
        <v>1707</v>
      </c>
      <c r="F17" s="11" t="s">
        <v>1708</v>
      </c>
      <c r="G17" s="11" t="s">
        <v>1388</v>
      </c>
      <c r="H17" s="16">
        <v>1</v>
      </c>
      <c r="I17" s="11" t="s">
        <v>257</v>
      </c>
      <c r="J17" s="11" t="s">
        <v>747</v>
      </c>
      <c r="K17" s="11" t="s">
        <v>1709</v>
      </c>
      <c r="L17" s="11" t="s">
        <v>430</v>
      </c>
      <c r="M17" s="11" t="s">
        <v>1711</v>
      </c>
      <c r="N17" s="11" t="s">
        <v>1712</v>
      </c>
      <c r="O17" s="11" t="s">
        <v>710</v>
      </c>
      <c r="P17" s="29" t="s">
        <v>1713</v>
      </c>
    </row>
    <row r="18" spans="1:16" ht="110.4">
      <c r="A18" s="11" t="s">
        <v>1714</v>
      </c>
      <c r="B18" s="11">
        <v>9</v>
      </c>
      <c r="C18" s="11" t="s">
        <v>913</v>
      </c>
      <c r="D18" s="11" t="s">
        <v>1284</v>
      </c>
      <c r="E18" s="11" t="s">
        <v>1715</v>
      </c>
      <c r="F18" s="11" t="s">
        <v>1716</v>
      </c>
      <c r="G18" s="11" t="s">
        <v>1388</v>
      </c>
      <c r="H18" s="16">
        <v>0.75</v>
      </c>
      <c r="I18" s="11" t="s">
        <v>277</v>
      </c>
      <c r="J18" s="11" t="s">
        <v>760</v>
      </c>
      <c r="K18" s="11" t="s">
        <v>1717</v>
      </c>
      <c r="L18" s="11" t="s">
        <v>1718</v>
      </c>
      <c r="M18" s="11" t="s">
        <v>1720</v>
      </c>
      <c r="N18" s="11" t="s">
        <v>1721</v>
      </c>
      <c r="O18" s="11" t="s">
        <v>710</v>
      </c>
      <c r="P18" s="29" t="s">
        <v>1722</v>
      </c>
    </row>
    <row r="19" spans="1:16" ht="110.4">
      <c r="A19" s="11" t="s">
        <v>1723</v>
      </c>
      <c r="B19" s="11">
        <v>10</v>
      </c>
      <c r="C19" s="11" t="s">
        <v>913</v>
      </c>
      <c r="D19" s="11" t="s">
        <v>1724</v>
      </c>
      <c r="E19" s="11" t="s">
        <v>1725</v>
      </c>
      <c r="F19" s="11" t="s">
        <v>1726</v>
      </c>
      <c r="G19" s="11" t="s">
        <v>1378</v>
      </c>
      <c r="H19" s="16">
        <v>0.75</v>
      </c>
      <c r="I19" s="11" t="s">
        <v>252</v>
      </c>
      <c r="J19" s="11" t="s">
        <v>764</v>
      </c>
      <c r="K19" s="11" t="s">
        <v>1727</v>
      </c>
      <c r="L19" s="11" t="s">
        <v>436</v>
      </c>
      <c r="M19" s="11" t="s">
        <v>1729</v>
      </c>
      <c r="N19" s="11" t="s">
        <v>1730</v>
      </c>
      <c r="O19" s="11" t="s">
        <v>710</v>
      </c>
      <c r="P19" s="29" t="s">
        <v>1731</v>
      </c>
    </row>
    <row r="20" spans="1:16" ht="110.4">
      <c r="A20" s="11" t="s">
        <v>266</v>
      </c>
      <c r="B20" s="11">
        <v>11</v>
      </c>
      <c r="C20" s="11" t="s">
        <v>913</v>
      </c>
      <c r="D20" s="11" t="s">
        <v>1732</v>
      </c>
      <c r="E20" s="11" t="s">
        <v>1733</v>
      </c>
      <c r="F20" s="11" t="s">
        <v>1734</v>
      </c>
      <c r="G20" s="11" t="s">
        <v>1378</v>
      </c>
      <c r="H20" s="16">
        <v>1</v>
      </c>
      <c r="I20" s="11" t="s">
        <v>262</v>
      </c>
      <c r="J20" s="11" t="s">
        <v>1372</v>
      </c>
      <c r="K20" s="11" t="s">
        <v>1735</v>
      </c>
      <c r="L20" s="11" t="s">
        <v>442</v>
      </c>
      <c r="M20" s="11" t="s">
        <v>444</v>
      </c>
      <c r="N20" s="11" t="s">
        <v>1737</v>
      </c>
      <c r="O20" s="11" t="s">
        <v>710</v>
      </c>
      <c r="P20" s="29" t="s">
        <v>1738</v>
      </c>
    </row>
    <row r="21" spans="1:16" ht="96.6">
      <c r="A21" s="11" t="s">
        <v>1739</v>
      </c>
      <c r="B21" s="11">
        <v>12</v>
      </c>
      <c r="C21" s="11" t="s">
        <v>913</v>
      </c>
      <c r="D21" s="11" t="s">
        <v>1478</v>
      </c>
      <c r="E21" s="11" t="s">
        <v>1740</v>
      </c>
      <c r="F21" s="11" t="s">
        <v>1741</v>
      </c>
      <c r="G21" s="11" t="s">
        <v>576</v>
      </c>
      <c r="H21" s="16">
        <v>0.75</v>
      </c>
      <c r="I21" s="11" t="inlineStr">
        <is>
          <t xml:space="preserve">W3-REVIEW-001</t>
        </is>
      </c>
      <c r="J21" s="11" t="s">
        <v>756</v>
      </c>
      <c r="K21" s="11" t="s">
        <v>1742</v>
      </c>
      <c r="L21" s="11" t="s">
        <v>1743</v>
      </c>
      <c r="M21" s="11" t="s">
        <v>1745</v>
      </c>
      <c r="N21" s="11" t="s">
        <v>1747</v>
      </c>
      <c r="O21" s="11" t="s">
        <v>710</v>
      </c>
      <c r="P21" s="29" t="s">
        <v>1748</v>
      </c>
    </row>
    <row r="22" spans="1:16" ht="82.8">
      <c r="A22" t="s">
        <v>1749</v>
      </c>
      <c r="B22">
        <v>13</v>
      </c>
      <c r="C22" t="s">
        <v>913</v>
      </c>
      <c r="D22" t="s">
        <v>1490</v>
      </c>
      <c r="E22" t="s">
        <v>1750</v>
      </c>
      <c r="F22" t="s">
        <v>1751</v>
      </c>
      <c r="G22" t="s">
        <v>1378</v>
      </c>
      <c r="H22">
        <v>1</v>
      </c>
      <c r="I22" t="s">
        <v>1493</v>
      </c>
      <c r="J22" t="s">
        <v>1372</v>
      </c>
      <c r="K22" t="s">
        <v>1752</v>
      </c>
      <c r="L22" t="s">
        <v>1495</v>
      </c>
      <c r="M22" t="s">
        <v>1753</v>
      </c>
      <c r="N22" t="s">
        <v>1499</v>
      </c>
      <c r="O22" t="s">
        <v>710</v>
      </c>
      <c r="P22" s="29" t="s">
        <v>1756</v>
      </c>
    </row>
    <row r="23" spans="1:16" ht="24" customHeight="1">
      <c r="A23" s="94"/>
      <c r="B23" s="94"/>
      <c r="C23" s="94"/>
      <c r="D23" s="94"/>
      <c r="E23" s="94"/>
      <c r="F23" s="94"/>
      <c r="G23" s="94"/>
      <c r="H23" s="95"/>
      <c r="I23" s="95"/>
      <c r="J23" s="95"/>
      <c r="K23" s="95"/>
      <c r="L23" s="95"/>
      <c r="M23" s="95"/>
      <c r="N23" s="95"/>
      <c r="O23" s="95"/>
    </row>
    <row r="24" spans="1:16" ht="34.049999999999997" customHeight="1">
      <c r="A24" s="30" t="s">
        <v>2180</v>
      </c>
      <c r="B24" s="30"/>
      <c r="C24" s="30"/>
      <c r="D24" s="30"/>
      <c r="E24" s="30"/>
      <c r="F24" s="30"/>
      <c r="G24" s="30"/>
      <c r="H24" s="31"/>
      <c r="I24" s="31"/>
      <c r="J24" s="31"/>
      <c r="K24" s="31"/>
      <c r="L24" s="31"/>
      <c r="M24" s="31"/>
      <c r="N24" s="31"/>
      <c r="O24" s="31"/>
      <c r="P24" s="31"/>
    </row>
    <row r="25" spans="1:16" ht="48" customHeight="1">
      <c r="A25" s="33" t="s">
        <v>825</v>
      </c>
      <c r="B25" s="33" t="s">
        <v>183</v>
      </c>
      <c r="C25" s="33" t="s">
        <v>184</v>
      </c>
      <c r="D25" s="33" t="s">
        <v>185</v>
      </c>
      <c r="E25" s="33" t="s">
        <v>186</v>
      </c>
      <c r="F25" s="33" t="s">
        <v>187</v>
      </c>
      <c r="G25" s="33" t="s">
        <v>189</v>
      </c>
    </row>
    <row r="26" spans="1:16" ht="52.05" customHeight="1">
      <c r="A26" s="22">
        <v>1</v>
      </c>
      <c r="B26" s="22" t="s">
        <v>247</v>
      </c>
      <c r="C26" s="22" t="s">
        <v>248</v>
      </c>
      <c r="D26" s="22" t="s">
        <v>249</v>
      </c>
      <c r="E26" s="22" t="s">
        <v>250</v>
      </c>
      <c r="F26" s="22" t="s">
        <v>2209</v>
      </c>
      <c r="G26" s="22" t="s">
        <v>2185</v>
      </c>
    </row>
    <row r="27" spans="1:16" ht="52.05" customHeight="1">
      <c r="A27" s="34">
        <v>2</v>
      </c>
      <c r="B27" s="34" t="s">
        <v>252</v>
      </c>
      <c r="C27" s="34" t="s">
        <v>253</v>
      </c>
      <c r="D27" s="34" t="s">
        <v>254</v>
      </c>
      <c r="E27" s="34" t="s">
        <v>255</v>
      </c>
      <c r="F27" s="34" t="s">
        <v>2210</v>
      </c>
      <c r="G27" s="34" t="s">
        <v>2185</v>
      </c>
    </row>
    <row r="28" spans="1:16" ht="52.05" customHeight="1">
      <c r="A28" s="22">
        <v>3</v>
      </c>
      <c r="B28" s="22" t="s">
        <v>257</v>
      </c>
      <c r="C28" s="22" t="s">
        <v>258</v>
      </c>
      <c r="D28" s="22" t="s">
        <v>259</v>
      </c>
      <c r="E28" s="22" t="s">
        <v>260</v>
      </c>
      <c r="F28" s="22" t="s">
        <v>2211</v>
      </c>
      <c r="G28" s="22" t="s">
        <v>2185</v>
      </c>
    </row>
    <row r="29" spans="1:16" ht="52.05" customHeight="1">
      <c r="A29" s="34">
        <v>4</v>
      </c>
      <c r="B29" s="34" t="s">
        <v>262</v>
      </c>
      <c r="C29" s="34" t="s">
        <v>263</v>
      </c>
      <c r="D29" s="34" t="s">
        <v>264</v>
      </c>
      <c r="E29" s="34" t="s">
        <v>265</v>
      </c>
      <c r="F29" s="34" t="s">
        <v>2212</v>
      </c>
      <c r="G29" s="34" t="s">
        <v>2185</v>
      </c>
    </row>
    <row r="30" spans="1:16" ht="52.05" customHeight="1">
      <c r="A30" s="35">
        <v>5</v>
      </c>
      <c r="B30" s="35" t="inlineStr">
        <is>
          <t xml:space="preserve">W3-REVIEW-001</t>
        </is>
      </c>
      <c r="C30" s="35" t="s">
        <v>329</v>
      </c>
      <c r="D30" s="35" t="s">
        <v>2189</v>
      </c>
      <c r="E30" s="35" t="inlineStr">
        <is>
          <t xml:space="preserve">Week 3 sheet, evidence register, ADRs, TODOs and owner-supplied results</t>
        </is>
      </c>
      <c r="F30" s="35" t="inlineStr">
        <is>
          <t xml:space="preserve">docs/deployment-records/W3-signoff.md</t>
        </is>
      </c>
      <c r="G30" s="35" t="s">
        <v>2182</v>
      </c>
    </row>
    <row r="31" spans="1:16" ht="52.05" customHeight="1">
      <c r="A31" s="35">
        <v>6</v>
      </c>
      <c r="B31" s="35" t="s">
        <v>1493</v>
      </c>
      <c r="C31" s="35" t="s">
        <v>2213</v>
      </c>
      <c r="D31" s="35" t="s">
        <v>2192</v>
      </c>
      <c r="E31" s="35" t="s">
        <v>2193</v>
      </c>
      <c r="F31" s="35" t="s">
        <v>2214</v>
      </c>
      <c r="G31" s="35" t="s">
        <v>2195</v>
      </c>
    </row>
  </sheetData>
  <mergeCells count="9">
    <mergeCell ref="A23:O23"/>
    <mergeCell ref="A1:O1"/>
    <mergeCell ref="A2:O2"/>
    <mergeCell ref="A4:B4"/>
    <mergeCell ref="A5:B6"/>
    <mergeCell ref="D4:E4"/>
    <mergeCell ref="D5:E6"/>
    <mergeCell ref="G4:O4"/>
    <mergeCell ref="G5:O6"/>
  </mergeCells>
  <conditionalFormatting sqref="O10:O21">
    <cfRule type="containsText" dxfId="35" priority="1" operator="containsText" text="Done"/>
    <cfRule type="containsText" dxfId="34" priority="2" operator="containsText" text="Blocked"/>
    <cfRule type="containsText" dxfId="33" priority="3" operator="containsText" text="In Progress"/>
    <cfRule type="containsText" dxfId="32" priority="4" operator="containsText" text="Ready for Review"/>
  </conditionalFormatting>
  <dataValidations count="1">
    <dataValidation type="list" sqref="O10:O21"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6" t="s">
        <v>43</v>
      </c>
      <c r="B1" s="56"/>
      <c r="C1" s="56"/>
      <c r="D1" s="56"/>
      <c r="E1" s="56"/>
      <c r="F1" s="56"/>
      <c r="G1" s="56"/>
      <c r="H1" s="56"/>
      <c r="I1" s="56"/>
      <c r="J1" s="56"/>
      <c r="K1" s="56"/>
      <c r="L1" s="56"/>
      <c r="M1" s="56"/>
      <c r="N1" s="56"/>
      <c r="O1" s="56"/>
    </row>
    <row r="2" spans="1:16" ht="31.95" customHeight="1">
      <c r="A2" s="57" t="s">
        <v>44</v>
      </c>
      <c r="B2" s="57"/>
      <c r="C2" s="57"/>
      <c r="D2" s="57"/>
      <c r="E2" s="57"/>
      <c r="F2" s="57"/>
      <c r="G2" s="57"/>
      <c r="H2" s="57"/>
      <c r="I2" s="57"/>
      <c r="J2" s="57"/>
      <c r="K2" s="57"/>
      <c r="L2" s="57"/>
      <c r="M2" s="57"/>
      <c r="N2" s="57"/>
      <c r="O2" s="57"/>
    </row>
    <row r="4" spans="1:16" ht="28.05" customHeight="1">
      <c r="A4" s="58" t="s">
        <v>23</v>
      </c>
      <c r="B4" s="60"/>
      <c r="D4" s="58" t="s">
        <v>16</v>
      </c>
      <c r="E4" s="60"/>
      <c r="G4" s="58" t="s">
        <v>35</v>
      </c>
      <c r="H4" s="59"/>
      <c r="I4" s="59"/>
      <c r="J4" s="59"/>
      <c r="K4" s="59"/>
      <c r="L4" s="59"/>
      <c r="M4" s="59"/>
      <c r="N4" s="59"/>
      <c r="O4" s="60"/>
    </row>
    <row r="5" spans="1:16">
      <c r="A5" s="96">
        <f>IF(COUNTA(O10:O40)=0,0,COUNTIF(O10:O40,"Done")/COUNTA(A10:A40))</f>
        <v>0</v>
      </c>
      <c r="B5" s="97"/>
      <c r="D5" s="100">
        <f>COUNTIF(O10:O40,"Blocked")</f>
        <v>0</v>
      </c>
      <c r="E5" s="101"/>
      <c r="G5" s="104" t="s">
        <v>45</v>
      </c>
      <c r="H5" s="105"/>
      <c r="I5" s="105"/>
      <c r="J5" s="105"/>
      <c r="K5" s="105"/>
      <c r="L5" s="105"/>
      <c r="M5" s="105"/>
      <c r="N5" s="105"/>
      <c r="O5" s="106"/>
    </row>
    <row r="6" spans="1:16">
      <c r="A6" s="98"/>
      <c r="B6" s="99"/>
      <c r="D6" s="102"/>
      <c r="E6" s="103"/>
      <c r="G6" s="107"/>
      <c r="H6" s="108"/>
      <c r="I6" s="108"/>
      <c r="J6" s="108"/>
      <c r="K6" s="108"/>
      <c r="L6" s="108"/>
      <c r="M6" s="108"/>
      <c r="N6" s="108"/>
      <c r="O6" s="109"/>
    </row>
    <row r="9" spans="1:16" ht="28.05" customHeight="1">
      <c r="A9" s="1" t="s">
        <v>1353</v>
      </c>
      <c r="B9" s="2" t="s">
        <v>1354</v>
      </c>
      <c r="C9" s="2" t="s">
        <v>883</v>
      </c>
      <c r="D9" s="2" t="s">
        <v>1355</v>
      </c>
      <c r="E9" s="2" t="s">
        <v>826</v>
      </c>
      <c r="F9" s="2" t="s">
        <v>2172</v>
      </c>
      <c r="G9" s="2" t="s">
        <v>6</v>
      </c>
      <c r="H9" s="2" t="s">
        <v>2173</v>
      </c>
      <c r="I9" s="2" t="s">
        <v>2174</v>
      </c>
      <c r="J9" s="2" t="s">
        <v>2175</v>
      </c>
      <c r="K9" s="2" t="s">
        <v>2176</v>
      </c>
      <c r="L9" s="2" t="s">
        <v>2177</v>
      </c>
      <c r="M9" s="2" t="s">
        <v>2178</v>
      </c>
      <c r="N9" s="2" t="s">
        <v>2179</v>
      </c>
      <c r="O9" s="3" t="s">
        <v>354</v>
      </c>
      <c r="P9" s="29" t="s">
        <v>1365</v>
      </c>
    </row>
    <row r="10" spans="1:16" ht="110.4">
      <c r="A10" s="10" t="s">
        <v>1757</v>
      </c>
      <c r="B10" s="10">
        <v>1</v>
      </c>
      <c r="C10" s="10" t="s">
        <v>913</v>
      </c>
      <c r="D10" s="10" t="s">
        <v>1758</v>
      </c>
      <c r="E10" s="10" t="s">
        <v>1759</v>
      </c>
      <c r="F10" s="10" t="s">
        <v>1760</v>
      </c>
      <c r="G10" s="10" t="s">
        <v>1388</v>
      </c>
      <c r="H10" s="15">
        <v>1.5</v>
      </c>
      <c r="I10" s="10" t="s">
        <v>267</v>
      </c>
      <c r="J10" s="10" t="s">
        <v>747</v>
      </c>
      <c r="K10" s="10" t="s">
        <v>1761</v>
      </c>
      <c r="L10" s="10" t="s">
        <v>447</v>
      </c>
      <c r="M10" s="10" t="s">
        <v>1763</v>
      </c>
      <c r="N10" s="10" t="s">
        <v>1764</v>
      </c>
      <c r="O10" s="10" t="s">
        <v>710</v>
      </c>
      <c r="P10" s="29" t="s">
        <v>1765</v>
      </c>
    </row>
    <row r="11" spans="1:16" ht="110.4">
      <c r="A11" s="11" t="s">
        <v>1766</v>
      </c>
      <c r="B11" s="11">
        <v>2</v>
      </c>
      <c r="C11" s="11" t="s">
        <v>913</v>
      </c>
      <c r="D11" s="11" t="s">
        <v>1572</v>
      </c>
      <c r="E11" s="11" t="s">
        <v>1767</v>
      </c>
      <c r="F11" s="11" t="s">
        <v>1768</v>
      </c>
      <c r="G11" s="11" t="s">
        <v>1388</v>
      </c>
      <c r="H11" s="16">
        <v>1</v>
      </c>
      <c r="I11" s="11" t="s">
        <v>267</v>
      </c>
      <c r="J11" s="11" t="s">
        <v>747</v>
      </c>
      <c r="K11" s="11" t="s">
        <v>1769</v>
      </c>
      <c r="L11" s="11" t="s">
        <v>1770</v>
      </c>
      <c r="M11" s="11" t="s">
        <v>1772</v>
      </c>
      <c r="N11" s="11" t="s">
        <v>1773</v>
      </c>
      <c r="O11" s="11" t="s">
        <v>710</v>
      </c>
      <c r="P11" s="29" t="s">
        <v>1774</v>
      </c>
    </row>
    <row r="12" spans="1:16" ht="110.4">
      <c r="A12" s="11" t="s">
        <v>1775</v>
      </c>
      <c r="B12" s="11">
        <v>3</v>
      </c>
      <c r="C12" s="11" t="s">
        <v>913</v>
      </c>
      <c r="D12" s="11" t="s">
        <v>1776</v>
      </c>
      <c r="E12" s="11" t="s">
        <v>1777</v>
      </c>
      <c r="F12" s="11" t="s">
        <v>1778</v>
      </c>
      <c r="G12" s="11" t="s">
        <v>1388</v>
      </c>
      <c r="H12" s="16">
        <v>1.25</v>
      </c>
      <c r="I12" s="11" t="s">
        <v>272</v>
      </c>
      <c r="J12" s="11" t="s">
        <v>756</v>
      </c>
      <c r="K12" s="11" t="s">
        <v>1779</v>
      </c>
      <c r="L12" s="11" t="s">
        <v>1780</v>
      </c>
      <c r="M12" s="11" t="s">
        <v>1782</v>
      </c>
      <c r="N12" s="11" t="s">
        <v>1783</v>
      </c>
      <c r="O12" s="11" t="s">
        <v>710</v>
      </c>
      <c r="P12" s="29" t="s">
        <v>1784</v>
      </c>
    </row>
    <row r="13" spans="1:16" ht="110.4">
      <c r="A13" s="11" t="s">
        <v>1785</v>
      </c>
      <c r="B13" s="11">
        <v>4</v>
      </c>
      <c r="C13" s="11" t="s">
        <v>913</v>
      </c>
      <c r="D13" s="11" t="s">
        <v>1786</v>
      </c>
      <c r="E13" s="11" t="s">
        <v>1787</v>
      </c>
      <c r="F13" s="11" t="s">
        <v>1788</v>
      </c>
      <c r="G13" s="11" t="s">
        <v>1388</v>
      </c>
      <c r="H13" s="16">
        <v>0.75</v>
      </c>
      <c r="I13" s="11" t="s">
        <v>272</v>
      </c>
      <c r="J13" s="11" t="s">
        <v>1372</v>
      </c>
      <c r="K13" s="11" t="s">
        <v>1789</v>
      </c>
      <c r="L13" s="11" t="s">
        <v>1790</v>
      </c>
      <c r="M13" s="11" t="s">
        <v>1792</v>
      </c>
      <c r="N13" s="11" t="s">
        <v>1793</v>
      </c>
      <c r="O13" s="11" t="s">
        <v>710</v>
      </c>
      <c r="P13" s="29" t="s">
        <v>1794</v>
      </c>
    </row>
    <row r="14" spans="1:16" ht="110.4">
      <c r="A14" s="11" t="s">
        <v>1795</v>
      </c>
      <c r="B14" s="11">
        <v>5</v>
      </c>
      <c r="C14" s="11" t="s">
        <v>913</v>
      </c>
      <c r="D14" s="11" t="s">
        <v>1796</v>
      </c>
      <c r="E14" s="11" t="s">
        <v>1797</v>
      </c>
      <c r="F14" s="11" t="s">
        <v>1798</v>
      </c>
      <c r="G14" s="11" t="s">
        <v>1388</v>
      </c>
      <c r="H14" s="16">
        <v>1.25</v>
      </c>
      <c r="I14" s="11" t="s">
        <v>272</v>
      </c>
      <c r="J14" s="11" t="s">
        <v>756</v>
      </c>
      <c r="K14" s="11" t="s">
        <v>1799</v>
      </c>
      <c r="L14" s="11" t="s">
        <v>452</v>
      </c>
      <c r="M14" s="11" t="s">
        <v>1801</v>
      </c>
      <c r="N14" s="11" t="s">
        <v>1803</v>
      </c>
      <c r="O14" s="11" t="s">
        <v>710</v>
      </c>
      <c r="P14" s="29" t="s">
        <v>1804</v>
      </c>
    </row>
    <row r="15" spans="1:16" ht="110.4">
      <c r="A15" s="11" t="s">
        <v>1805</v>
      </c>
      <c r="B15" s="11">
        <v>6</v>
      </c>
      <c r="C15" s="11" t="s">
        <v>913</v>
      </c>
      <c r="D15" s="11" t="s">
        <v>1806</v>
      </c>
      <c r="E15" s="11" t="s">
        <v>1807</v>
      </c>
      <c r="F15" s="11" t="s">
        <v>1808</v>
      </c>
      <c r="G15" s="11" t="s">
        <v>1388</v>
      </c>
      <c r="H15" s="16">
        <v>1</v>
      </c>
      <c r="I15" s="11" t="s">
        <v>272</v>
      </c>
      <c r="J15" s="11" t="s">
        <v>767</v>
      </c>
      <c r="K15" s="11" t="s">
        <v>1809</v>
      </c>
      <c r="L15" s="11" t="s">
        <v>1810</v>
      </c>
      <c r="M15" s="11" t="s">
        <v>1812</v>
      </c>
      <c r="N15" s="11" t="s">
        <v>1813</v>
      </c>
      <c r="O15" s="11" t="s">
        <v>710</v>
      </c>
      <c r="P15" s="29" t="s">
        <v>1814</v>
      </c>
    </row>
    <row r="16" spans="1:16" ht="110.4">
      <c r="A16" s="11" t="s">
        <v>1815</v>
      </c>
      <c r="B16" s="11">
        <v>7</v>
      </c>
      <c r="C16" s="11" t="s">
        <v>913</v>
      </c>
      <c r="D16" s="11" t="s">
        <v>1816</v>
      </c>
      <c r="E16" s="11" t="s">
        <v>1817</v>
      </c>
      <c r="F16" s="11" t="s">
        <v>1818</v>
      </c>
      <c r="G16" s="11" t="s">
        <v>1388</v>
      </c>
      <c r="H16" s="16">
        <v>0.75</v>
      </c>
      <c r="I16" s="11" t="s">
        <v>272</v>
      </c>
      <c r="J16" s="11" t="s">
        <v>774</v>
      </c>
      <c r="K16" s="11" t="s">
        <v>1819</v>
      </c>
      <c r="L16" s="11" t="s">
        <v>1820</v>
      </c>
      <c r="M16" s="11" t="s">
        <v>1822</v>
      </c>
      <c r="N16" s="11" t="s">
        <v>1823</v>
      </c>
      <c r="O16" s="11" t="s">
        <v>710</v>
      </c>
      <c r="P16" s="29" t="s">
        <v>1824</v>
      </c>
    </row>
    <row r="17" spans="1:16" ht="110.4">
      <c r="A17" s="11" t="s">
        <v>1825</v>
      </c>
      <c r="B17" s="11">
        <v>8</v>
      </c>
      <c r="C17" s="11" t="s">
        <v>913</v>
      </c>
      <c r="D17" s="11" t="s">
        <v>461</v>
      </c>
      <c r="E17" s="11" t="s">
        <v>1826</v>
      </c>
      <c r="F17" s="11" t="s">
        <v>1827</v>
      </c>
      <c r="G17" s="11" t="s">
        <v>1388</v>
      </c>
      <c r="H17" s="16">
        <v>1</v>
      </c>
      <c r="I17" s="11" t="s">
        <v>277</v>
      </c>
      <c r="J17" s="11" t="s">
        <v>760</v>
      </c>
      <c r="K17" s="11" t="s">
        <v>1828</v>
      </c>
      <c r="L17" s="11" t="s">
        <v>1829</v>
      </c>
      <c r="M17" s="11" t="s">
        <v>1831</v>
      </c>
      <c r="N17" s="11" t="s">
        <v>1833</v>
      </c>
      <c r="O17" s="11" t="s">
        <v>710</v>
      </c>
      <c r="P17" s="29" t="s">
        <v>1834</v>
      </c>
    </row>
    <row r="18" spans="1:16" ht="110.4">
      <c r="A18" s="11" t="s">
        <v>1835</v>
      </c>
      <c r="B18" s="11">
        <v>9</v>
      </c>
      <c r="C18" s="11" t="s">
        <v>913</v>
      </c>
      <c r="D18" s="11" t="s">
        <v>1836</v>
      </c>
      <c r="E18" s="11" t="s">
        <v>1837</v>
      </c>
      <c r="F18" s="11" t="s">
        <v>1838</v>
      </c>
      <c r="G18" s="11" t="s">
        <v>1388</v>
      </c>
      <c r="H18" s="16">
        <v>1</v>
      </c>
      <c r="I18" s="11" t="s">
        <v>272</v>
      </c>
      <c r="J18" s="11" t="s">
        <v>1372</v>
      </c>
      <c r="K18" s="11" t="s">
        <v>1839</v>
      </c>
      <c r="L18" s="11" t="s">
        <v>1840</v>
      </c>
      <c r="M18" s="11" t="s">
        <v>1842</v>
      </c>
      <c r="N18" s="11" t="s">
        <v>1845</v>
      </c>
      <c r="O18" s="11" t="s">
        <v>710</v>
      </c>
      <c r="P18" s="29" t="s">
        <v>1846</v>
      </c>
    </row>
    <row r="19" spans="1:16" ht="110.4">
      <c r="A19" s="11" t="s">
        <v>1847</v>
      </c>
      <c r="B19" s="11">
        <v>10</v>
      </c>
      <c r="C19" s="11" t="s">
        <v>953</v>
      </c>
      <c r="D19" s="11" t="s">
        <v>1848</v>
      </c>
      <c r="E19" s="11" t="s">
        <v>1849</v>
      </c>
      <c r="F19" s="11" t="s">
        <v>1850</v>
      </c>
      <c r="G19" s="11" t="s">
        <v>1388</v>
      </c>
      <c r="H19" s="16">
        <v>0.75</v>
      </c>
      <c r="I19" s="11" t="s">
        <v>267</v>
      </c>
      <c r="J19" s="11" t="s">
        <v>767</v>
      </c>
      <c r="K19" s="11" t="s">
        <v>1851</v>
      </c>
      <c r="L19" s="11" t="s">
        <v>1852</v>
      </c>
      <c r="M19" s="11" t="s">
        <v>1854</v>
      </c>
      <c r="N19" s="11" t="s">
        <v>1857</v>
      </c>
      <c r="O19" s="11" t="s">
        <v>710</v>
      </c>
      <c r="P19" s="29" t="s">
        <v>1858</v>
      </c>
    </row>
    <row r="20" spans="1:16" ht="110.4">
      <c r="A20" s="11" t="s">
        <v>286</v>
      </c>
      <c r="B20" s="11">
        <v>11</v>
      </c>
      <c r="C20" s="11" t="s">
        <v>913</v>
      </c>
      <c r="D20" s="11" t="s">
        <v>802</v>
      </c>
      <c r="E20" s="11" t="s">
        <v>1859</v>
      </c>
      <c r="F20" s="11" t="s">
        <v>1860</v>
      </c>
      <c r="G20" s="11" t="s">
        <v>1378</v>
      </c>
      <c r="H20" s="16">
        <v>1</v>
      </c>
      <c r="I20" s="11" t="s">
        <v>282</v>
      </c>
      <c r="J20" s="11" t="s">
        <v>1372</v>
      </c>
      <c r="K20" s="11" t="s">
        <v>1861</v>
      </c>
      <c r="L20" s="11" t="s">
        <v>468</v>
      </c>
      <c r="M20" s="11" t="s">
        <v>470</v>
      </c>
      <c r="N20" s="11" t="s">
        <v>1864</v>
      </c>
      <c r="O20" s="11" t="s">
        <v>710</v>
      </c>
      <c r="P20" s="29" t="s">
        <v>1865</v>
      </c>
    </row>
    <row r="21" spans="1:16" ht="96.6">
      <c r="A21" s="11" t="s">
        <v>1866</v>
      </c>
      <c r="B21" s="11">
        <v>12</v>
      </c>
      <c r="C21" s="11" t="s">
        <v>913</v>
      </c>
      <c r="D21" s="11" t="s">
        <v>1478</v>
      </c>
      <c r="E21" s="11" t="s">
        <v>1867</v>
      </c>
      <c r="F21" s="11" t="s">
        <v>1868</v>
      </c>
      <c r="G21" s="11" t="s">
        <v>576</v>
      </c>
      <c r="H21" s="16">
        <v>0.75</v>
      </c>
      <c r="I21" s="11" t="inlineStr">
        <is>
          <t xml:space="preserve">W4-REVIEW-001</t>
        </is>
      </c>
      <c r="J21" s="11" t="s">
        <v>1869</v>
      </c>
      <c r="K21" s="11" t="s">
        <v>1870</v>
      </c>
      <c r="L21" s="11" t="s">
        <v>1871</v>
      </c>
      <c r="M21" s="11" t="s">
        <v>1873</v>
      </c>
      <c r="N21" s="11" t="s">
        <v>1875</v>
      </c>
      <c r="O21" s="11" t="s">
        <v>710</v>
      </c>
      <c r="P21" s="29" t="s">
        <v>1876</v>
      </c>
    </row>
    <row r="22" spans="1:16" ht="82.8">
      <c r="A22" t="s">
        <v>1877</v>
      </c>
      <c r="B22">
        <v>13</v>
      </c>
      <c r="C22" t="s">
        <v>913</v>
      </c>
      <c r="D22" t="s">
        <v>1490</v>
      </c>
      <c r="E22" t="s">
        <v>1878</v>
      </c>
      <c r="F22" t="s">
        <v>1879</v>
      </c>
      <c r="G22" t="s">
        <v>1378</v>
      </c>
      <c r="H22">
        <v>1</v>
      </c>
      <c r="I22" t="s">
        <v>1493</v>
      </c>
      <c r="J22" t="s">
        <v>1372</v>
      </c>
      <c r="K22" t="s">
        <v>1880</v>
      </c>
      <c r="L22" t="s">
        <v>1495</v>
      </c>
      <c r="M22" t="s">
        <v>1881</v>
      </c>
      <c r="N22" t="s">
        <v>1499</v>
      </c>
      <c r="O22" t="s">
        <v>710</v>
      </c>
      <c r="P22" s="29" t="s">
        <v>1884</v>
      </c>
    </row>
    <row r="23" spans="1:16" ht="24" customHeight="1">
      <c r="A23" s="94"/>
      <c r="B23" s="94"/>
      <c r="C23" s="94"/>
      <c r="D23" s="94"/>
      <c r="E23" s="94"/>
      <c r="F23" s="94"/>
      <c r="G23" s="94"/>
      <c r="H23" s="95"/>
      <c r="I23" s="95"/>
      <c r="J23" s="95"/>
      <c r="K23" s="95"/>
      <c r="L23" s="95"/>
      <c r="M23" s="95"/>
      <c r="N23" s="95"/>
      <c r="O23" s="95"/>
    </row>
    <row r="24" spans="1:16" ht="34.049999999999997" customHeight="1">
      <c r="A24" s="30" t="s">
        <v>2180</v>
      </c>
      <c r="B24" s="30"/>
      <c r="C24" s="30"/>
      <c r="D24" s="30"/>
      <c r="E24" s="30"/>
      <c r="F24" s="30"/>
      <c r="G24" s="30"/>
      <c r="H24" s="31"/>
      <c r="I24" s="31"/>
      <c r="J24" s="31"/>
      <c r="K24" s="31"/>
      <c r="L24" s="31"/>
      <c r="M24" s="31"/>
      <c r="N24" s="31"/>
      <c r="O24" s="31"/>
      <c r="P24" s="31"/>
    </row>
    <row r="25" spans="1:16" ht="48" customHeight="1">
      <c r="A25" s="33" t="s">
        <v>825</v>
      </c>
      <c r="B25" s="33" t="s">
        <v>183</v>
      </c>
      <c r="C25" s="33" t="s">
        <v>184</v>
      </c>
      <c r="D25" s="33" t="s">
        <v>185</v>
      </c>
      <c r="E25" s="33" t="s">
        <v>186</v>
      </c>
      <c r="F25" s="33" t="s">
        <v>187</v>
      </c>
      <c r="G25" s="33" t="s">
        <v>189</v>
      </c>
    </row>
    <row r="26" spans="1:16" ht="52.05" customHeight="1">
      <c r="A26" s="22">
        <v>1</v>
      </c>
      <c r="B26" s="22" t="s">
        <v>267</v>
      </c>
      <c r="C26" s="22" t="s">
        <v>268</v>
      </c>
      <c r="D26" s="22" t="s">
        <v>269</v>
      </c>
      <c r="E26" s="22" t="s">
        <v>270</v>
      </c>
      <c r="F26" s="22" t="s">
        <v>2215</v>
      </c>
      <c r="G26" s="22" t="s">
        <v>2185</v>
      </c>
    </row>
    <row r="27" spans="1:16" ht="52.05" customHeight="1">
      <c r="A27" s="34">
        <v>2</v>
      </c>
      <c r="B27" s="34" t="s">
        <v>272</v>
      </c>
      <c r="C27" s="34" t="s">
        <v>273</v>
      </c>
      <c r="D27" s="34" t="s">
        <v>274</v>
      </c>
      <c r="E27" s="34" t="s">
        <v>275</v>
      </c>
      <c r="F27" s="34" t="s">
        <v>2216</v>
      </c>
      <c r="G27" s="34" t="s">
        <v>2185</v>
      </c>
    </row>
    <row r="28" spans="1:16" ht="52.05" customHeight="1">
      <c r="A28" s="22">
        <v>3</v>
      </c>
      <c r="B28" s="22" t="s">
        <v>277</v>
      </c>
      <c r="C28" s="22" t="s">
        <v>278</v>
      </c>
      <c r="D28" s="22" t="s">
        <v>279</v>
      </c>
      <c r="E28" s="22" t="s">
        <v>280</v>
      </c>
      <c r="F28" s="22" t="s">
        <v>2217</v>
      </c>
      <c r="G28" s="22" t="s">
        <v>2185</v>
      </c>
    </row>
    <row r="29" spans="1:16" ht="52.05" customHeight="1">
      <c r="A29" s="34">
        <v>4</v>
      </c>
      <c r="B29" s="34" t="s">
        <v>282</v>
      </c>
      <c r="C29" s="34" t="s">
        <v>283</v>
      </c>
      <c r="D29" s="34" t="s">
        <v>284</v>
      </c>
      <c r="E29" s="34" t="s">
        <v>285</v>
      </c>
      <c r="F29" s="34" t="s">
        <v>2218</v>
      </c>
      <c r="G29" s="34" t="s">
        <v>2185</v>
      </c>
    </row>
    <row r="30" spans="1:16" ht="52.05" customHeight="1">
      <c r="A30" s="35">
        <v>5</v>
      </c>
      <c r="B30" s="35" t="inlineStr">
        <is>
          <t xml:space="preserve">W4-REVIEW-001</t>
        </is>
      </c>
      <c r="C30" s="35" t="s">
        <v>329</v>
      </c>
      <c r="D30" s="35" t="s">
        <v>2189</v>
      </c>
      <c r="E30" s="35" t="inlineStr">
        <is>
          <t xml:space="preserve">Week 4 sheet, evidence register, ADRs, TODOs and owner-supplied results</t>
        </is>
      </c>
      <c r="F30" s="35" t="inlineStr">
        <is>
          <t xml:space="preserve">docs/deployment-records/W4-signoff.md</t>
        </is>
      </c>
      <c r="G30" s="35" t="s">
        <v>2182</v>
      </c>
    </row>
    <row r="31" spans="1:16" ht="52.05" customHeight="1">
      <c r="A31" s="35">
        <v>6</v>
      </c>
      <c r="B31" s="35" t="s">
        <v>1493</v>
      </c>
      <c r="C31" s="35" t="s">
        <v>2219</v>
      </c>
      <c r="D31" s="35" t="s">
        <v>2192</v>
      </c>
      <c r="E31" s="35" t="s">
        <v>2193</v>
      </c>
      <c r="F31" s="35" t="s">
        <v>2220</v>
      </c>
      <c r="G31" s="35" t="s">
        <v>2195</v>
      </c>
    </row>
  </sheetData>
  <mergeCells count="9">
    <mergeCell ref="A23:O23"/>
    <mergeCell ref="A1:O1"/>
    <mergeCell ref="A2:O2"/>
    <mergeCell ref="A4:B4"/>
    <mergeCell ref="A5:B6"/>
    <mergeCell ref="D4:E4"/>
    <mergeCell ref="D5:E6"/>
    <mergeCell ref="G4:O4"/>
    <mergeCell ref="G5:O6"/>
  </mergeCells>
  <conditionalFormatting sqref="O10:O21">
    <cfRule type="containsText" dxfId="31" priority="1" operator="containsText" text="Done"/>
    <cfRule type="containsText" dxfId="30" priority="2" operator="containsText" text="Blocked"/>
    <cfRule type="containsText" dxfId="29" priority="3" operator="containsText" text="In Progress"/>
    <cfRule type="containsText" dxfId="28" priority="4" operator="containsText" text="Ready for Review"/>
  </conditionalFormatting>
  <dataValidations count="1">
    <dataValidation type="list" sqref="O10:O21"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6" t="s">
        <v>46</v>
      </c>
      <c r="B1" s="56"/>
      <c r="C1" s="56"/>
      <c r="D1" s="56"/>
      <c r="E1" s="56"/>
      <c r="F1" s="56"/>
      <c r="G1" s="56"/>
      <c r="H1" s="56"/>
      <c r="I1" s="56"/>
      <c r="J1" s="56"/>
      <c r="K1" s="56"/>
      <c r="L1" s="56"/>
      <c r="M1" s="56"/>
      <c r="N1" s="56"/>
      <c r="O1" s="56"/>
    </row>
    <row r="2" spans="1:16" ht="31.95" customHeight="1">
      <c r="A2" s="57" t="s">
        <v>47</v>
      </c>
      <c r="B2" s="57"/>
      <c r="C2" s="57"/>
      <c r="D2" s="57"/>
      <c r="E2" s="57"/>
      <c r="F2" s="57"/>
      <c r="G2" s="57"/>
      <c r="H2" s="57"/>
      <c r="I2" s="57"/>
      <c r="J2" s="57"/>
      <c r="K2" s="57"/>
      <c r="L2" s="57"/>
      <c r="M2" s="57"/>
      <c r="N2" s="57"/>
      <c r="O2" s="57"/>
    </row>
    <row r="4" spans="1:16" ht="28.05" customHeight="1">
      <c r="A4" s="58" t="s">
        <v>23</v>
      </c>
      <c r="B4" s="60"/>
      <c r="D4" s="58" t="s">
        <v>16</v>
      </c>
      <c r="E4" s="60"/>
      <c r="G4" s="58" t="s">
        <v>35</v>
      </c>
      <c r="H4" s="59"/>
      <c r="I4" s="59"/>
      <c r="J4" s="59"/>
      <c r="K4" s="59"/>
      <c r="L4" s="59"/>
      <c r="M4" s="59"/>
      <c r="N4" s="59"/>
      <c r="O4" s="60"/>
    </row>
    <row r="5" spans="1:16">
      <c r="A5" s="96">
        <f>IF(COUNTA(O10:O40)=0,0,COUNTIF(O10:O40,"Done")/COUNTA(A10:A40))</f>
        <v>0</v>
      </c>
      <c r="B5" s="97"/>
      <c r="D5" s="100">
        <f>COUNTIF(O10:O40,"Blocked")</f>
        <v>0</v>
      </c>
      <c r="E5" s="101"/>
      <c r="G5" s="104" t="s">
        <v>48</v>
      </c>
      <c r="H5" s="105"/>
      <c r="I5" s="105"/>
      <c r="J5" s="105"/>
      <c r="K5" s="105"/>
      <c r="L5" s="105"/>
      <c r="M5" s="105"/>
      <c r="N5" s="105"/>
      <c r="O5" s="106"/>
    </row>
    <row r="6" spans="1:16">
      <c r="A6" s="98"/>
      <c r="B6" s="99"/>
      <c r="D6" s="102"/>
      <c r="E6" s="103"/>
      <c r="G6" s="107"/>
      <c r="H6" s="108"/>
      <c r="I6" s="108"/>
      <c r="J6" s="108"/>
      <c r="K6" s="108"/>
      <c r="L6" s="108"/>
      <c r="M6" s="108"/>
      <c r="N6" s="108"/>
      <c r="O6" s="109"/>
    </row>
    <row r="9" spans="1:16" ht="28.05" customHeight="1">
      <c r="A9" s="1" t="s">
        <v>1353</v>
      </c>
      <c r="B9" s="2" t="s">
        <v>1354</v>
      </c>
      <c r="C9" s="2" t="s">
        <v>883</v>
      </c>
      <c r="D9" s="2" t="s">
        <v>1355</v>
      </c>
      <c r="E9" s="2" t="s">
        <v>826</v>
      </c>
      <c r="F9" s="2" t="s">
        <v>2172</v>
      </c>
      <c r="G9" s="2" t="s">
        <v>6</v>
      </c>
      <c r="H9" s="2" t="s">
        <v>2173</v>
      </c>
      <c r="I9" s="2" t="s">
        <v>2174</v>
      </c>
      <c r="J9" s="2" t="s">
        <v>2175</v>
      </c>
      <c r="K9" s="2" t="s">
        <v>2176</v>
      </c>
      <c r="L9" s="2" t="s">
        <v>2177</v>
      </c>
      <c r="M9" s="2" t="s">
        <v>2178</v>
      </c>
      <c r="N9" s="2" t="s">
        <v>2179</v>
      </c>
      <c r="O9" s="3" t="s">
        <v>354</v>
      </c>
      <c r="P9" s="29" t="s">
        <v>1365</v>
      </c>
    </row>
    <row r="10" spans="1:16" ht="96.6">
      <c r="A10" s="10" t="s">
        <v>291</v>
      </c>
      <c r="B10" s="10">
        <v>1</v>
      </c>
      <c r="C10" s="10" t="s">
        <v>913</v>
      </c>
      <c r="D10" s="10" t="s">
        <v>1885</v>
      </c>
      <c r="E10" s="10" t="s">
        <v>1886</v>
      </c>
      <c r="F10" s="10" t="s">
        <v>1887</v>
      </c>
      <c r="G10" s="10" t="s">
        <v>576</v>
      </c>
      <c r="H10" s="15">
        <v>1</v>
      </c>
      <c r="I10" s="10" t="s">
        <v>287</v>
      </c>
      <c r="J10" s="10" t="s">
        <v>1888</v>
      </c>
      <c r="K10" s="10" t="s">
        <v>1889</v>
      </c>
      <c r="L10" s="10" t="s">
        <v>1890</v>
      </c>
      <c r="M10" s="10" t="s">
        <v>1892</v>
      </c>
      <c r="N10" s="10" t="s">
        <v>1893</v>
      </c>
      <c r="O10" s="10" t="s">
        <v>710</v>
      </c>
      <c r="P10" s="29" t="s">
        <v>1894</v>
      </c>
    </row>
    <row r="11" spans="1:16" ht="124.2">
      <c r="A11" s="11" t="s">
        <v>1895</v>
      </c>
      <c r="B11" s="11">
        <v>2</v>
      </c>
      <c r="C11" s="11" t="s">
        <v>913</v>
      </c>
      <c r="D11" s="11" t="s">
        <v>1896</v>
      </c>
      <c r="E11" s="11" t="s">
        <v>1897</v>
      </c>
      <c r="F11" s="11" t="s">
        <v>1898</v>
      </c>
      <c r="G11" s="11" t="s">
        <v>1388</v>
      </c>
      <c r="H11" s="16">
        <v>1.25</v>
      </c>
      <c r="I11" s="11" t="s">
        <v>292</v>
      </c>
      <c r="J11" s="11" t="s">
        <v>1447</v>
      </c>
      <c r="K11" s="11" t="s">
        <v>1899</v>
      </c>
      <c r="L11" s="11" t="s">
        <v>1900</v>
      </c>
      <c r="M11" s="11" t="s">
        <v>1902</v>
      </c>
      <c r="N11" s="11" t="s">
        <v>1903</v>
      </c>
      <c r="O11" s="11" t="s">
        <v>710</v>
      </c>
      <c r="P11" s="29" t="s">
        <v>1904</v>
      </c>
    </row>
    <row r="12" spans="1:16" ht="110.4">
      <c r="A12" s="11" t="s">
        <v>1905</v>
      </c>
      <c r="B12" s="11">
        <v>3</v>
      </c>
      <c r="C12" s="11" t="s">
        <v>913</v>
      </c>
      <c r="D12" s="11" t="s">
        <v>1906</v>
      </c>
      <c r="E12" s="11" t="s">
        <v>1907</v>
      </c>
      <c r="F12" s="11" t="s">
        <v>1908</v>
      </c>
      <c r="G12" s="11" t="s">
        <v>1388</v>
      </c>
      <c r="H12" s="16">
        <v>1.25</v>
      </c>
      <c r="I12" s="11" t="s">
        <v>292</v>
      </c>
      <c r="J12" s="11" t="s">
        <v>1909</v>
      </c>
      <c r="K12" s="11" t="s">
        <v>1910</v>
      </c>
      <c r="L12" s="11" t="s">
        <v>1911</v>
      </c>
      <c r="M12" s="11" t="s">
        <v>1913</v>
      </c>
      <c r="N12" s="11" t="s">
        <v>1916</v>
      </c>
      <c r="O12" s="11" t="s">
        <v>710</v>
      </c>
      <c r="P12" s="29" t="s">
        <v>1917</v>
      </c>
    </row>
    <row r="13" spans="1:16" ht="110.4">
      <c r="A13" s="11" t="s">
        <v>1918</v>
      </c>
      <c r="B13" s="11">
        <v>4</v>
      </c>
      <c r="C13" s="11" t="s">
        <v>913</v>
      </c>
      <c r="D13" s="11" t="s">
        <v>1919</v>
      </c>
      <c r="E13" s="11" t="s">
        <v>1920</v>
      </c>
      <c r="F13" s="11" t="s">
        <v>1921</v>
      </c>
      <c r="G13" s="11" t="s">
        <v>1388</v>
      </c>
      <c r="H13" s="16">
        <v>1.25</v>
      </c>
      <c r="I13" s="11" t="s">
        <v>292</v>
      </c>
      <c r="J13" s="11" t="s">
        <v>1922</v>
      </c>
      <c r="K13" s="11" t="s">
        <v>1923</v>
      </c>
      <c r="L13" s="11" t="s">
        <v>1924</v>
      </c>
      <c r="M13" s="11" t="s">
        <v>1926</v>
      </c>
      <c r="N13" s="11" t="s">
        <v>1928</v>
      </c>
      <c r="O13" s="11" t="s">
        <v>710</v>
      </c>
      <c r="P13" s="29" t="s">
        <v>1929</v>
      </c>
    </row>
    <row r="14" spans="1:16" ht="110.4">
      <c r="A14" s="11" t="s">
        <v>1930</v>
      </c>
      <c r="B14" s="11">
        <v>5</v>
      </c>
      <c r="C14" s="11" t="s">
        <v>913</v>
      </c>
      <c r="D14" s="11" t="s">
        <v>1931</v>
      </c>
      <c r="E14" s="11" t="s">
        <v>1932</v>
      </c>
      <c r="F14" s="11" t="s">
        <v>1933</v>
      </c>
      <c r="G14" s="11" t="s">
        <v>1388</v>
      </c>
      <c r="H14" s="16">
        <v>1.5</v>
      </c>
      <c r="I14" s="11" t="s">
        <v>292</v>
      </c>
      <c r="J14" s="11" t="s">
        <v>1934</v>
      </c>
      <c r="K14" s="11" t="s">
        <v>1935</v>
      </c>
      <c r="L14" s="11" t="s">
        <v>1936</v>
      </c>
      <c r="M14" s="11" t="s">
        <v>1938</v>
      </c>
      <c r="N14" s="11" t="s">
        <v>1941</v>
      </c>
      <c r="O14" s="11" t="s">
        <v>710</v>
      </c>
      <c r="P14" s="29" t="s">
        <v>1942</v>
      </c>
    </row>
    <row r="15" spans="1:16" ht="110.4">
      <c r="A15" s="11" t="s">
        <v>306</v>
      </c>
      <c r="B15" s="11">
        <v>6</v>
      </c>
      <c r="C15" s="11" t="s">
        <v>913</v>
      </c>
      <c r="D15" s="11" t="s">
        <v>1943</v>
      </c>
      <c r="E15" s="11" t="s">
        <v>1944</v>
      </c>
      <c r="F15" s="11" t="s">
        <v>1945</v>
      </c>
      <c r="G15" s="11" t="s">
        <v>1388</v>
      </c>
      <c r="H15" s="16">
        <v>1</v>
      </c>
      <c r="I15" s="11" t="s">
        <v>302</v>
      </c>
      <c r="J15" s="11" t="s">
        <v>1946</v>
      </c>
      <c r="K15" s="11" t="s">
        <v>1947</v>
      </c>
      <c r="L15" s="11" t="s">
        <v>1948</v>
      </c>
      <c r="M15" s="11" t="s">
        <v>1950</v>
      </c>
      <c r="N15" s="11" t="s">
        <v>1953</v>
      </c>
      <c r="O15" s="11" t="s">
        <v>710</v>
      </c>
      <c r="P15" s="29" t="s">
        <v>1954</v>
      </c>
    </row>
    <row r="16" spans="1:16" ht="124.2">
      <c r="A16" s="11" t="s">
        <v>1955</v>
      </c>
      <c r="B16" s="11">
        <v>7</v>
      </c>
      <c r="C16" s="11" t="s">
        <v>913</v>
      </c>
      <c r="D16" s="11" t="s">
        <v>738</v>
      </c>
      <c r="E16" s="11" t="s">
        <v>1956</v>
      </c>
      <c r="F16" s="11" t="s">
        <v>1957</v>
      </c>
      <c r="G16" s="11" t="s">
        <v>1388</v>
      </c>
      <c r="H16" s="16">
        <v>1.5</v>
      </c>
      <c r="I16" s="11" t="s">
        <v>297</v>
      </c>
      <c r="J16" s="11" t="s">
        <v>737</v>
      </c>
      <c r="K16" s="11" t="s">
        <v>1958</v>
      </c>
      <c r="L16" s="11" t="s">
        <v>1959</v>
      </c>
      <c r="M16" s="11" t="s">
        <v>1961</v>
      </c>
      <c r="N16" s="11" t="s">
        <v>1963</v>
      </c>
      <c r="O16" s="11" t="s">
        <v>710</v>
      </c>
      <c r="P16" s="29" t="s">
        <v>1964</v>
      </c>
    </row>
    <row r="17" spans="1:16" ht="110.4">
      <c r="A17" s="11" t="s">
        <v>1965</v>
      </c>
      <c r="B17" s="11">
        <v>8</v>
      </c>
      <c r="C17" s="11" t="s">
        <v>913</v>
      </c>
      <c r="D17" s="11" t="s">
        <v>489</v>
      </c>
      <c r="E17" s="11" t="s">
        <v>1966</v>
      </c>
      <c r="F17" s="11" t="s">
        <v>1967</v>
      </c>
      <c r="G17" s="11" t="s">
        <v>1388</v>
      </c>
      <c r="H17" s="16">
        <v>1</v>
      </c>
      <c r="I17" s="11" t="s">
        <v>297</v>
      </c>
      <c r="J17" s="11" t="s">
        <v>1372</v>
      </c>
      <c r="K17" s="11" t="s">
        <v>1968</v>
      </c>
      <c r="L17" s="11" t="s">
        <v>1969</v>
      </c>
      <c r="M17" s="11" t="s">
        <v>1971</v>
      </c>
      <c r="N17" s="11" t="s">
        <v>1972</v>
      </c>
      <c r="O17" s="11" t="s">
        <v>710</v>
      </c>
      <c r="P17" s="29" t="s">
        <v>1973</v>
      </c>
    </row>
    <row r="18" spans="1:16" ht="110.4">
      <c r="A18" s="11" t="s">
        <v>1974</v>
      </c>
      <c r="B18" s="11">
        <v>9</v>
      </c>
      <c r="C18" s="11" t="s">
        <v>913</v>
      </c>
      <c r="D18" s="11" t="s">
        <v>1975</v>
      </c>
      <c r="E18" s="11" t="s">
        <v>1976</v>
      </c>
      <c r="F18" s="11" t="s">
        <v>1977</v>
      </c>
      <c r="G18" s="11" t="s">
        <v>1378</v>
      </c>
      <c r="H18" s="16">
        <v>1</v>
      </c>
      <c r="I18" s="11" t="s">
        <v>307</v>
      </c>
      <c r="J18" s="11" t="s">
        <v>767</v>
      </c>
      <c r="K18" s="11" t="s">
        <v>1978</v>
      </c>
      <c r="L18" s="11" t="s">
        <v>485</v>
      </c>
      <c r="M18" s="11" t="s">
        <v>487</v>
      </c>
      <c r="N18" s="11" t="s">
        <v>1981</v>
      </c>
      <c r="O18" s="11" t="s">
        <v>710</v>
      </c>
      <c r="P18" s="29" t="s">
        <v>1982</v>
      </c>
    </row>
    <row r="19" spans="1:16" ht="124.2">
      <c r="A19" s="11" t="s">
        <v>1983</v>
      </c>
      <c r="B19" s="11">
        <v>10</v>
      </c>
      <c r="C19" s="11" t="s">
        <v>913</v>
      </c>
      <c r="D19" s="11" t="s">
        <v>1984</v>
      </c>
      <c r="E19" s="11" t="s">
        <v>1985</v>
      </c>
      <c r="F19" s="11" t="s">
        <v>1986</v>
      </c>
      <c r="G19" s="11" t="s">
        <v>576</v>
      </c>
      <c r="H19" s="16">
        <v>1.5</v>
      </c>
      <c r="I19" s="11" t="s">
        <v>307</v>
      </c>
      <c r="J19" s="11" t="s">
        <v>780</v>
      </c>
      <c r="K19" s="11" t="s">
        <v>1987</v>
      </c>
      <c r="L19" s="11" t="s">
        <v>1988</v>
      </c>
      <c r="M19" s="11" t="s">
        <v>1990</v>
      </c>
      <c r="N19" s="11" t="s">
        <v>1991</v>
      </c>
      <c r="O19" s="11" t="s">
        <v>710</v>
      </c>
      <c r="P19" s="29" t="s">
        <v>1992</v>
      </c>
    </row>
    <row r="20" spans="1:16" ht="110.4">
      <c r="A20" s="11" t="s">
        <v>1993</v>
      </c>
      <c r="B20" s="11">
        <v>11</v>
      </c>
      <c r="C20" s="11" t="s">
        <v>913</v>
      </c>
      <c r="D20" s="11" t="s">
        <v>1994</v>
      </c>
      <c r="E20" s="11" t="s">
        <v>1995</v>
      </c>
      <c r="F20" s="11" t="s">
        <v>1996</v>
      </c>
      <c r="G20" s="11" t="s">
        <v>1378</v>
      </c>
      <c r="H20" s="16">
        <v>0.75</v>
      </c>
      <c r="I20" s="11" t="s">
        <v>307</v>
      </c>
      <c r="J20" s="11" t="s">
        <v>780</v>
      </c>
      <c r="K20" s="11" t="s">
        <v>1997</v>
      </c>
      <c r="L20" s="11" t="s">
        <v>1998</v>
      </c>
      <c r="M20" s="11" t="s">
        <v>2000</v>
      </c>
      <c r="N20" s="11" t="s">
        <v>2002</v>
      </c>
      <c r="O20" s="11" t="s">
        <v>710</v>
      </c>
      <c r="P20" s="29" t="s">
        <v>2003</v>
      </c>
    </row>
    <row r="21" spans="1:16" ht="124.2">
      <c r="A21" s="11" t="s">
        <v>2004</v>
      </c>
      <c r="B21" s="11">
        <v>12</v>
      </c>
      <c r="C21" s="11" t="s">
        <v>913</v>
      </c>
      <c r="D21" s="11" t="s">
        <v>2005</v>
      </c>
      <c r="E21" s="11" t="s">
        <v>2006</v>
      </c>
      <c r="F21" s="11" t="s">
        <v>2007</v>
      </c>
      <c r="G21" s="11" t="s">
        <v>1378</v>
      </c>
      <c r="H21" s="16">
        <v>1</v>
      </c>
      <c r="I21" s="11" t="s">
        <v>307</v>
      </c>
      <c r="J21" s="11" t="s">
        <v>1471</v>
      </c>
      <c r="K21" s="11" t="s">
        <v>2008</v>
      </c>
      <c r="L21" s="11" t="s">
        <v>2009</v>
      </c>
      <c r="M21" s="11" t="s">
        <v>504</v>
      </c>
      <c r="N21" s="11" t="s">
        <v>2011</v>
      </c>
      <c r="O21" s="11" t="s">
        <v>710</v>
      </c>
      <c r="P21" s="29" t="s">
        <v>2012</v>
      </c>
    </row>
    <row r="22" spans="1:16" ht="110.4">
      <c r="A22" s="11" t="s">
        <v>2013</v>
      </c>
      <c r="B22" s="11">
        <v>13</v>
      </c>
      <c r="C22" s="11" t="s">
        <v>913</v>
      </c>
      <c r="D22" s="11" t="s">
        <v>1478</v>
      </c>
      <c r="E22" s="11" t="s">
        <v>2014</v>
      </c>
      <c r="F22" s="11" t="s">
        <v>2015</v>
      </c>
      <c r="G22" s="11" t="s">
        <v>576</v>
      </c>
      <c r="H22" s="16">
        <v>0.75</v>
      </c>
      <c r="I22" s="11" t="inlineStr">
        <is>
          <t xml:space="preserve">W5-REVIEW-001</t>
        </is>
      </c>
      <c r="J22" s="11" t="s">
        <v>2016</v>
      </c>
      <c r="K22" s="11" t="s">
        <v>2017</v>
      </c>
      <c r="L22" s="11" t="s">
        <v>2018</v>
      </c>
      <c r="M22" s="11" t="s">
        <v>2020</v>
      </c>
      <c r="N22" s="11" t="s">
        <v>2022</v>
      </c>
      <c r="O22" s="11" t="s">
        <v>710</v>
      </c>
      <c r="P22" s="29" t="s">
        <v>2023</v>
      </c>
    </row>
    <row r="23" spans="1:16" ht="24" customHeight="1">
      <c r="A23" s="24" t="s">
        <v>2024</v>
      </c>
      <c r="B23" s="24">
        <v>14</v>
      </c>
      <c r="C23" s="24" t="s">
        <v>913</v>
      </c>
      <c r="D23" s="24" t="s">
        <v>1490</v>
      </c>
      <c r="E23" s="24" t="s">
        <v>2025</v>
      </c>
      <c r="F23" s="24" t="s">
        <v>2026</v>
      </c>
      <c r="G23" s="24" t="s">
        <v>1378</v>
      </c>
      <c r="H23">
        <v>1</v>
      </c>
      <c r="I23" t="s">
        <v>1493</v>
      </c>
      <c r="J23" t="s">
        <v>1372</v>
      </c>
      <c r="K23" t="s">
        <v>2027</v>
      </c>
      <c r="L23" t="s">
        <v>1495</v>
      </c>
      <c r="M23" t="s">
        <v>2028</v>
      </c>
      <c r="N23" t="s">
        <v>1499</v>
      </c>
      <c r="O23" t="s">
        <v>710</v>
      </c>
      <c r="P23" s="29" t="s">
        <v>2031</v>
      </c>
    </row>
    <row r="24" spans="1:16" ht="34.049999999999997" customHeight="1">
      <c r="A24" s="110"/>
      <c r="B24" s="110"/>
      <c r="C24" s="110"/>
      <c r="D24" s="110"/>
      <c r="E24" s="110"/>
      <c r="F24" s="110"/>
      <c r="G24" s="110"/>
      <c r="H24" s="95"/>
      <c r="I24" s="95"/>
      <c r="J24" s="95"/>
      <c r="K24" s="95"/>
      <c r="L24" s="95"/>
      <c r="M24" s="95"/>
      <c r="N24" s="95"/>
      <c r="O24" s="95"/>
    </row>
    <row r="25" spans="1:16" ht="48" customHeight="1">
      <c r="A25" s="32" t="s">
        <v>2180</v>
      </c>
      <c r="B25" s="32"/>
      <c r="C25" s="32"/>
      <c r="D25" s="32"/>
      <c r="E25" s="32"/>
      <c r="F25" s="32"/>
      <c r="G25" s="32"/>
      <c r="H25" s="31"/>
      <c r="I25" s="31"/>
      <c r="J25" s="31"/>
      <c r="K25" s="31"/>
      <c r="L25" s="31"/>
      <c r="M25" s="31"/>
      <c r="N25" s="31"/>
      <c r="O25" s="31"/>
      <c r="P25" s="31"/>
    </row>
    <row r="26" spans="1:16" ht="48" customHeight="1">
      <c r="A26" s="33" t="s">
        <v>825</v>
      </c>
      <c r="B26" s="33" t="s">
        <v>183</v>
      </c>
      <c r="C26" s="33" t="s">
        <v>184</v>
      </c>
      <c r="D26" s="33" t="s">
        <v>185</v>
      </c>
      <c r="E26" s="33" t="s">
        <v>186</v>
      </c>
      <c r="F26" s="33" t="s">
        <v>187</v>
      </c>
      <c r="G26" s="33" t="s">
        <v>189</v>
      </c>
    </row>
    <row r="27" spans="1:16" ht="52.05" customHeight="1">
      <c r="A27" s="34">
        <v>1</v>
      </c>
      <c r="B27" s="34" t="s">
        <v>287</v>
      </c>
      <c r="C27" s="34" t="s">
        <v>288</v>
      </c>
      <c r="D27" s="34" t="s">
        <v>289</v>
      </c>
      <c r="E27" s="34" t="s">
        <v>290</v>
      </c>
      <c r="F27" s="34" t="s">
        <v>2221</v>
      </c>
      <c r="G27" s="34" t="s">
        <v>2182</v>
      </c>
    </row>
    <row r="28" spans="1:16" ht="52.05" customHeight="1">
      <c r="A28" s="22">
        <v>2</v>
      </c>
      <c r="B28" s="22" t="s">
        <v>292</v>
      </c>
      <c r="C28" s="22" t="s">
        <v>293</v>
      </c>
      <c r="D28" s="22" t="s">
        <v>294</v>
      </c>
      <c r="E28" s="22" t="s">
        <v>295</v>
      </c>
      <c r="F28" s="22" t="s">
        <v>2222</v>
      </c>
      <c r="G28" s="22" t="s">
        <v>2185</v>
      </c>
    </row>
    <row r="29" spans="1:16" ht="52.05" customHeight="1">
      <c r="A29" s="34">
        <v>3</v>
      </c>
      <c r="B29" s="34" t="s">
        <v>297</v>
      </c>
      <c r="C29" s="34" t="s">
        <v>298</v>
      </c>
      <c r="D29" s="34" t="s">
        <v>299</v>
      </c>
      <c r="E29" s="34" t="s">
        <v>300</v>
      </c>
      <c r="F29" s="34" t="s">
        <v>2223</v>
      </c>
      <c r="G29" s="34" t="s">
        <v>2185</v>
      </c>
    </row>
    <row r="30" spans="1:16" ht="52.05" customHeight="1">
      <c r="A30" s="22">
        <v>4</v>
      </c>
      <c r="B30" s="22" t="s">
        <v>302</v>
      </c>
      <c r="C30" s="22" t="s">
        <v>303</v>
      </c>
      <c r="D30" s="22" t="s">
        <v>304</v>
      </c>
      <c r="E30" s="22" t="s">
        <v>305</v>
      </c>
      <c r="F30" s="22" t="s">
        <v>2224</v>
      </c>
      <c r="G30" s="22" t="s">
        <v>2185</v>
      </c>
    </row>
    <row r="31" spans="1:16" ht="52.05" customHeight="1">
      <c r="A31" s="35">
        <v>5</v>
      </c>
      <c r="B31" s="35" t="s">
        <v>307</v>
      </c>
      <c r="C31" s="35" t="s">
        <v>308</v>
      </c>
      <c r="D31" s="35" t="s">
        <v>309</v>
      </c>
      <c r="E31" s="35" t="s">
        <v>310</v>
      </c>
      <c r="F31" s="35" t="s">
        <v>2225</v>
      </c>
      <c r="G31" s="35" t="s">
        <v>2185</v>
      </c>
    </row>
    <row r="32" spans="1:16" ht="52.05" customHeight="1">
      <c r="A32" s="35">
        <v>6</v>
      </c>
      <c r="B32" s="35" t="inlineStr">
        <is>
          <t xml:space="preserve">W5-REVIEW-001</t>
        </is>
      </c>
      <c r="C32" s="35" t="s">
        <v>329</v>
      </c>
      <c r="D32" s="35" t="s">
        <v>2189</v>
      </c>
      <c r="E32" s="35" t="inlineStr">
        <is>
          <t xml:space="preserve">Week 5 sheet, evidence register, ADRs, TODOs and owner-supplied results</t>
        </is>
      </c>
      <c r="F32" s="35" t="inlineStr">
        <is>
          <t xml:space="preserve">docs/deployment-records/W5-signoff.md</t>
        </is>
      </c>
      <c r="G32" s="35" t="s">
        <v>2182</v>
      </c>
    </row>
    <row r="33" spans="1:7" ht="52.05" customHeight="1">
      <c r="A33" s="35">
        <v>7</v>
      </c>
      <c r="B33" s="35" t="s">
        <v>1493</v>
      </c>
      <c r="C33" s="35" t="s">
        <v>2226</v>
      </c>
      <c r="D33" s="35" t="s">
        <v>2192</v>
      </c>
      <c r="E33" s="35" t="s">
        <v>2193</v>
      </c>
      <c r="F33" s="35" t="s">
        <v>2227</v>
      </c>
      <c r="G33" s="35" t="s">
        <v>2195</v>
      </c>
    </row>
  </sheetData>
  <mergeCells count="9">
    <mergeCell ref="A24:O24"/>
    <mergeCell ref="A1:O1"/>
    <mergeCell ref="A2:O2"/>
    <mergeCell ref="A4:B4"/>
    <mergeCell ref="A5:B6"/>
    <mergeCell ref="D4:E4"/>
    <mergeCell ref="D5:E6"/>
    <mergeCell ref="G4:O4"/>
    <mergeCell ref="G5:O6"/>
  </mergeCells>
  <conditionalFormatting sqref="O10:O22">
    <cfRule type="containsText" dxfId="27" priority="1" operator="containsText" text="Done"/>
    <cfRule type="containsText" dxfId="26" priority="2" operator="containsText" text="Blocked"/>
    <cfRule type="containsText" dxfId="25" priority="3" operator="containsText" text="In Progress"/>
    <cfRule type="containsText" dxfId="24" priority="4" operator="containsText" text="Ready for Review"/>
  </conditionalFormatting>
  <dataValidations count="1">
    <dataValidation type="list" sqref="O10:O22"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6" t="s">
        <v>49</v>
      </c>
      <c r="B1" s="56"/>
      <c r="C1" s="56"/>
      <c r="D1" s="56"/>
      <c r="E1" s="56"/>
      <c r="F1" s="56"/>
      <c r="G1" s="56"/>
      <c r="H1" s="56"/>
      <c r="I1" s="56"/>
      <c r="J1" s="56"/>
      <c r="K1" s="56"/>
      <c r="L1" s="56"/>
      <c r="M1" s="56"/>
      <c r="N1" s="56"/>
      <c r="O1" s="56"/>
    </row>
    <row r="2" spans="1:16" ht="31.95" customHeight="1">
      <c r="A2" s="57" t="s">
        <v>50</v>
      </c>
      <c r="B2" s="57"/>
      <c r="C2" s="57"/>
      <c r="D2" s="57"/>
      <c r="E2" s="57"/>
      <c r="F2" s="57"/>
      <c r="G2" s="57"/>
      <c r="H2" s="57"/>
      <c r="I2" s="57"/>
      <c r="J2" s="57"/>
      <c r="K2" s="57"/>
      <c r="L2" s="57"/>
      <c r="M2" s="57"/>
      <c r="N2" s="57"/>
      <c r="O2" s="57"/>
    </row>
    <row r="4" spans="1:16" ht="28.05" customHeight="1">
      <c r="A4" s="58" t="s">
        <v>23</v>
      </c>
      <c r="B4" s="60"/>
      <c r="D4" s="58" t="s">
        <v>16</v>
      </c>
      <c r="E4" s="60"/>
      <c r="G4" s="58" t="s">
        <v>35</v>
      </c>
      <c r="H4" s="59"/>
      <c r="I4" s="59"/>
      <c r="J4" s="59"/>
      <c r="K4" s="59"/>
      <c r="L4" s="59"/>
      <c r="M4" s="59"/>
      <c r="N4" s="59"/>
      <c r="O4" s="60"/>
    </row>
    <row r="5" spans="1:16">
      <c r="A5" s="96">
        <f>IF(COUNTA(O10:O40)=0,0,COUNTIF(O10:O40,"Done")/COUNTA(A10:A40))</f>
        <v>0</v>
      </c>
      <c r="B5" s="97"/>
      <c r="D5" s="100">
        <f>COUNTIF(O10:O40,"Blocked")</f>
        <v>0</v>
      </c>
      <c r="E5" s="101"/>
      <c r="G5" s="104" t="s">
        <v>51</v>
      </c>
      <c r="H5" s="105"/>
      <c r="I5" s="105"/>
      <c r="J5" s="105"/>
      <c r="K5" s="105"/>
      <c r="L5" s="105"/>
      <c r="M5" s="105"/>
      <c r="N5" s="105"/>
      <c r="O5" s="106"/>
    </row>
    <row r="6" spans="1:16">
      <c r="A6" s="98"/>
      <c r="B6" s="99"/>
      <c r="D6" s="102"/>
      <c r="E6" s="103"/>
      <c r="G6" s="107"/>
      <c r="H6" s="108"/>
      <c r="I6" s="108"/>
      <c r="J6" s="108"/>
      <c r="K6" s="108"/>
      <c r="L6" s="108"/>
      <c r="M6" s="108"/>
      <c r="N6" s="108"/>
      <c r="O6" s="109"/>
    </row>
    <row r="9" spans="1:16" ht="28.05" customHeight="1">
      <c r="A9" s="1" t="s">
        <v>1353</v>
      </c>
      <c r="B9" s="2" t="s">
        <v>1354</v>
      </c>
      <c r="C9" s="2" t="s">
        <v>883</v>
      </c>
      <c r="D9" s="2" t="s">
        <v>1355</v>
      </c>
      <c r="E9" s="2" t="s">
        <v>826</v>
      </c>
      <c r="F9" s="2" t="s">
        <v>2172</v>
      </c>
      <c r="G9" s="2" t="s">
        <v>6</v>
      </c>
      <c r="H9" s="2" t="s">
        <v>2173</v>
      </c>
      <c r="I9" s="2" t="s">
        <v>2174</v>
      </c>
      <c r="J9" s="2" t="s">
        <v>2175</v>
      </c>
      <c r="K9" s="2" t="s">
        <v>2176</v>
      </c>
      <c r="L9" s="2" t="s">
        <v>2177</v>
      </c>
      <c r="M9" s="2" t="s">
        <v>2178</v>
      </c>
      <c r="N9" s="2" t="s">
        <v>2179</v>
      </c>
      <c r="O9" s="3" t="s">
        <v>354</v>
      </c>
      <c r="P9" s="29" t="s">
        <v>1365</v>
      </c>
    </row>
    <row r="10" spans="1:16" ht="110.4">
      <c r="A10" s="10" t="s">
        <v>2032</v>
      </c>
      <c r="B10" s="10">
        <v>1</v>
      </c>
      <c r="C10" s="10" t="s">
        <v>913</v>
      </c>
      <c r="D10" s="10" t="s">
        <v>2033</v>
      </c>
      <c r="E10" s="10" t="s">
        <v>2034</v>
      </c>
      <c r="F10" s="10" t="s">
        <v>2035</v>
      </c>
      <c r="G10" s="10" t="s">
        <v>1378</v>
      </c>
      <c r="H10" s="15">
        <v>0.75</v>
      </c>
      <c r="I10" s="10" t="s">
        <v>297</v>
      </c>
      <c r="J10" s="10" t="s">
        <v>771</v>
      </c>
      <c r="K10" s="10" t="s">
        <v>2036</v>
      </c>
      <c r="L10" s="10" t="s">
        <v>2037</v>
      </c>
      <c r="M10" s="10" t="s">
        <v>2039</v>
      </c>
      <c r="N10" s="10" t="s">
        <v>2041</v>
      </c>
      <c r="O10" s="10" t="s">
        <v>710</v>
      </c>
      <c r="P10" s="29" t="s">
        <v>2042</v>
      </c>
    </row>
    <row r="11" spans="1:16" ht="124.2">
      <c r="A11" s="11" t="s">
        <v>2043</v>
      </c>
      <c r="B11" s="11">
        <v>2</v>
      </c>
      <c r="C11" s="11" t="s">
        <v>913</v>
      </c>
      <c r="D11" s="11" t="s">
        <v>506</v>
      </c>
      <c r="E11" s="11" t="s">
        <v>2044</v>
      </c>
      <c r="F11" s="11" t="s">
        <v>2045</v>
      </c>
      <c r="G11" s="11" t="s">
        <v>1388</v>
      </c>
      <c r="H11" s="16">
        <v>1.5</v>
      </c>
      <c r="I11" s="11" t="s">
        <v>312</v>
      </c>
      <c r="J11" s="11" t="s">
        <v>771</v>
      </c>
      <c r="K11" s="11" t="s">
        <v>2046</v>
      </c>
      <c r="L11" s="11" t="s">
        <v>508</v>
      </c>
      <c r="M11" s="11" t="s">
        <v>2048</v>
      </c>
      <c r="N11" s="11" t="s">
        <v>2049</v>
      </c>
      <c r="O11" s="11" t="s">
        <v>710</v>
      </c>
      <c r="P11" s="29" t="s">
        <v>2050</v>
      </c>
    </row>
    <row r="12" spans="1:16" ht="110.4">
      <c r="A12" s="11" t="s">
        <v>2051</v>
      </c>
      <c r="B12" s="11">
        <v>3</v>
      </c>
      <c r="C12" s="11" t="s">
        <v>913</v>
      </c>
      <c r="D12" s="11" t="s">
        <v>2052</v>
      </c>
      <c r="E12" s="11" t="s">
        <v>2053</v>
      </c>
      <c r="F12" s="11" t="s">
        <v>2054</v>
      </c>
      <c r="G12" s="11" t="s">
        <v>1388</v>
      </c>
      <c r="H12" s="16">
        <v>1</v>
      </c>
      <c r="I12" s="11" t="s">
        <v>312</v>
      </c>
      <c r="J12" s="11" t="s">
        <v>2055</v>
      </c>
      <c r="K12" s="11" t="s">
        <v>2056</v>
      </c>
      <c r="L12" s="11" t="s">
        <v>2057</v>
      </c>
      <c r="M12" s="11" t="s">
        <v>2059</v>
      </c>
      <c r="N12" s="11" t="s">
        <v>2061</v>
      </c>
      <c r="O12" s="11" t="s">
        <v>710</v>
      </c>
      <c r="P12" s="29" t="s">
        <v>2062</v>
      </c>
    </row>
    <row r="13" spans="1:16" ht="110.4">
      <c r="A13" s="11" t="s">
        <v>2063</v>
      </c>
      <c r="B13" s="11">
        <v>4</v>
      </c>
      <c r="C13" s="11" t="s">
        <v>913</v>
      </c>
      <c r="D13" s="11" t="s">
        <v>2064</v>
      </c>
      <c r="E13" s="11" t="s">
        <v>2065</v>
      </c>
      <c r="F13" s="11" t="s">
        <v>2066</v>
      </c>
      <c r="G13" s="11" t="s">
        <v>1388</v>
      </c>
      <c r="H13" s="16">
        <v>1</v>
      </c>
      <c r="I13" s="11" t="s">
        <v>312</v>
      </c>
      <c r="J13" s="11" t="s">
        <v>2067</v>
      </c>
      <c r="K13" s="11" t="s">
        <v>2068</v>
      </c>
      <c r="L13" s="11" t="s">
        <v>2069</v>
      </c>
      <c r="M13" s="11" t="s">
        <v>2071</v>
      </c>
      <c r="N13" s="11" t="s">
        <v>2073</v>
      </c>
      <c r="O13" s="11" t="s">
        <v>710</v>
      </c>
      <c r="P13" s="29" t="s">
        <v>2074</v>
      </c>
    </row>
    <row r="14" spans="1:16" ht="110.4">
      <c r="A14" s="11" t="s">
        <v>2075</v>
      </c>
      <c r="B14" s="11">
        <v>5</v>
      </c>
      <c r="C14" s="11" t="s">
        <v>913</v>
      </c>
      <c r="D14" s="11" t="s">
        <v>2076</v>
      </c>
      <c r="E14" s="11" t="s">
        <v>2077</v>
      </c>
      <c r="F14" s="11" t="s">
        <v>2078</v>
      </c>
      <c r="G14" s="11" t="s">
        <v>1388</v>
      </c>
      <c r="H14" s="16">
        <v>1</v>
      </c>
      <c r="I14" s="11" t="s">
        <v>312</v>
      </c>
      <c r="J14" s="11" t="s">
        <v>764</v>
      </c>
      <c r="K14" s="11" t="s">
        <v>2079</v>
      </c>
      <c r="L14" s="11" t="s">
        <v>508</v>
      </c>
      <c r="M14" s="11" t="s">
        <v>2081</v>
      </c>
      <c r="N14" s="11" t="s">
        <v>2082</v>
      </c>
      <c r="O14" s="11" t="s">
        <v>710</v>
      </c>
      <c r="P14" s="29" t="s">
        <v>2083</v>
      </c>
    </row>
    <row r="15" spans="1:16" ht="124.2">
      <c r="A15" s="11" t="s">
        <v>2084</v>
      </c>
      <c r="B15" s="11">
        <v>6</v>
      </c>
      <c r="C15" s="11" t="s">
        <v>913</v>
      </c>
      <c r="D15" s="11" t="s">
        <v>2085</v>
      </c>
      <c r="E15" s="11" t="s">
        <v>2086</v>
      </c>
      <c r="F15" s="11" t="s">
        <v>2087</v>
      </c>
      <c r="G15" s="11" t="s">
        <v>1388</v>
      </c>
      <c r="H15" s="16">
        <v>1.25</v>
      </c>
      <c r="I15" s="11" t="s">
        <v>317</v>
      </c>
      <c r="J15" s="11" t="s">
        <v>760</v>
      </c>
      <c r="K15" s="11" t="s">
        <v>2088</v>
      </c>
      <c r="L15" s="11" t="s">
        <v>1829</v>
      </c>
      <c r="M15" s="11" t="s">
        <v>2090</v>
      </c>
      <c r="N15" s="11" t="s">
        <v>2092</v>
      </c>
      <c r="O15" s="11" t="s">
        <v>710</v>
      </c>
      <c r="P15" s="29" t="s">
        <v>2093</v>
      </c>
    </row>
    <row r="16" spans="1:16" ht="110.4">
      <c r="A16" s="11" t="s">
        <v>2094</v>
      </c>
      <c r="B16" s="11">
        <v>7</v>
      </c>
      <c r="C16" s="11" t="s">
        <v>913</v>
      </c>
      <c r="D16" s="11" t="s">
        <v>2095</v>
      </c>
      <c r="E16" s="11" t="s">
        <v>2096</v>
      </c>
      <c r="F16" s="11" t="s">
        <v>2097</v>
      </c>
      <c r="G16" s="11" t="s">
        <v>1378</v>
      </c>
      <c r="H16" s="16">
        <v>1</v>
      </c>
      <c r="I16" s="11" t="s">
        <v>317</v>
      </c>
      <c r="J16" s="11" t="s">
        <v>2098</v>
      </c>
      <c r="K16" s="11" t="s">
        <v>2099</v>
      </c>
      <c r="L16" s="11" t="s">
        <v>519</v>
      </c>
      <c r="M16" s="11" t="s">
        <v>766</v>
      </c>
      <c r="N16" s="11" t="s">
        <v>2101</v>
      </c>
      <c r="O16" s="11" t="s">
        <v>710</v>
      </c>
      <c r="P16" s="29" t="s">
        <v>2102</v>
      </c>
    </row>
    <row r="17" spans="1:16" ht="110.4">
      <c r="A17" s="11" t="s">
        <v>2103</v>
      </c>
      <c r="B17" s="11">
        <v>8</v>
      </c>
      <c r="C17" s="11" t="s">
        <v>913</v>
      </c>
      <c r="D17" s="11" t="s">
        <v>2104</v>
      </c>
      <c r="E17" s="11" t="s">
        <v>2105</v>
      </c>
      <c r="F17" s="11" t="s">
        <v>2106</v>
      </c>
      <c r="G17" s="11" t="s">
        <v>2107</v>
      </c>
      <c r="H17" s="16">
        <v>1</v>
      </c>
      <c r="I17" s="11" t="s">
        <v>317</v>
      </c>
      <c r="J17" s="11" t="s">
        <v>760</v>
      </c>
      <c r="K17" s="11" t="s">
        <v>2108</v>
      </c>
      <c r="L17" s="11" t="s">
        <v>2109</v>
      </c>
      <c r="M17" s="11" t="s">
        <v>2111</v>
      </c>
      <c r="N17" s="11" t="s">
        <v>2114</v>
      </c>
      <c r="O17" s="11" t="s">
        <v>710</v>
      </c>
      <c r="P17" s="29" t="s">
        <v>2115</v>
      </c>
    </row>
    <row r="18" spans="1:16" ht="110.4">
      <c r="A18" s="11" t="s">
        <v>2116</v>
      </c>
      <c r="B18" s="11">
        <v>9</v>
      </c>
      <c r="C18" s="11" t="s">
        <v>913</v>
      </c>
      <c r="D18" s="11" t="s">
        <v>2117</v>
      </c>
      <c r="E18" s="11" t="s">
        <v>2118</v>
      </c>
      <c r="F18" s="11" t="s">
        <v>2119</v>
      </c>
      <c r="G18" s="11" t="s">
        <v>1378</v>
      </c>
      <c r="H18" s="16">
        <v>1</v>
      </c>
      <c r="I18" s="11" t="s">
        <v>317</v>
      </c>
      <c r="J18" s="11" t="s">
        <v>777</v>
      </c>
      <c r="K18" s="11" t="s">
        <v>2120</v>
      </c>
      <c r="L18" s="11" t="s">
        <v>525</v>
      </c>
      <c r="M18" s="11" t="s">
        <v>2122</v>
      </c>
      <c r="N18" s="11" t="s">
        <v>2124</v>
      </c>
      <c r="O18" s="11" t="s">
        <v>710</v>
      </c>
      <c r="P18" s="29" t="s">
        <v>2125</v>
      </c>
    </row>
    <row r="19" spans="1:16" ht="124.2">
      <c r="A19" s="11" t="s">
        <v>2126</v>
      </c>
      <c r="B19" s="11">
        <v>10</v>
      </c>
      <c r="C19" s="11" t="s">
        <v>913</v>
      </c>
      <c r="D19" s="11" t="s">
        <v>2127</v>
      </c>
      <c r="E19" s="11" t="s">
        <v>2128</v>
      </c>
      <c r="F19" s="11" t="s">
        <v>2129</v>
      </c>
      <c r="G19" s="11" t="s">
        <v>1378</v>
      </c>
      <c r="H19" s="16">
        <v>1.25</v>
      </c>
      <c r="I19" s="11" t="s">
        <v>322</v>
      </c>
      <c r="J19" s="11" t="s">
        <v>716</v>
      </c>
      <c r="K19" s="11" t="s">
        <v>2130</v>
      </c>
      <c r="L19" s="11" t="s">
        <v>530</v>
      </c>
      <c r="M19" s="11" t="s">
        <v>532</v>
      </c>
      <c r="N19" s="11" t="s">
        <v>2133</v>
      </c>
      <c r="O19" s="11" t="s">
        <v>710</v>
      </c>
      <c r="P19" s="29" t="s">
        <v>2134</v>
      </c>
    </row>
    <row r="20" spans="1:16" ht="124.2">
      <c r="A20" s="11" t="s">
        <v>2135</v>
      </c>
      <c r="B20" s="11">
        <v>11</v>
      </c>
      <c r="C20" s="11" t="s">
        <v>913</v>
      </c>
      <c r="D20" s="11" t="s">
        <v>2136</v>
      </c>
      <c r="E20" s="11" t="s">
        <v>2137</v>
      </c>
      <c r="F20" s="11" t="s">
        <v>2138</v>
      </c>
      <c r="G20" s="11" t="s">
        <v>576</v>
      </c>
      <c r="H20" s="16">
        <v>0.75</v>
      </c>
      <c r="I20" s="11" t="s">
        <v>322</v>
      </c>
      <c r="J20" s="11" t="s">
        <v>780</v>
      </c>
      <c r="K20" s="11" t="s">
        <v>2139</v>
      </c>
      <c r="L20" s="11" t="s">
        <v>535</v>
      </c>
      <c r="M20" s="11" t="s">
        <v>537</v>
      </c>
      <c r="N20" s="11" t="s">
        <v>2141</v>
      </c>
      <c r="O20" s="11" t="s">
        <v>710</v>
      </c>
      <c r="P20" s="29" t="s">
        <v>2142</v>
      </c>
    </row>
    <row r="21" spans="1:16" ht="110.4">
      <c r="A21" s="11" t="s">
        <v>2143</v>
      </c>
      <c r="B21" s="11">
        <v>12</v>
      </c>
      <c r="C21" s="11" t="s">
        <v>913</v>
      </c>
      <c r="D21" s="11" t="s">
        <v>2144</v>
      </c>
      <c r="E21" s="11" t="s">
        <v>2145</v>
      </c>
      <c r="F21" s="11" t="s">
        <v>2146</v>
      </c>
      <c r="G21" s="11" t="s">
        <v>576</v>
      </c>
      <c r="H21" s="16">
        <v>1.25</v>
      </c>
      <c r="I21" s="11" t="s">
        <v>307</v>
      </c>
      <c r="J21" s="11" t="s">
        <v>1459</v>
      </c>
      <c r="K21" s="11" t="s">
        <v>2147</v>
      </c>
      <c r="L21" s="11" t="s">
        <v>502</v>
      </c>
      <c r="M21" s="11" t="s">
        <v>541</v>
      </c>
      <c r="N21" s="11" t="s">
        <v>2150</v>
      </c>
      <c r="O21" s="11" t="s">
        <v>710</v>
      </c>
      <c r="P21" s="29" t="s">
        <v>2151</v>
      </c>
    </row>
    <row r="22" spans="1:16" ht="124.2">
      <c r="A22" s="11" t="s">
        <v>2152</v>
      </c>
      <c r="B22" s="11">
        <v>13</v>
      </c>
      <c r="C22" s="11" t="s">
        <v>913</v>
      </c>
      <c r="D22" s="11" t="s">
        <v>2153</v>
      </c>
      <c r="E22" s="11" t="s">
        <v>2154</v>
      </c>
      <c r="F22" s="11" t="s">
        <v>2155</v>
      </c>
      <c r="G22" s="11" t="s">
        <v>576</v>
      </c>
      <c r="H22" s="16">
        <v>1</v>
      </c>
      <c r="I22" s="11" t="s">
        <v>322</v>
      </c>
      <c r="J22" s="11" t="s">
        <v>1372</v>
      </c>
      <c r="K22" s="11" t="s">
        <v>2156</v>
      </c>
      <c r="L22" s="11" t="s">
        <v>2157</v>
      </c>
      <c r="M22" s="11" t="s">
        <v>2159</v>
      </c>
      <c r="N22" s="11" t="s">
        <v>2161</v>
      </c>
      <c r="O22" s="11" t="s">
        <v>710</v>
      </c>
      <c r="P22" s="29" t="s">
        <v>2162</v>
      </c>
    </row>
    <row r="23" spans="1:16" ht="24" customHeight="1">
      <c r="A23" s="24" t="s">
        <v>2163</v>
      </c>
      <c r="B23" s="24">
        <v>14</v>
      </c>
      <c r="C23" s="24" t="s">
        <v>913</v>
      </c>
      <c r="D23" s="24" t="s">
        <v>1490</v>
      </c>
      <c r="E23" s="24" t="s">
        <v>2164</v>
      </c>
      <c r="F23" s="24" t="s">
        <v>2165</v>
      </c>
      <c r="G23" s="24" t="s">
        <v>1378</v>
      </c>
      <c r="H23">
        <v>1.5</v>
      </c>
      <c r="I23" t="s">
        <v>1493</v>
      </c>
      <c r="J23" t="s">
        <v>1372</v>
      </c>
      <c r="K23" t="s">
        <v>2166</v>
      </c>
      <c r="L23" t="s">
        <v>1495</v>
      </c>
      <c r="M23" t="s">
        <v>2168</v>
      </c>
      <c r="N23" t="s">
        <v>1499</v>
      </c>
      <c r="O23" t="s">
        <v>710</v>
      </c>
      <c r="P23" s="29" t="s">
        <v>2171</v>
      </c>
    </row>
    <row r="24" spans="1:16" ht="34.049999999999997" customHeight="1">
      <c r="A24" s="110"/>
      <c r="B24" s="110"/>
      <c r="C24" s="110"/>
      <c r="D24" s="110"/>
      <c r="E24" s="110"/>
      <c r="F24" s="110"/>
      <c r="G24" s="110"/>
      <c r="H24" s="95"/>
      <c r="I24" s="95"/>
      <c r="J24" s="95"/>
      <c r="K24" s="95"/>
      <c r="L24" s="95"/>
      <c r="M24" s="95"/>
      <c r="N24" s="95"/>
      <c r="O24" s="95"/>
    </row>
    <row r="25" spans="1:16" ht="48" customHeight="1">
      <c r="A25" s="32" t="s">
        <v>2180</v>
      </c>
      <c r="B25" s="32"/>
      <c r="C25" s="32"/>
      <c r="D25" s="32"/>
      <c r="E25" s="32"/>
      <c r="F25" s="32"/>
      <c r="G25" s="32"/>
      <c r="H25" s="31"/>
      <c r="I25" s="31"/>
      <c r="J25" s="31"/>
      <c r="K25" s="31"/>
      <c r="L25" s="31"/>
      <c r="M25" s="31"/>
      <c r="N25" s="31"/>
      <c r="O25" s="31"/>
      <c r="P25" s="31"/>
    </row>
    <row r="26" spans="1:16" ht="48" customHeight="1">
      <c r="A26" s="33" t="s">
        <v>825</v>
      </c>
      <c r="B26" s="33" t="s">
        <v>183</v>
      </c>
      <c r="C26" s="33" t="s">
        <v>184</v>
      </c>
      <c r="D26" s="33" t="s">
        <v>185</v>
      </c>
      <c r="E26" s="33" t="s">
        <v>186</v>
      </c>
      <c r="F26" s="33" t="s">
        <v>187</v>
      </c>
      <c r="G26" s="33" t="s">
        <v>189</v>
      </c>
    </row>
    <row r="27" spans="1:16" ht="52.05" customHeight="1">
      <c r="A27" s="34">
        <v>1</v>
      </c>
      <c r="B27" s="34" t="s">
        <v>312</v>
      </c>
      <c r="C27" s="34" t="s">
        <v>313</v>
      </c>
      <c r="D27" s="34" t="s">
        <v>314</v>
      </c>
      <c r="E27" s="34" t="s">
        <v>315</v>
      </c>
      <c r="F27" s="34" t="s">
        <v>2228</v>
      </c>
      <c r="G27" s="34" t="s">
        <v>2185</v>
      </c>
    </row>
    <row r="28" spans="1:16" ht="52.05" customHeight="1">
      <c r="A28" s="35">
        <v>2</v>
      </c>
      <c r="B28" s="35" t="s">
        <v>317</v>
      </c>
      <c r="C28" s="35" t="s">
        <v>318</v>
      </c>
      <c r="D28" s="35" t="s">
        <v>319</v>
      </c>
      <c r="E28" s="35" t="s">
        <v>320</v>
      </c>
      <c r="F28" s="35" t="s">
        <v>2229</v>
      </c>
      <c r="G28" s="35" t="s">
        <v>2185</v>
      </c>
    </row>
    <row r="29" spans="1:16" ht="52.05" customHeight="1">
      <c r="A29" s="35">
        <v>3</v>
      </c>
      <c r="B29" s="35" t="s">
        <v>322</v>
      </c>
      <c r="C29" s="35" t="s">
        <v>323</v>
      </c>
      <c r="D29" s="35" t="s">
        <v>324</v>
      </c>
      <c r="E29" s="35" t="s">
        <v>325</v>
      </c>
      <c r="F29" s="35" t="s">
        <v>2230</v>
      </c>
      <c r="G29" s="35" t="s">
        <v>2185</v>
      </c>
    </row>
    <row r="30" spans="1:16" ht="52.05" customHeight="1">
      <c r="A30" s="35">
        <v>4</v>
      </c>
      <c r="B30" s="35" t="s">
        <v>1493</v>
      </c>
      <c r="C30" s="35" t="s">
        <v>2231</v>
      </c>
      <c r="D30" s="35" t="s">
        <v>2192</v>
      </c>
      <c r="E30" s="35" t="s">
        <v>2193</v>
      </c>
      <c r="F30" s="35" t="s">
        <v>2232</v>
      </c>
      <c r="G30" s="35" t="s">
        <v>2195</v>
      </c>
    </row>
  </sheetData>
  <mergeCells count="9">
    <mergeCell ref="A24:O24"/>
    <mergeCell ref="A1:O1"/>
    <mergeCell ref="A2:O2"/>
    <mergeCell ref="A4:B4"/>
    <mergeCell ref="A5:B6"/>
    <mergeCell ref="D4:E4"/>
    <mergeCell ref="D5:E6"/>
    <mergeCell ref="G4:O4"/>
    <mergeCell ref="G5:O6"/>
  </mergeCells>
  <conditionalFormatting sqref="O10:O22">
    <cfRule type="containsText" dxfId="23" priority="1" operator="containsText" text="Done"/>
    <cfRule type="containsText" dxfId="22" priority="2" operator="containsText" text="Blocked"/>
    <cfRule type="containsText" dxfId="21" priority="3" operator="containsText" text="In Progress"/>
    <cfRule type="containsText" dxfId="20" priority="4" operator="containsText" text="Ready for Review"/>
  </conditionalFormatting>
  <dataValidations count="1">
    <dataValidation type="list" sqref="O10:O22"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56" t="s">
        <v>52</v>
      </c>
      <c r="B1" s="56"/>
      <c r="C1" s="56"/>
      <c r="D1" s="56"/>
      <c r="E1" s="56"/>
      <c r="F1" s="56"/>
      <c r="G1" s="56"/>
      <c r="H1" s="56"/>
    </row>
    <row r="2" spans="1:8" ht="31.95" customHeight="1">
      <c r="A2" s="57" t="s">
        <v>53</v>
      </c>
      <c r="B2" s="57"/>
      <c r="C2" s="57"/>
      <c r="D2" s="57"/>
      <c r="E2" s="57"/>
      <c r="F2" s="57"/>
      <c r="G2" s="57"/>
      <c r="H2" s="57"/>
    </row>
    <row r="4" spans="1:8" ht="46.05" customHeight="1">
      <c r="A4" s="111" t="s">
        <v>54</v>
      </c>
      <c r="B4" s="112"/>
      <c r="C4" s="112"/>
      <c r="D4" s="112"/>
      <c r="E4" s="112"/>
      <c r="F4" s="112"/>
      <c r="G4" s="112"/>
      <c r="H4" s="113"/>
    </row>
    <row r="6" spans="1:8" ht="28.05" customHeight="1">
      <c r="A6" s="1" t="s">
        <v>55</v>
      </c>
      <c r="B6" s="2" t="s">
        <v>56</v>
      </c>
      <c r="C6" s="2" t="s">
        <v>57</v>
      </c>
      <c r="D6" s="2" t="s">
        <v>58</v>
      </c>
      <c r="E6" s="2" t="s">
        <v>59</v>
      </c>
      <c r="F6" s="2" t="s">
        <v>60</v>
      </c>
      <c r="G6" s="2" t="s">
        <v>61</v>
      </c>
      <c r="H6" s="3" t="s">
        <v>62</v>
      </c>
    </row>
    <row r="7" spans="1:8">
      <c r="A7" s="10" t="s">
        <v>63</v>
      </c>
      <c r="B7" s="10" t="s">
        <v>64</v>
      </c>
      <c r="C7" s="10" t="s">
        <v>65</v>
      </c>
      <c r="D7" s="10" t="s">
        <v>66</v>
      </c>
      <c r="E7" s="10" t="s">
        <v>67</v>
      </c>
      <c r="F7" s="10" t="s">
        <v>68</v>
      </c>
      <c r="G7" s="10" t="s">
        <v>69</v>
      </c>
      <c r="H7" s="10" t="s">
        <v>70</v>
      </c>
    </row>
    <row r="8" spans="1:8" ht="22.8">
      <c r="A8" s="11" t="s">
        <v>63</v>
      </c>
      <c r="B8" s="11" t="s">
        <v>71</v>
      </c>
      <c r="C8" s="11" t="s">
        <v>72</v>
      </c>
      <c r="D8" s="11" t="s">
        <v>73</v>
      </c>
      <c r="E8" s="11" t="s">
        <v>24</v>
      </c>
      <c r="F8" s="11" t="s">
        <v>74</v>
      </c>
      <c r="G8" s="11" t="s">
        <v>75</v>
      </c>
      <c r="H8" s="11" t="s">
        <v>76</v>
      </c>
    </row>
    <row r="9" spans="1:8">
      <c r="A9" s="11" t="s">
        <v>63</v>
      </c>
      <c r="B9" s="11" t="s">
        <v>77</v>
      </c>
      <c r="C9" s="11" t="s">
        <v>78</v>
      </c>
      <c r="D9" s="11" t="s">
        <v>79</v>
      </c>
      <c r="E9" s="11" t="s">
        <v>24</v>
      </c>
      <c r="F9" s="11" t="s">
        <v>80</v>
      </c>
      <c r="G9" s="11" t="s">
        <v>81</v>
      </c>
      <c r="H9" s="11" t="s">
        <v>82</v>
      </c>
    </row>
    <row r="10" spans="1:8" ht="22.8">
      <c r="A10" s="11" t="s">
        <v>63</v>
      </c>
      <c r="B10" s="11" t="s">
        <v>83</v>
      </c>
      <c r="C10" s="11" t="s">
        <v>84</v>
      </c>
      <c r="D10" s="11" t="s">
        <v>85</v>
      </c>
      <c r="E10" s="11" t="s">
        <v>24</v>
      </c>
      <c r="F10" s="11" t="s">
        <v>86</v>
      </c>
      <c r="G10" s="11" t="s">
        <v>87</v>
      </c>
      <c r="H10" s="11" t="s">
        <v>88</v>
      </c>
    </row>
    <row r="11" spans="1:8">
      <c r="A11" s="11" t="s">
        <v>63</v>
      </c>
      <c r="B11" s="11" t="s">
        <v>89</v>
      </c>
      <c r="C11" s="11" t="s">
        <v>90</v>
      </c>
      <c r="D11" s="11" t="s">
        <v>91</v>
      </c>
      <c r="E11" s="11" t="s">
        <v>27</v>
      </c>
      <c r="F11" s="11" t="s">
        <v>86</v>
      </c>
      <c r="G11" s="11" t="s">
        <v>92</v>
      </c>
      <c r="H11" s="11" t="s">
        <v>93</v>
      </c>
    </row>
    <row r="12" spans="1:8">
      <c r="A12" s="11" t="s">
        <v>94</v>
      </c>
      <c r="B12" s="11" t="s">
        <v>95</v>
      </c>
      <c r="C12" s="11" t="s">
        <v>96</v>
      </c>
      <c r="D12" s="11" t="s">
        <v>97</v>
      </c>
      <c r="E12" s="11" t="s">
        <v>26</v>
      </c>
      <c r="F12" s="11" t="s">
        <v>98</v>
      </c>
      <c r="G12" s="11" t="s">
        <v>99</v>
      </c>
      <c r="H12" s="11" t="s">
        <v>100</v>
      </c>
    </row>
    <row r="13" spans="1:8">
      <c r="A13" s="11" t="s">
        <v>94</v>
      </c>
      <c r="B13" s="11" t="s">
        <v>101</v>
      </c>
      <c r="C13" s="11" t="s">
        <v>102</v>
      </c>
      <c r="D13" s="11" t="s">
        <v>103</v>
      </c>
      <c r="E13" s="11" t="s">
        <v>104</v>
      </c>
      <c r="F13" s="11" t="s">
        <v>105</v>
      </c>
      <c r="G13" s="11" t="s">
        <v>106</v>
      </c>
      <c r="H13" s="11" t="s">
        <v>107</v>
      </c>
    </row>
    <row r="14" spans="1:8" ht="22.8">
      <c r="A14" s="11" t="s">
        <v>94</v>
      </c>
      <c r="B14" s="11" t="s">
        <v>108</v>
      </c>
      <c r="C14" s="11" t="s">
        <v>109</v>
      </c>
      <c r="D14" s="11" t="s">
        <v>110</v>
      </c>
      <c r="E14" s="11" t="s">
        <v>111</v>
      </c>
      <c r="F14" s="11" t="s">
        <v>112</v>
      </c>
      <c r="G14" s="11" t="s">
        <v>113</v>
      </c>
      <c r="H14" s="11" t="s">
        <v>114</v>
      </c>
    </row>
    <row r="15" spans="1:8">
      <c r="A15" s="11" t="s">
        <v>94</v>
      </c>
      <c r="B15" s="11" t="s">
        <v>115</v>
      </c>
      <c r="C15" s="11" t="s">
        <v>116</v>
      </c>
      <c r="D15" s="11" t="s">
        <v>117</v>
      </c>
      <c r="E15" s="11" t="s">
        <v>25</v>
      </c>
      <c r="F15" s="11" t="s">
        <v>118</v>
      </c>
      <c r="G15" s="11" t="s">
        <v>119</v>
      </c>
      <c r="H15" s="11" t="s">
        <v>120</v>
      </c>
    </row>
    <row r="16" spans="1:8" ht="22.8">
      <c r="A16" s="11" t="s">
        <v>94</v>
      </c>
      <c r="B16" s="11" t="s">
        <v>121</v>
      </c>
      <c r="C16" s="11" t="s">
        <v>122</v>
      </c>
      <c r="D16" s="11" t="s">
        <v>123</v>
      </c>
      <c r="E16" s="11" t="s">
        <v>25</v>
      </c>
      <c r="F16" s="11" t="s">
        <v>74</v>
      </c>
      <c r="G16" s="11" t="s">
        <v>124</v>
      </c>
      <c r="H16" s="11" t="s">
        <v>125</v>
      </c>
    </row>
    <row r="17" spans="1:8">
      <c r="A17" s="11" t="s">
        <v>126</v>
      </c>
      <c r="B17" s="11" t="s">
        <v>127</v>
      </c>
      <c r="C17" s="11" t="s">
        <v>128</v>
      </c>
      <c r="D17" s="11" t="s">
        <v>129</v>
      </c>
      <c r="E17" s="11" t="s">
        <v>26</v>
      </c>
      <c r="F17" s="11" t="s">
        <v>130</v>
      </c>
      <c r="G17" s="11" t="s">
        <v>131</v>
      </c>
      <c r="H17" s="11" t="s">
        <v>132</v>
      </c>
    </row>
    <row r="18" spans="1:8">
      <c r="A18" s="11" t="s">
        <v>126</v>
      </c>
      <c r="B18" s="11" t="s">
        <v>133</v>
      </c>
      <c r="C18" s="11" t="s">
        <v>134</v>
      </c>
      <c r="D18" s="11" t="s">
        <v>135</v>
      </c>
      <c r="E18" s="11" t="s">
        <v>26</v>
      </c>
      <c r="F18" s="11" t="s">
        <v>136</v>
      </c>
      <c r="G18" s="11" t="s">
        <v>137</v>
      </c>
      <c r="H18" s="11" t="s">
        <v>138</v>
      </c>
    </row>
    <row r="19" spans="1:8">
      <c r="A19" s="11" t="s">
        <v>139</v>
      </c>
      <c r="B19" s="11" t="s">
        <v>140</v>
      </c>
      <c r="C19" s="11" t="s">
        <v>141</v>
      </c>
      <c r="D19" s="11" t="s">
        <v>142</v>
      </c>
      <c r="E19" s="11" t="s">
        <v>28</v>
      </c>
      <c r="F19" s="11" t="s">
        <v>143</v>
      </c>
      <c r="G19" s="11" t="s">
        <v>144</v>
      </c>
      <c r="H19" s="11" t="s">
        <v>145</v>
      </c>
    </row>
    <row r="20" spans="1:8">
      <c r="A20" s="11" t="s">
        <v>146</v>
      </c>
      <c r="B20" s="11" t="s">
        <v>147</v>
      </c>
      <c r="C20" s="11" t="s">
        <v>148</v>
      </c>
      <c r="D20" s="11" t="s">
        <v>149</v>
      </c>
      <c r="E20" s="11" t="s">
        <v>150</v>
      </c>
      <c r="F20" s="11" t="s">
        <v>68</v>
      </c>
      <c r="G20" s="11" t="s">
        <v>151</v>
      </c>
      <c r="H20" s="11" t="s">
        <v>152</v>
      </c>
    </row>
    <row r="21" spans="1:8" ht="22.8">
      <c r="A21" s="11" t="s">
        <v>153</v>
      </c>
      <c r="B21" s="11" t="s">
        <v>154</v>
      </c>
      <c r="C21" s="11" t="s">
        <v>155</v>
      </c>
      <c r="D21" s="11" t="s">
        <v>156</v>
      </c>
      <c r="E21" s="11" t="s">
        <v>157</v>
      </c>
      <c r="F21" s="11" t="s">
        <v>158</v>
      </c>
      <c r="G21" s="11" t="s">
        <v>159</v>
      </c>
      <c r="H21" s="11" t="s">
        <v>160</v>
      </c>
    </row>
    <row r="22" spans="1:8">
      <c r="A22" s="11" t="s">
        <v>161</v>
      </c>
      <c r="B22" s="11" t="s">
        <v>162</v>
      </c>
      <c r="C22" s="11" t="s">
        <v>163</v>
      </c>
      <c r="D22" s="11" t="s">
        <v>164</v>
      </c>
      <c r="E22" s="11" t="s">
        <v>165</v>
      </c>
      <c r="F22" s="11" t="s">
        <v>166</v>
      </c>
      <c r="G22" s="11" t="s">
        <v>167</v>
      </c>
      <c r="H22" s="11" t="s">
        <v>168</v>
      </c>
    </row>
    <row r="23" spans="1:8" ht="22.8">
      <c r="A23" s="11" t="s">
        <v>161</v>
      </c>
      <c r="B23" s="11" t="s">
        <v>169</v>
      </c>
      <c r="C23" s="11" t="s">
        <v>170</v>
      </c>
      <c r="D23" s="11" t="s">
        <v>171</v>
      </c>
      <c r="E23" s="11" t="s">
        <v>28</v>
      </c>
      <c r="F23" s="11" t="s">
        <v>172</v>
      </c>
      <c r="G23" s="11" t="s">
        <v>173</v>
      </c>
      <c r="H23" s="11" t="s">
        <v>174</v>
      </c>
    </row>
    <row r="24" spans="1:8">
      <c r="A24" s="11" t="s">
        <v>175</v>
      </c>
      <c r="B24" s="11" t="s">
        <v>176</v>
      </c>
      <c r="C24" s="11" t="s">
        <v>177</v>
      </c>
      <c r="D24" s="11" t="s">
        <v>178</v>
      </c>
      <c r="E24" s="11" t="s">
        <v>179</v>
      </c>
      <c r="F24" s="11" t="s">
        <v>180</v>
      </c>
      <c r="G24" s="11" t="s">
        <v>181</v>
      </c>
      <c r="H24" s="11" t="s">
        <v>182</v>
      </c>
    </row>
  </sheetData>
  <mergeCells count="3">
    <mergeCell ref="A1:H1"/>
    <mergeCell ref="A2:H2"/>
    <mergeCell ref="A4:H4"/>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4"/>
  <sheetViews>
    <sheetView showGridLines="0" topLeftCell="A16" workbookViewId="0">
      <selection activeCell="A16" sqref="A16:G16"/>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3" width="71.8984375" style="27" customWidth="1"/>
    <col min="14" max="14" width="71.8984375" style="28" customWidth="1"/>
    <col min="15" max="16384" width="8.796875" style="27"/>
  </cols>
  <sheetData>
    <row r="1" spans="1:14" ht="22.8">
      <c r="A1" s="114" t="s">
        <v>2353</v>
      </c>
      <c r="B1" s="114"/>
      <c r="C1" s="114"/>
      <c r="D1" s="114"/>
      <c r="E1" s="114"/>
      <c r="F1" s="114"/>
      <c r="G1" s="114"/>
      <c r="H1" s="114"/>
      <c r="I1" s="114"/>
      <c r="J1" s="114"/>
      <c r="K1" s="51"/>
      <c r="L1" s="51"/>
      <c r="M1" s="54"/>
      <c r="N1" s="54"/>
    </row>
    <row r="2" spans="1:14">
      <c r="A2" s="115" t="s">
        <v>2354</v>
      </c>
      <c r="B2" s="115"/>
      <c r="C2" s="115"/>
      <c r="D2" s="115"/>
      <c r="E2" s="115"/>
      <c r="F2" s="115"/>
      <c r="G2" s="115"/>
      <c r="H2" s="115"/>
      <c r="I2" s="115"/>
      <c r="J2" s="115"/>
      <c r="K2" s="52"/>
      <c r="L2" s="52"/>
      <c r="M2" s="55"/>
      <c r="N2" s="55"/>
    </row>
    <row r="3" spans="1:14">
      <c r="M3" s="22"/>
      <c r="N3" s="22"/>
    </row>
    <row r="5" spans="1:14">
      <c r="A5" s="53" t="s">
        <v>183</v>
      </c>
      <c r="B5" s="53" t="s">
        <v>21</v>
      </c>
      <c r="C5" s="53" t="s">
        <v>184</v>
      </c>
      <c r="D5" s="53" t="s">
        <v>185</v>
      </c>
      <c r="E5" s="53" t="s">
        <v>186</v>
      </c>
      <c r="F5" s="53" t="s">
        <v>187</v>
      </c>
      <c r="G5" s="53" t="s">
        <v>188</v>
      </c>
      <c r="H5" s="53" t="s">
        <v>2355</v>
      </c>
      <c r="I5" s="53" t="s">
        <v>190</v>
      </c>
      <c r="J5" s="53" t="s">
        <v>191</v>
      </c>
      <c r="K5" s="53" t="s">
        <v>192</v>
      </c>
      <c r="L5" s="53" t="s">
        <v>2356</v>
      </c>
      <c r="M5" s="53" t="s">
        <v>2357</v>
      </c>
      <c r="N5" s="53" t="s">
        <v>2358</v>
      </c>
    </row>
    <row r="6" spans="1:14" ht="125.4">
      <c r="A6" s="23" t="inlineStr">
        <is>
          <t xml:space="preserve">CTX-001</t>
        </is>
      </c>
      <c r="B6" s="23" t="inlineStr">
        <is>
          <t xml:space="preserve">All</t>
        </is>
      </c>
      <c r="C6" s="23" t="inlineStr">
        <is>
          <t xml:space="preserve">Project context</t>
        </is>
      </c>
      <c r="D6" s="23" t="inlineStr">
        <is>
          <t xml:space="preserve">Set the owner-learning and code-only operating model.</t>
        </is>
      </c>
      <c r="E6" s="23" t="inlineStr">
        <is>
          <t xml:space="preserve">Source of Truth, Coaching Blueprint, tracker and owner decisions</t>
        </is>
      </c>
      <c r="F6" s="23" t="inlineStr">
        <is>
          <t xml:space="preserve">Context acknowledgement only</t>
        </is>
      </c>
      <c r="G6" s="23" t="inlineStr">
        <is>
          <t xml:space="preserve">PROJECT CONTEXT — ENTERPRISE AI ARCHITECTURE OWNER-LED LEARNING PROJECT / TRACKER v1.3.4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t>
        </is>
      </c>
      <c r="H6" s="23" t="inlineStr">
        <is>
          <t xml:space="preserve">Control prompt; paste before task prompts</t>
        </is>
      </c>
      <c r="I6" s="23" t="inlineStr">
        <is>
          <t xml:space="preserve">Stop at the control prompt's exact boundary</t>
        </is>
      </c>
      <c r="J6" s="23" t="inlineStr">
        <is>
          <t xml:space="preserve">Owner retains all execution and approval authority</t>
        </is>
      </c>
      <c r="K6" s="23" t="inlineStr">
        <is>
          <t xml:space="preserve">All</t>
        </is>
      </c>
      <c r="L6" s="23" t="inlineStr">
        <is>
          <t xml:space="preserve">N/A — CONTROL PROMPT</t>
        </is>
      </c>
      <c r="M6" s="23" t="inlineStr">
        <is>
          <t xml:space="preserve">N/A — CONTROL PROMPT</t>
        </is>
      </c>
      <c r="N6" s="22" t="inlineStr">
        <is>
          <t xml:space="preserve">N/A — CONTROL PROMPT</t>
        </is>
      </c>
    </row>
    <row r="7" spans="1:14" ht="262.2">
      <c r="A7" s="22" t="inlineStr">
        <is>
          <t xml:space="preserve">CTRL-001</t>
        </is>
      </c>
      <c r="B7" s="22" t="inlineStr">
        <is>
          <t xml:space="preserve">All</t>
        </is>
      </c>
      <c r="C7" s="22" t="inlineStr">
        <is>
          <t xml:space="preserve">Mandatory control preamble</t>
        </is>
      </c>
      <c r="D7" s="22" t="inlineStr">
        <is>
          <t xml:space="preserve">Enforce the Main → Code → Owner Test → Documents → Final Approval workflow.</t>
        </is>
      </c>
      <c r="E7" s="22" t="inlineStr">
        <is>
          <t xml:space="preserve">Exact tracker rows, Task Context, owner decisions and approved boundaries</t>
        </is>
      </c>
      <c r="F7" s="22" t="inlineStr">
        <is>
          <t xml:space="preserve">Read-only plan, code-only edit, owner runbook, documentation gate and learning summary</t>
        </is>
      </c>
      <c r="G7" s="22" t="inlineStr">
        <is>
          <t xml:space="preserve">CTRL-001 — OWNER-LED COMPLETE-IMPACT DEVELOPMENT CONTROL v1.3.4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t>
        </is>
      </c>
      <c r="H7" s="22" t="inlineStr">
        <is>
          <t xml:space="preserve">Control prompt; paste before task prompts</t>
        </is>
      </c>
      <c r="I7" s="22" t="inlineStr">
        <is>
          <t xml:space="preserve">Stop at the control prompt's exact boundary</t>
        </is>
      </c>
      <c r="J7" s="22" t="inlineStr">
        <is>
          <t xml:space="preserve">Owner retains all execution and approval authority</t>
        </is>
      </c>
      <c r="K7" s="22" t="inlineStr">
        <is>
          <t xml:space="preserve">All implementation groups</t>
        </is>
      </c>
      <c r="L7" s="22" t="inlineStr">
        <is>
          <t xml:space="preserve">N/A — CONTROL PROMPT</t>
        </is>
      </c>
      <c r="M7" s="22" t="inlineStr">
        <is>
          <t xml:space="preserve">N/A — CONTROL PROMPT</t>
        </is>
      </c>
      <c r="N7" s="55" t="inlineStr">
        <is>
          <t xml:space="preserve">N/A — CONTROL PROMPT</t>
        </is>
      </c>
    </row>
    <row r="8" spans="1:14" ht="228">
      <c r="A8" s="23" t="inlineStr">
        <is>
          <t xml:space="preserve">TEST-001</t>
        </is>
      </c>
      <c r="B8" s="23" t="inlineStr">
        <is>
          <t xml:space="preserve">All</t>
        </is>
      </c>
      <c r="C8" s="23" t="inlineStr">
        <is>
          <t xml:space="preserve">Owner-led test, deployment and remediation guide</t>
        </is>
      </c>
      <c r="D8" s="23" t="inlineStr">
        <is>
          <t xml:space="preserve">Guide the owner through every validation and lifecycle command without executing anything.</t>
        </is>
      </c>
      <c r="E8" s="23" t="inlineStr">
        <is>
          <t xml:space="preserve">Prompt ID, code diff, acceptance criteria, environment/access boundary</t>
        </is>
      </c>
      <c r="F8" s="23" t="inlineStr">
        <is>
          <t xml:space="preserve">One-command-at-a-time owner runbook and validated PASS/BLOCKED summary</t>
        </is>
      </c>
      <c r="G8" s="23" t="inlineStr">
        <is>
          <t xml:space="preserve">TEST-001 — OWNER EXECUTION, FAILURE AND CLEANLINESS CONTROL v1.3.4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t>
        </is>
      </c>
      <c r="H8" s="23" t="inlineStr">
        <is>
          <t xml:space="preserve">Control prompt; paste before task prompts</t>
        </is>
      </c>
      <c r="I8" s="23" t="inlineStr">
        <is>
          <t xml:space="preserve">Stop at the control prompt's exact boundary</t>
        </is>
      </c>
      <c r="J8" s="23" t="inlineStr">
        <is>
          <t xml:space="preserve">Owner retains all execution and approval authority</t>
        </is>
      </c>
      <c r="K8" s="23" t="inlineStr">
        <is>
          <t xml:space="preserve">All</t>
        </is>
      </c>
      <c r="L8" s="23" t="inlineStr">
        <is>
          <t xml:space="preserve">N/A — CONTROL PROMPT</t>
        </is>
      </c>
      <c r="M8" s="23" t="inlineStr">
        <is>
          <t xml:space="preserve">N/A — CONTROL PROMPT</t>
        </is>
      </c>
      <c r="N8" s="22" t="inlineStr">
        <is>
          <t xml:space="preserve">N/A — CONTROL PROMPT</t>
        </is>
      </c>
    </row>
    <row r="9" spans="1:14" ht="409.6">
      <c r="A9" s="22" t="inlineStr">
        <is>
          <t xml:space="preserve">W1-MVP-001</t>
        </is>
      </c>
      <c r="B9" s="22" t="inlineStr">
        <is>
          <t xml:space="preserve">Week 1</t>
        </is>
      </c>
      <c r="C9" s="22" t="inlineStr">
        <is>
          <t xml:space="preserve">MVP scope and approval record</t>
        </is>
      </c>
      <c r="D9" s="22" t="inlineStr">
        <is>
          <t xml:space="preserve">Create the missing one-page MVP-001 source-of-truth artifact before repository implementation.</t>
        </is>
      </c>
      <c r="E9" s="22" t="inlineStr">
        <is>
          <t xml:space="preserve">USE-001, DATA-001 and five starter EVAL-001 questions; no credentials</t>
        </is>
      </c>
      <c r="F9" s="22" t="inlineStr">
        <is>
          <t xml:space="preserve">Approved business-first documentation/decision record only; no code or command execution</t>
        </is>
      </c>
      <c r="G9" s="22" t="inlineStr">
        <is>
          <t xml:space="preserve">FOUR APPROVAL GATES PLUS OWNER TESTING AND WEEKLY LEARNING — TRACKER v1.3.4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Documentation/governance: Trace every decision to its authority; separate historical facts, owner-approved values, proposals and unresolved owner inputs without rewriting history.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W1-MVP-001.
</t>
        </is>
      </c>
      <c r="H9" s="22" t="inlineStr">
        <is>
          <t xml:space="preserve">Gate 1 Main Prompt → Gate 2 exact Content Edit → owner content review → Gate 3 Column M manifest → Gate 4 Column N complete closure → owner tracker update</t>
        </is>
      </c>
      <c r="I9" s="22" t="inlineStr">
        <is>
          <t xml:space="preserve">READY FOR PRE-EDIT REVIEW — W1-MVP-001</t>
        </is>
      </c>
      <c r="J9" s="22" t="inlineStr">
        <is>
          <t xml:space="preserve">Owner approval required after complete read-only impact review</t>
        </is>
      </c>
      <c r="K9" s="22" t="inlineStr">
        <is>
          <t xml:space="preserve">W1-01</t>
        </is>
      </c>
      <c r="L9" s="22" t="inlineStr">
        <is>
          <t xml:space="preserve">COLUMN L — COMPLETE BOUNDED CONTENT EDIT APPROVAL — W1-MVP-001
APPROVED TASK CONTRACT
- Prompt and tracker steps: W1-MVP-001 / W1-01
- Business purpose: Create the missing one-page MVP-001 source-of-truth artifact before repository implementation.
- Architecture position and content design: Maintain the one-page MVP source-of-truth record without changing application or infrastructure scope.
- Exact interfaces, functions and connections: No application function, class, API, service or infrastructure connection is changed. The exact document sections are Objective, target users, first use case, in scope, out of scope, approved sample-data description, five starter questions, measurable acceptance, privacy/security assumptions, dependencies, owner inputs and approval fields.
- Exact inputs, outputs, errors and invariants: Inputs are limited to USE-001, DATA-001 and five starter EVAL-001 questions;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or Terraform-example format; the Terraform example contains placeholders only,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docs/features/MVP-001.md
DELETE:
- None
VERIFIED UNCHANGED CONSUMERS:
- feature-matrix.yaml
- The Master Plan, task statuses and historical evidence records in the Excel tracker.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End exactly: CONTENT READY FOR OWNER REVIEW — W1-MVP-001.
</t>
        </is>
      </c>
      <c r="M9" s="22" t="inlineStr">
        <is>
          <t xml:space="preserve">COLUMN M — EXACT DOCUMENT WRITING APPROVAL — W1-MVP-001
This is a separate owner approval after the bounded edit and owner testing or content review. Classify every path under one—and only one—of the CREATE and UPDATE headings after read-only preflight inspection.
EXACT DOCUMENTATION BOUNDARY
CREATE:
- None
UPDATE:
- docs/features/MVP-001.md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W1-MVP-001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W1-MVP-001.
</t>
        </is>
      </c>
      <c r="N9" s="55" t="inlineStr">
        <is>
          <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t>
        </is>
      </c>
    </row>
    <row r="10" spans="1:14" ht="409.6">
      <c r="A10" s="23" t="inlineStr">
        <is>
          <t xml:space="preserve">W1-GOV-001</t>
        </is>
      </c>
      <c r="B10" s="23" t="inlineStr">
        <is>
          <t xml:space="preserve">Week 1</t>
        </is>
      </c>
      <c r="C10" s="23" t="inlineStr">
        <is>
          <t xml:space="preserve">Source precedence ADR</t>
        </is>
      </c>
      <c r="D10" s="23" t="inlineStr">
        <is>
          <t xml:space="preserve">Create the missing governance decision without creating unrelated Codex context files.</t>
        </is>
      </c>
      <c r="E10" s="23" t="inlineStr">
        <is>
          <t xml:space="preserve">Source of Truth v1.1 and Coaching Blueprint as read-only references; no credentials</t>
        </is>
      </c>
      <c r="F10" s="23" t="inlineStr">
        <is>
          <t xml:space="preserve">Approved business-first documentation/decision record only; no code or command execution</t>
        </is>
      </c>
      <c r="G10" s="23" t="inlineStr">
        <is>
          <t xml:space="preserve">FOUR APPROVAL GATES PLUS OWNER TESTING AND WEEKLY LEARNING — TRACKER v1.3.4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Documentation/governance: Trace every decision to its authority; separate historical facts, owner-approved values, proposals and unresolved owner inputs without rewriting history.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W1-GOV-001.
</t>
        </is>
      </c>
      <c r="H10" s="23" t="inlineStr">
        <is>
          <t xml:space="preserve">Gate 1 Main Prompt → Gate 2 exact Content Edit → owner content review → Gate 3 Column M manifest → Gate 4 Column N complete closure → owner tracker update</t>
        </is>
      </c>
      <c r="I10" s="23" t="inlineStr">
        <is>
          <t xml:space="preserve">READY FOR PRE-EDIT REVIEW — W1-GOV-001</t>
        </is>
      </c>
      <c r="J10" s="23" t="inlineStr">
        <is>
          <t xml:space="preserve">Owner approval required after complete read-only impact review</t>
        </is>
      </c>
      <c r="K10" s="23" t="inlineStr">
        <is>
          <t xml:space="preserve">W1-02</t>
        </is>
      </c>
      <c r="L10" s="23" t="inlineStr">
        <is>
          <t xml:space="preserve">COLUMN L — COMPLETE BOUNDED CONTENT EDIT APPROVAL — W1-GOV-001
APPROVED TASK CONTRACT
- Prompt and tracker steps: W1-GOV-001 / W1-02
- Business purpose: Create the missing governance decision without creating unrelated Codex context files.
- Architecture position and content design: Maintain the source-precedence ADR and its examples without creating unrelated context files.
- Exact interfaces, functions and connections: No application function, class, API, service or infrastructure connection is changed. The exact document sections are Context, decision, precedence order, three examples, alternatives, trade-offs, consequences, revisit triggers, Proposed status and owner fields.
- Exact inputs, outputs, errors and invariants: Inputs are limited to Source of Truth v1.1 and Coaching Blueprint as read-only references;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or Terraform-example format; the Terraform example contains placeholders only,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docs/adr/ADR-000-source-precedence.md
DELETE:
- None
VERIFIED UNCHANGED CONSUMERS:
- feature-matrix.yaml
- The Master Plan, task statuses and historical evidence records in the Excel tracker.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End exactly: CONTENT READY FOR OWNER REVIEW — W1-GOV-001.
</t>
        </is>
      </c>
      <c r="M10" s="23" t="inlineStr">
        <is>
          <t xml:space="preserve">COLUMN M — EXACT DOCUMENT WRITING APPROVAL — W1-GOV-001
This is a separate owner approval after the bounded edit and owner testing or content review. Classify every path under one—and only one—of the CREATE and UPDATE headings after read-only preflight inspection.
EXACT DOCUMENTATION BOUNDARY
CREATE:
- None
UPDATE:
- docs/adr/ADR-000-source-precedence.md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W1-GOV-001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W1-GOV-001.
</t>
        </is>
      </c>
      <c r="N10" s="22" t="inlineStr">
        <is>
          <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t>
        </is>
      </c>
    </row>
    <row r="11" spans="1:14" ht="409.6">
      <c r="A11" s="22" t="inlineStr">
        <is>
          <t xml:space="preserve">W1-001</t>
        </is>
      </c>
      <c r="B11" s="22" t="inlineStr">
        <is>
          <t xml:space="preserve">Week 1</t>
        </is>
      </c>
      <c r="C11" s="22" t="inlineStr">
        <is>
          <t xml:space="preserve">Repository and feature-control foundation</t>
        </is>
      </c>
      <c r="D11" s="22" t="inlineStr">
        <is>
          <t xml:space="preserve">Create the traceability and evidence structure before feature code.</t>
        </is>
      </c>
      <c r="E11" s="22" t="inlineStr">
        <is>
          <t xml:space="preserve">TODO_REPOSITORY, TODO_USER_OR_TEAM, TODO_COST_CENTER</t>
        </is>
      </c>
      <c r="F11" s="22" t="inlineStr">
        <is>
          <t xml:space="preserve">Approved code/configuration/test-code changes; owner test/deployment/remediation guide; business/technical/layman/interview summary</t>
        </is>
      </c>
      <c r="G11" s="22" t="inlineStr">
        <is>
          <t xml:space="preserve">FOUR APPROVAL GATES PLUS OWNER TESTING AND WEEKLY LEARNING — TRACKER v1.3.4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tools/validate_feature_matrix.py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W1-001.
</t>
        </is>
      </c>
      <c r="H11" s="22" t="inlineStr">
        <is>
          <t xml:space="preserve">Gate 1 Main Prompt → Gate 2 exact Code Edit → owner TEST-001 → Gate 3 Column M manifest → Gate 4 Column N complete closure → owner tracker update</t>
        </is>
      </c>
      <c r="I11" s="22" t="inlineStr">
        <is>
          <t xml:space="preserve">READY FOR PRE-EDIT REVIEW — W1-001</t>
        </is>
      </c>
      <c r="J11" s="22" t="inlineStr">
        <is>
          <t xml:space="preserve">Owner approval required after complete read-only impact review</t>
        </is>
      </c>
      <c r="K11" s="22" t="inlineStr">
        <is>
          <t xml:space="preserve">W1-03, W1-04, W1-07</t>
        </is>
      </c>
      <c r="L11" s="22" t="inlineStr">
        <is>
          <t xml:space="preserve">COLUMN L — COMPLETE BOUNDED CODE EDIT APPROVAL — W1-001
APPROVED TASK CONTRACT
- Prompt and tracker steps: W1-001 / W1-03, W1-04, W1-07
- Business purpose: Create the traceability and evidence structure before feature code.
- Architecture and design: The repository control plane is Makefile plus the JSON-serialized feature-matrix.yaml and its validator; feature ownership maps exact implementation and test paths without implementing RAG.
- Exact interfaces, functions and connections: tools.platformctl.validate validates the ordered feature records; Make targets expose help and preflight without making apply or destroy a default dependency.
- Exact inputs, outputs, errors and invariants: Inputs are limited to TODO_REPOSITORY, TODO_USER_OR_TEAM, TODO_COST_CENTER.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matrix remains one JSON object with schema_version, project, permitted_statuses and ordered features; malformed, duplicated, reordered, missing or unexpected values are rejected.
- Exact dependency and runtime API rules: Python 3.11 or newer and the repository-configured tool scopes apply; no network, service, model or cloud API participates.
- Exact security, privacy, concurrency and operational controls: No secret values, credentials or resource mutation; path ownership and owner approval remain explicit.
- Exact automated-test behavior: Repository-layout tests prove exact paths; feature tests prove ordered feature identity and rejection of malformed or extra data; platformctl tests prove the validation exit contract.
- Accepted baseline: The inspected repository contains every UPDATE path and does not contain every CREATE path. Historical results remain unchanged; future execution must revalidate content and patch anchors.
EXACT APPROVED PATH MANIFEST
CREATE:
- None
UPDATE:
- feature-matrix.yaml
- Makefile
- tools/platformctl/validate.py
- tests/integration/test_repository_layout.py
- tests/feature/test_feature_matrix.py
- tests/feature/test_mvp_001_mapping.py
- tests/feature/test_mvp_001_platformctl.py
DELETE:
- None
VERIFIED UNCHANGED CONSUMERS:
- README.md
- docs/features/FEATURE-TEMPLATE.md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W1-001.
</t>
        </is>
      </c>
      <c r="M11" s="22" t="inlineStr">
        <is>
          <t xml:space="preserve">COLUMN M — EXACT DOCUMENT WRITING APPROVAL — W1-001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docs/test-evidence/W1-001.md
- docs/features/FEATURE-TEMPLATE.md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W1-001.
</t>
        </is>
      </c>
      <c r="N11" s="55" t="inlineStr">
        <is>
          <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t>
        </is>
      </c>
    </row>
    <row r="12" spans="1:14" ht="409.6">
      <c r="A12" s="23" t="inlineStr">
        <is>
          <t xml:space="preserve">W1-002</t>
        </is>
      </c>
      <c r="B12" s="23" t="inlineStr">
        <is>
          <t xml:space="preserve">Week 1</t>
        </is>
      </c>
      <c r="C12" s="23" t="inlineStr">
        <is>
          <t xml:space="preserve">Dependency and configuration foundation</t>
        </is>
      </c>
      <c r="D12" s="23" t="inlineStr">
        <is>
          <t xml:space="preserve">Make installation reproducible and configuration explicit.</t>
        </is>
      </c>
      <c r="E12" s="23" t="inlineStr">
        <is>
          <t xml:space="preserve">Python 3.11; no cloud credentials</t>
        </is>
      </c>
      <c r="F12" s="23" t="inlineStr">
        <is>
          <t xml:space="preserve">Approved code/configuration/test-code changes; owner test/deployment/remediation guide; business/technical/layman/interview summary</t>
        </is>
      </c>
      <c r="G12" s="23" t="inlineStr">
        <is>
          <t xml:space="preserve">FOUR APPROVAL GATES PLUS OWNER TESTING AND WEEKLY LEARNING — TRACKER v1.3.4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W1-002.
</t>
        </is>
      </c>
      <c r="H12" s="23" t="inlineStr">
        <is>
          <t xml:space="preserve">Gate 1 Main Prompt → Gate 2 exact Code Edit → owner TEST-001 → Gate 3 Column M manifest → Gate 4 Column N complete closure → owner tracker update</t>
        </is>
      </c>
      <c r="I12" s="23" t="inlineStr">
        <is>
          <t xml:space="preserve">READY FOR PRE-EDIT REVIEW — W1-002</t>
        </is>
      </c>
      <c r="J12" s="23" t="inlineStr">
        <is>
          <t xml:space="preserve">Owner approval required after complete read-only impact review</t>
        </is>
      </c>
      <c r="K12" s="23" t="inlineStr">
        <is>
          <t xml:space="preserve">W1-05</t>
        </is>
      </c>
      <c r="L12" s="23" t="inlineStr">
        <is>
          <t xml:space="preserve">COLUMN L — COMPLETE BOUNDED CODE EDIT APPROVAL — W1-002
APPROVED TASK CONTRACT
- Prompt and tracker steps: W1-002 / W1-05
- Business purpose: Make installation reproducible and configuration explicit.
- Architecture and design: Pydantic settings load explicit environment values through enterprise_ai_platform.config and expose validated configuration to consumers without embedding secrets.
- Exact interfaces, functions and connections: Settings and get_settings accept environment strings and return typed immutable configuration; validation errors reject absent or malformed required values.
- Exact inputs, outputs, errors and invariants: Inputs are limited to Python 3.11; no cloud credentials.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Environment names, types, defaults and rejection behavior are fixed by .env.example and Settings fields; tests use monkeypatched environment fixtures only.
- Exact dependency and runtime API rules: Dependency bounds remain in requirements and pyproject; imports must resolve under the supported Python baseline without network use at runtime.
- Exact security, privacy, concurrency and operational controls: Secret values are never committed, logged or included in validation errors; configuration loading is deterministic and side-effect free.
- Exact automated-test behavior: Unit tests cover defaults and invalid values; dependency-contract tests cover declared imports; security tests reject committed secrets; cleanliness tests reject repository-local environments and caches.
- Accepted baseline: The inspected repository contains every UPDATE path and does not contain every CREATE path. Historical results remain unchanged; future execution must revalidate content and patch anchors.
EXACT APPROVED PATH MANIFEST
CREATE:
- None
UPDATE:
- .env.example
- pyproject.toml
- requirements.txt
- requirements-dev.txt
- src/enterprise_ai_platform/config.py
- tests/unit/test_config.py
- tests/integration/test_dependency_contract.py
- tests/security/test_configuration_security.py
- tests/teardown/test_w1_002_cleanliness.py
DELETE:
- None
VERIFIED UNCHANGED CONSUMERS:
- src/enterprise_ai_platform/app.py
- docker-compose.yml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W1-002.
</t>
        </is>
      </c>
      <c r="M12" s="23" t="inlineStr">
        <is>
          <t xml:space="preserve">COLUMN M — EXACT DOCUMENT WRITING APPROVAL — W1-002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docs/test-evidence/W1-002.md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W1-002.
</t>
        </is>
      </c>
      <c r="N12" s="22" t="inlineStr">
        <is>
          <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t>
        </is>
      </c>
    </row>
    <row r="13" spans="1:14" ht="409.6">
      <c r="A13" s="22" t="inlineStr">
        <is>
          <t xml:space="preserve">W1-003</t>
        </is>
      </c>
      <c r="B13" s="22" t="inlineStr">
        <is>
          <t xml:space="preserve">Week 1</t>
        </is>
      </c>
      <c r="C13" s="22" t="inlineStr">
        <is>
          <t xml:space="preserve">Test and evidence framework</t>
        </is>
      </c>
      <c r="D13" s="22" t="inlineStr">
        <is>
          <t xml:space="preserve">Make every acceptance criterion executable and auditable.</t>
        </is>
      </c>
      <c r="E13" s="22" t="inlineStr">
        <is>
          <t xml:space="preserve">Feature template and repo skeleton</t>
        </is>
      </c>
      <c r="F13" s="22" t="inlineStr">
        <is>
          <t xml:space="preserve">Approved code/configuration/test-code changes; owner test/deployment/remediation guide; business/technical/layman/interview summary</t>
        </is>
      </c>
      <c r="G13" s="22" t="inlineStr">
        <is>
          <t xml:space="preserve">FOUR APPROVAL GATES PLUS OWNER TESTING AND WEEKLY LEARNING — TRACKER v1.3.4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W1-003.
</t>
        </is>
      </c>
      <c r="H13" s="22" t="inlineStr">
        <is>
          <t xml:space="preserve">Gate 1 Main Prompt → Gate 2 exact Code Edit → owner TEST-001 → Gate 3 Column M manifest → Gate 4 Column N complete closure → owner tracker update</t>
        </is>
      </c>
      <c r="I13" s="22" t="inlineStr">
        <is>
          <t xml:space="preserve">READY FOR PRE-EDIT REVIEW — W1-003</t>
        </is>
      </c>
      <c r="J13" s="22" t="inlineStr">
        <is>
          <t xml:space="preserve">Owner approval required after complete read-only impact review</t>
        </is>
      </c>
      <c r="K13" s="22" t="inlineStr">
        <is>
          <t xml:space="preserve">W1-06, W1-08</t>
        </is>
      </c>
      <c r="L13" s="22" t="inlineStr">
        <is>
          <t xml:space="preserve">COLUMN L — COMPLETE BOUNDED CODE EDIT APPROVAL — W1-003
APPROVED TASK CONTRACT
- Prompt and tracker steps: W1-003 / W1-06, W1-08
- Business purpose: Make every acceptance criterion executable and auditable.
- Architecture and design: Pytest markers, deterministic fixtures and the evidence recorder separate automated verification from owner-approved narrative evidence.
- Exact interfaces, functions and connections: record_test_evidence accepts sanitized status metadata and emits the approved record schema; pytest marker configuration selects offline, integration, paid and cloud boundaries explicitly.
- Exact inputs, outputs, errors and invariants: Inputs are limited to Feature template and repo skeleton.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Evidence records contain status, command, result, timestamp and redacted metadata; secret-like values and raw enterprise content are rejected or redacted.
- Exact dependency and runtime API rules: Repository-configured pytest only; cacheprovider remains disabled and ordinary tests require no network or external service.
- Exact security, privacy, concurrency and operational controls: Evidence cannot claim unexecuted tests; sensitive values are redacted; output paths remain owner-approved documentation paths and are not written during Column L.
- Exact automated-test behavior: Contract tests validate evidence fields; marker tests validate opt-in behavior; security tests prove redaction; smoke tests cover CLI parsing; cleanliness tests reject caches and generated residue.
- Accepted baseline: The inspected repository contains every UPDATE path and does not contain every CREATE path. Historical results remain unchanged; future execution must revalidate content and patch anchors.
EXACT APPROVED PATH MANIFEST
CREATE:
- None
UPDATE:
- pyproject.toml
- tests/conftest.py
- tools/record_test_evidence.py
- tests/contract/test_evidence_record_contract.py
- tests/integration/test_opt_in_markers.py
- tests/security/test_evidence_redaction.py
- tests/smoke/test_evidence_recorder_cli.py
- tests/teardown/test_repository_cleanliness.py
DELETE:
- None
VERIFIED UNCHANGED CONSUMERS:
- docs/test-evidence/README.md
- feature-matrix.yaml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W1-003.
</t>
        </is>
      </c>
      <c r="M13" s="22" t="inlineStr">
        <is>
          <t xml:space="preserve">COLUMN M — EXACT DOCUMENT WRITING APPROVAL — W1-003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docs/test-evidence/W1-003.md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W1-003.
</t>
        </is>
      </c>
      <c r="N13" s="55" t="inlineStr">
        <is>
          <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t>
        </is>
      </c>
    </row>
    <row r="14" spans="1:14" ht="409.6">
      <c r="A14" s="23" t="inlineStr">
        <is>
          <t xml:space="preserve">W1-004</t>
        </is>
      </c>
      <c r="B14" s="23" t="inlineStr">
        <is>
          <t xml:space="preserve">Week 1</t>
        </is>
      </c>
      <c r="C14" s="23" t="inlineStr">
        <is>
          <t xml:space="preserve">Lifecycle controller and cleanup-verifier skeleton</t>
        </is>
      </c>
      <c r="D14" s="23" t="inlineStr">
        <is>
          <t xml:space="preserve">Treat deployability and reversibility as platform features.</t>
        </is>
      </c>
      <c r="E14" s="23" t="inlineStr">
        <is>
          <t xml:space="preserve">Required tag schema; sandbox-only scope</t>
        </is>
      </c>
      <c r="F14" s="23" t="inlineStr">
        <is>
          <t xml:space="preserve">Approved code/configuration/test-code changes; owner test/deployment/remediation guide; business/technical/layman/interview summary</t>
        </is>
      </c>
      <c r="G14" s="23" t="inlineStr">
        <is>
          <t xml:space="preserve">FOUR APPROVAL GATES PLUS OWNER TESTING AND WEEKLY LEARNING — TRACKER v1.3.4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W1-004.
</t>
        </is>
      </c>
      <c r="H14" s="23" t="inlineStr">
        <is>
          <t xml:space="preserve">Gate 1 Main Prompt → Gate 2 exact Code Edit → owner TEST-001 → Gate 3 Column M manifest → Gate 4 Column N complete closure → owner tracker update</t>
        </is>
      </c>
      <c r="I14" s="23" t="inlineStr">
        <is>
          <t xml:space="preserve">READY FOR PRE-EDIT REVIEW — W1-004</t>
        </is>
      </c>
      <c r="J14" s="23" t="inlineStr">
        <is>
          <t xml:space="preserve">Owner approval required after complete read-only impact review</t>
        </is>
      </c>
      <c r="K14" s="23" t="inlineStr">
        <is>
          <t xml:space="preserve">W1-09, W1-10, W1-11</t>
        </is>
      </c>
      <c r="L14" s="23" t="inlineStr">
        <is>
          <t xml:space="preserve">COLUMN L — COMPLETE BOUNDED CODE EDIT APPROVAL — W1-004
APPROVED TASK CONTRACT
- Prompt and tracker steps: W1-004 / W1-09, W1-10, W1-11
- Business purpose: Treat deployability and reversibility as platform features.
- Architecture and design: platformctl is a dry-run-first lifecycle controller with typed plans, explicit approval tokens and provider fakes; mutation remains owner executed.
- Exact interfaces, functions and connections: CLI commands bootstrap, plan, deploy, rollback, destroy and verify-clean return normalized exit codes; inventory adapters return project-scoped resource records.
- Exact inputs, outputs, errors and invariants: Inputs are limited to Required tag schema; sandbox-only scope.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Lifecycle requests carry project, environment, action, plan identity and approval state; inventory fixtures carry resource ID, type, region, tags and lifecycle status.
- Exact dependency and runtime API rules: Python standard CLI boundaries and fake providers are default; AWS APIs are not contacted by ordinary tests or Column L work.
- Exact security, privacy, concurrency and operational controls: Typed confirmation, allowlisted project identity, least-privilege inventory and native plus tag-based cleanup checks prevent broad mutation.
- Exact automated-test behavior: Unit and contract tests cover command parsing and exit codes; dry-run integration tests prove no provider mutation; security tests reject missing approvals; teardown tests detect residual project resources.
- Accepted baseline: The inspected repository contains every UPDATE path and does not contain every CREATE path. Historical results remain unchanged; future execution must revalidate content and patch anchors.
EXACT APPROVED PATH MANIFEST
CREATE:
- None
UPDATE:
- tools/platformctl/__init__.py
- tools/platformctl/__main__.py
- tools/platformctl/cli.py
- tools/platformctl/contracts.py
- tools/platformctl/bootstrap.py
- tools/platformctl/plan.py
- tools/platformctl/deploy.py
- tools/platformctl/rollback.py
- tools/platformctl/destroy.py
- tools/platformctl/verify_clean.py
- tools/platformctl/aws_inventory.py
- tools/platformctl/validate.py
- tests/fakes/aws_inventory.py
- tests/fakes/providers.py
- tests/unit/test_platformctl.py
- tests/unit/test_platformctl_lifecycle.py
- tests/unit/test_platformctl_verify_clean.py
- tests/contract/test_platformctl_cli_contract.py
- tests/integration/test_platformctl_dry_run.py
- tests/security/test_platformctl_approval_gates.py
- tests/teardown/test_platformctl_cleanup.py
- tests/smoke/test_platformctl_help.py
DELETE:
- None
VERIFIED UNCHANGED CONSUMERS:
- infra/bootstrap/main.tf
- infra/environments/sandbox/main.tf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W1-004.
</t>
        </is>
      </c>
      <c r="M14" s="23" t="inlineStr">
        <is>
          <t xml:space="preserve">COLUMN M — EXACT DOCUMENT WRITING APPROVAL — W1-004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docs/test-evidence/W1-004.md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W1-004.
</t>
        </is>
      </c>
      <c r="N14" s="22" t="inlineStr">
        <is>
          <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t>
        </is>
      </c>
    </row>
    <row r="15" spans="1:14" ht="409.6">
      <c r="A15" s="22" t="inlineStr">
        <is>
          <t xml:space="preserve">W2-001</t>
        </is>
      </c>
      <c r="B15" s="22" t="inlineStr">
        <is>
          <t xml:space="preserve">Week 2</t>
        </is>
      </c>
      <c r="C15" s="22" t="inlineStr">
        <is>
          <t xml:space="preserve">Local Qdrant foundation, domain models and pluggable vector adapters</t>
        </is>
      </c>
      <c r="D15" s="22" t="inlineStr">
        <is>
          <t xml:space="preserve">Establish the pinned local prerequisite and prevent vendor/security leakage into retrieval logic.</t>
        </is>
      </c>
      <c r="E15" s="22" t="inlineStr">
        <is>
          <t xml:space="preserve">W1 sign-off; DATA-002, DATA-003, EMB-001, SEC-001; Docker 24+; approved Qdrant digests</t>
        </is>
      </c>
      <c r="F15" s="22" t="inlineStr">
        <is>
          <t xml:space="preserve">Approved code/configuration/test-code changes; owner test/deployment/remediation guide; business/technical/layman/interview summary</t>
        </is>
      </c>
      <c r="G15" s="22" t="inlineStr">
        <is>
          <t xml:space="preserve">FOUR APPROVAL GATES PLUS OWNER TESTING AND WEEKLY LEARNING — TRACKER v1.3.4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Use host 127.0.0.1:6333, Compose project enterprise-ai-w2-004a, service qdrant, volume enterprise-ai-w2-004a_qdrant_data and internal network enterprise-ai-w2-004a_qdrant_internal.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W2-001.
</t>
        </is>
      </c>
      <c r="H15" s="22" t="inlineStr">
        <is>
          <t xml:space="preserve">Gate 1 Main Prompt → Gate 2 exact Code Edit → owner TEST-001 → Gate 3 Column M manifest → Gate 4 Column N complete closure → owner tracker update</t>
        </is>
      </c>
      <c r="I15" s="22" t="inlineStr">
        <is>
          <t xml:space="preserve">READY FOR PRE-EDIT REVIEW — W2-001</t>
        </is>
      </c>
      <c r="J15" s="22" t="inlineStr">
        <is>
          <t xml:space="preserve">Owner approval required after complete read-only impact review</t>
        </is>
      </c>
      <c r="K15" s="22" t="inlineStr">
        <is>
          <t xml:space="preserve">W2-03, W2-01, W2-02, W2-04, W2-08</t>
        </is>
      </c>
      <c r="L15" s="22" t="inlineStr">
        <is>
          <t xml:space="preserve">COLUMN L — COMPLETE BOUNDED CODE EDIT APPROVAL — W2-001
APPROVED TASK CONTRACT
- Prompt and tracker steps: W2-001 / W2-03, W2-01, W2-02, W2-04, W2-08
- Business purpose: Establish the pinned local prerequisite and prevent vendor/security leakage into retrieval logic.
- Architecture and design: Provider-neutral retrieval models and VectorStore protocol connect fake, Qdrant and OpenSearch adapters; Qdrant stays on the internal Compose network and the one-shot test runner is the only integration client.
- Exact interfaces, functions and connections: VectorStore upsert, query and delete operations accept typed tenant-aware models and return domain results or normalized retrieval errors; authorization filters are applied before any adapter query.
- Exact inputs, outputs, errors and invariants: Inputs are limited to W1 sign-off; DATA-002, DATA-003, EMB-001, SEC-001; Docker 24+; approved Qdrant digests.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Documents, chunks, queries, answers and citations require deterministic IDs, tenant, classification, source and version metadata; serialization must not expose SDK objects.
- Exact dependency and runtime API rules: Pinned Qdrant index digest, approved Linux AMD64 manifests, bounded HTTP timeouts and injected OpenSearch clients apply; no host port or live AWS call is permitted by default.
- Exact security, privacy, concurrency and operational controls: Tenant and classification isolation fail closed; runner is non-root, read-only, capability-dropped, resource-bounded and credential-free; collection cleanup occurs in finally.
- Exact automated-test behavior: Model tests reject missing identity; shared contract tests cover fake behavior; Qdrant integration covers internal connectivity and cleanup; OpenSearch tests use injected clients; security tests prove cross-tenant denial; lifecycle tests prove no host publication and no residue.
- Accepted baseline: The inspected repository contains every UPDATE path and does not contain every CREATE path. Historical results remain unchanged; future execution must revalidate content and patch anchors.
EXACT APPROVED PATH MANIFEST
CREATE:
- None
UPDATE:
- requirements.txt
- docker-compose.yml
- docker/qdrant-test-runner.Dockerfile
- docker/qdrant-test-runner.Dockerfile.dockerignore
- docker/qdrant-test-runner.requirements.txt
- src/enterprise_ai_platform/retrieval/__init__.py
- src/enterprise_ai_platform/retrieval/models.py
- src/enterprise_ai_platform/retrieval/errors.py
- src/enterprise_ai_platform/retrieval/vector_store.py
- src/enterprise_ai_platform/retrieval/authorization.py
- src/enterprise_ai_platform/retrieval/adapters/__init__.py
- src/enterprise_ai_platform/retrieval/adapters/fake.py
- src/enterprise_ai_platform/retrieval/adapters/qdrant.py
- src/enterprise_ai_platform/retrieval/adapters/opensearch.py
- tests/unit/test_models.py
- tests/contract/test_vector_store.py
- tests/integration/test_qdrant.py
- tests/integration/test_opensearch.py
- tests/security/test_tenant_isolation.py
- tests/feature/test_w2_001_retrieval_contract.py
- tests/teardown/test_w2_001_qdrant_lifecycle.py
- feature-matrix.yaml
- tools/platformctl/validate.py
- tests/feature/test_feature_matrix.py
- tests/unit/test_platformctl.py
DELETE:
- None
VERIFIED UNCHANGED CONSUMERS:
- src/enterprise_ai_platform/config.py
- src/enterprise_ai_platform/embeddings/base.py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W2-001.
</t>
        </is>
      </c>
      <c r="M15" s="22" t="inlineStr">
        <is>
          <t xml:space="preserve">COLUMN M — EXACT DOCUMENT WRITING APPROVAL — W2-001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W2-001.
</t>
        </is>
      </c>
      <c r="N15" s="55" t="inlineStr">
        <is>
          <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t>
        </is>
      </c>
    </row>
    <row r="16" spans="1:14" ht="409.6">
      <c r="A16" s="23" t="inlineStr">
        <is>
          <t xml:space="preserve">W2-002</t>
        </is>
      </c>
      <c r="B16" s="23" t="inlineStr">
        <is>
          <t xml:space="preserve">Week 2</t>
        </is>
      </c>
      <c r="C16" s="23" t="inlineStr">
        <is>
          <t xml:space="preserve">Embedder contract and local adapter</t>
        </is>
      </c>
      <c r="D16" s="23" t="inlineStr">
        <is>
          <t xml:space="preserve">Support local and future provider embeddings through one boundary.</t>
        </is>
      </c>
      <c r="E16" s="23" t="inlineStr">
        <is>
          <t xml:space="preserve">EMBEDDING_MODEL_ID</t>
        </is>
      </c>
      <c r="F16" s="23" t="inlineStr">
        <is>
          <t xml:space="preserve">Approved code/configuration/test-code changes; owner test/deployment/remediation guide; business/technical/layman/interview summary</t>
        </is>
      </c>
      <c r="G16" s="23" t="inlineStr">
        <is>
          <t xml:space="preserve">FOUR APPROVAL GATES PLUS OWNER TESTING AND WEEKLY LEARNING — TRACKER v1.3.4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Concurrency/cancellation: Define bounded concurrency, deadlines, retries, cancellation propagation and no further mutation after cancellation.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W2-002.
</t>
        </is>
      </c>
      <c r="H16" s="23" t="inlineStr">
        <is>
          <t xml:space="preserve">Gate 1 Main Prompt → Gate 2 exact Code Edit → owner TEST-001 → Gate 3 Column M manifest → Gate 4 Column N complete closure → owner tracker update</t>
        </is>
      </c>
      <c r="I16" s="23" t="inlineStr">
        <is>
          <t xml:space="preserve">READY FOR PRE-EDIT REVIEW — W2-002</t>
        </is>
      </c>
      <c r="J16" s="23" t="inlineStr">
        <is>
          <t xml:space="preserve">Owner approval required after complete read-only impact review</t>
        </is>
      </c>
      <c r="K16" s="23" t="inlineStr">
        <is>
          <t xml:space="preserve">W2-05</t>
        </is>
      </c>
      <c r="L16" s="23" t="inlineStr">
        <is>
          <t xml:space="preserve">COLUMN L — COMPLETE BOUNDED CODE EDIT APPROVAL — W2-002
APPROVED TASK CONTRACT
- Prompt and tracker steps: W2-002 / W2-05
- Business purpose: Support local and future provider embeddings through one boundary.
- Architecture and design: Embedder protocol isolates deterministic FakeEmbeddingProvider from the pinned offline SentenceTransformer provider; all ordinary tests use the fake.
- Exact interfaces, functions and connections: embed_documents and embed_query accept bounded text sequences and return normalized 384-dimensional float vectors; contract mismatch and provider failure use typed redacted errors.
- Exact inputs, outputs, errors and invariants: Inputs are limited to EMBEDDING_MODEL_ID.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EmbeddingContract fixes model ID, immutable revision, dimension 384, normalized true and cosine metric; inputs over 256 wordpieces are rejected rather than truncated.
- Exact dependency and runtime API rules: Sentence Transformers loads only an approved external snapshot with local_files_only true, trust_remote_code false, token none, CPU device and no automatic device detection.
- Exact security, privacy, concurrency and operational controls: One process-wide encode lock, batch maximum 128, call maximum 1024 and asyncio.to_thread keep CPU work outside the event loop; errors and metrics exclude input text.
- Exact automated-test behavior: Unit and contract tests cover fake determinism, normalization and mismatches; security tests inspect offline controls and redaction; opt-in integration uses the verified snapshot; cleanliness tests reject repository model caches.
- Accepted baseline: The inspected repository contains every UPDATE path and does not contain every CREATE path. Historical results remain unchanged; future execution must revalidate content and patch anchors.
EXACT APPROVED PATH MANIFEST
CREATE:
- None
UPDATE:
- requirements.txt
- src/enterprise_ai_platform/embeddings/__init__.py
- src/enterprise_ai_platform/embeddings/base.py
- src/enterprise_ai_platform/embeddings/errors.py
- src/enterprise_ai_platform/embeddings/fake.py
- src/enterprise_ai_platform/embeddings/sentence_transformer.py
- src/enterprise_ai_platform/config.py
- tests/unit/test_embedder.py
- tests/contract/test_embedder.py
- tests/integration/test_sentence_transformer_embedder.py
- tests/feature/test_w2_002_embedder_contract.py
- tests/security/test_embedder_security.py
- tests/teardown/test_w2_002_embedder_cleanliness.py
- feature-matrix.yaml
- tools/platformctl/validate.py
- tests/feature/test_feature_matrix.py
- tests/unit/test_platformctl.py
DELETE:
- None
VERIFIED UNCHANGED CONSUMERS:
- src/enterprise_ai_platform/retrieval/vector_store.py
- docker-compose.yml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W2-002.
</t>
        </is>
      </c>
      <c r="M16" s="23" t="inlineStr">
        <is>
          <t xml:space="preserve">COLUMN M — EXACT DOCUMENT WRITING APPROVAL — W2-002
This is a separate owner approval after the bounded edit and owner testing or content review. Classify every path under one—and only one—of the CREATE and UPDATE headings after read-only preflight inspection.
EXACT DOCUMENTATION BOUNDARY
CREATE:
- None
UPDATE:
- docs/test-evidence/W2-002.md
- docs/test-evidence/W2-05-embedder.txt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W2-002.
</t>
        </is>
      </c>
      <c r="N16" s="22" t="inlineStr">
        <is>
          <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t>
        </is>
      </c>
    </row>
    <row r="17" spans="1:14" ht="409.6">
      <c r="A17" s="22" t="inlineStr">
        <is>
          <t xml:space="preserve">W2-003</t>
        </is>
      </c>
      <c r="B17" s="22" t="inlineStr">
        <is>
          <t xml:space="preserve">Week 2</t>
        </is>
      </c>
      <c r="C17" s="22" t="inlineStr">
        <is>
          <t xml:space="preserve">Secure ingestion pipeline</t>
        </is>
      </c>
      <c r="D17" s="22" t="inlineStr">
        <is>
          <t xml:space="preserve">Turn approved files into versioned, authorized chunks.</t>
        </is>
      </c>
      <c r="E17" s="22" t="inlineStr">
        <is>
          <t xml:space="preserve">Approved local sample path; tenant/classification rules</t>
        </is>
      </c>
      <c r="F17" s="22" t="inlineStr">
        <is>
          <t xml:space="preserve">Approved code/configuration/test-code changes; owner test/deployment/remediation guide; business/technical/layman/interview summary</t>
        </is>
      </c>
      <c r="G17" s="22" t="inlineStr">
        <is>
          <t xml:space="preserve">FOUR APPROVAL GATES PLUS OWNER TESTING AND WEEKLY LEARNING — TRACKER v1.3.4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W2-003.
</t>
        </is>
      </c>
      <c r="H17" s="22" t="inlineStr">
        <is>
          <t xml:space="preserve">Gate 1 Main Prompt → Gate 2 exact Code Edit → owner TEST-001 → Gate 3 Column M manifest → Gate 4 Column N complete closure → owner tracker update</t>
        </is>
      </c>
      <c r="I17" s="22" t="inlineStr">
        <is>
          <t xml:space="preserve">READY FOR PRE-EDIT REVIEW — W2-003</t>
        </is>
      </c>
      <c r="J17" s="22" t="inlineStr">
        <is>
          <t xml:space="preserve">Owner approval required after complete read-only impact review</t>
        </is>
      </c>
      <c r="K17" s="22" t="inlineStr">
        <is>
          <t xml:space="preserve">W2-06, W2-07</t>
        </is>
      </c>
      <c r="L17" s="22" t="inlineStr">
        <is>
          <t xml:space="preserve">COLUMN L — COMPLETE BOUNDED CODE EDIT APPROVAL — W2-003
APPROVED TASK CONTRACT
- Prompt and tracker steps: W2-003 / W2-06, W2-07
- Business purpose: Turn approved files into versioned, authorized chunks.
- Architecture and design: The ingestion pipeline validates files, normalizes text, hashes source versions, creates deterministic token chunks and invokes a replaceable PII policy before embedding or storage.
- Exact interfaces, functions and connections: validate_document, normalize_text, chunk_document, apply_pii_policy and ingest_document accept typed ingestion models and return an immutable manifest or typed quarantine/rejection error.
- Exact inputs, outputs, errors and invariants: Inputs are limited to Approved local sample path; tenant/classification rules.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IngestionDocument and ChunkManifest require tenant, classification, source ID, version hash, media type and deterministic chunk IDs; fixtures contain approved synthetic text only.
- Exact dependency and runtime API rules: Tokenization uses the approved W2-002 tokenizer contract; file size, item count and timeout bounds come from Settings; no model or network load occurs in ordinary tests.
- Exact security, privacy, concurrency and operational controls: Unsupported type, oversize content, PII policy failure and identity mismatch fail before embedding; logs contain IDs and status only; cancellation stops before a subsequent mutation.
- Exact automated-test behavior: Chunking tests prove deterministic IDs and boundaries; ingestion tests cover version changes and quarantine; contract tests cover manifest serialization; security tests prove PII redaction and absence of raw content; feature tests cover producer-consumer ordering.
- Accepted baseline: The inspected repository contains every UPDATE path and does not contain every CREATE path. Historical results remain unchanged; future execution must revalidate content and patch anchors.
EXACT APPROVED PATH MANIFEST
CREATE:
- src/enterprise_ai_platform/ingestion/__init__.py
- src/enterprise_ai_platform/ingestion/errors.py
- src/enterprise_ai_platform/ingestion/models.py
- src/enterprise_ai_platform/ingestion/chunking.py
- src/enterprise_ai_platform/ingestion/pii.py
- src/enterprise_ai_platform/ingestion/pipeline.py
- tests/unit/test_chunking.py
- tests/unit/test_ingestion.py
- tests/contract/test_ingestion.py
- tests/security/test_ingestion_pii.py
- tests/feature/test_w2_003_ingestion_contract.py
UPDATE:
- src/enterprise_ai_platform/config.py
- feature-matrix.yaml
- tools/platformctl/validate.py
- tests/feature/test_feature_matrix.py
- tests/unit/test_platformctl.py
DELETE:
- None
VERIFIED UNCHANGED CONSUMERS:
- src/enterprise_ai_platform/embeddings/base.py
- src/enterprise_ai_platform/retrieval/models.py
- src/enterprise_ai_platform/retrieval/vector_store.py
- src/enterprise_ai_platform/retrieval/adapters/qdrant.py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W2-003.
</t>
        </is>
      </c>
      <c r="M17" s="22" t="inlineStr">
        <is>
          <t xml:space="preserve">COLUMN M — EXACT DOCUMENT WRITING APPROVAL — W2-003
This is a separate owner approval after the bounded edit and owner testing or content review. Classify every path under one—and only one—of the CREATE and UPDATE headings after read-only preflight inspection.
EXACT DOCUMENTATION BOUNDARY
CREATE:
- docs/test-evidence/W2-003.md
- docs/test-evidence/W2-06-ingestion.txt
- docs/test-evidence/W2-07-pii.txt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W2-003.
</t>
        </is>
      </c>
      <c r="N17" s="55" t="inlineStr">
        <is>
          <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t>
        </is>
      </c>
    </row>
    <row r="18" spans="1:14" ht="409.6">
      <c r="A18" s="23" t="inlineStr">
        <is>
          <t xml:space="preserve">W2-004</t>
        </is>
      </c>
      <c r="B18" s="23" t="inlineStr">
        <is>
          <t xml:space="preserve">Week 2</t>
        </is>
      </c>
      <c r="C18" s="23" t="inlineStr">
        <is>
          <t xml:space="preserve">Local retrieval proof, rollback and complete-removal drill</t>
        </is>
      </c>
      <c r="D18" s="23" t="inlineStr">
        <is>
          <t xml:space="preserve">Prove approved retrieval end-to-end using the existing W2-001 Qdrant foundation, then restore and remove it cleanly.</t>
        </is>
      </c>
      <c r="E18" s="23" t="inlineStr">
        <is>
          <t xml:space="preserve">Approved W2-001/W2-002/W2-003; Docker/model cache; approved corpus and retrieval fixture</t>
        </is>
      </c>
      <c r="F18" s="23" t="inlineStr">
        <is>
          <t xml:space="preserve">Approved code/configuration/test-code changes; owner test/deployment/remediation guide; business/technical/layman/interview summary</t>
        </is>
      </c>
      <c r="G18" s="23" t="inlineStr">
        <is>
          <t xml:space="preserve">FOUR APPROVAL GATES PLUS OWNER TESTING AND WEEKLY LEARNING — TRACKER v1.3.4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Model/embedding: Verify immutable model identity, artifact allowlist, dimension/normalization, offline cache and CPU/GPU policy before any opt-in owner test.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W2-004.
</t>
        </is>
      </c>
      <c r="H18" s="23" t="inlineStr">
        <is>
          <t xml:space="preserve">Gate 1 Main Prompt → Gate 2 exact Code Edit → owner TEST-001 → Gate 3 Column M manifest → Gate 4 Column N complete closure → owner tracker update</t>
        </is>
      </c>
      <c r="I18" s="23" t="inlineStr">
        <is>
          <t xml:space="preserve">READY FOR PRE-EDIT REVIEW — W2-004</t>
        </is>
      </c>
      <c r="J18" s="23" t="inlineStr">
        <is>
          <t xml:space="preserve">Owner approval required after complete read-only impact review</t>
        </is>
      </c>
      <c r="K18" s="23" t="inlineStr">
        <is>
          <t xml:space="preserve">W2-09, W2-10</t>
        </is>
      </c>
      <c r="L18" s="23" t="inlineStr">
        <is>
          <t xml:space="preserve">COLUMN L — COMPLETE BOUNDED CODE EDIT APPROVAL — W2-004
APPROVED TASK CONTRACT
- Prompt and tracker steps: W2-004 / W2-09, W2-10
- Business purpose: Prove approved retrieval end-to-end using the existing W2-001 Qdrant foundation, then restore and remove it cleanly.
- Architecture and design: RetrievalService composes the approved embedder and VectorStore to prove local query, rollback and complete removal without changing the Qdrant network boundary.
- Exact interfaces, functions and connections: index_manifest, retrieve and remove_document_version accept typed authorized requests; retrieve returns ranked chunks, and cleanup returns a verified absence result.
- Exact inputs, outputs, errors and invariants: Inputs are limited to Approved W2-001/W2-002/W2-003; Docker/model cache; approved corpus and retrieval fixture.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approved synthetic corpus and query fixture use W2 domain models, immutable version IDs, normalized vectors and deterministic expected rankings.
- Exact dependency and runtime API rules: The retained offline model snapshot and internal Qdrant runner are owner-started prerequisites; service calls use bounded timeouts and no host-port publication.
- Exact security, privacy, concurrency and operational controls: Authorization precedes vector search; rollback restores the previous manifest; teardown removes only the named test collection and verifies Compose-labelled residue is absent.
- Exact automated-test behavior: Local feature test proves index-query-rank flow; rollback test proves prior-version restoration; teardown test proves collection, container, volume, network and local runner-image cleanup.
- Accepted baseline: The inspected repository contains every UPDATE path and does not contain every CREATE path. Historical results remain unchanged; future execution must revalidate content and patch anchors.
EXACT APPROVED PATH MANIFEST
CREATE:
- src/enterprise_ai_platform/retrieval/service.py
- tests/feature/test_local_retrieval.py
- tests/feature/test_retrieval_rollback.py
- tests/teardown/test_w2_004_retrieval_cleanliness.py
UPDATE:
- tests/conftest.py
- Makefile
- feature-matrix.yaml
- tools/platformctl/validate.py
- tests/feature/test_feature_matrix.py
- tests/unit/test_platformctl.py
DELETE:
- None
VERIFIED UNCHANGED CONSUMERS:
- docker-compose.yml
- src/enterprise_ai_platform/embeddings/sentence_transformer.py
- src/enterprise_ai_platform/retrieval/adapters/qdrant.py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W2-004.
</t>
        </is>
      </c>
      <c r="M18" s="23" t="inlineStr">
        <is>
          <t xml:space="preserve">COLUMN M — EXACT DOCUMENT WRITING APPROVAL — W2-004
This is a separate owner approval after the bounded edit and owner testing or content review. Classify every path under one—and only one—of the CREATE and UPDATE headings after read-only preflight inspection.
EXACT DOCUMENTATION BOUNDARY
CREATE:
- docs/test-evidence/W2-004.md
- docs/test-evidence/W2-09-retrieval.json
- docs/rollback-records/W2-local.md
- docs/resource-cleanliness/W2-local.json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W2-004.
</t>
        </is>
      </c>
      <c r="N18" s="22" t="inlineStr">
        <is>
          <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t>
        </is>
      </c>
    </row>
    <row r="19" spans="1:14" ht="409.6">
      <c r="A19" s="22" t="inlineStr">
        <is>
          <t xml:space="preserve">W2-LEARN-001</t>
        </is>
      </c>
      <c r="B19" s="22" t="inlineStr">
        <is>
          <t xml:space="preserve">Week 2</t>
        </is>
      </c>
      <c r="C19" s="22" t="inlineStr">
        <is>
          <t xml:space="preserve">Local retrieval architecture explanation</t>
        </is>
      </c>
      <c r="D19" s="22" t="inlineStr">
        <is>
          <t xml:space="preserve">Create an interview-ready explanation grounded in the implemented retrieval evidence.</t>
        </is>
      </c>
      <c r="E19" s="22" t="inlineStr">
        <is>
          <t xml:space="preserve">Approved W2 ADRs, adapter/chunking configuration and W2 evidence</t>
        </is>
      </c>
      <c r="F19" s="22" t="inlineStr">
        <is>
          <t xml:space="preserve">Business/technical/layman explanation, decision review and interview practice only</t>
        </is>
      </c>
      <c r="G19" s="22" t="inlineStr">
        <is>
          <t xml:space="preserve">FOUR APPROVAL GATES PLUS OWNER TESTING AND WEEKLY LEARNING — TRACKER v1.3.4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 or content mutation is authorized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Record explanation notes in docs/architecture/local-retrieval.md
  Expected result: Explanation connects decisions to quality, security and cost.
  Canonical evidence: docs/architecture/local-retrieval.md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Do not create or edit a document, run a command, claim unexecuted AWS/OpenSearch or semantic-quality results, or mutate code, data, configuration, containers, caches, cloud resources or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Documentation/governance: Trace every decision to its authority; separate historical facts, owner-approved values, proposals and unresolved owner inputs without rewriting history.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W2-LEARN-001.
</t>
        </is>
      </c>
      <c r="H19" s="22" t="inlineStr">
        <is>
          <t xml:space="preserve">Read-only teaching plan → owner teach-back → optional exact-path Column M only if separately approved</t>
        </is>
      </c>
      <c r="I19" s="22" t="inlineStr">
        <is>
          <t xml:space="preserve">Owner learning and teach-back review — W2-LEARN-001</t>
        </is>
      </c>
      <c r="J19" s="22" t="inlineStr">
        <is>
          <t xml:space="preserve">Owner teach-back required</t>
        </is>
      </c>
      <c r="K19" s="22" t="inlineStr">
        <is>
          <t xml:space="preserve">W2-11</t>
        </is>
      </c>
      <c r="L19" s="22" t="inlineStr">
        <is>
          <t xml:space="preserve">COLUMN L — OWNER LEARNING POSITION — W2-LEARN-001
No code, configuration, infrastructure, schema, automated-test or document edit is authorized. Codex teaches from approved facts; the owner completes the teach-back and interview practice. Any later learning-note edit requires a separate exact-path Column M approval.
End exactly: LEARNING REVIEW READY — W2-LEARN-001.
</t>
        </is>
      </c>
      <c r="M19" s="22" t="inlineStr">
        <is>
          <t xml:space="preserve">COLUMN M — DOCUMENT WRITING APPROVAL — W2-LEARN-001
NOT APPLICABLE BY DEFAULT. This learning prompt authorizes teaching and teach-back only. No repository document is authorized or inferred. A later document request requires exact CREATE, UPDATE, VERIFIED UNCHANGED and EXCLUDED paths plus owner-supplied results.
End exactly: DOCUMENTATION NOT AUTHORIZED — W2-LEARN-001.
</t>
        </is>
      </c>
      <c r="N19" s="55" t="inlineStr">
        <is>
          <t xml:space="preserve">COLUMN N — FINAL APPROVAL AND COMPLETE DOCUMENTATION CLOSURE — W2-LEARN-001
If Column M was not used and no document manifest exists, this gate records owner teach-back only and authorizes no repository or tracker mutation. If any document was created or updated under a later Column M approval, the complete closure below is mandatory.
OWNER MUST SUPPLY — DO NOT INVENT
- Prompt ID: W2-LEARN-001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t>
        </is>
      </c>
    </row>
    <row r="20" spans="1:14" ht="409.6">
      <c r="A20" s="23" t="inlineStr">
        <is>
          <t xml:space="preserve">W3-001</t>
        </is>
      </c>
      <c r="B20" s="23" t="inlineStr">
        <is>
          <t xml:space="preserve">Week 3</t>
        </is>
      </c>
      <c r="C20" s="23" t="inlineStr">
        <is>
          <t xml:space="preserve">LLM adapters and cited RAG pipeline</t>
        </is>
      </c>
      <c r="D20" s="23" t="inlineStr">
        <is>
          <t xml:space="preserve">Generate evidence-bound answers while retaining provider portability.</t>
        </is>
      </c>
      <c r="E20" s="23" t="inlineStr">
        <is>
          <t xml:space="preserve">LLM_PROVIDER, LLM_MODEL_ID, AWS_REGION; Bedrock test is marked</t>
        </is>
      </c>
      <c r="F20" s="23" t="inlineStr">
        <is>
          <t xml:space="preserve">Approved code/configuration/test-code changes; owner test/deployment/remediation guide; business/technical/layman/interview summary</t>
        </is>
      </c>
      <c r="G20" s="23" t="inlineStr">
        <is>
          <t xml:space="preserve">FOUR APPROVAL GATES PLUS OWNER TESTING AND WEEKLY LEARNING — TRACKER v1.3.4
MAIN PROMPT — W3-001
TASK IDENTITY
- Week: Week 3
- Feature/outcome: LLM adapters and cited RAG pipeline
- Business purpose: Generate evidence-bound answers while retaining provider portability.
- Covered tracker steps: W3-01, W3-02, W3-03, W3-04
- Required inputs: LLM_PROVIDER, LLM_MODEL_ID, AWS_REGION; Bedrock test is marked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W3-01 — Create provider-neutral chat/tool/usage types and fake provider.
  Business reason: RAG logic should not depend on Bedrock response formats.
  Acceptance: Fake tests cover success, timeout and malformed response.
  Dependency: W2-13
  Owner verification reference: pytest tests/unit/test_llm_provider.py -q
  Expected result: Normalized errors and usage fields are stable.
  Canonical evidence: docs/test-evidence/W3-01-llm-contract.txt
  Rollback/teardown: Switch configuration back to fake provider.
  Current tracker status (read-only historical/current fact): Not Started
  Separate Task Context: 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
- W3-02 — Implement Bedrock adapter behind marked integration tests.
  Business reason: Bedrock is the primary AWS model boundary without GPU operations.
  Acceptance: Adapter has deadlines/retry caps and no hard-coded model ID.
  Dependency: W3-01
  Owner verification reference: pytest tests/unit/test_bedrock_adapter.py -q
  Expected result: Offline tests pass; live test is skipped unless explicitly enabled.
  Canonical evidence: docs/test-evidence/W3-02-bedrock.txt
  Rollback/teardown: Set LLM_PROVIDER=fake; revoke test session if created.
  Current tracker status (read-only historical/current fact): Not Started
  Separate Task Context: 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
- W3-03 — Create versioned evidence-bound prompt template.
  Business reason: Retrieved documents are data, never instructions.
  Acceptance: Prompt clearly delimits evidence and demands citations/abstention.
  Dependency: W3-01
  Owner verification reference: pytest tests/unit/test_prompt_template.py -q
  Expected result: Injection fixture cannot override system policy.
  Canonical evidence: docs/test-evidence/W3-03-prompt.txt
  Rollback/teardown: Restore previous approved prompt version.
  Current tracker status (read-only historical/current fact): Not Started
  Separate Task Context: 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
- W3-04 — Authorize, retrieve, grade, generate and validate citations.
  Business reason: This is the core safe-answer path.
  Acceptance: Structured Answer contains only supplied source IDs.
  Dependency: W3-01:W3-03,W2-09
  Owner verification reference: pytest tests/unit/test_rag_pipeline.py -q
  Expected result: Good evidence answers; low evidence abstains.
  Canonical evidence: docs/test-evidence/W3-04-rag.txt
  Rollback/teardown: Switch to last-known-good prompt/model/retriever configuration.
  Current tracker status (read-only historical/current fact): Not Started
  Separate Task Context: 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
Downstream tracker steps identified from recorded dependencies: W3-02, W3-03, W3-04, W3-05, W3-07, W3-09, W3-12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Define an async LLMProvider Protocol with normalized ChatRequest, ToolSpec, Usage and ChatResponse. Implement FakeLLMProvider and BedrockLLMProvider using boto3, configured model ID, explicit connect/read timeouts, retry caps, usage capture and normalized throttle/timeout errors. Implement cited RAG: authorize metadata before retrieval, retrieve top-k, reject weak evidence, delimit context as untrusted data, generate a structured Answer, validate every citation against supplied context and abstain when evidence is insufficient. Do not log prompts or document text.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CITED RAG AND OWNER-GATED BEDROCK
1. Require W2-12 owner sign-off, independently approved W2 implementation hashes, BED-001, SEC-001/DATA-002 and an explicit RAG-001 proposal for top_k, minimum score and context/token budget. Verify ADR-004 and step dependencies W3-01 → W3-02/W3-03 → W3-04.
2. FakeLLMProvider is the default for unit/feature tests. Bedrock unit tests use an injected/stubbed client; no AWS call. Live Bedrock model discovery/inference is networked, paid and owner-gated and requires exact account/region/model ID, quota, fallback, timeout/retry, expected maximum spend and privacy/residency approval. Never hard-code a model ID or silently substitute a region/model.
3. Treat identity and Query separately. Authorize before retrieval, retrieve only filtered evidence, delimit retrieved text as untrusted, grade evidence with deterministic rules, generate a typed Answer, validate every citation against supplied authorized source/chunk IDs and abstain on weak, conflicting, unauthorized or malformed evidence. Do not expose chain-of-thought.
4. Bound connect/read deadlines, retry only classified transient/throttle errors with caps/jitter, capture safe usage/cost fields and normalize timeout/throttle/malformed errors without endpoints, content or SDK exceptions. Never log prompt/context/document/PII/secrets.
5. Test LLM contract success/timeout/throttle/malformed/usage, prompt delimiter/injection, authorization short-circuit, weak/conflicting evidence, citation fabrication, abstention, deadlines/retry exhaustion and provider-object isolation.
6. Canonical evidence: W3-01-llm-contract.txt, W3-02-bedrock.txt, W3-03-prompt.txt and W3-04-rag.txt. Aggregate W3-rag.txt may summarize but must not conflict. Run normal developer commands and cleanliness. No unapproved AWS/paid call, Qdrant lifecycle change, tracker edit, stage, commit or push.
7. After W3-001 passes, run W4-003 Phase A for W3-09 telemetry before the Week 3 checkpoint; do not wait until Week 4.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Dependency/runtime API: Verify declared dependency bounds and exact runtime API names against the approved environment; do not install, upgrade or contact a package service.
- AWS/cloud: Use explicit account, region, role and service boundaries, short-lived identity, least privilege, cost limits and owner-only API execution.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W3-001.
</t>
        </is>
      </c>
      <c r="H20" s="23" t="inlineStr">
        <is>
          <t xml:space="preserve">Gate 1 Main Prompt → Gate 2 exact Code Edit → owner TEST-001 → Gate 3 Column M manifest → Gate 4 Column N complete closure → owner tracker update</t>
        </is>
      </c>
      <c r="I20" s="23" t="inlineStr">
        <is>
          <t xml:space="preserve">READY FOR PRE-EDIT REVIEW — W3-001</t>
        </is>
      </c>
      <c r="J20" s="23" t="inlineStr">
        <is>
          <t xml:space="preserve">Owner approval required after complete read-only impact review</t>
        </is>
      </c>
      <c r="K20" s="23" t="inlineStr">
        <is>
          <t xml:space="preserve">W3-01, W3-02, W3-03, W3-04</t>
        </is>
      </c>
      <c r="L20" s="23" t="inlineStr">
        <is>
          <t xml:space="preserve">COLUMN L — COMPLETE BOUNDED CODE EDIT APPROVAL — W3-001
APPROVED TASK CONTRACT
- Prompt and tracker steps: W3-001 / W3-01, W3-02, W3-03, W3-04
- Business purpose: Generate evidence-bound answers while retaining provider portability.
- Architecture and design: LLMProvider separates FakeLLMProvider and Bedrock from a cited RAG pipeline that assembles only authorized retrieved evidence into the prompt.
- Exact interfaces, functions and connections: generate accepts LLMRequest and returns LLMResponse; answer_query retrieves authorized chunks, builds a bounded prompt and returns Answer with citations or an abstention reason.
- Exact inputs, outputs, errors and invariants: Inputs are limited to LLM_PROVIDER, LLM_MODEL_ID, AWS_REGION; Bedrock test is marked.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LLMRequest, LLMResponse, ToolSpec and usage records are vendor neutral; every answer citation carries source ID, chunk ID and version; missing support yields abstention.
- Exact dependency and runtime API rules: Fake provider is default; Bedrock client is injected, region and model ID are explicit, retries and timeouts are bounded, and live AWS tests remain marked opt-in.
- Exact security, privacy, concurrency and operational controls: No credentials or content in logs; tenant filters remain outside the model; cancellation prevents further provider calls; token and context budgets reject overflow.
- Exact automated-test behavior: Provider contract covers fake and injected Bedrock clients; pipeline unit tests cover prompt assembly and abstention; cited-RAG feature tests prove evidence mapping; security tests reject fabricated or unauthorized citations.
- Accepted baseline: The inspected repository contains every UPDATE path and does not contain every CREATE path. Historical results remain unchanged; future execution must revalidate content and patch anchors.
EXACT APPROVED PATH MANIFEST
CREATE:
- src/enterprise_ai_platform/llm/__init__.py
- src/enterprise_ai_platform/llm/base.py
- src/enterprise_ai_platform/llm/errors.py
- src/enterprise_ai_platform/llm/fake.py
- src/enterprise_ai_platform/llm/bedrock.py
- src/enterprise_ai_platform/rag/__init__.py
- src/enterprise_ai_platform/rag/models.py
- src/enterprise_ai_platform/rag/prompts.py
- src/enterprise_ai_platform/rag/pipeline.py
- tests/unit/test_rag_pipeline.py
- tests/contract/test_llm_provider.py
- tests/integration/test_bedrock_llm.py
- tests/feature/test_cited_rag.py
- tests/security/test_citation_contract.py
UPDATE:
- src/enterprise_ai_platform/config.py
- requirements.txt
- feature-matrix.yaml
- tools/platformctl/validate.py
- tests/feature/test_feature_matrix.py
- tests/unit/test_platformctl.py
DELETE:
- None
VERIFIED UNCHANGED CONSUMERS:
- src/enterprise_ai_platform/retrieval/service.py
- src/enterprise_ai_platform/retrieval/models.py
- src/enterprise_ai_platform/embeddings/base.py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W3-001.
</t>
        </is>
      </c>
      <c r="M20" s="23" t="inlineStr">
        <is>
          <t xml:space="preserve">COLUMN M — EXACT DOCUMENT WRITING APPROVAL — W3-001
This is a separate owner approval after the bounded edit and owner testing or content review. Classify every path under one—and only one—of the CREATE and UPDATE headings after read-only preflight inspection.
EXACT DOCUMENTATION BOUNDARY
CREATE:
- docs/test-evidence/W3-001.md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W3-001.
</t>
        </is>
      </c>
      <c r="N20" s="22" t="inlineStr">
        <is>
          <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t>
        </is>
      </c>
    </row>
    <row r="21" spans="1:14" ht="409.6">
      <c r="A21" s="22" t="inlineStr">
        <is>
          <t xml:space="preserve">W3-002</t>
        </is>
      </c>
      <c r="B21" s="22" t="inlineStr">
        <is>
          <t xml:space="preserve">Week 3</t>
        </is>
      </c>
      <c r="C21" s="22" t="inlineStr">
        <is>
          <t xml:space="preserve">Evaluation harness and release gate</t>
        </is>
      </c>
      <c r="D21" s="22" t="inlineStr">
        <is>
          <t xml:space="preserve">Replace subjective demonstrations with repeatable evidence.</t>
        </is>
      </c>
      <c r="E21" s="22" t="inlineStr">
        <is>
          <t xml:space="preserve">configs/eval/golden.jsonl with 25+ approved cases</t>
        </is>
      </c>
      <c r="F21" s="22" t="inlineStr">
        <is>
          <t xml:space="preserve">Approved code/configuration/test-code changes; owner test/deployment/remediation guide; business/technical/layman/interview summary</t>
        </is>
      </c>
      <c r="G21" s="22" t="inlineStr">
        <is>
          <t xml:space="preserve">FOUR APPROVAL GATES PLUS OWNER TESTING AND WEEKLY LEARNING — TRACKER v1.3.4
MAIN PROMPT — W3-002
TASK IDENTITY
- Week: Week 3
- Feature/outcome: Evaluation harness and release gate
- Business purpose: Replace subjective demonstrations with repeatable evidence.
- Covered tracker steps: W3-06, W3-07, W3-10
- Required inputs: configs/eval/golden.jsonl with 25+ approved cases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W3-06 — Create 25+ golden cases with sources, facts, tenant and safety tags.
  Business reason: Quality thresholds require versioned, representative truth data.
  Acceptance: Dataset passes schema and privacy review.
  Dependency: W2-09
  Owner verification reference: python tools/validate_eval_dataset.py configs/eval/golden.jsonl
  Expected result: 25+ valid cases; no prohibited data.
  Canonical evidence: docs/test-evidence/W3-06-golden.txt
  Rollback/teardown: Revert dataset version; never silently edit expected answers.
  Current tracker status (read-only historical/current fact): Not Started
  Separate Task Context: 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
- W3-07 — Measure retrieval, citations, abstention, latency and cost.
  Business reason: Promotion must rely on repeatable evidence, not a demo.
  Acceptance: Baseline report and nonzero regression exit behavior exist.
  Dependency: W3-04,W3-06
  Owner verification reference: python -m enterprise_ai.evaluation.run --dataset configs/eval/golden.jsonl --out reports/eval.json
  Expected result: Recall@5, citation precision, groundedness, latency and estimated cost recorded.
  Canonical evidence: reports/eval.json
  Rollback/teardown: Restore last approved baseline; block release on unresolved regression.
  Current tracker status (read-only historical/current fact): Not Started
  Separate Task Context: 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
- W3-10 — Set initial thresholds: Recall@5 &gt;=0.85 and citation-valid/safe-abstain &gt;=95%.
  Business reason: Thresholds convert evaluation into a release decision.
  Acceptance: CI-style command fails on a material regression.
  Dependency: W3-07
  Owner verification reference: make evaluate
  Expected result: Baseline passes; synthetic regression fails.
  Canonical evidence: docs/test-evidence/W3-10-gate.txt
  Rollback/teardown: Revert candidate prompt/model/index and preserve failing evidence.
  Current tracker status (read-only historical/current fact): Not Started
  Separate Task Context: 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
Downstream tracker steps identified from recorded dependencies: W3-07, W3-10, W3-11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a versioned JSONL evaluation harness with question, expected facts, expected source IDs, tenant and safety tags. Compute retrieval recall@k/MRR, citation precision, abstention correctness, latency and token/cost fields. Integrate Ragas behind an Evaluator Protocol; label LLM-judge metrics non-deterministic. Compare with a checked-in baseline and fail only on configured material regression. Redact case content in logs and output machine-readable JSON plus concise Markdown.
TASK-SPECIFIC CLARIFICATION
Include at least 25 versioned golden JSONL cases with question, expected facts, expected source IDs, tenant and safety tags. Validate schema and privacy; never silently alter approved expected facts.
TASK-SPECIFIC AMENDMENT — VERSIONED GOLDEN TRUTH AND DETERMINISTIC RELEASE GATE
1. Require W3-001, W3-003 and W4-003 Phase A to have independent PASS/final owner approval; EVAL-001 and DATA-001 owner approval; a valid corpus manifest; stable source IDs; and approved metric definitions/thresholds. Never generate expected facts from the candidate model.
2. Include at least 25 versioned cases with case ID, question, expected facts, expected source IDs, tenant, authorization context and safety tags. Validate every source ID, tenant/classification rule, schema, duplicate and privacy boundary. Owner-approved expected facts may change only through a separately reviewed dataset version.
3. Deterministic offline metrics and failure propagation are the release authority. Compute Recall@5/MRR, citation precision/validity, abstention correctness, latency and token/cost fields. Initial gates: Recall@5 &gt;= 0.85 and citation-valid grounded answer or correct safe abstention &gt;= 95%; unresolved security/isolation failure always blocks.
4. Ragas/LLM-judge metrics remain behind Evaluator and are non-deterministic supplemental results. Any judge call requires exact model/provider, case limit, maximum spend, residency/privacy and network approval. Paid/judge-disabled is NOT RUN, not PASS.
5. Compare to a versioned checked-in baseline with explicit tolerance and nonzero material-regression exit. Preserve candidate and failure evidence; never overwrite the last approved baseline on failure or tune thresholds to make a candidate pass.
6. Test schema/privacy/source validation, metric edge cases, deterministic repeatability, partial/failed provider behavior, nonzero regression, redacted reports and baseline immutability. Canonical evidence: W3-06-golden.txt, reports/eval.json and W3-10-gate.txt; reconcile aggregate evidence. No hidden model/Qdrant/AWS/paid mutation,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Security/authorization: Enforce least privilege and tenant/classification controls before provider calls; fail closed and redact errors.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W3-002.
</t>
        </is>
      </c>
      <c r="H21" s="22" t="inlineStr">
        <is>
          <t xml:space="preserve">Gate 1 Main Prompt → Gate 2 exact Code Edit → owner TEST-001 → Gate 3 Column M manifest → Gate 4 Column N complete closure → owner tracker update</t>
        </is>
      </c>
      <c r="I21" s="22" t="inlineStr">
        <is>
          <t xml:space="preserve">READY FOR PRE-EDIT REVIEW — W3-002</t>
        </is>
      </c>
      <c r="J21" s="22" t="inlineStr">
        <is>
          <t xml:space="preserve">Owner approval required after complete read-only impact review</t>
        </is>
      </c>
      <c r="K21" s="22" t="inlineStr">
        <is>
          <t xml:space="preserve">W3-06, W3-07, W3-10</t>
        </is>
      </c>
      <c r="L21" s="22" t="inlineStr">
        <is>
          <t xml:space="preserve">COLUMN L — COMPLETE BOUNDED CODE EDIT APPROVAL — W3-002
APPROVED TASK CONTRACT
- Prompt and tracker steps: W3-002 / W3-06, W3-07, W3-10
- Business purpose: Replace subjective demonstrations with repeatable evidence.
- Architecture and design: A versioned JSON Lines golden set feeds deterministic evaluation metrics and a release gate without calling paid providers by default.
- Exact interfaces, functions and connections: load_cases, evaluate_case, aggregate_metrics and evaluate_release accept typed cases and return per-case plus aggregate gate results.
- Exact inputs, outputs, errors and invariants: Inputs are limited to configs/eval/golden.jsonl with 25+ approved cases.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Each golden case has case ID, tenant, query, expected sources, expected answer facts, abstention expectation and safety labels; duplicate or incomplete cases are rejected.
- Exact dependency and runtime API rules: Fake retrieval and LLM providers are default; case order and random seed are fixed; no network, model download or paid service is used in ordinary evaluation.
- Exact security, privacy, concurrency and operational controls: Evaluation artifacts exclude enterprise content and credentials; failures identify case IDs, not raw protected text; gate thresholds are explicit owner decisions.
- Exact automated-test behavior: Metric unit tests cover exact denominators; dataset contract tests require at least 25 unique cases; feature tests cover pass and regression gates; security tests prove redacted output.
- Accepted baseline: The inspected repository contains every UPDATE path and does not contain every CREATE path. Historical results remain unchanged; future execution must revalidate content and patch anchors.
EXACT APPROVED PATH MANIFEST
CREATE:
- configs/eval/golden.jsonl
- src/enterprise_ai_platform/evaluation/__init__.py
- src/enterprise_ai_platform/evaluation/models.py
- src/enterprise_ai_platform/evaluation/metrics.py
- src/enterprise_ai_platform/evaluation/runner.py
- tests/unit/test_evaluation_metrics.py
- tests/contract/test_golden_dataset.py
- tests/feature/test_evaluation_gate.py
- tests/security/test_evaluation_redaction.py
UPDATE:
- Makefile
- feature-matrix.yaml
- tools/platformctl/validate.py
- tests/feature/test_feature_matrix.py
- tests/unit/test_platformctl.py
DELETE:
- None
VERIFIED UNCHANGED CONSUMERS:
- src/enterprise_ai_platform/rag/pipeline.py
- docs/features/MVP-001.md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W3-002.
</t>
        </is>
      </c>
      <c r="M21" s="22" t="inlineStr">
        <is>
          <t xml:space="preserve">COLUMN M — EXACT DOCUMENT WRITING APPROVAL — W3-002
This is a separate owner approval after the bounded edit and owner testing or content review. Classify every path under one—and only one—of the CREATE and UPDATE headings after read-only preflight inspection.
EXACT DOCUMENTATION BOUNDARY
CREATE:
- docs/test-evidence/W3-002.md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W3-002.
</t>
        </is>
      </c>
      <c r="N21" s="55" t="inlineStr">
        <is>
          <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t>
        </is>
      </c>
    </row>
    <row r="22" spans="1:14" ht="409.6">
      <c r="A22" s="23" t="inlineStr">
        <is>
          <t xml:space="preserve">W3-003</t>
        </is>
      </c>
      <c r="B22" s="23" t="inlineStr">
        <is>
          <t xml:space="preserve">Week 3</t>
        </is>
      </c>
      <c r="C22" s="23" t="inlineStr">
        <is>
          <t xml:space="preserve">RAG guardrails and security regression suite</t>
        </is>
      </c>
      <c r="D22" s="23" t="inlineStr">
        <is>
          <t xml:space="preserve">Treat retrieved content as untrusted and enforce authorization outside the model.</t>
        </is>
      </c>
      <c r="E22" s="23" t="inlineStr">
        <is>
          <t xml:space="preserve">Classification/tenant rules; injection fixtures</t>
        </is>
      </c>
      <c r="F22" s="23" t="inlineStr">
        <is>
          <t xml:space="preserve">Approved code/configuration/test-code changes; owner test/deployment/remediation guide; business/technical/layman/interview summary</t>
        </is>
      </c>
      <c r="G22" s="23" t="inlineStr">
        <is>
          <t xml:space="preserve">FOUR APPROVAL GATES PLUS OWNER TESTING AND WEEKLY LEARNING — TRACKER v1.3.4
MAIN PROMPT — W3-003
TASK IDENTITY
- Week: Week 3
- Feature/outcome: RAG guardrails and security regression suite
- Business purpose: Treat retrieved content as untrusted and enforce authorization outside the model.
- Covered tracker steps: W3-05, W3-08
- Required inputs: Classification/tenant rules; injection fixtures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recorded dependencies: W3-08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approved W3-001 and execute before W3-002 establishes the release baseline.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W3-003.
</t>
        </is>
      </c>
      <c r="H22" s="23" t="inlineStr">
        <is>
          <t xml:space="preserve">Gate 1 Main Prompt → Gate 2 exact Code Edit → owner TEST-001 → Gate 3 Column M manifest → Gate 4 Column N complete closure → owner tracker update</t>
        </is>
      </c>
      <c r="I22" s="23" t="inlineStr">
        <is>
          <t xml:space="preserve">READY FOR PRE-EDIT REVIEW — W3-003</t>
        </is>
      </c>
      <c r="J22" s="23" t="inlineStr">
        <is>
          <t xml:space="preserve">Owner approval required after complete read-only impact review</t>
        </is>
      </c>
      <c r="K22" s="23" t="inlineStr">
        <is>
          <t xml:space="preserve">W3-05, W3-08</t>
        </is>
      </c>
      <c r="L22" s="23" t="inlineStr">
        <is>
          <t xml:space="preserve">COLUMN L — COMPLETE BOUNDED CODE EDIT APPROVAL — W3-003
APPROVED TASK CONTRACT
- Prompt and tracker steps: W3-003 / W3-05, W3-08
- Business purpose: Treat retrieved content as untrusted and enforce authorization outside the model.
- Architecture and design: Deterministic input, retrieved-content and output guardrails surround the RAG pipeline while authorization remains enforced by retrieval code.
- Exact interfaces, functions and connections: inspect_query, inspect_context and inspect_answer return allow, refuse or quarantine decisions with safe reason codes; the pipeline stops on any deny decision.
- Exact inputs, outputs, errors and invariants: Inputs are limited to Classification/tenant rules; injection fixtures.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GuardrailDecision contains decision, reason code, stage and policy version only; injection fixtures are synthetic and classified by expected action.
- Exact dependency and runtime API rules: Rules are local and deterministic; no remote moderation service or model download is introduced; timeouts and cancellation propagate through the pipeline.
- Exact security, privacy, concurrency and operational controls: Retrieved text is untrusted, tool-like instructions are not executed, tenant authorization cannot be overridden, and sensitive input is excluded from errors and telemetry.
- Exact automated-test behavior: Security suites cover direct and indirect injection, cross-tenant context, unsafe output and false-positive controls; feature test proves guardrail ordering and fail-closed behavior.
- Accepted baseline: The inspected repository contains every UPDATE path and does not contain every CREATE path. Historical results remain unchanged; future execution must revalidate content and patch anchors.
EXACT APPROVED PATH MANIFEST
CREATE:
- src/enterprise_ai_platform/guardrails/__init__.py
- src/enterprise_ai_platform/guardrails/errors.py
- src/enterprise_ai_platform/guardrails/prompt_injection.py
- src/enterprise_ai_platform/guardrails/output_policy.py
- src/enterprise_ai_platform/rag/pipeline.py
- tests/security/test_prompt_injection.py
- tests/security/test_rag_authorization.py
- tests/security/test_output_guardrails.py
- tests/feature/test_rag_guardrail_contract.py
UPDATE:
- src/enterprise_ai_platform/config.py
- feature-matrix.yaml
- tools/platformctl/validate.py
- tests/feature/test_feature_matrix.py
- tests/unit/test_platformctl.py
DELETE:
- None
VERIFIED UNCHANGED CONSUMERS:
- src/enterprise_ai_platform/retrieval/authorization.py
- src/enterprise_ai_platform/llm/base.py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W3-003.
</t>
        </is>
      </c>
      <c r="M22" s="23" t="inlineStr">
        <is>
          <t xml:space="preserve">COLUMN M — EXACT DOCUMENT WRITING APPROVAL — W3-003
This is a separate owner approval after the bounded edit and owner testing or content review. Classify every path under one—and only one—of the CREATE and UPDATE headings after read-only preflight inspection.
EXACT DOCUMENTATION BOUNDARY
CREATE:
- docs/test-evidence/W3-003.md
- docs/test-evidence/W3-05-guardrails.txt
- docs/test-evidence/W3-08-security.txt
- docs/test-evidence/W3-security.txt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W3-003.
</t>
        </is>
      </c>
      <c r="N22" s="22" t="inlineStr">
        <is>
          <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t>
        </is>
      </c>
    </row>
    <row r="23" spans="1:14" ht="409.6">
      <c r="A23" s="22" t="inlineStr">
        <is>
          <t xml:space="preserve">W3-ROLLBACK-001</t>
        </is>
      </c>
      <c r="B23" s="22" t="inlineStr">
        <is>
          <t xml:space="preserve">Week 3</t>
        </is>
      </c>
      <c r="C23" s="22" t="inlineStr">
        <is>
          <t xml:space="preserve">Cited-RAG configuration rollback drill</t>
        </is>
      </c>
      <c r="D23" s="22" t="inlineStr">
        <is>
          <t xml:space="preserve">Prove prompt/model/retriever/index configuration can return to a known-good baseline.</t>
        </is>
      </c>
      <c r="E23" s="22" t="inlineStr">
        <is>
          <t xml:space="preserve">Approved baseline and exact local configuration paths from the pre-edit plan</t>
        </is>
      </c>
      <c r="F23" s="22" t="inlineStr">
        <is>
          <t xml:space="preserve">Approved code/configuration/test-code changes; owner test/deployment/remediation guide; business/technical/layman/interview summary</t>
        </is>
      </c>
      <c r="G23" s="22" t="inlineStr">
        <is>
          <t xml:space="preserve">FOUR APPROVAL GATES PLUS OWNER TESTING AND WEEKLY LEARNING — TRACKER v1.3.4
MAIN PROMPT — W3-ROLLBACK-001
TASK IDENTITY
- Week: Week 3
- Feature/outcome: Cited-RAG configuration rollback drill
- Business purpose: Prove prompt/model/retriever/index configuration can return to a known-good baseline.
- Covered tracker steps: W3-11
- Required inputs: Approved baseline and exact local configuration paths from the pre-edit plan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W3-11 — Restore prior prompt/model/retriever/index configuration and re-evaluate.
  Business reason: RAG changes can regress without application code changes.
  Acceptance: Last-known-good configuration returns baseline results.
  Dependency: W3-10
  Owner verification reference: make rollback-rag &amp;&amp; make evaluate
  Expected result: Rollback record identifies versions and post-rollback metrics.
  Canonical evidence: docs/rollback-records/W3-rag.md
  Rollback/teardown: Forward-fix only after a new feature cycle.
  Current tracker status (read-only historical/current fact): Not Started
  Separate Task Context: 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
Downstream tracker steps identified from recorded dependencies: W3-12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SCOPED TASK — W3-ROLLBACK-001
Use only the exact existing local prompt/model/retriever/index configuration files listed and approved in the pre-edit plan, plus docs/rollback-records/W3-rag.md. Plan owner-run TEST-001 to restore the prior known-good configuration, execute the exact rollback and evaluation commands, compare the checked-in baseline, and supply exact versions, results, elapsed time and residual risks for later Column M documentation. Do not hide regression, edit the golden truth set, mutate cloud resources or edit this tracker.
TASK-SPECIFIC AMENDMENT — SAFE CONFIGURATION ROLLBACK
Run only after W3-10 has a passing approved baseline and before W3-12. Freeze exact configuration N hashes and passing evidence; introduce only an owner-approved local test regression N+1; prove the gate detects it; restore N; rerun evaluation, citation/abstention, security/isolation and telemetry checks. Do not edit the golden truth set, lower thresholds, destroy shared data or use teardown as rollback. If Qdrant/model resources are needed, list their exact local lifecycle/cache boundary and clean or preserve them per approval. The rollback record must contain hashes, elapsed time, failure signal and restored results. Any mismatch or residual is FAIL.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W3-ROLLBACK-001.
</t>
        </is>
      </c>
      <c r="H23" s="22" t="inlineStr">
        <is>
          <t xml:space="preserve">Gate 1 Main Prompt → Gate 2 exact Code Edit → owner TEST-001 → Gate 3 Column M manifest → Gate 4 Column N complete closure → owner tracker update</t>
        </is>
      </c>
      <c r="I23" s="22" t="inlineStr">
        <is>
          <t xml:space="preserve">READY FOR PRE-EDIT REVIEW — W3-ROLLBACK-001</t>
        </is>
      </c>
      <c r="J23" s="22" t="inlineStr">
        <is>
          <t xml:space="preserve">Owner approval required after complete read-only impact review</t>
        </is>
      </c>
      <c r="K23" s="22" t="inlineStr">
        <is>
          <t xml:space="preserve">W3-11</t>
        </is>
      </c>
      <c r="L23" s="22" t="inlineStr">
        <is>
          <t xml:space="preserve">COLUMN L — COMPLETE BOUNDED CODE EDIT APPROVAL — W3-ROLLBACK-001
APPROVED TASK CONTRACT
- Prompt and tracker steps: W3-ROLLBACK-001 / W3-11
- Business purpose: Prove prompt/model/retriever/index configuration can return to a known-good baseline.
- Architecture and design: Versioned JSON RAG configurations and platformctl rollback select a known-good prompt, model, retriever and index contract without changing stored evidence silently.
- Exact interfaces, functions and connections: validate_rag_config, compare_rag_config and rollback_rag_config accept exact configuration paths and return validation, diff and selected-baseline results.
- Exact inputs, outputs, errors and invariants: Inputs are limited to Approved baseline and exact local configuration paths from the pre-edit plan.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Configuration fixes schema version, prompt version, provider/model ID, retrieval parameters, index version and evaluation gate; unknown or missing fields are rejected.
- Exact dependency and runtime API rules: Rollback is local and dry-run by default; owner execution performs any service restart or data mutation; no cloud or model download is part of the code edit.
- Exact security, privacy, concurrency and operational controls: Candidate and baseline hashes are verified; rollback stops if the baseline is missing or incompatible; cleanup removes only drill artifacts.
- Exact automated-test behavior: Contract tests reject invalid configuration; feature tests force a safe regression and select baseline; teardown tests prove no temporary rollback state remains.
- Accepted baseline: The inspected repository contains every UPDATE path and does not contain every CREATE path. Historical results remain unchanged; future execution must revalidate content and patch anchors.
EXACT APPROVED PATH MANIFEST
CREATE:
- configs/rag/baseline.json
- configs/rag/candidate.json
- tools/platformctl/rag_rollback.py
- tests/contract/test_rag_config.py
- tests/feature/test_rag_configuration_rollback.py
- tests/teardown/test_w3_rag_rollback_cleanliness.py
UPDATE:
- tools/platformctl/cli.py
- tools/platformctl/contracts.py
- feature-matrix.yaml
- tools/platformctl/validate.py
- tests/feature/test_feature_matrix.py
- tests/unit/test_platformctl.py
DELETE:
- None
VERIFIED UNCHANGED CONSUMERS:
- src/enterprise_ai_platform/rag/pipeline.py
- configs/eval/golden.jsonl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W3-ROLLBACK-001.
</t>
        </is>
      </c>
      <c r="M23" s="22" t="inlineStr">
        <is>
          <t xml:space="preserve">COLUMN M — EXACT DOCUMENT WRITING APPROVAL — W3-ROLLBACK-001
This is a separate owner approval after the bounded edit and owner testing or content review. Classify every path under one—and only one—of the CREATE and UPDATE headings after read-only preflight inspection.
EXACT DOCUMENTATION BOUNDARY
CREATE:
- docs/test-evidence/W3-ROLLBACK-001.md
- docs/rollback-records/W3-rag.md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W3-ROLLBACK-001.
</t>
        </is>
      </c>
      <c r="N23" s="55" t="inlineStr">
        <is>
          <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t>
        </is>
      </c>
    </row>
    <row r="24" spans="1:14" ht="409.6">
      <c r="A24" s="23" t="inlineStr">
        <is>
          <t xml:space="preserve">W4-001</t>
        </is>
      </c>
      <c r="B24" s="23" t="inlineStr">
        <is>
          <t xml:space="preserve">Week 4</t>
        </is>
      </c>
      <c r="C24" s="23" t="inlineStr">
        <is>
          <t xml:space="preserve">FastAPI service boundary</t>
        </is>
      </c>
      <c r="D24" s="23" t="inlineStr">
        <is>
          <t xml:space="preserve">Expose production-shaped, testable endpoints.</t>
        </is>
      </c>
      <c r="E24" s="23" t="inlineStr">
        <is>
          <t xml:space="preserve">Fake providers by default; auth interface choice</t>
        </is>
      </c>
      <c r="F24" s="23" t="inlineStr">
        <is>
          <t xml:space="preserve">Approved code/configuration/test-code changes; owner test/deployment/remediation guide; business/technical/layman/interview summary</t>
        </is>
      </c>
      <c r="G24" s="23" t="inlineStr">
        <is>
          <t xml:space="preserve">FOUR APPROVAL GATES PLUS OWNER TESTING AND WEEKLY LEARNING — TRACKER v1.3.4
MAIN PROMPT — W4-001
TASK IDENTITY
- Week: Week 4
- Feature/outcome: FastAPI service boundary
- Business purpose: Expose production-shaped, testable endpoints.
- Covered tracker steps: W4-01, W4-02, W4-10
- Required inputs: Fake providers by default; auth interface choice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W4-01 — Implement health, query and agent endpoints using dependency interfaces.
  Business reason: A thin typed boundary isolates clients from implementation details.
  Acceptance: Endpoints return normalized schemas and request IDs.
  Dependency: W3-13
  Owner verification reference: pytest tests/unit/test_api.py -q
  Expected result: Health and fake query tests pass; no internal prompt/error leak.
  Canonical evidence: docs/test-evidence/W4-01-api.txt
  Rollback/teardown: Roll back image/config and disable new route.
  Current tracker status (read-only historical/current fact): Not Started
  Separate Task Context: 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
- W4-02 — Implement auth context interface and deny before retrieval/action.
  Business reason: Identity and authorization are deterministic platform controls.
  Acceptance: Unauthorized query never invokes retriever or tool.
  Dependency: W4-01
  Owner verification reference: pytest tests/security/test_api_authorization.py -q
  Expected result: Mock call assertions prove deny-before-retrieve.
  Canonical evidence: docs/test-evidence/W4-02-auth.txt
  Rollback/teardown: Disable endpoint or restore previous auth dependency.
  Current tracker status (read-only historical/current fact): Not Started
  Separate Task Context: 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
- W4-10 — Run bounded local smoke/load test with fake/approved model.
  Business reason: Concurrency and timeouts must fail predictably before EKS.
  Acceptance: No unbounded queue; p95/p99 baseline is recorded.
  Dependency: W4-01,W4-06
  Owner verification reference: pytest tests/feature/test_api_load_smoke.py -q
  Expected result: Latency/error/concurrency report is redacted.
  Canonical evidence: docs/test-evidence/W4-10-load.json
  Rollback/teardown: Reduce traffic; revert concurrency settings.
  Current tracker status (read-only historical/current fact): Not Started
  Separate Task Context: 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
Downstream tracker steps identified from recorded dependencies: W4-02, W4-03, W4-08, W4-10, W4-11, W4-12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FastAPI endpoints /health/live, /health/ready, /v1/query and /v1/agent. Use Pydantic schemas, correlation IDs, request-size limits, authentication/authorization interfaces, deadlines, concurrency limiting and normalized errors. Readiness checks dependencies with short timeouts. Return citations, model/retriever versions and request ID; never expose prompts, chain-of-thought, secrets or raw exceptions. Add JSON logging with redaction and OpenTelemetry spans.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TRUSTED API BOUNDARY
Require W3-12 sign-off plus SEC-001 and COST-001. The authentication dependency—not request JSON—constructs trusted AuthContext; deny before retriever or agent invocation. Keep /v1/agent disabled until W4-002 is approved. Validate request/body/content-type limits, correlation/request IDs, deadlines, bounded concurrency/backpressure, cancellation and normalized status/error mapping. Trust forwarded headers only from an explicitly configured proxy boundary. Readiness uses short dependency timeouts and differs from liveness. Never return prompts, context, chain-of-thought, secrets, PII, internal endpoints or raw exceptions. Load smoke must be bounded, local/fake by default, record p95/p99 and leave no process/cache residue. Canonical evidence: W4-01-api.txt, W4-02-auth.txt and W4-10-load.json; aggregate W4-api.txt must reconcile. Test auth short-circuit, size/type/rate/deadline/concurrency, dependency failure, schema/redaction and shutdown cleanup.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Network: Enumerate every permitted and denied flow, bind only approved interfaces and prevent implicit public or host exposure.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W4-001.
</t>
        </is>
      </c>
      <c r="H24" s="23" t="inlineStr">
        <is>
          <t xml:space="preserve">Gate 1 Main Prompt → Gate 2 exact Code Edit → owner TEST-001 → Gate 3 Column M manifest → Gate 4 Column N complete closure → owner tracker update</t>
        </is>
      </c>
      <c r="I24" s="23" t="inlineStr">
        <is>
          <t xml:space="preserve">READY FOR PRE-EDIT REVIEW — W4-001</t>
        </is>
      </c>
      <c r="J24" s="23" t="inlineStr">
        <is>
          <t xml:space="preserve">Owner approval required after complete read-only impact review</t>
        </is>
      </c>
      <c r="K24" s="23" t="inlineStr">
        <is>
          <t xml:space="preserve">W4-01, W4-02, W4-10</t>
        </is>
      </c>
      <c r="L24" s="23" t="inlineStr">
        <is>
          <t xml:space="preserve">COLUMN L — COMPLETE BOUNDED CODE EDIT APPROVAL — W4-001
APPROVED TASK CONTRACT
- Prompt and tracker steps: W4-001 / W4-01, W4-02, W4-10
- Business purpose: Expose production-shaped, testable endpoints.
- Architecture and design: FastAPI routes expose health and query boundaries, inject fake providers by default and delegate business logic to the RAG service.
- Exact interfaces, functions and connections: GET health endpoints return readiness state; POST query accepts QueryRequest and returns QueryResponse with answer, citations, trace ID or typed error.
- Exact inputs, outputs, errors and invariants: Inputs are limited to Fake providers by default; auth interface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API models enforce tenant identity, classification, bounded query length and stable error codes; unknown fields and malformed authorization fail validation.
- Exact dependency and runtime API rules: FastAPI dependencies are injected; synchronous work stays outside the event loop; timeouts and cancellation propagate to retrieval and LLM providers.
- Exact security, privacy, concurrency and operational controls: Authentication and authorization precede retrieval; responses and logs exclude secrets and raw protected context; readiness fails when required dependencies are unavailable.
- Exact automated-test behavior: Model and contract tests prove status/schema stability; integration tests use fake providers; authorization tests cover missing and cross-tenant identity; feature and smoke tests cover query and health paths.
- Accepted baseline: The inspected repository contains every UPDATE path and does not contain every CREATE path. Historical results remain unchanged; future execution must revalidate content and patch anchors.
EXACT APPROVED PATH MANIFEST
CREATE:
- src/enterprise_ai_platform/api/__init__.py
- src/enterprise_ai_platform/api/dependencies.py
- src/enterprise_ai_platform/api/models.py
- src/enterprise_ai_platform/api/auth.py
- src/enterprise_ai_platform/api/routes_health.py
- src/enterprise_ai_platform/api/routes_query.py
- tests/unit/test_api_models.py
- tests/contract/test_api_contract.py
- tests/integration/test_api.py
- tests/security/test_api_authorization.py
- tests/feature/test_api_query.py
- tests/smoke/test_api_health.py
UPDATE:
- src/enterprise_ai_platform/app.py
- src/enterprise_ai_platform/config.py
- requirements.txt
- feature-matrix.yaml
- tools/platformctl/validate.py
- tests/feature/test_feature_matrix.py
- tests/unit/test_platformctl.py
DELETE:
- None
VERIFIED UNCHANGED CONSUMERS:
- src/enterprise_ai_platform/rag/pipeline.py
- src/enterprise_ai_platform/retrieval/service.py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W4-001.
</t>
        </is>
      </c>
      <c r="M24" s="23" t="inlineStr">
        <is>
          <t xml:space="preserve">COLUMN M — EXACT DOCUMENT WRITING APPROVAL — W4-001
This is a separate owner approval after the bounded edit and owner testing or content review. Classify every path under one—and only one—of the CREATE and UPDATE headings after read-only preflight inspection.
EXACT DOCUMENTATION BOUNDARY
CREATE:
- docs/test-evidence/W4-001.md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W4-001.
</t>
        </is>
      </c>
      <c r="N24" s="22" t="inlineStr">
        <is>
          <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t>
        </is>
      </c>
    </row>
    <row r="25" spans="1:14" ht="409.6">
      <c r="A25" s="22" t="inlineStr">
        <is>
          <t xml:space="preserve">W4-002</t>
        </is>
      </c>
      <c r="B25" s="22" t="inlineStr">
        <is>
          <t xml:space="preserve">Week 4</t>
        </is>
      </c>
      <c r="C25" s="22" t="inlineStr">
        <is>
          <t xml:space="preserve">Bounded LangGraph agent controller</t>
        </is>
      </c>
      <c r="D25" s="22" t="inlineStr">
        <is>
          <t xml:space="preserve">Add controlled agent behavior without uncontrolled autonomy.</t>
        </is>
      </c>
      <c r="E25" s="22" t="inlineStr">
        <is>
          <t xml:space="preserve">Step/tool/time budgets; approval-store decision</t>
        </is>
      </c>
      <c r="F25" s="22" t="inlineStr">
        <is>
          <t xml:space="preserve">Approved code/configuration/test-code changes; owner test/deployment/remediation guide; business/technical/layman/interview summary</t>
        </is>
      </c>
      <c r="G25" s="22" t="inlineStr">
        <is>
          <t xml:space="preserve">FOUR APPROVAL GATES PLUS OWNER TESTING AND WEEKLY LEARNING — TRACKER v1.3.4
MAIN PROMPT — W4-002
TASK IDENTITY
- Week: Week 4
- Feature/outcome: Bounded LangGraph agent controller
- Business purpose: Add controlled agent behavior without uncontrolled autonomy.
- Covered tracker steps: W4-03, W4-04, W4-05, W4-06, W4-07, W4-09
- Required inputs: Step/tool/time budgets; approval-store decision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W4-03 —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 routing tests pass; Mermaid matches implementation.
  Canonical evidence: docs/test-evidence/W4-03-graph.txt
  Rollback/teardown: Feature flag disables graph; query endpoint remains read-only.
  Current tracker status (read-only historical/current fact): Not Started
  Separate Task Context: 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
- W4-04 — Add one read-only status tool with narrow schema.
  Business reason: Read-only tool proves integration at low consequence.
  Acceptance: Allowlist and JSON schema reject malformed calls.
  Dependency: W4-03
  Owner verification reference: pytest tests/unit/test_agent_tools.py -q
  Expected result: Only allowlisted tool executes; output is normalized/redacted.
  Canonical evidence: docs/test-evidence/W4-04-read-tool.txt
  Rollback/teardown: Remove tool registration and restore prior graph.
  Current tracker status (read-only historical/current fact): Not Started
  Separate Task Context: 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
- W4-05 — Add mocked write tool that requires durable approval.
  Business reason: Consequential actions cannot rely on model intent.
  Acceptance: No approval/rejection/expired approval prevents execution.
  Dependency: W4-03,W4-04
  Owner verification reference: pytest tests/security/test_agent_approval.py -q
  Expected result: 100% write executions have valid approval and idempotency key.
  Canonical evidence: docs/test-evidence/W4-05-approval.txt
  Rollback/teardown: Disable write-tool feature flag and invalidate pending approvals.
  Current tracker status (read-only historical/current fact): Not Started
  Separate Task Context: 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
- W4-06 — Enforce step, tool-call, token/time deadline and retry limits.
  Business reason: Bounds prevent loops, retry storms and unplanned model spend.
  Acceptance: Budget-exceeded paths stop safely and record reason.
  Dependency: W4-03
  Owner verification reference: pytest tests/unit/test_agent_budgets.py -q
  Expected result: No repeated tool execution; timeouts are bounded.
  Canonical evidence: docs/test-evidence/W4-06-budgets.txt
  Rollback/teardown: Reduce limits or disable agent route.
  Current tracker status (read-only historical/current fact): Not Started
  Separate Task Context: 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
- W4-07 — Persist only redacted agent state and audit decisions.
  Business reason: Checkpoints must not become a secret/PII store.
  Acceptance: State fixture contains IDs/outcomes but no content/secrets.
  Dependency: W4-05
  Owner verification reference: pytest tests/security/test_agent_state_redaction.py -q
  Expected result: Redaction assertion passes.
  Canonical evidence: docs/test-evidence/W4-07-state.txt
  Rollback/teardown: Purge test checkpoints and restore safe serializer.
  Current tracker status (read-only historical/current fact): Not Started
  Separate Task Context: 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
- W4-09 — Exercise denial, malformed args, injection, timeout, loop and rejection.
  Business reason: Agent safety is proven through negative paths.
  Acceptance: All failure modes terminate without write side effects.
  Dependency: W4-05:W4-08
  Owner verification reference: pytest tests/security/test_agent_* tests/feature/test_agent_failures.py -q
  Expected result: Audit records show safe terminal reason.
  Canonical evidence: docs/test-evidence/W4-09-failures.txt
  Rollback/teardown: Disable agent endpoint and preserve evidence.
  Current tracker status (read-only historical/current fact): Not Started
  Separate Task Context: 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
Downstream tracker steps identified from recorded dependencies: W4-04, W4-05, W4-06, W4-07, W4-08, W4-09, W4-10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LangGraph StateGraph with typed state and nodes validate_input, authorize, retrieve, grade_evidence, answer, propose_tool, await_human_approval, execute_tool and safe_terminal. Keep routing deterministic except evidence grading/answer generation. Enforce max steps, max tool calls, deadline, allowlists, JSON-schema arguments and idempotency keys. Include one read-only status tool and one mocked write tool that cannot execute without durable approval. Persist only redacted state. Test denial, timeout, repeated calls, malformed args, injection, approval rejection and approved execution.
TASK-SPECIFIC AMENDMENT — BOUNDED GRAPH, DURABLE APPROVAL AND REPLAY SAFETY
Require W4-001, APP-001, COST-001 and RET-001. Do not invent the approval store, approver role, TTL, rejection or retention rules. Bind approval to tenant, subject/approver, exact tool, normalized arguments, idempotency key, request, expiry and one-time decision; expired/rejected/replayed/altered approvals deny. The Week 4 write tool is mocked and produces no external side effect. Keep read-only and write permissions separate; admin has no implicit cross-tenant authority. Cap steps, tool calls, tokens, wall time, retries, state size and concurrency; every path reaches an explicit safe terminal. Persist only allowlisted redacted fields with retention/purge tests. Test all graph branches, malformed/extra args, injection, denial, timeout, loop/retry exhaustion, duplicate/replayed calls, approval races and failure before/after mocked execution. Canonical evidence: W4-03-graph.txt through W4-07-state.txt and W4-09-failures.txt; reconcile W4 aggregate records. No real write tool, external approval service, cloud mutation or paid call.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W4-002.
</t>
        </is>
      </c>
      <c r="H25" s="22" t="inlineStr">
        <is>
          <t xml:space="preserve">Gate 1 Main Prompt → Gate 2 exact Code Edit → owner TEST-001 → Gate 3 Column M manifest → Gate 4 Column N complete closure → owner tracker update</t>
        </is>
      </c>
      <c r="I25" s="22" t="inlineStr">
        <is>
          <t xml:space="preserve">READY FOR PRE-EDIT REVIEW — W4-002</t>
        </is>
      </c>
      <c r="J25" s="22" t="inlineStr">
        <is>
          <t xml:space="preserve">Owner approval required after complete read-only impact review</t>
        </is>
      </c>
      <c r="K25" s="22" t="inlineStr">
        <is>
          <t xml:space="preserve">W4-03, W4-04, W4-05, W4-06, W4-07, W4-09</t>
        </is>
      </c>
      <c r="L25" s="22" t="inlineStr">
        <is>
          <t xml:space="preserve">COLUMN L — COMPLETE BOUNDED CODE EDIT APPROVAL — W4-002
APPROVED TASK CONTRACT
- Prompt and tracker steps: W4-002 / W4-03, W4-04, W4-05, W4-06, W4-07, W4-09
- Business purpose: Add controlled agent behavior without uncontrolled autonomy.
- Architecture and design: A bounded LangGraph controller uses typed state, allowlisted tools, explicit approval checkpoints and resumable checkpoint records.
- Exact interfaces, functions and connections: build_graph, run_agent, request_approval and resume_agent accept AgentState and return terminal response, approval-needed or typed budget/error outcomes.
- Exact inputs, outputs, errors and invariants: Inputs are limited to Step/tool/time budgets; approval-store decision.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AgentState fixes request ID, tenant, step count, tool count, deadline, approval state and redacted messages; checkpoint serialization is versioned and rejects incompatible state.
- Exact dependency and runtime API rules: Step, tool and wall-clock budgets are explicit; provider calls and tools are injected; cancellation halts scheduling and checkpoint writes remain bounded.
- Exact security, privacy, concurrency and operational controls: Tools are allowlisted and tenant-scoped; side-effecting tools require owner approval; no arbitrary code, shell or network tool is exposed.
- Exact automated-test behavior: Unit and contract tests cover state and tools; feature tests cover budgets, pause and resume; security tests cover unauthorized tools and approval bypass; teardown test removes temporary checkpoints.
- Accepted baseline: The inspected repository contains every UPDATE path and does not contain every CREATE path. Historical results remain unchanged; future execution must revalidate content and patch anchors.
EXACT APPROVED PATH MANIFEST
CREATE:
- src/enterprise_ai_platform/agents/__init__.py
- src/enterprise_ai_platform/agents/errors.py
- src/enterprise_ai_platform/agents/state.py
- src/enterprise_ai_platform/agents/tools.py
- src/enterprise_ai_platform/agents/approval.py
- src/enterprise_ai_platform/agents/checkpoint.py
- src/enterprise_ai_platform/agents/graph.py
- tests/unit/test_agent_state.py
- tests/contract/test_agent_tools.py
- tests/feature/test_agent_budgets.py
- tests/feature/test_agent_resume.py
- tests/security/test_agent_authorization.py
- tests/security/test_agent_approval.py
- tests/teardown/test_agent_checkpoint_cleanliness.py
UPDATE:
- src/enterprise_ai_platform/config.py
- requirements.txt
- feature-matrix.yaml
- tools/platformctl/validate.py
- tests/feature/test_feature_matrix.py
- tests/unit/test_platformctl.py
DELETE:
- None
VERIFIED UNCHANGED CONSUMERS:
- src/enterprise_ai_platform/rag/pipeline.py
- src/enterprise_ai_platform/api/auth.py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W4-002.
</t>
        </is>
      </c>
      <c r="M25" s="22" t="inlineStr">
        <is>
          <t xml:space="preserve">COLUMN M — EXACT DOCUMENT WRITING APPROVAL — W4-002
This is a separate owner approval after the bounded edit and owner testing or content review. Classify every path under one—and only one—of the CREATE and UPDATE headings after read-only preflight inspection.
EXACT DOCUMENTATION BOUNDARY
CREATE:
- docs/test-evidence/W4-002.md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W4-002.
</t>
        </is>
      </c>
      <c r="N25" s="55" t="inlineStr">
        <is>
          <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t>
        </is>
      </c>
    </row>
    <row r="26" spans="1:14" ht="409.6">
      <c r="A26" s="23" t="inlineStr">
        <is>
          <t xml:space="preserve">W4-003</t>
        </is>
      </c>
      <c r="B26" s="23" t="inlineStr">
        <is>
          <t xml:space="preserve">Week 4</t>
        </is>
      </c>
      <c r="C26" s="23" t="inlineStr">
        <is>
          <t xml:space="preserve">Application telemetry and redacted audit trail</t>
        </is>
      </c>
      <c r="D26" s="23" t="inlineStr">
        <is>
          <t xml:space="preserve">Make each RAG and agent stage explainable operationally.</t>
        </is>
      </c>
      <c r="E26" s="23" t="inlineStr">
        <is>
          <t xml:space="preserve">OTEL exporter endpoint; no content export</t>
        </is>
      </c>
      <c r="F26" s="23" t="inlineStr">
        <is>
          <t xml:space="preserve">Approved code/configuration/test-code changes; owner test/deployment/remediation guide; business/technical/layman/interview summary</t>
        </is>
      </c>
      <c r="G26" s="23" t="inlineStr">
        <is>
          <t xml:space="preserve">FOUR APPROVAL GATES PLUS OWNER TESTING AND WEEKLY LEARNING — TRACKER v1.3.4
MAIN PROMPT — W4-003
TASK IDENTITY
- Week: Week 4
- Feature/outcome: Application telemetry and redacted audit trail
- Business purpose: Make each RAG and agent stage explainable operationally.
- Covered tracker steps: W3-09, W4-08
- Required inputs: OTEL exporter endpoint; no content export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W3-09 — Record retrieval/model/token/guardrail metrics without content.
  Business reason: Stage-level data explains latency, errors and cost.
  Acceptance: Metrics include versions/outcomes and exclude prompt/document text.
  Dependency: W3-04
  Owner verification reference: pytest tests/unit/test_telemetry.py -q
  Expected result: Redaction tests pass; metrics names are documented.
  Canonical evidence: docs/test-evidence/W3-09-telemetry.txt
  Rollback/teardown: Disable exporter or revert instrumentation, not core answer path.
  Current tracker status (read-only historical/current fact): Not Started
  Separate Task Context: 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
- W4-08 — Trace API to retrieval, LLM, guardrail, approval and tool.
  Business reason: Correlated traces make probabilistic workflows diagnosable.
  Acceptance: One local trace contains all stages and safe attributes.
  Dependency: W4-01:W4-07
  Owner verification reference: pytest tests/feature/test_trace_correlation.py -q
  Expected result: Trace ID links JSON logs and spans; content is redacted.
  Canonical evidence: docs/test-evidence/W4-08-trace.json
  Rollback/teardown: Disable exporter; preserve local logs and core service.
  Current tracker status (read-only historical/current fact): Not Started
  Separate Task Context: 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
Downstream tracker steps identified from recorded dependencies: W4-09, W6-06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Instrument FastAPI, retrieval, embedding, LLM, guardrail and tool stages with OpenTelemetry. Emit safe attributes for request ID, stage, duration, outcome, model/retriever version, token counts and error class; never emit raw prompts, documents, secrets, PII or chain-of-thought. Add JSON logs with correlation IDs and a local collector/Jaeger path. Test that one trace links API to retrieval and model, and add redaction tests.
TASK-SPECIFIC AMENDMENT — TWO SEPARATE CONTROLLED CYCLES TO REMOVE THE CROSS-WEEK DEPENDENCY
This prompt is executed twice under the same Prompt ID; never combine the phases or reuse approval/evidence between them.
PHASE A — WEEK 3 / W3-09
- Run after W3-001 and before W3-12. Require OBS-001 or report the early blocking dependency explicitly.
- Implement safe metric/log/trace contracts for retrieval, model, token/usage and guardrail stages with bounded low-cardinality attributes, content/PII/secret exclusion and exporter-failure isolation.
- Canonical evidence: docs/test-evidence/W3-09-telemetry.txt. Obtain its own pre-edit approval, independent TEST-001 and final owner approval.
PHASE B — WEEK 4 / W4-08
- Run only after W4-001 and W4-002 are independently approved.
- Extend correlation across API, authorization, retrieval, embedding, LLM, guardrail, approval and tool stages; prove one local trace and redacted JSON logs. Canonical evidence: docs/test-evidence/W4-08-trace.json; reconcile aggregate W4-trace.json.
- Any local collector/Jaeger container requires an immutable pin, external cache, explicit local-mutation approval and complete teardown. AWS exporters remain disabled until separately approved.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Network: Enumerate every permitted and denied flow, bind only approved interfaces and prevent implicit public or host exposure.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W4-003.
</t>
        </is>
      </c>
      <c r="H26" s="23" t="inlineStr">
        <is>
          <t xml:space="preserve">Gate 1 Main Prompt → Gate 2 exact Code Edit → owner TEST-001 → Gate 3 Column M manifest → Gate 4 Column N complete closure → owner tracker update</t>
        </is>
      </c>
      <c r="I26" s="23" t="inlineStr">
        <is>
          <t xml:space="preserve">READY FOR PRE-EDIT REVIEW — W4-003</t>
        </is>
      </c>
      <c r="J26" s="23" t="inlineStr">
        <is>
          <t xml:space="preserve">Owner approval required after complete read-only impact review</t>
        </is>
      </c>
      <c r="K26" s="23" t="inlineStr">
        <is>
          <t xml:space="preserve">W3-09, W4-08</t>
        </is>
      </c>
      <c r="L26" s="23" t="inlineStr">
        <is>
          <t xml:space="preserve">COLUMN L — COMPLETE BOUNDED CODE EDIT APPROVAL — W4-003
APPROVED TASK CONTRACT
- Prompt and tracker steps: W4-003 / W3-09, W4-08
- Business purpose: Make each RAG and agent stage explainable operationally.
- Architecture and design: OpenTelemetry-compatible tracing, metrics, structured logging and a redacted audit record instrument API, retrieval, RAG and agent stages.
- Exact interfaces, functions and connections: start_span, record_metric, log_event and write_audit_event accept identifiers and bounded attributes; exporters are configured through Settings.
- Exact inputs, outputs, errors and invariants: Inputs are limited to OTEL exporter endpoint; no content export.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Telemetry carries trace ID, request ID, tenant hash, stage, duration, status and reason code; query text, retrieved content, credentials and tokens are prohibited.
- Exact dependency and runtime API rules: No-content export is the default; exporter timeouts are bounded and telemetry failure cannot expose data or block the business response indefinitely.
- Exact security, privacy, concurrency and operational controls: Redaction occurs before emission; tenant identifiers are pseudonymized; audit events are append-only logical records without secrets.
- Exact automated-test behavior: Unit tests cover attributes; integration proves trace correlation; feature tests cover stage metrics; security tests reject sensitive fields and exporter payload content.
- Accepted baseline: The inspected repository contains every UPDATE path and does not contain every CREATE path. Historical results remain unchanged; future execution must revalidate content and patch anchors.
EXACT APPROVED PATH MANIFEST
CREATE:
- src/enterprise_ai_platform/observability/__init__.py
- src/enterprise_ai_platform/observability/logging.py
- src/enterprise_ai_platform/observability/tracing.py
- src/enterprise_ai_platform/observability/metrics.py
- src/enterprise_ai_platform/observability/audit.py
- tests/unit/test_observability.py
- tests/integration/test_trace_correlation.py
- tests/feature/test_rag_stage_metrics.py
- tests/security/test_telemetry_redaction.py
UPDATE:
- src/enterprise_ai_platform/app.py
- src/enterprise_ai_platform/config.py
- requirements.txt
- feature-matrix.yaml
- tools/platformctl/validate.py
- tests/feature/test_feature_matrix.py
- tests/unit/test_platformctl.py
DELETE:
- None
VERIFIED UNCHANGED CONSUMERS:
- src/enterprise_ai_platform/rag/pipeline.py
- src/enterprise_ai_platform/agents/graph.py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W4-003.
</t>
        </is>
      </c>
      <c r="M26" s="23" t="inlineStr">
        <is>
          <t xml:space="preserve">COLUMN M — EXACT DOCUMENT WRITING APPROVAL — W4-003
This is a separate owner approval after the bounded edit and owner testing or content review. Classify every path under one—and only one—of the CREATE and UPDATE headings after read-only preflight inspection.
EXACT DOCUMENTATION BOUNDARY
CREATE:
- docs/test-evidence/W4-003.md
- docs/test-evidence/W4-08-trace.json
- docs/test-evidence/W4-trace.json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W4-003.
</t>
        </is>
      </c>
      <c r="N26" s="22" t="inlineStr">
        <is>
          <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t>
        </is>
      </c>
    </row>
    <row r="27" spans="1:14" ht="409.6">
      <c r="A27" s="22" t="inlineStr">
        <is>
          <t xml:space="preserve">W4-ROLLBACK-001</t>
        </is>
      </c>
      <c r="B27" s="22" t="inlineStr">
        <is>
          <t xml:space="preserve">Week 4</t>
        </is>
      </c>
      <c r="C27" s="22" t="inlineStr">
        <is>
          <t xml:space="preserve">Local immutable release rollback drill</t>
        </is>
      </c>
      <c r="D27" s="22" t="inlineStr">
        <is>
          <t xml:space="preserve">Prove release rollback separately from infrastructure rollback.</t>
        </is>
      </c>
      <c r="E27" s="22" t="inlineStr">
        <is>
          <t xml:space="preserve">Approved local immutable releases N and N+1 and safe regression method</t>
        </is>
      </c>
      <c r="F27" s="22" t="inlineStr">
        <is>
          <t xml:space="preserve">Approved code/configuration/test-code changes; owner test/deployment/remediation guide; business/technical/layman/interview summary</t>
        </is>
      </c>
      <c r="G27" s="22" t="inlineStr">
        <is>
          <t xml:space="preserve">FOUR APPROVAL GATES PLUS OWNER TESTING AND WEEKLY LEARNING — TRACKER v1.3.4
MAIN PROMPT — W4-ROLLBACK-001
TASK IDENTITY
- Week: Week 4
- Feature/outcome: Local immutable release rollback drill
- Business purpose: Prove release rollback separately from infrastructure rollback.
- Covered tracker steps: W4-11
- Required inputs: Approved local immutable releases N and N+1 and safe regression method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W4-11 — Deploy local immutable version N+1, force regression and restore N.
  Business reason: Release rollback is separate from infrastructure rollback.
  Acceptance: N becomes healthy and passes feature tests after rollback.
  Dependency: W4-01:W4-10
  Owner verification reference: make rollback-release &amp;&amp; make smoke
  Expected result: Rollback duration and health evidence recorded.
  Canonical evidence: docs/rollback-records/W4-release.md
  Rollback/teardown: Keep agent route disabled until the failure is fixed.
  Current tracker status (read-only historical/current fact): Not Started
  Separate Task Context: 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
Downstream tracker steps identified from recorded dependencies: W4-12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SCOPED TASK — W4-ROLLBACK-001
Using only local immutable release artifacts and files explicitly listed in the approved pre-edit plan, design owner-run TEST-001 steps to deploy local version N+1, introduce the approved safe regression, restore N, and execute the rollback and smoke commands. The owner supplies versions, digests, results, duration and risks for later Column M documentation in docs/rollback-records/W4-release.md. Do not push images, mutate Kubernetes/cloud resources or edit this tracker.
TASK-SPECIFIC AMENDMENT — IMMUTABLE LOCAL RELEASE ROLLBACK
Require completion of W4-01 through W4-10 and an approved safe regression. Capture immutable release N and N+1 digests/config hashes, health/evaluation baseline and exact local resources. Prove N+1 failure, restore N without changing infrastructure or shared data, then rerun liveness/readiness, API/auth, agent safety, smoke, telemetry and cleanup checks. Do not build or pull an unapproved image, use a mutable tag as authority, push an image, mutate Kubernetes/cloud or treat teardown as rollback. Record rollback time, failure signal, restored digest and residuals at docs/rollback-records/W4-release.md; remove task-owned local containers/networks/volumes/caches according to approval.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Container: Preserve immutable image identity, non-root/read-only controls, capability drop, bounded resources, internal networking and complete owner-led cleanup.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W4-ROLLBACK-001.
</t>
        </is>
      </c>
      <c r="H27" s="22" t="inlineStr">
        <is>
          <t xml:space="preserve">Gate 1 Main Prompt → Gate 2 exact Code Edit → owner TEST-001 → Gate 3 Column M manifest → Gate 4 Column N complete closure → owner tracker update</t>
        </is>
      </c>
      <c r="I27" s="22" t="inlineStr">
        <is>
          <t xml:space="preserve">READY FOR PRE-EDIT REVIEW — W4-ROLLBACK-001</t>
        </is>
      </c>
      <c r="J27" s="22" t="inlineStr">
        <is>
          <t xml:space="preserve">Owner approval required after complete read-only impact review</t>
        </is>
      </c>
      <c r="K27" s="22" t="inlineStr">
        <is>
          <t xml:space="preserve">W4-11</t>
        </is>
      </c>
      <c r="L27" s="22" t="inlineStr">
        <is>
          <t xml:space="preserve">COLUMN L — COMPLETE BOUNDED CODE EDIT APPROVAL — W4-ROLLBACK-001
APPROVED TASK CONTRACT
- Prompt and tracker steps: W4-ROLLBACK-001 / W4-11
- Business purpose: Prove release rollback separately from infrastructure rollback.
- Architecture and design: Signed local release manifests identify immutable releases N and N+1; platformctl validates and selects the previous release without conflating infrastructure rollback.
- Exact interfaces, functions and connections: validate_release_manifest, compare_releases and rollback_release return digest, configuration and health-verification plans; mutation remains owner executed.
- Exact inputs, outputs, errors and invariants: Inputs are limited to Approved local immutable releases N and N+1 and safe regression method.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Release manifest contains schema version, image digest, configuration hash, feature versions and creation evidence; mutable tags and missing hashes are rejected.
- Exact dependency and runtime API rules: Rollback planning is local and dry-run; Docker or service commands appear only in the Owner Execution Guide.
- Exact security, privacy, concurrency and operational controls: Only the verified prior digest may be selected; failed release remains blocked; cleanup removes drill-only state.
- Exact automated-test behavior: Contract tests reject mutable or mismatched manifests; feature test forces a safe regression and restores N; teardown test verifies no drill container, network, volume or state remains.
- Accepted baseline: The inspected repository contains every UPDATE path and does not contain every CREATE path. Historical results remain unchanged; future execution must revalidate content and patch anchors.
EXACT APPROVED PATH MANIFEST
CREATE:
- tests/fixtures/releases/release-n.json
- tests/fixtures/releases/release-n-plus-one.json
- tools/platformctl/release.py
- tests/contract/test_release_manifest.py
- tests/feature/test_release_rollback.py
- tests/teardown/test_w4_release_cleanliness.py
UPDATE:
- tools/platformctl/cli.py
- tools/platformctl/contracts.py
- feature-matrix.yaml
- tools/platformctl/validate.py
- tests/feature/test_feature_matrix.py
- tests/unit/test_platformctl.py
DELETE:
- None
VERIFIED UNCHANGED CONSUMERS:
- src/enterprise_ai_platform/app.py
- docker-compose.yml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W4-ROLLBACK-001.
</t>
        </is>
      </c>
      <c r="M27" s="22" t="inlineStr">
        <is>
          <t xml:space="preserve">COLUMN M — EXACT DOCUMENT WRITING APPROVAL — W4-ROLLBACK-001
This is a separate owner approval after the bounded edit and owner testing or content review. Classify every path under one—and only one—of the CREATE and UPDATE headings after read-only preflight inspection.
EXACT DOCUMENTATION BOUNDARY
CREATE:
- docs/test-evidence/W4-ROLLBACK-001.md
- docs/rollback-records/W4-release.md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W4-ROLLBACK-001.
</t>
        </is>
      </c>
      <c r="N27" s="55" t="inlineStr">
        <is>
          <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t>
        </is>
      </c>
    </row>
    <row r="28" spans="1:14" ht="409.6">
      <c r="A28" s="23" t="inlineStr">
        <is>
          <t xml:space="preserve">W5-INPUTS-001</t>
        </is>
      </c>
      <c r="B28" s="23" t="inlineStr">
        <is>
          <t xml:space="preserve">Week 5</t>
        </is>
      </c>
      <c r="C28" s="23" t="inlineStr">
        <is>
          <t xml:space="preserve">AWS sandbox input approval</t>
        </is>
      </c>
      <c r="D28" s="23" t="inlineStr">
        <is>
          <t xml:space="preserve">Capture all non-secret AWS, network, tagging, residency and budget choices before Terraform work.</t>
        </is>
      </c>
      <c r="E28" s="23" t="inlineStr">
        <is>
          <t xml:space="preserve">AWS-001, AWS-002, NET-001, TAG-001, COST-001 and PRIV-001; no credentials</t>
        </is>
      </c>
      <c r="F28" s="23" t="inlineStr">
        <is>
          <t xml:space="preserve">Approved business-first documentation/decision record only; no code or command execution</t>
        </is>
      </c>
      <c r="G28" s="23" t="inlineStr">
        <is>
          <t xml:space="preserve">FOUR APPROVAL GATES PLUS OWNER TESTING AND WEEKLY LEARNING — TRACKER v1.3.4
MAIN PROMPT — W5-INPUTS-001
TASK IDENTITY
- Week: Week 5
- Feature/outcome: AWS sandbox input approval
- Business purpose: Capture all non-secret AWS, network, tagging, residency and budget choices before Terraform work.
- Covered tracker steps: W5-01
- Required inputs: AWS-001, AWS-002, NET-001, TAG-001, COST-001 and PRIV-001;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W5-01 — Confirm sandbox account, region, network, tags, data residency and budget ceiling.
  Business reason: Terraform cannot be safely reviewed with ambiguous ownership or cost.
  Acceptance: All variables are non-secret and approved.
  Dependency: W4-13
  Owner verification reference: Review infra/environments/sandbox/terraform.tfvars.example
  Expected result: No credential/secret value is requested.
  Canonical evidence: docs/cost-estimates/W5-inputs.md
  Rollback/teardown: Do not initialize/apply until inputs are approved.
  Current tracker status (read-only historical/current fact): Not Started
  Separate Task Context: 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
Downstream tracker steps identified from recorded dependencies: W5-02, W5-03, W5-04, W5-13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SCOPED TASK — W5-INPUTS-001
The planned Column L content boundary is create only infra/environments/sandbox/terraform.tfvars.example and docs/cost-estimates/W5-inputs.md; their approved parent structure exists. Use TODO placeholders for sandbox account ID, approved region, VPC/subnets, mandatory tags, data-residency/privacy constraints, expiry and monthly budget. Never request, store or display credentials, secret values or live tokens. Do not run terraform init/plan/apply/destroy and do not access AWS. Leave the approval record READY FOR OWNER REVIEW.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COMPLETE NON-SECRET AWS INPUT GATE
Do not start Terraform design until W4-12 is signed off. Reconcile and obtain owner decisions for AWS-001, AWS-002, NET-001, TAG-001, COST-001, PRIV-001, KMS-001, GHA-001 and BED-001; also identify EKS-001, OBS-001 and SLO-001 as required before W5-13/Week 6. Record account ID, region/service availability, existing-vs-owned VPC/subnets/CIDRs/DNS/egress/endpoints, data residency, mandatory tags/expiry, monthly/daily/paid-evaluation ceilings, KMS deletion window/follow-up owner, GitHub repository/environment/OIDC naming and Bedrock model/quota/fallback—never credentials, role sessions, secret values or live tokens. Validate ownership boundaries so shared networking/EKS resources can never be destroyed. Modify only the two scoped input documents, leave status READY FOR OWNER REVIEW, run no Terraform/AWS/network command and do not infer approval from placeholders.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AWS/cloud: Use explicit account, region, role and service boundaries, short-lived identity, least privilege, cost limits and owner-only API execution.
- Network: Enumerate every permitted and denied flow, bind only approved interfaces and prevent implicit public or host exposure.
- Data/privacy: Classify data, minimize content, prohibit secrets/PII in logs and evidence, and state residency, retention and deletion effects.
- Security/authorization: Enforce least privilege and tenant/classification controls before provider calls; fail closed and redact errors.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W5-INPUTS-001.
</t>
        </is>
      </c>
      <c r="H28" s="23" t="inlineStr">
        <is>
          <t xml:space="preserve">Gate 1 Main Prompt → Gate 2 exact Content Edit → owner content review → Gate 3 Column M manifest → Gate 4 Column N complete closure → owner tracker update</t>
        </is>
      </c>
      <c r="I28" s="23" t="inlineStr">
        <is>
          <t xml:space="preserve">READY FOR PRE-EDIT REVIEW — W5-INPUTS-001</t>
        </is>
      </c>
      <c r="J28" s="23" t="inlineStr">
        <is>
          <t xml:space="preserve">Owner approval required after complete read-only impact review</t>
        </is>
      </c>
      <c r="K28" s="23" t="inlineStr">
        <is>
          <t xml:space="preserve">W5-01</t>
        </is>
      </c>
      <c r="L28" s="23" t="inlineStr">
        <is>
          <t xml:space="preserve">COLUMN L — COMPLETE BOUNDED CONTENT EDIT APPROVAL — W5-INPUTS-001
APPROVED TASK CONTRACT
- Prompt and tracker steps: W5-INPUTS-001 / W5-01
- Business purpose: Capture all non-secret AWS, network, tagging, residency and budget choices before Terraform work.
- Architecture position and content design: Capture non-secret AWS sandbox choices in a human-readable decision record and a Terraform variable example; neither file grants Terraform or AWS execution authority.
- Exact interfaces, functions and connections: No application function, class, API, service or infrastructure connection is changed. The exact document sections are Account and region placeholders, network identifiers, tags, budget, residency, GitHub/OIDC identifiers, Bedrock model IDs, unresolved owner decisions and explicit no-secret warnings.
- Exact inputs, outputs, errors and invariants: Inputs are limited to AWS-001, AWS-002, NET-001, TAG-001, COST-001 and PRIV-001;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or Terraform-example format; the Terraform example contains placeholders only,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infra/environments/sandbox/terraform.tfvars.example
- docs/cost-estimates/W5-inputs.md
UPDATE:
- None
DELETE:
- None
VERIFIED UNCHANGED CONSUMERS:
- feature-matrix.yaml
- The Master Plan, task statuses and historical evidence records in the Excel tracker.
DEFERRED:
- None
EXCLUDED:
- Every repository path not enumerated under the CREATE and UPDATE headings.
- Application code, automated tests, dependency files and executable infrastructure other than the exact non-secret Terraform variable example.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End exactly: CONTENT READY FOR OWNER REVIEW — W5-INPUTS-001.
</t>
        </is>
      </c>
      <c r="M28" s="23" t="inlineStr">
        <is>
          <t xml:space="preserve">COLUMN M — EXACT DOCUMENT WRITING APPROVAL — W5-INPUTS-001
This is a separate owner approval after the bounded edit and owner testing or content review. Classify every path under one—and only one—of the CREATE and UPDATE headings after read-only preflight inspection.
EXACT DOCUMENTATION BOUNDARY
CREATE:
- infra/environments/sandbox/terraform.tfvars.example
- docs/cost-estimates/W5-inputs.md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W5-INPUTS-001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W5-INPUTS-001.
</t>
        </is>
      </c>
      <c r="N28" s="22" t="inlineStr">
        <is>
          <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t>
        </is>
      </c>
    </row>
    <row r="29" spans="1:14" ht="409.6">
      <c r="A29" s="22" t="inlineStr">
        <is>
          <t xml:space="preserve">W5-001</t>
        </is>
      </c>
      <c r="B29" s="22" t="inlineStr">
        <is>
          <t xml:space="preserve">Week 5</t>
        </is>
      </c>
      <c r="C29" s="22" t="inlineStr">
        <is>
          <t xml:space="preserve">Terraform AWS sandbox modules</t>
        </is>
      </c>
      <c r="D29" s="22" t="inlineStr">
        <is>
          <t xml:space="preserve">Produce reviewable infrastructure without secret material.</t>
        </is>
      </c>
      <c r="E29" s="22" t="inlineStr">
        <is>
          <t xml:space="preserve">TODO account, region, VPC/subnets, GitHub repo, tags, Bedrock models</t>
        </is>
      </c>
      <c r="F29" s="22" t="inlineStr">
        <is>
          <t xml:space="preserve">Approved code/configuration/test-code changes; owner test/deployment/remediation guide; business/technical/layman/interview summary</t>
        </is>
      </c>
      <c r="G29" s="22" t="inlineStr">
        <is>
          <t xml:space="preserve">FOUR APPROVAL GATES PLUS OWNER TESTING AND WEEKLY LEARNING — TRACKER v1.3.4
MAIN PROMPT — W5-001
TASK IDENTITY
- Week: Week 5
- Feature/outcome: Terraform AWS sandbox modules
- Business purpose: Produce reviewable infrastructure without secret material.
- Covered tracker steps: W5-02, W5-03, W5-04, W5-05
- Required inputs: TODO account, region, VPC/subnets, GitHub repo, tags, Bedrock models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W5-02 — Build isolated encrypted/versioned S3 state and Terraform 1.5 DynamoDB locking stack.
  Business reason: State must survive platform rollback and be removed last during full teardown.
  Acceptance: fmt/validate/Checkov pass; apply remains manual.
  Dependency: W5-01
  Owner verification reference: terraform -chdir=infra/bootstrap fmt -check &amp;&amp; terraform -chdir=infra/bootstrap validate
  Expected result: Bootstrap plan contains only expected resources.
  Canonical evidence: docs/test-evidence/W5-02-bootstrap.txt
  Rollback/teardown: Destroy platform first; bootstrap destroy is separately reviewed.
  Current tracker status (read-only historical/current fact): Not Started
  Separate Task Context: Week 5 State bootstrap task in the end-to-end architecture. After Code Edit Approval, Codex writes only the approved code/configuration/test code for “Build isolated encrypted/versioned S3 state and Terraform 1.5 DynamoDB locking stack.”; you run the verification/deployment commands and return the results. Business value: State must survive platform rollback and be removed last during full teardown. Interview focus: explain where this component sits, how it fails safely and how it is rolled back.
- W5-03 — Create KMS, private/versioned S3 and secret-metadata modules.
  Business reason: Encryption and secret separation are foundational controls.
  Acceptance: No public access or secret value resource exists.
  Dependency: W5-01,W5-02
  Owner verification reference: terraform -chdir=infra/environments/sandbox validate &amp;&amp; checkov -d infra/modules
  Expected result: Security controls pass; deletion settings are explicit.
  Canonical evidence: docs/test-evidence/W5-03-security.txt
  Rollback/teardown: Apply prior Terraform version; use purge only for disposable sandbox.
  Current tracker status (read-only historical/current fact): Not Started
  Separate Task Context: 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
- W5-04 — Create least-privilege runtime, ingestion and GitHub OIDC roles.
  Business reason: Workloads need short-lived, separated permissions.
  Acceptance: No wildcard action/resource without reviewed exception.
  Dependency: W5-01
  Owner verification reference: checkov -d infra &amp;&amp; opa test policies/opa -v
  Expected result: Trust policies bind approved repo/environment and workload identity.
  Canonical evidence: docs/test-evidence/W5-04-iam.txt
  Rollback/teardown: Disable role session/restore prior policy; do not store keys.
  Current tracker status (read-only historical/current fact): Not Started
  Separate Task Context: 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
- W5-05 — Create private encrypted OpenSearch and ECR modules.
  Business reason: OpenSearch is the AWS vector target; ECR stores immutable images.
  Acceptance: Private network, TLS, encryption, logs and access controls are planned.
  Dependency: W5-03,W5-04
  Owner verification reference: terraform -chdir=infra/environments/sandbox plan -out=tfplan
  Expected result: Plan summary shows only expected resources and estimated baseline cost.
  Canonical evidence: docs/test-evidence/W5-05-platform-plan.txt
  Rollback/teardown: Apply reviewed previous Terraform version or destroy disposable resources in order.
  Current tracker status (read-only historical/current fact): Not Started
  Separate Task Context: 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
Downstream tracker steps identified from recorded dependencies: W5-03, W5-05, W5-06, W5-07, W5-09, W6-03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Terraform &gt;=1.5 modules and sandbox composition for KMS, private versioned S3, Secrets Manager metadata only, least-privilege runtime/ingestion roles, ECR and a private VPC OpenSearch domain with encryption, HTTPS, fine-grained access, logs and security groups. Isolate an encrypted/versioned S3 state plus DynamoDB-locking bootstrap for Terraform 1.5 and document newer S3 lockfiles. Never create secret versions or accept secret values. Validate inputs, apply mandatory tags, gate deletion protection and document every suppression with owner/reason/expiry. Plan only.
TASK-SPECIFIC AMENDMENT — TERRAFORM STATIC FOUNDATION AND BOOTSTRAP DEPENDENCY
1. Require W5-INPUTS-001 final approval and exact non-secret inputs. Pin Terraform/provider/module versions; owner-run reviewed initialization may generate exact dependency lock files for a separately reviewed repository update, but Codex does not initialize, stage or commit them. Use external TF_DATA_DIR/plugin caches; repository .terraform, plan binaries, state and credentials are prohibited.
2. Separate bootstrap and platform roots. Static work here creates/validates code only. Use terraform init -backend=false for offline/static checks unless an exact read-only network initialization is separately approved. A real plan requires approved short-lived AWS identity/account/region and is not an offline test.
3. The remote backend must physically exist before the W5-09 platform saved plan. Therefore W5-004 must perform a separately approved bootstrap saved-plan/apply cycle when the backend is absent; W5-001 must not claim that platform planning can use an unapplied backend.
4. No secret value/resource version, public endpoint, wildcard IAM or unbounded cost default. OpenSearch must be private, encrypted in transit/at rest, access-controlled, logged and deletion/cost guarded. ECR uses immutable scanning settings. Tags apply to every supported resource; exceptions require owner/rationale/expiry.
5. Test variables, outputs, fmt/validate/tflint/Checkov/OPA, plan redaction, secret-in-state prevention, provider-lock integrity, bootstrap/platform dependency and destroy ordering. Canonical evidence: W5-02-bootstrap.txt, W5-03-security.txt, W5-04-iam.txt and W5-05-platform-plan.txt; reconcile aggregate W5-terraform.txt. No apply/destroy, live AWS mutation,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Terraform: Keep roots and modules explicit, providers constrained, state isolated and saved-plan/apply/destroy commands owner-only.
- AWS/cloud: Use explicit account, region, role and service boundaries, short-lived identity, least privilege, cost limits and owner-only API execution.
- Network: Enumerate every permitted and denied flow, bind only approved interfaces and prevent implicit public or host exposure.
- Data/privacy: Classify data, minimize content, prohibit secrets/PII in logs and evidence, and state residency, retention and deletion effects.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W5-001.
</t>
        </is>
      </c>
      <c r="H29" s="22" t="inlineStr">
        <is>
          <t xml:space="preserve">Gate 1 Main Prompt → Gate 2 exact Code Edit → owner TEST-001 → Gate 3 Column M manifest → Gate 4 Column N complete closure → owner tracker update</t>
        </is>
      </c>
      <c r="I29" s="22" t="inlineStr">
        <is>
          <t xml:space="preserve">READY FOR PRE-EDIT REVIEW — W5-001</t>
        </is>
      </c>
      <c r="J29" s="22" t="inlineStr">
        <is>
          <t xml:space="preserve">Owner approval required after complete read-only impact review</t>
        </is>
      </c>
      <c r="K29" s="22" t="inlineStr">
        <is>
          <t xml:space="preserve">W5-02, W5-03, W5-04, W5-05</t>
        </is>
      </c>
      <c r="L29" s="22" t="inlineStr">
        <is>
          <t xml:space="preserve">COLUMN L — COMPLETE BOUNDED CODE EDIT APPROVAL — W5-001
APPROVED TASK CONTRACT
- Prompt and tracker steps: W5-001 / W5-02, W5-03, W5-04, W5-05
- Business purpose: Produce reviewable infrastructure without secret material.
- Architecture and design: Separate Terraform bootstrap and sandbox roots compose KMS, storage, secret metadata, IAM, OpenSearch and ECR modules; state remains isolated and removed last.
- Exact interfaces, functions and connections: Typed Terraform variables accept owner-approved account, region, network, tags and service identifiers; module outputs expose only non-secret IDs and ARNs.
- Exact inputs, outputs, errors and invariants: Inputs are limited to TODO account, region, VPC/subnets, GitHub repo, tags, Bedrock models.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Variable types, validations, tag map and outputs are explicit; backend example contains no credential or real account value; module resources are deterministically named.
- Exact dependency and runtime API rules: Terraform 1.5-compatible providers are version constrained; initialization, plan and apply are owner actions; no model runtime or local inference control applies.
- Exact security, privacy, concurrency and operational controls: Encryption, private networking, versioning, least-privilege roles, short-lived OIDC, project tags, cost bounds and ordered destroy behavior are encoded.
- Exact automated-test behavior: Contract tests validate module inputs/outputs; security tests reject public access, plaintext secrets and wildcard IAM; feature test inspects expected plan shape; teardown test preserves bootstrap-last boundary.
- Accepted baseline: The inspected repository contains every UPDATE path and does not contain every CREATE path. Historical results remain unchanged; future execution must revalidate content and patch anchors.
EXACT APPROVED PATH MANIFEST
CREATE:
- infra/bootstrap/variables.tf
- infra/bootstrap/outputs.tf
- infra/environments/sandbox/variables.tf
- infra/environments/sandbox/outputs.tf
- infra/environments/sandbox/backend.hcl.example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tests/contract/test_terraform_module_contract.py
- tests/security/test_terraform_security.py
- tests/feature/test_terraform_sandbox_plan.py
- tests/teardown/test_terraform_state_boundary.py
UPDATE:
- infra/bootstrap/main.tf
- infra/bootstrap/versions.tf
- infra/environments/sandbox/main.tf
- infra/environments/sandbox/versions.tf
- Makefile
- feature-matrix.yaml
- tools/platformctl/validate.py
- tests/feature/test_feature_matrix.py
- tests/unit/test_platformctl.py
DELETE:
- None
VERIFIED UNCHANGED CONSUMERS:
- src/enterprise_ai_platform/config.py
- src/enterprise_ai_platform/retrieval/adapters/opensearch.py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W5-001.
</t>
        </is>
      </c>
      <c r="M29" s="22" t="inlineStr">
        <is>
          <t xml:space="preserve">COLUMN M — EXACT DOCUMENT WRITING APPROVAL — W5-001
This is a separate owner approval after the bounded edit and owner testing or content review. Classify every path under one—and only one—of the CREATE and UPDATE headings after read-only preflight inspection.
EXACT DOCUMENTATION BOUNDARY
CREATE:
- docs/test-evidence/W5-001.md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W5-001.
</t>
        </is>
      </c>
      <c r="N29" s="55" t="inlineStr">
        <is>
          <t xml:space="preserve">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
</t>
        </is>
      </c>
    </row>
    <row r="30" spans="1:14" ht="409.6">
      <c r="A30" s="23" t="inlineStr">
        <is>
          <t xml:space="preserve">W5-002</t>
        </is>
      </c>
      <c r="B30" s="23" t="inlineStr">
        <is>
          <t xml:space="preserve">Week 5</t>
        </is>
      </c>
      <c r="C30" s="23" t="inlineStr">
        <is>
          <t xml:space="preserve">GitHub Actions DevSecOps pipeline</t>
        </is>
      </c>
      <c r="D30" s="23" t="inlineStr">
        <is>
          <t xml:space="preserve">Enforce quality, IaC and supply-chain gates with short-lived identity.</t>
        </is>
      </c>
      <c r="E30" s="23" t="inlineStr">
        <is>
          <t xml:space="preserve">GitHub environment, OIDC role ARN, sandbox variables</t>
        </is>
      </c>
      <c r="F30" s="23" t="inlineStr">
        <is>
          <t xml:space="preserve">Approved code/configuration/test-code changes; owner test/deployment/remediation guide; business/technical/layman/interview summary</t>
        </is>
      </c>
      <c r="G30" s="23" t="inlineStr">
        <is>
          <t xml:space="preserve">FOUR APPROVAL GATES PLUS OWNER TESTING AND WEEKLY LEARNING — TRACKER v1.3.4
MAIN PROMPT — W5-002
TASK IDENTITY
- Week: Week 5
- Feature/outcome: GitHub Actions DevSecOps pipeline
- Business purpose: Enforce quality, IaC and supply-chain gates with short-lived identity.
- Covered tracker steps: W5-07, W5-08, W6-01
- Required inputs: GitHub environment, OIDC role ARN, sandbox variables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W5-07 — Create PR CI and Terraform-plan workflow using GitHub OIDC.
  Business reason: Automated gates and short-lived identity reduce change and credential risk.
  Acceptance: All required checks run; apply/destroy are owner-gated.
  Dependency: W5-04,W5-06
  Owner verification reference: Review .github/workflows and run actionlint if available
  Expected result: No access-key secret; immutable action pins are TODO/approved.
  Canonical evidence: docs/test-evidence/W5-07-ci.txt
  Rollback/teardown: Disable workflow; revoke OIDC trust; keep last good release.
  Current tracker status (read-only historical/current fact): Not Started
  Separate Task Context: 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
- W5-08 — Build image, scan with Trivy/Grype and generate Syft SBOM.
  Business reason: Deployment must use a known, scanned immutable artifact.
  Acceptance: Critical findings fail per policy and SBOM is retained.
  Dependency: W5-07
  Owner verification reference: docker build -t enterprise-ai:test . &amp;&amp; trivy image enterprise-ai:test
  Expected result: Redacted scan reports and SPDX/CycloneDX SBOM exist.
  Canonical evidence: docs/test-evidence/W5-08-supply-chain.txt
  Rollback/teardown: Do not publish vulnerable digest; restore prior approved digest.
  Current tracker status (read-only historical/current fact): Not Started
  Separate Task Context: 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
- W6-01 — Publish scanned image to ECR by immutable digest.
  Business reason: Rollback and provenance require immutable deployment identity.
  Acceptance: Digest matches the scanned/SBOM artifact.
  Dependency: W5-14
  Owner verification reference: docker inspect --format='{{index .RepoDigests 0}}' enterprise-ai:test
  Expected result: Digest, scan and SBOM are linked in deployment record.
  Canonical evidence: docs/deployment-records/W6-image.md
  Rollback/teardown: Restore prior approved digest; never reuse a mutable tag as authority.
  Current tracker status (read-only historical/current fact): Not Started
  Separate Task Context: 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
Downstream tracker steps identified from recorded dependencies: W5-08, W5-09, W6-02, W6-10, W6-13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least-privilege GitHub Actions workflows. On PR run Python 3.11 cache/install, Ruff, mypy, pytest, secret scan, terraform fmt/validate/tflint, Checkov, plan JSON through OPA, Docker build, Trivy filesystem/image scan, Syft SPDX/CycloneDX SBOM, Grype scan and a RAG smoke evaluation. Use Qdrant service container if useful. Upload only redacted reports and do not upload sensitive plans. Use GitHub OIDC, immutable image digest, protected environment approval and explicit timeouts. Pin actions to immutable SHAs with TODOs. Never use AWS access-key secrets or auto-run apply/destroy.
TASK-SPECIFIC AMENDMENT — TWO SEPARATE CI/SUPPLY-CHAIN AND PROMOTION CYCLES
This prompt is executed in two separately approved cycles; W6-01 cannot be completed before W5-13.
PHASE A — WEEK 5 / W5-07 AND W5-08
- Require W5-001/W5-003 and GHA-001. Pin every GitHub Action to an immutable commit SHA, base/service images to approved digests and tools/dependencies to reviewed versions. Use least-privilege OIDC with exact repository/ref/environment trust and no access-key secret.
- Build locally/CI without push, scan the exact image with Trivy/Grype, generate Syft SPDX/CycloneDX SBOM, enforce policy thresholds and preserve redacted provenance. Do not upload sensitive Terraform plans, logs, environment dumps or source data. A workflow/PR run is an external action and requires explicit approval.
- Canonical evidence: W5-07-ci.txt and W5-08-supply-chain.txt; reconcile W5-oidc.txt/W5-supply-chain.txt.
PHASE B — WEEK 6 / W6-01
- Run only after W5-13, W5-004 Week-6 environment recreation and a passing Phase A. Require the exact scanned image digest, SBOM/provenance, ECR target and separate push authorization.
- Push/promote only the approved digest; verify the ECR digest matches the scanned artifact. Mutable tags may be convenience labels but never deployment authority. Record docs/deployment-records/W6-image.md and leave no unapproved local builder/cache residue.
Each phase requires its own pre-edit approval, independent TEST-001 and final owner approval. No apply/destroy, Kubernetes mutation or automatic deployment.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CI/CD: Pin actions and artifacts, use least permissions and protected approvals, and keep deployment/rollback jobs owner-authorized.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W5-002.
</t>
        </is>
      </c>
      <c r="H30" s="23" t="inlineStr">
        <is>
          <t xml:space="preserve">Gate 1 Main Prompt → Gate 2 exact Code Edit → owner TEST-001 → Gate 3 Column M manifest → Gate 4 Column N complete closure → owner tracker update</t>
        </is>
      </c>
      <c r="I30" s="23" t="inlineStr">
        <is>
          <t xml:space="preserve">READY FOR PRE-EDIT REVIEW — W5-002</t>
        </is>
      </c>
      <c r="J30" s="23" t="inlineStr">
        <is>
          <t xml:space="preserve">Owner approval required after complete read-only impact review</t>
        </is>
      </c>
      <c r="K30" s="23" t="inlineStr">
        <is>
          <t xml:space="preserve">W5-07, W5-08, W6-01</t>
        </is>
      </c>
      <c r="L30" s="23" t="inlineStr">
        <is>
          <t xml:space="preserve">COLUMN L — COMPLETE BOUNDED CODE EDIT APPROVAL — W5-002
APPROVED TASK CONTRACT
- Prompt and tracker steps: W5-002 / W5-07, W5-08, W6-01
- Business purpose: Enforce quality, IaC and supply-chain gates with short-lived identity.
- Architecture and design: GitHub Actions workflows separate pull-request quality gates, sandbox plan, approved deploy, rollback and security scanning through environments and OIDC.
- Exact interfaces, functions and connections: Workflow dispatch inputs carry environment, plan artifact identity and typed confirmation; jobs exchange immutable artifacts and explicit outputs.
- Exact inputs, outputs, errors and invariants: Inputs are limited to GitHub environment, OIDC role ARN, sandbox variables.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YAML workflows pin actions, declare least permissions and artifact retention; secret names are references only and no static credential value is permitted.
- Exact dependency and runtime API rules: GitHub-hosted runners and approved tool versions apply; cloud mutation jobs require the protected environment and owner execution/approval.
- Exact security, privacy, concurrency and operational controls: OIDC trust, least permissions, concurrency groups, timeouts, immutable image digests, scan gates and artifact provenance are mandatory.
- Exact automated-test behavior: Workflow contract tests parse job/permission structure; OIDC security tests reject static keys and broad permissions; release-gate tests prove deploy dependency; teardown tests check retention and no local runner residue.
- Accepted baseline: The inspected repository contains every UPDATE path and does not contain every CREATE path. Historical results remain unchanged; future execution must revalidate content and patch anchors.
EXACT APPROVED PATH MANIFEST
CREATE:
- .github/dependabot.yml
- .github/workflows/ci.yml
- .github/workflows/plan-sandbox.yml
- .github/workflows/deploy-sandbox.yml
- .github/workflows/rollback-sandbox.yml
- .github/workflows/security-scan.yml
- tests/contract/test_workflow_contract.py
- tests/security/test_github_oidc_workflows.py
- tests/feature/test_release_gate_workflows.py
- tests/teardown/test_workflow_artifact_retention.py
UPDATE:
- Makefile
- feature-matrix.yaml
- tools/platformctl/validate.py
- tests/feature/test_feature_matrix.py
- tests/unit/test_platformctl.py
DELETE:
- None
VERIFIED UNCHANGED CONSUMERS:
- infra/modules/iam/main.tf
- infra/environments/sandbox/main.tf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W5-002.
</t>
        </is>
      </c>
      <c r="M30" s="23" t="inlineStr">
        <is>
          <t xml:space="preserve">COLUMN M — EXACT DOCUMENT WRITING APPROVAL — W5-002
This is a separate owner approval after the bounded edit and owner testing or content review. Classify every path under one—and only one—of the CREATE and UPDATE headings after read-only preflight inspection.
EXACT DOCUMENTATION BOUNDARY
CREATE:
- docs/test-evidence/W5-002.md
- docs/deployment-records/W6-image.md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W5-002.
</t>
        </is>
      </c>
      <c r="N30" s="22" t="inlineStr">
        <is>
          <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t>
        </is>
      </c>
    </row>
    <row r="31" spans="1:14" ht="409.6">
      <c r="A31" s="22" t="inlineStr">
        <is>
          <t xml:space="preserve">W5-003</t>
        </is>
      </c>
      <c r="B31" s="22" t="inlineStr">
        <is>
          <t xml:space="preserve">Week 5</t>
        </is>
      </c>
      <c r="C31" s="22" t="inlineStr">
        <is>
          <t xml:space="preserve">OPA and Checkov policy pack</t>
        </is>
      </c>
      <c r="D31" s="22" t="inlineStr">
        <is>
          <t xml:space="preserve">Make critical cloud controls executable before apply.</t>
        </is>
      </c>
      <c r="E31" s="22" t="inlineStr">
        <is>
          <t xml:space="preserve">Approved regions, encryption/tag rules, exception process</t>
        </is>
      </c>
      <c r="F31" s="22" t="inlineStr">
        <is>
          <t xml:space="preserve">Approved code/configuration/test-code changes; owner test/deployment/remediation guide; business/technical/layman/interview summary</t>
        </is>
      </c>
      <c r="G31" s="22" t="inlineStr">
        <is>
          <t xml:space="preserve">FOUR APPROVAL GATES PLUS OWNER TESTING AND WEEKLY LEARNING — TRACKER v1.3.4
MAIN PROMPT — W5-003
TASK IDENTITY
- Week: Week 5
- Feature/outcome: OPA and Checkov policy pack
- Business purpose: Make critical cloud controls executable before apply.
- Covered tracker steps: W5-06
- Required inputs: Approved regions, encryption/tag rules, exception process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W5-06 — Implement OPA and Checkov security/tagging policies with fixtures.
  Business reason: Policy gates make critical architecture decisions executable.
  Acceptance: Insecure fixtures fail; secure fixtures pass.
  Dependency: W5-03:W5-05
  Owner verification reference: opa test policies/opa -v &amp;&amp; checkov -d infra
  Expected result: Failures identify resource/rule/remediation.
  Canonical evidence: docs/test-evidence/W5-06-policy.txt
  Rollback/teardown: Revert candidate policy only through reviewed exception/ADR.
  Current tracker status (read-only historical/current fact): Not Started
  Separate Task Context: 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
Downstream tracker steps identified from recorded dependencies: W5-07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OPA/Rego tests over Terraform plan JSON to deny public S3, missing KMS encryption, unrestricted security groups, unapproved regions, missing mandatory tags and IAM wildcard actions unless an explicit time-bound exception is approved. Add equivalent focused Checkov custom policies where appropriate, secure/insecure fixtures and CI commands. Policy failures must show resource address, violated rule and remediation without exposing sensitive values.
TASK-SPECIFIC AMENDMENT — POLICY TESTING AND NARROW EXCEPTIONS
Require W5-001 design and approved region/tag/encryption/IAM rules. Test deny and allow cases for public S3, encryption/KMS, unrestricted ingress/egress, unapproved regions, mandatory tags, IAM wildcard actions/resources, public OpenSearch, mutable images and missing deletion/cost guards. Parse Terraform plan JSON without exposing sensitive values. Every denial identifies resource address, rule and remediation. Secure fixtures pass; each insecure fixture fails for the intended rule; tests must detect a policy accidentally disabled or not evaluated. Exceptions are resource/rule scoped and require owner, rationale, expires_at and evidence; expired/malformed/broad directory/file/type bypasses deny. Rego and Checkov controls must not contradict. Canonical evidence: docs/test-evidence/W5-06-policy.txt; reconcile aggregate W5-policy.txt. No live AWS, Terraform mutation or CI execution.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Terraform: Keep roots and modules explicit, providers constrained, state isolated and saved-plan/apply/destroy commands owner-only.
- AWS/cloud: Use explicit account, region, role and service boundaries, short-lived identity, least privilege, cost limits and owner-only API execution.
- Security/authorization: Enforce least privilege and tenant/classification controls before provider calls; fail closed and redact errors.
- CI/CD: Pin actions and artifacts, use least permissions and protected approvals, and keep deployment/rollback jobs owner-authorized.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W5-003.
</t>
        </is>
      </c>
      <c r="H31" s="22" t="inlineStr">
        <is>
          <t xml:space="preserve">Gate 1 Main Prompt → Gate 2 exact Code Edit → owner TEST-001 → Gate 3 Column M manifest → Gate 4 Column N complete closure → owner tracker update</t>
        </is>
      </c>
      <c r="I31" s="22" t="inlineStr">
        <is>
          <t xml:space="preserve">READY FOR PRE-EDIT REVIEW — W5-003</t>
        </is>
      </c>
      <c r="J31" s="22" t="inlineStr">
        <is>
          <t xml:space="preserve">Owner approval required after complete read-only impact review</t>
        </is>
      </c>
      <c r="K31" s="22" t="inlineStr">
        <is>
          <t xml:space="preserve">W5-06</t>
        </is>
      </c>
      <c r="L31" s="22" t="inlineStr">
        <is>
          <t xml:space="preserve">COLUMN L — COMPLETE BOUNDED CODE EDIT APPROVAL — W5-003
APPROVED TASK CONTRACT
- Prompt and tracker steps: W5-003 / W5-06
- Business purpose: Make critical cloud controls executable before apply.
- Architecture and design: Checkov configuration and OPA policies validate Terraform plans for encryption, private access, tagging, region and IAM controls before owner apply.
- Exact interfaces, functions and connections: OPA deny rules accept normalized Terraform-plan JSON and return deterministic policy messages; exception records require policy ID, owner, reason and expiry.
- Exact inputs, outputs, errors and invariants: Inputs are limited to Approved regions, encryption/tag rules, exception process.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Exception JSON has schema version, policy ID, resource scope, approver, expiry and rationale; expired, duplicate or broad exceptions are rejected.
- Exact dependency and runtime API rules: Policy evaluation is offline against files; no Terraform or cloud operation is performed by Codex.
- Exact security, privacy, concurrency and operational controls: Default deny covers public storage/search, missing encryption, wildcard IAM, missing tags and unapproved region; exception use is explicit and auditable.
- Exact automated-test behavior: OPA unit tests cover allow and deny plans; exception contract tests reject invalid records; security tests cover critical controls; feature test proves the gate blocks a violating plan.
- Accepted baseline: The inspected repository contains every UPDATE path and does not contain every CREATE path. Historical results remain unchanged; future execution must revalidate content and patch anchors.
EXACT APPROVED PATH MANIFEST
CREATE:
- .checkov.yml
- policies/opa/terraform.rego
- policies/opa/terraform_test.rego
- policies/opa/exceptions.json
- tests/contract/test_policy_exception_contract.py
- tests/security/test_policy_pack.py
- tests/feature/test_policy_gate.py
UPDATE:
- Makefile
- feature-matrix.yaml
- tools/platformctl/validate.py
- tests/feature/test_feature_matrix.py
- tests/unit/test_platformctl.py
DELETE:
- None
VERIFIED UNCHANGED CONSUMERS:
- infra/environments/sandbox/main.tf
- .github/workflows/security-scan.yml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W5-003.
</t>
        </is>
      </c>
      <c r="M31" s="22" t="inlineStr">
        <is>
          <t xml:space="preserve">COLUMN M — EXACT DOCUMENT WRITING APPROVAL — W5-003
This is a separate owner approval after the bounded edit and owner testing or content review. Classify every path under one—and only one—of the CREATE and UPDATE headings after read-only preflight inspection.
EXACT DOCUMENTATION BOUNDARY
CREATE:
- docs/test-evidence/W5-003.md
- docs/test-evidence/W5-06-policy.txt
- docs/test-evidence/W5-policy.txt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W5-003.
</t>
        </is>
      </c>
      <c r="N31" s="55" t="inlineStr">
        <is>
          <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t>
        </is>
      </c>
    </row>
    <row r="32" spans="1:14" ht="409.6">
      <c r="A32" s="23" t="inlineStr">
        <is>
          <t xml:space="preserve">W5-004</t>
        </is>
      </c>
      <c r="B32" s="23" t="inlineStr">
        <is>
          <t xml:space="preserve">Week 5</t>
        </is>
      </c>
      <c r="C32" s="23" t="inlineStr">
        <is>
          <t xml:space="preserve">Reviewed deploy, rollback, teardown and orphan scan</t>
        </is>
      </c>
      <c r="D32" s="23" t="inlineStr">
        <is>
          <t xml:space="preserve">Prove the AWS lifecycle without leaving unmanaged resources.</t>
        </is>
      </c>
      <c r="E32" s="23" t="inlineStr">
        <is>
          <t xml:space="preserve">Approved saved plan; budget ceiling; typed owner confirmations</t>
        </is>
      </c>
      <c r="F32" s="23" t="inlineStr">
        <is>
          <t xml:space="preserve">Approved code/configuration/test-code changes; owner test/deployment/remediation guide; business/technical/layman/interview summary</t>
        </is>
      </c>
      <c r="G32" s="23" t="inlineStr">
        <is>
          <t xml:space="preserve">FOUR APPROVAL GATES PLUS OWNER TESTING AND WEEKLY LEARNING — TRACKER v1.3.4
MAIN PROMPT — W5-004
TASK IDENTITY
- Week: Week 5
- Feature/outcome: Reviewed deploy, rollback, teardown and orphan scan
- Business purpose: Prove the AWS lifecycle without leaving unmanaged resources.
- Covered tracker steps: W5-09, W5-10, W5-11, W5-12, W6-12
- Required inputs: Approved saved plan; budget ceiling; typed owner confirmations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W5-09 — Generate saved Terraform plan, JSON policy result and human-readable summary.
  Business reason: Applying the reviewed bytes prevents unseen infrastructure change.
  Acceptance: Plan, policy and cost review are approved before any apply.
  Dependency: W5-02:W5-08
  Owner verification reference: make plan-sandbox
  Expected result: Summary lists creates/updates/deletes, costs and residual risks.
  Canonical evidence: docs/deployment-records/W5-plan-review.md
  Rollback/teardown: Discard saved plan on code/input drift and regenerate.
  Current tracker status (read-only historical/current fact): Not Started
  Separate Task Context: 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
- W5-10 — After explicit approval, deploy/validate/rollback/destroy in controlled sequence.
  Business reason: Capability must be proven, but Codex must never self-approve mutations.
  Acceptance: Reviewed plan applies; validation passes; rollback path is recorded.
  Dependency: W5-09
  Owner verification reference: make deploy-sandbox  # owner-approved only
  Expected result: Deployment record contains plan hash, approver, resources and health.
  Canonical evidence: docs/deployment-records/W5-sandbox.md
  Rollback/teardown: Use last-known-good Terraform version; destroy is not ordinary rollback.
  Current tracker status (read-only historical/current fact): Not Started
  Separate Task Context: 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
- W5-11 — Create and review platform destroy plan; preserve bootstrap until platform is gone.
  Business reason: Deletion order prevents dependency residue and loss of auditability.
  Acceptance: Destroy plan targets only approved sandbox resources.
  Dependency: W5-10
  Owner verification reference: make plan-destroy-sandbox
  Expected result: Plan and deletion order approved; KMS window noted.
  Canonical evidence: docs/deployment-records/W5-destroy-plan.md
  Rollback/teardown: Cancel before apply if any unexpected target appears.
  Current tracker status (read-only historical/current fact): Not Started
  Separate Task Context: 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
- W5-12 — Run verify-clean using required tags and native service APIs after approved teardown.
  Business reason: A successful Terraform destroy is not proof of zero residual resources.
  Acceptance: No active unmanaged resource remains; exception is documented PendingDeletion KMS key.
  Dependency: W5-11
  Owner verification reference: make destroy-sandbox &amp;&amp; make verify-clean  # owner-approved only
  Expected result: Resource-cleanliness report is complete and signed.
  Canonical evidence: docs/resource-cleanliness/W5-report.json
  Rollback/teardown: Remove residuals in dependency order; do not delete bootstrap until clean.
  Current tracker status (read-only historical/current fact): Not Started
  Separate Task Context: 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
- W6-12 — Run approved destroy sequence, remove bootstrap last and verify cleanliness.
  Business reason: Learning-project cost and residue must stop after use.
  Acceptance: No active project resource remains; KMS exception is PendingDeletion only.
  Dependency: W6-11
  Owner verification reference: make plan-destroy-sandbox; owner approve; make destroy-sandbox; make verify-clean
  Expected result: Signed cleanup report and deletion record exist.
  Canonical evidence: docs/resource-cleanliness/W6-final.json
  Rollback/teardown: Remove residuals in dependency order; never broadly target unverified resources.
  Current tracker status (read-only historical/current fact): Not Started
  Separate Task Context: 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
Downstream tracker steps identified from recorded dependencies: W5-10, W5-11, W5-12, W5-13, W6-13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Complete platformctl for reviewed saved-plan deployment, post-deploy validation, release rollback, last-known-good Terraform rollback, destroy-safe, purge-sandbox and verify-clean. Resolve targets only by approved environment and required tags, add service-specific checks for S3 versions/multipart uploads, ECR images, OpenSearch, EKS/load balancers, IAM, Secrets Manager, logs and KMS. The remote-state bootstrap is removed last. Mutations require owner approval and explicit typed confirmation; unit/integration tests use moto/LocalStack where valid and never auto-apply or destroy.
TASK-SPECIFIC AMENDMENT — THREE SEPARATE OWNER-GATED AWS LIFECYCLE CYCLES
Never combine these cycles. Each requires a fresh read-only pre-edit plan, exact saved-plan/input/code hashes, typed owner command approval, independent validation and final owner approval. Terraform plan may read AWS; apply/destroy mutate AWS and are never implied by Column L.
CYCLE A — WEEK 5 / W5-09 TO W5-12
1. If the remote backend is absent, create a bootstrap saved plan, review policy/cost/targets, obtain explicit apply approval, apply those exact bytes and validate the backend before the platform plan.
2. Generate the platform saved plan, redacted JSON/policy/cost summaries and plan hash. Invalidate/regenerate on any code/input/lock/provider/state drift.
3. After separate apply approval, deploy exact reviewed bytes, validate, run release and infrastructure rollback controls separately, create/review the destroy plan, obtain separate destroy approval, destroy platform then bootstrap last, and run tag plus native service cleanup. Complete W5 with no active project resource except documented KMS PendingDeletion.
CYCLE B — AFTER W5-13 / BEFORE W6-01
Recreate the approved Week 6 sandbox from new bootstrap and platform saved plans with separate review/apply approvals. Validate ECR/EKS/network/identity/observability prerequisites. This is a new controlled deployment, never reuse stale Week 5 plan bytes.
CYCLE C — AFTER W6-11 / W6-12 FINAL TEARDOWN
Generate/review the final destroy plan, remove traffic/triggers and platform resources in dependency order, remove bootstrap/state last, schedule KMS deletion and prove zero active project residuals. Shared VPC/EKS or owner resources are never targets.
Across all cycles: resolve exact account/region/environment/tags; enforce budget; use short-lived identity; never log secrets/plan-sensitive values; distinguish release rollback, infrastructure rollback and teardown; verify S3 versions/delete markers/multipart uploads, ECR, OpenSearch, EKS/LBs/ENIs, IAM, Secrets Manager, logs/alarms and KMS natively. Canonical Week 5 records: W5-plan-review.md, W5-sandbox.md, W5-destroy-plan.md and W5-report.json; final Week 6 cleanliness: W6-final.json. Any unexpected target/residual, missing approval or hash drift stops execution.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Terraform: Keep roots and modules explicit, providers constrained, state isolated and saved-plan/apply/destroy commands owner-only.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W5-004.
</t>
        </is>
      </c>
      <c r="H32" s="23" t="inlineStr">
        <is>
          <t xml:space="preserve">Gate 1 Main Prompt → Gate 2 exact Code Edit → owner TEST-001 → Gate 3 Column M manifest → Gate 4 Column N complete closure → owner tracker update</t>
        </is>
      </c>
      <c r="I32" s="23" t="inlineStr">
        <is>
          <t xml:space="preserve">READY FOR PRE-EDIT REVIEW — W5-004</t>
        </is>
      </c>
      <c r="J32" s="23" t="inlineStr">
        <is>
          <t xml:space="preserve">Owner approval required after complete read-only impact review</t>
        </is>
      </c>
      <c r="K32" s="23" t="inlineStr">
        <is>
          <t xml:space="preserve">W5-09, W5-10, W5-11, W5-12, W6-12</t>
        </is>
      </c>
      <c r="L32" s="23" t="inlineStr">
        <is>
          <t xml:space="preserve">COLUMN L — COMPLETE BOUNDED CODE EDIT APPROVAL — W5-004
APPROVED TASK CONTRACT
- Prompt and tracker steps: W5-004 / W5-09, W5-10, W5-11, W5-12, W6-12
- Business purpose: Prove the AWS lifecycle without leaving unmanaged resources.
- Architecture and design: platformctl coordinates saved-plan deployment, rollback, ordered teardown and two-source orphan discovery while Terraform remains the resource authority.
- Exact interfaces, functions and connections: validate_saved_plan, deploy_sandbox, rollback_sandbox, destroy_sandbox and verify_aws_clean accept exact environment and approval data and return typed lifecycle reports.
- Exact inputs, outputs, errors and invariants: Inputs are limited to Approved saved plan; budget ceiling; typed owner confirmations.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Saved-plan contract fixes plan hash, commit, workspace, account, region, cost review and approval; inventory records identify native and tag-derived resources.
- Exact dependency and runtime API rules: AWS and Terraform commands are owner executed; code defaults to dry-run and injected fake inventories; timeouts and retries are bounded.
- Exact security, privacy, concurrency and operational controls: Typed confirmation, account/region/project checks, budget ceiling, dependency-ordered destroy, KMS pending-deletion handling and residual-resource reporting apply.
- Exact automated-test behavior: Saved-plan contract rejects drift; lifecycle and rollback feature tests use fakes; security test rejects unapproved destroy; teardown test reconciles native and tag inventories and distinguishes retained resources.
- Accepted baseline: The inspected repository contains every UPDATE path and does not contain every CREATE path. Historical results remain unchanged; future execution must revalidate content and patch anchors.
EXACT APPROVED PATH MANIFEST
CREATE:
- tests/contract/test_saved_plan_contract.py
- tests/feature/test_aws_lifecycle.py
- tests/feature/test_aws_rollback.py
- tests/security/test_destroy_approval.py
- tests/teardown/test_aws_resource_cleanliness.py
UPDATE:
- tools/platformctl/deploy.py
- tools/platformctl/rollback.py
- tools/platformctl/destroy.py
- tools/platformctl/verify_clean.py
- tools/platformctl/aws_inventory.py
- tools/platformctl/cli.py
- tools/platformctl/contracts.py
- tests/fakes/aws_inventory.py
- Makefile
- feature-matrix.yaml
- tools/platformctl/validate.py
- tests/feature/test_feature_matrix.py
- tests/unit/test_platformctl.py
DELETE:
- None
VERIFIED UNCHANGED CONSUMERS:
- infra/bootstrap/main.tf
- infra/environments/sandbox/main.tf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W5-004.
</t>
        </is>
      </c>
      <c r="M32" s="23" t="inlineStr">
        <is>
          <t xml:space="preserve">COLUMN M — EXACT DOCUMENT WRITING APPROVAL — W5-004
This is a separate owner approval after the bounded edit and owner testing or content review. Classify every path under one—and only one—of the CREATE and UPDATE headings after read-only preflight inspection.
EXACT DOCUMENTATION BOUNDARY
CREATE:
- docs/test-evidence/W5-004.md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W5-004.
</t>
        </is>
      </c>
      <c r="N32" s="22" t="inlineStr">
        <is>
          <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t>
        </is>
      </c>
    </row>
    <row r="33" spans="1:14" ht="409.6">
      <c r="A33" s="22" t="inlineStr">
        <is>
          <t xml:space="preserve">W6-001</t>
        </is>
      </c>
      <c r="B33" s="22" t="inlineStr">
        <is>
          <t xml:space="preserve">Week 6</t>
        </is>
      </c>
      <c r="C33" s="22" t="inlineStr">
        <is>
          <t xml:space="preserve">Immutable EKS application deployment</t>
        </is>
      </c>
      <c r="D33" s="22" t="inlineStr">
        <is>
          <t xml:space="preserve">Deploy the verified service with workload identity and safe rollout controls.</t>
        </is>
      </c>
      <c r="E33" s="22" t="inlineStr">
        <is>
          <t xml:space="preserve">EKS cluster/namespace, ECR digest, domain/cert, pod identity choice</t>
        </is>
      </c>
      <c r="F33" s="22" t="inlineStr">
        <is>
          <t xml:space="preserve">Approved code/configuration/test-code changes; owner test/deployment/remediation guide; business/technical/layman/interview summary</t>
        </is>
      </c>
      <c r="G33" s="22" t="inlineStr">
        <is>
          <t xml:space="preserve">FOUR APPROVAL GATES PLUS OWNER TESTING AND WEEKLY LEARNING — TRACKER v1.3.4
MAIN PROMPT — W6-001
TASK IDENTITY
- Week: Week 6
- Feature/outcome: Immutable EKS application deployment
- Business purpose: Deploy the verified service with workload identity and safe rollout controls.
- Covered tracker steps: W6-02, W6-03, W6-04, W6-05
- Required inputs: EKS cluster/namespace, ECR digest, domain/cert, pod identity choice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W6-02 — Create EKS deployment/Service with non-root/read-only settings and probes.
  Business reason: Production-shaped runtime boundaries reduce container and availability risk.
  Acceptance: Server dry-run and policy validation pass.
  Dependency: W6-01
  Owner verification reference: kubectl apply --dry-run=server -f deploy/k8s
  Expected result: Manifests use immutable digest and no secret literal.
  Canonical evidence: docs/test-evidence/W6-02-k8s.txt
  Rollback/teardown: kubectl rollout undo or redeploy previous digest.
  Current tracker status (read-only historical/current fact): Not Started
  Separate Task Context: 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
- W6-03 — Configure EKS Pod Identity/IRSA, RBAC and least-privilege service account.
  Business reason: Pods must never contain static AWS credentials.
  Acceptance: Pod accesses only required AWS APIs and env has no static key.
  Dependency: W5-04,W6-02
  Owner verification reference: kubectl exec deploy/enterprise-ai-api -- env | grep AWS_ACCESS_KEY_ID; test $? -ne 0
  Expected result: No static credential; role session is short-lived and scoped.
  Canonical evidence: docs/test-evidence/W6-03-identity.txt
  Rollback/teardown: Remove service-account binding and restore prior role policy.
  Current tracker status (read-only historical/current fact): Not Started
  Separate Task Context: 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
- W6-04 — Apply NetworkPolicy and approved ingress/egress boundaries.
  Business reason: Retrieval/model paths should be explicit and least privilege.
  Acceptance: Denied destination test fails; approved dependencies remain reachable.
  Dependency: W6-03
  Owner verification reference: kubectl apply --dry-run=server -f deploy/k8s/networkpolicy.yaml
  Expected result: Network test evidence documents permitted flows.
  Canonical evidence: docs/test-evidence/W6-04-network.txt
  Rollback/teardown: Restore last-known-good policy; scale down if isolation is uncertain.
  Current tracker status (read-only historical/current fact): Not Started
  Separate Task Context: 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
- W6-05 — Configure requests/limits, HPA, PDB and rolling update settings.
  Business reason: Availability and autoscaling must be defined before load/chaos tests.
  Acceptance: Schema/policy checks pass and settings have rationale.
  Dependency: W6-02
  Owner verification reference: kubectl apply --dry-run=server -f deploy/k8s
  Expected result: PDB/HPA do not conflict at minimum replicas.
  Canonical evidence: docs/test-evidence/W6-05-resilience.txt
  Rollback/teardown: Rollback manifests and return to last safe replica/settings.
  Current tracker status (read-only historical/current fact): Not Started
  Separate Task Context: 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
Downstream tracker steps identified from recorded dependencies: W6-03, W6-04, W6-05, W6-06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deployment manifests or a Helm chart for the FastAPI service using immutable ECR image digest, non-root/read-only container settings, resource requests/limits, readiness/liveness/startup probes, Service, NetworkPolicy, PodDisruptionBudget and HPA. Use EKS Pod Identity or IRSA with least privilege and no static keys. Add rolling deployment settings, revision history and a documented rollback to the last-known-good digest. Keep organization values as TODOs. Add manifest/schema and policy tests.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OWNER-GATED IMMUTABLE EKS ROLLOUT
Require W5-13, successful W5-004 Cycle B, W5-002 Phase B, EKS-001/NET-001/SLO-001 and an immutable ECR digest with matching scan/SBOM. Confirm whether EKS/VPC are project-owned or shared; shared resources are never teardown targets.
1. Static manifest/Helm/schema/Gatekeeper checks are offline. Server dry-run, cluster inspection and rollout are networked; apply/rollout/rollback are Kubernetes mutations requiring separate exact namespace/context/digest command approval beyond Column L.
2. Use non-root, read-only root filesystem, seccomp RuntimeDefault, dropped capabilities, no privilege escalation, explicit service account, least-privilege Pod Identity/IRSA, namespace RBAC and no static AWS key. Do not dump the full pod environment; test only targeted key-name absence and expected caller identity without exposing credentials.
3. NetworkPolicy is default-deny with explicit DNS, Bedrock/OpenSearch/OTel and approved ingress/egress paths; validate dependencies before enforcement. Probes have distinct startup/liveness/readiness semantics and bounded timeouts. Configure justified requests/limits, HPA min/max/metrics, PDB and rolling maxSurge/maxUnavailable with termination grace and revision history.
4. Test immutable digest, schema/policy, RBAC/service-account binding, forbidden secret literals, denied/allowed network paths, probe failures, scheduling/resources, HPA/PDB interaction, rollout timeout and rollback to prior digest. Canonical evidence: W6-02-k8s.txt, W6-03-identity.txt, W6-04-network.txt and W6-05-resilience.txt; reconcile aggregate W6-k8s/W6-identity records. No mutation without exact approval and cleanup/rollback plan.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Kubernetes: Require immutable digests, namespace scope, workload identity, probes, resource bounds, rollout safety and owner-only cluster commands.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W6-001.
</t>
        </is>
      </c>
      <c r="H33" s="22" t="inlineStr">
        <is>
          <t xml:space="preserve">Gate 1 Main Prompt → Gate 2 exact Code Edit → owner TEST-001 → Gate 3 Column M manifest → Gate 4 Column N complete closure → owner tracker update</t>
        </is>
      </c>
      <c r="I33" s="22" t="inlineStr">
        <is>
          <t xml:space="preserve">READY FOR PRE-EDIT REVIEW — W6-001</t>
        </is>
      </c>
      <c r="J33" s="22" t="inlineStr">
        <is>
          <t xml:space="preserve">Owner approval required after complete read-only impact review</t>
        </is>
      </c>
      <c r="K33" s="22" t="inlineStr">
        <is>
          <t xml:space="preserve">W6-02, W6-03, W6-04, W6-05</t>
        </is>
      </c>
      <c r="L33" s="22" t="inlineStr">
        <is>
          <t xml:space="preserve">COLUMN L — COMPLETE BOUNDED CODE EDIT APPROVAL — W6-001
APPROVED TASK CONTRACT
- Prompt and tracker steps: W6-001 / W6-02, W6-03, W6-04, W6-05
- Business purpose: Deploy the verified service with workload identity and safe rollout controls.
- Architecture and design: Kustomize-ready Kubernetes manifests deploy the immutable API image with service account identity, least-privilege network policy and bounded resilience settings.
- Exact interfaces, functions and connections: Deployment exposes declared HTTP health ports; Service selects only application pods; HPA and PDB share compatible replica assumptions; service account binds the approved workload role.
- Exact inputs, outputs, errors and invariants: Inputs are limited to EKS cluster/namespace, ECR digest, domain/cert, pod identity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Manifest metadata, labels, selectors, probes, resources, securityContext and image digest are exact; plaintext secrets and mutable tags are rejected.
- Exact dependency and runtime API rules: Kubernetes API and EKS operations are owner executed; manifests support client and server dry-run; container remains non-root, read-only and capability-dropped.
- Exact security, privacy, concurrency and operational controls: Pod identity has no static keys; ingress/egress is allowlisted; rolling update, HPA and PDB avoid unavailable capacity; namespace scope is explicit.
- Exact automated-test behavior: Manifest contract parses exact objects; resilience tests cover HPA/PDB compatibility; security tests cover pod settings and identity; network tests cover allowed/denied flows; teardown test inventories namespace residue.
- Accepted baseline: The inspected repository contains every UPDATE path and does not contain every CREATE path. Historical results remain unchanged; future execution must revalidate content and patch anchors.
EXACT APPROVED PATH MANIFEST
CREATE:
- deploy/k8s/kustomization.yaml
- deploy/k8s/namespace.yaml
- deploy/k8s/serviceaccount.yaml
- deploy/k8s/deployment.yaml
- deploy/k8s/service.yaml
- deploy/k8s/hpa.yaml
- deploy/k8s/pdb.yaml
- deploy/k8s/networkpolicy.yaml
- tests/contract/test_kubernetes_manifest_contract.py
- tests/feature/test_kubernetes_resilience.py
- tests/security/test_kubernetes_security.py
- tests/security/test_kubernetes_network_policy.py
- tests/teardown/test_kubernetes_cleanliness.py
UPDATE:
- feature-matrix.yaml
- tools/platformctl/validate.py
- tests/feature/test_feature_matrix.py
- tests/unit/test_platformctl.py
DELETE:
- None
VERIFIED UNCHANGED CONSUMERS:
- .github/workflows/deploy-sandbox.yml
- infra/modules/iam/main.tf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W6-001.
</t>
        </is>
      </c>
      <c r="M33" s="22" t="inlineStr">
        <is>
          <t xml:space="preserve">COLUMN M — EXACT DOCUMENT WRITING APPROVAL — W6-001
This is a separate owner approval after the bounded edit and owner testing or content review. Classify every path under one—and only one—of the CREATE and UPDATE headings after read-only preflight inspection.
EXACT DOCUMENTATION BOUNDARY
CREATE:
- docs/test-evidence/W6-001.md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W6-001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W6-001.
</t>
        </is>
      </c>
      <c r="N33" s="55" t="inlineStr">
        <is>
          <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t>
        </is>
      </c>
    </row>
    <row r="34" spans="1:14" ht="409.6">
      <c r="A34" s="23" t="inlineStr">
        <is>
          <t xml:space="preserve">W6-002</t>
        </is>
      </c>
      <c r="B34" s="23" t="inlineStr">
        <is>
          <t xml:space="preserve">Week 6</t>
        </is>
      </c>
      <c r="C34" s="23" t="inlineStr">
        <is>
          <t xml:space="preserve">SRE observability, alerts, runbook and chaos plan</t>
        </is>
      </c>
      <c r="D34" s="23" t="inlineStr">
        <is>
          <t xml:space="preserve">Make the platform supportable and measurable.</t>
        </is>
      </c>
      <c r="E34" s="23" t="inlineStr">
        <is>
          <t xml:space="preserve">SLO approval; alert destination; pre-production chaos approval</t>
        </is>
      </c>
      <c r="F34" s="23" t="inlineStr">
        <is>
          <t xml:space="preserve">Approved code/configuration/test-code changes; owner test/deployment/remediation guide; business/technical/layman/interview summary</t>
        </is>
      </c>
      <c r="G34" s="23" t="inlineStr">
        <is>
          <t xml:space="preserve">FOUR APPROVAL GATES PLUS OWNER TESTING AND WEEKLY LEARNING — TRACKER v1.3.4
MAIN PROMPT — W6-002
TASK IDENTITY
- Week: Week 6
- Feature/outcome: SRE observability, alerts, runbook and chaos plan
- Business purpose: Make the platform supportable and measurable.
- Covered tracker steps: W6-06, W6-07, W6-08, W6-09
- Required inputs: SLO approval; alert destination; pre-production chaos approval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W6-06 — Deploy OTel path to CloudWatch/X-Ray plus Prometheus/Grafana/Jaeger option.
  Business reason: Vendor-neutral telemetry supports both AWS and open-source operations.
  Acceptance: One request trace links API, retrieval and LLM spans.
  Dependency: W4-08,W6-02
  Owner verification reference: pytest tests/feature/test_trace_correlation.py -q
  Expected result: Trace/log/metric IDs correlate without sensitive content.
  Canonical evidence: docs/test-evidence/W6-06-observability.json
  Rollback/teardown: Disable broken exporter; preserve local telemetry path.
  Current tracker status (read-only historical/current fact): Not Started
  Separate Task Context: 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
- W6-07 — Approve SLIs/SLOs, error-budget policy and burn alerts.
  Business reason: Reliability targets must reflect user pain and govern releases.
  Acceptance: Availability 99.9%, p95&lt;4s, p99&lt;10s, retrieval p99&lt;750ms, grounded&gt;=95%, isolation/safety=100% are reviewed.
  Dependency: W6-06
  Owner verification reference: promtool check rules observability/alerts.yml
  Expected result: Rules validate and map to an owner/runbook.
  Canonical evidence: docs/architecture/slo.md
  Rollback/teardown: Disable noisy alert only through reviewed threshold/runbook update.
  Current tracker status (read-only historical/current fact): Not Started
  Separate Task Context: 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
- W6-08 — Create and rehearse inference-latency-spike runbook.
  Business reason: An alert is useful only if it drives a safe action.
  Acceptance: Runbook covers impact, stabilize, stage isolation, rollback and evidence.
  Dependency: W6-06,W6-07
  Owner verification reference: Run tabletop and record timeline
  Expected result: Owner can distinguish retrieval, model, queue and dependency latency.
  Canonical evidence: runbooks/inference-latency.md
  Rollback/teardown: Rollback release/config; use safe refusal/fallback if approved.
  Current tracker status (read-only historical/current fact): Not Started
  Separate Task Context: 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
- W6-09 — Stop Qdrant/inject LLM timeout locally; prepare FIS plan without executing it.
  Business reason: Controlled failure proves readiness, bounded retries and alert/runbook quality.
  Acceptance: Readiness fails, no retry storm, alert/runbook activates; FIS has tag targets/stop alarms.
  Dependency: W6-07,W6-08
  Owner verification reference: pytest tests/feature/test_failure_modes.py -q
  Expected result: RTO and alert evidence recorded; no production target.
  Canonical evidence: docs/test-evidence/W6-09-chaos.txt
  Rollback/teardown: Stop experiment, restore dependency, rollback configuration.
  Current tracker status (read-only historical/current fact): Not Started
  Separate Task Context: 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
Downstream tracker steps identified from recorded dependencies: W6-07, W6-08, W6-09, W6-10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OpenTelemetry Collector configuration, Prometheus scrape config, Grafana dashboard JSON, CloudWatch/X-Ray export path and alert rules for availability, p95/p99 end-to-end latency, retrieval latency, errors, throttles, token/cost rate and agent-policy failures. Define SLIs/SLOs and burn-rate alerts. Write the inference-latency-spike runbook with impact, triage, stabilization, investigation, rollback and evidence steps. Add local Qdrant-stop/LLM-timeout tests and a pre-production AWS FIS experiment plan with tag targets and alarm stop conditions; do not execute FIS.
TASK-SPECIFIC AMENDMENT — OBSERVABILITY, SLO AND SAFE FAILURE EXERCISES
Require independently approved W6-001 plus OBS-001, SLO-001 and FIS-001 decisions. Record alert destination/on-call, telemetry retention/redaction, SLI windows/exclusions, error-budget/burn policy and FIS owner/targets/stop alarms; never invent them.
1. Keep telemetry low-cardinality and content-free. Correlate API, auth, retrieval, embedding, LLM, guardrail, approval and tool stages. Exporter failure/backpressure must be bounded and must not break the core answer path. CloudWatch/X-Ray/collector deployment is networked/Kubernetes/cloud mutation and separately authorized; local configs/tests come first.
2. Define measurable availability, p95/p99, retrieval latency, grounded/citation/safe-abstention and isolation/safety SLIs with denominators, windows and exclusions. Validate burn-rate rules against synthetic firing/non-firing series and link every alert to owner/runbook.
3. Rehearse the inference-latency runbook with impact → stabilize → isolate stage → mitigate/rollback → recover → learn, evidence and escalation. Local Qdrant stop/LLM timeout is a bounded local mutation requiring exact target, duration, restoration and cleanup approval.
4. FIS is plan-only: tag-scoped targets, blast-radius caps, IAM, stop alarms, abort/recovery and cost estimate. Do not create or execute an FIS experiment.
5. Test redaction/cardinality/correlation, alert rules, exporter outage, readiness, retry-storm prevention, timeout/fallback/refusal and full restoration. Canonical evidence: W6-06-observability.json, docs/architecture/slo.md, runbooks/inference-latency.md and W6-09-chaos.txt; reconcile aggregate W6-alerts/W6-chaos evidence.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Kubernetes: Require immutable digests, namespace scope, workload identity, probes, resource bounds, rollout safety and owner-only cluster commands.
- Network: Enumerate every permitted and denied flow, bind only approved interfaces and prevent implicit public or host exposure.
- Data/privacy: Classify data, minimize content, prohibit secrets/PII in logs and evidence, and state residency, retention and deletion effects.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W6-002.
</t>
        </is>
      </c>
      <c r="H34" s="23" t="inlineStr">
        <is>
          <t xml:space="preserve">Gate 1 Main Prompt → Gate 2 exact Code Edit → owner TEST-001 → Gate 3 Column M manifest → Gate 4 Column N complete closure → owner tracker update</t>
        </is>
      </c>
      <c r="I34" s="23" t="inlineStr">
        <is>
          <t xml:space="preserve">READY FOR PRE-EDIT REVIEW — W6-002</t>
        </is>
      </c>
      <c r="J34" s="23" t="inlineStr">
        <is>
          <t xml:space="preserve">Owner approval required after complete read-only impact review</t>
        </is>
      </c>
      <c r="K34" s="23" t="inlineStr">
        <is>
          <t xml:space="preserve">W6-06, W6-07, W6-08, W6-09</t>
        </is>
      </c>
      <c r="L34" s="23" t="inlineStr">
        <is>
          <t xml:space="preserve">COLUMN L — COMPLETE BOUNDED CODE EDIT APPROVAL — W6-002
APPROVED TASK CONTRACT
- Prompt and tracker steps: W6-002 / W6-06, W6-07, W6-08, W6-09
- Business purpose: Make the platform supportable and measurable.
- Architecture and design: OTel Collector, Prometheus, Grafana and alert rules provide vendor-neutral telemetry; a tag-bounded FIS module records but does not execute approved chaos design.
- Exact interfaces, functions and connections: Collector pipelines receive OTLP and export approved traces/metrics; alert rules map SLIs to burn conditions; FIS variables accept exact sandbox targets and stop alarms.
- Exact inputs, outputs, errors and invariants: Inputs are limited to SLO approval; alert destination; pre-production chaos approval.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Telemetry configurations prohibit content; dashboard and alert files use stable metric names; FIS target selectors require project/environment tags and stop conditions.
- Exact dependency and runtime API rules: Exporter endpoints and credentials are owner-provided runtime inputs; owner performs deployment and chaos actions; code/config validation remains offline.
- Exact security, privacy, concurrency and operational controls: No sensitive content, bounded exporter queues/timeouts, least-privilege FIS role, pre-production-only targets, stop alarms and explicit cleanup apply.
- Exact automated-test behavior: Config contract tests parse pipelines; trace and alert feature tests cover correlation and thresholds; failure-mode tests prove bounded retries; security tests cover redaction and FIS targeting; teardown tests inventory telemetry resources.
- Accepted baseline: The inspected repository contains every UPDATE path and does not contain every CREATE path. Historical results remain unchanged; future execution must revalidate content and patch anchors.
EXACT APPROVED PATH MANIFEST
CREATE:
- observability/otel-collector.yaml
- observability/prometheus.yml
- observability/alerts.yml
- observability/grafana/enterprise-ai-dashboard.json
- infra/modules/fis/main.tf
- infra/modules/fis/variables.tf
- infra/modules/fis/outputs.tf
- tests/contract/test_observability_config.py
- tests/feature/test_trace_correlation.py
- tests/feature/test_slo_alerts.py
- tests/feature/test_failure_modes.py
- tests/security/test_observability_redaction.py
- tests/security/test_fis_targeting.py
- tests/teardown/test_observability_cleanliness.py
UPDATE:
- feature-matrix.yaml
- tools/platformctl/validate.py
- tests/feature/test_feature_matrix.py
- tests/unit/test_platformctl.py
DELETE:
- None
VERIFIED UNCHANGED CONSUMERS:
- src/enterprise_ai_platform/observability/tracing.py
- deploy/k8s/deployment.yaml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W6-002.
</t>
        </is>
      </c>
      <c r="M34" s="23" t="inlineStr">
        <is>
          <t xml:space="preserve">COLUMN M — EXACT DOCUMENT WRITING APPROVAL — W6-002
This is a separate owner approval after the bounded edit and owner testing or content review. Classify every path under one—and only one—of the CREATE and UPDATE headings after read-only preflight inspection.
EXACT DOCUMENTATION BOUNDARY
CREATE:
- docs/test-evidence/W6-002.md
- docs/architecture/slo.md
- docs/test-evidence/W6-06-observability.json
- docs/test-evidence/W6-09-chaos.txt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W6-002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W6-002.
</t>
        </is>
      </c>
      <c r="N34" s="22" t="inlineStr">
        <is>
          <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t>
        </is>
      </c>
    </row>
    <row r="35" spans="1:14" ht="409.6">
      <c r="A35" s="22" t="inlineStr">
        <is>
          <t xml:space="preserve">W6-003</t>
        </is>
      </c>
      <c r="B35" s="22" t="inlineStr">
        <is>
          <t xml:space="preserve">Week 6</t>
        </is>
      </c>
      <c r="C35" s="22" t="inlineStr">
        <is>
          <t xml:space="preserve">Final end-to-end proof and handover</t>
        </is>
      </c>
      <c r="D35" s="22" t="inlineStr">
        <is>
          <t xml:space="preserve">Demonstrate architecture, quality, safety, rollback and clean teardown together.</t>
        </is>
      </c>
      <c r="E35" s="22" t="inlineStr">
        <is>
          <t xml:space="preserve">Approved sandbox window and evidence locations</t>
        </is>
      </c>
      <c r="F35" s="22" t="inlineStr">
        <is>
          <t xml:space="preserve">Approved code/configuration/test-code changes; owner test/deployment/remediation guide; business/technical/layman/interview summary</t>
        </is>
      </c>
      <c r="G35" s="22" t="inlineStr">
        <is>
          <t xml:space="preserve">FOUR APPROVAL GATES PLUS OWNER TESTING AND WEEKLY LEARNING — TRACKER v1.3.4
MAIN PROMPT — W6-003
TASK IDENTITY
- Week: Week 6
- Feature/outcome: Final end-to-end proof and handover
- Business purpose: Demonstrate architecture, quality, safety, rollback and clean teardown together.
- Covered tracker steps: W6-10, W6-11, W6-13
- Required inputs: Approved sandbox window and evidence locations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W6-10 — Run local and sandbox cited query plus golden evaluation/security suite.
  Business reason: Final proof must combine functionality, quality, security and observability.
  Acceptance: No material regression; sandbox query has citations and trace ID.
  Dependency: W6-01:W6-09
  Owner verification reference: make final-proof
  Expected result: Evidence index links tests, eval, scans, traces and decisions.
  Canonical evidence: docs/test-evidence/W6-final-index.md
  Rollback/teardown: Block promotion and restore last-known-good release/config.
  Current tracker status (read-only historical/current fact): Not Started
  Separate Task Context: 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
- W6-11 — Force a safe sandbox regression and restore previous image/configuration.
  Business reason: Rollback must be timed and revalidated before handover.
  Acceptance: Last-known-good release passes health, smoke and evaluation gates.
  Dependency: W6-10
  Owner verification reference: make rollback-release &amp;&amp; make validate-sandbox
  Expected result: Rollback record includes trigger, approver, duration and post-checks.
  Canonical evidence: docs/rollback-records/W6-release.md
  Rollback/teardown: Keep failed digest blocked; open defect with evidence.
  Current tracker status (read-only historical/current fact): Not Started
  Separate Task Context: 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
- W6-13 — Update ADRs with actual outcomes and deliver a 10-minute architecture explanation.
  Business reason: The engineer must understand and defend every decision, not just run generated code.
  Acceptance: Explain objective, flows, security, evaluation, agent controls, SLOs and reversibility.
  Dependency: W6-01:W6-12
  Owner verification reference: Owner presentation rehearsal and final workbook review
  Expected result: All TODOs/deferrals are visible; source-of-truth and workbook agree.
  Canonical evidence: docs/architecture/final-review.md
  Rollback/teardown: Any future change starts a new controlled feature cycle.
  Current tracker status (read-only historical/current fact): Not Started
  Separate Task Context: 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
Downstream tracker steps identified from recorded dependencies: W6-11, W6-12, W6-14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final verification command that installs dependencies, starts Qdrant, runs unit/contract/integration/security tests, ingests sample data, executes a cited query, runs the golden evaluation, validates Terraform and policies, verifies container/SBOM scans, checks EKS health when available, performs an approved release rollback drill, generates a destroy plan and runs verify-clean after owner-approved teardown. Produce a redacted evidence index and update ADRs with actual results and variances. Never auto-approve or conceal failures.
TASK-SPECIFIC AMENDMENT — TWO-PHASE FINAL PROOF, ROLLBACK, TEARDOWN DEPENDENCY AND HANDOVER
This prompt is executed in two separately approved phases. make final-proof must be a fail-closed orchestrator that classifies offline, networked, paid and mutating subcommands; it must never hide or auto-authorize Docker, AWS, Kubernetes, apply/destroy or paid judge calls.
PHASE A — W6-10 AND W6-11
- Require W6-01 through W6-09, an approved sandbox window, exact implementation/release hashes and complete evidence inventory.
- Run local and sandbox cited-query, golden evaluation, authorization/security, telemetry and platform checks only under their approvals. Distinguish NOT RUN, expected policy denial and PASS. Prove a safe release regression, restore the prior immutable digest/configuration and revalidate health, query, evaluation, isolation and traces. Do not destroy infrastructure as rollback.
- Canonical evidence: docs/test-evidence/W6-final-index.md and docs/rollback-records/W6-release.md.
- Stop after W6-11 and require W5-004 Cycle C to complete W6-12 final teardown independently.
PHASE B — W6-13 HANDOVER
- Start only after W5-004 Cycle C independently proves docs/resource-cleanliness/W6-final.json with zero active project resources except the documented KMS PendingDeletion state and follow-up date.
- Reconcile every Week 1–6 MUST acceptance, decision, evidence path, failure/skip, cost/privacy result, release rollback, infrastructure rollback and teardown. Update ADR outcomes/variances without rewriting history. Produce the final architecture explanation/demo checklist and identify residual risks/TODOs.
Each phase has its own pre-edit approval, TEST-001 and owner approval. Do not pre-claim final acceptance, edit Excel, stage, commit or push. Any regression, missing evidence, unapproved mutation, active residual or inconsistent report blocks handover.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CI/CD: Pin actions and artifacts, use least permissions and protected approvals, and keep deployment/rollback jobs owner-authorized.
- AWS/cloud: Use explicit account, region, role and service boundaries, short-lived identity, least privilege, cost limits and owner-only API execution.
- Kubernetes: Require immutable digests, namespace scope, workload identity, probes, resource bounds, rollout safety and owner-only cluster commands.
- Security/authorization: Enforce least privilege and tenant/classification controls before provider calls; fail closed and redact errors.
- Documentation/governance: Trace every decision to its authority; separate historical facts, owner-approved values, proposals and unresolved owner inputs without rewriting history.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W6-003.
</t>
        </is>
      </c>
      <c r="H35" s="22" t="inlineStr">
        <is>
          <t xml:space="preserve">Gate 1 Main Prompt → Gate 2 exact Code Edit → owner TEST-001 → Gate 3 Column M manifest → Gate 4 Column N complete closure → owner tracker update</t>
        </is>
      </c>
      <c r="I35" s="22" t="inlineStr">
        <is>
          <t xml:space="preserve">READY FOR PRE-EDIT REVIEW — W6-003</t>
        </is>
      </c>
      <c r="J35" s="22" t="inlineStr">
        <is>
          <t xml:space="preserve">Owner approval required after complete read-only impact review</t>
        </is>
      </c>
      <c r="K35" s="22" t="inlineStr">
        <is>
          <t xml:space="preserve">W6-10, W6-11, W6-13</t>
        </is>
      </c>
      <c r="L35" s="22" t="inlineStr">
        <is>
          <t xml:space="preserve">COLUMN L — COMPLETE BOUNDED CODE EDIT APPROVAL — W6-003
APPROVED TASK CONTRACT
- Prompt and tracker steps: W6-003 / W6-10, W6-11, W6-13
- Business purpose: Demonstrate architecture, quality, safety, rollback and clean teardown together.
- Architecture and design: A final automated proof composes existing API, retrieval, RAG, evaluation, security, observability, rollback and cleanliness gates without introducing a new runtime component.
- Exact interfaces, functions and connections: final-proof Make target and platformctl validation return a consolidated gate result; rollback and verify-clean retain their established typed contracts.
- Exact inputs, outputs, errors and invariants: Inputs are limited to Approved sandbox window and evidence locations.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Final gate result records component status as PASS, FAIL, NOT RUN or INDETERMINATE with exact evidence references and no fabricated result.
- Exact dependency and runtime API rules: Local and sandbox commands, deployment, rollback and teardown are owner executed; tests use existing opt-in markers and bounded external access.
- Exact security, privacy, concurrency and operational controls: Any failed safety, isolation, citation, release or residue gate blocks handover; retained resources and deferred work remain explicit.
- Exact automated-test behavior: End-to-end test covers cited query and trace; release gate covers evaluation/security; rollback test restores known-good release; final security and teardown tests prove isolation and zero unintended residue.
- Accepted baseline: The inspected repository contains every UPDATE path and does not contain every CREATE path. Historical results remain unchanged; future execution must revalidate content and patch anchors.
EXACT APPROVED PATH MANIFEST
CREATE:
- tests/e2e/test_final_proof.py
- tests/feature/test_final_release_gate.py
- tests/feature/test_final_rollback.py
- tests/security/test_final_security_gate.py
- tests/teardown/test_final_resource_cleanliness.py
UPDATE:
- tools/platformctl/validate.py
- tools/platformctl/rollback.py
- tools/platformctl/verify_clean.py
- Makefile
- feature-matrix.yaml
- tests/feature/test_feature_matrix.py
- tests/unit/test_platformctl.py
DELETE:
- None
VERIFIED UNCHANGED CONSUMERS:
- configs/eval/golden.jsonl
- deploy/k8s/deployment.yaml
- observability/alerts.yml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W6-003.
</t>
        </is>
      </c>
      <c r="M35" s="22" t="inlineStr">
        <is>
          <t xml:space="preserve">COLUMN M — EXACT DOCUMENT WRITING APPROVAL — W6-003
This is a separate owner approval after the bounded edit and owner testing or content review. Classify every path under one—and only one—of the CREATE and UPDATE headings after read-only preflight inspection.
EXACT DOCUMENTATION BOUNDARY
CREATE:
- docs/test-evidence/W6-003.md
- docs/test-evidence/W6-final-index.md
- docs/rollback-records/W6-release.md
- docs/resource-cleanliness/W6-final.json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W6-003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W6-003.
</t>
        </is>
      </c>
      <c r="N35" s="55" t="inlineStr">
        <is>
          <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t>
        </is>
      </c>
    </row>
    <row r="36" spans="1:14" ht="409.6">
      <c r="A36" s="23" t="inlineStr">
        <is>
          <t xml:space="preserve">W1-REVIEW-001</t>
        </is>
      </c>
      <c r="B36" s="23" t="inlineStr">
        <is>
          <t xml:space="preserve">Week 1</t>
        </is>
      </c>
      <c r="C36" s="23" t="inlineStr">
        <is>
          <t xml:space="preserve">Week 1 review and sign-off</t>
        </is>
      </c>
      <c r="D36" s="23" t="inlineStr">
        <is>
          <t xml:space="preserve">Close Week 1 only after tracker-to-repository-to-evidence reconciliation and independent owner validation.</t>
        </is>
      </c>
      <c r="E36" s="23" t="inlineStr">
        <is>
          <t xml:space="preserve">Week 1 sheet, owner-executed results, evidence register, ADRs, TODOs, rollback, teardown and cleanliness outcomes</t>
        </is>
      </c>
      <c r="F36" s="23" t="inlineStr">
        <is>
          <t xml:space="preserve">Approved business-first weekly evidence, sign-off and evidence-index update only; no code or command execution</t>
        </is>
      </c>
      <c r="G36" s="23" t="inlineStr">
        <is>
          <t xml:space="preserve">FOUR APPROVAL GATES PLUS OWNER TESTING AND WEEKLY LEARNING — TRACKER v1.3.4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Documentation/governance: Trace every decision to its authority; separate historical facts, owner-approved values, proposals and unresolved owner inputs without rewriting history.
- Data/privacy: Classify data, minimize content, prohibit secrets/PII in logs and evidence, and state residency, retention and deletion effects.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W1-REVIEW-001.
</t>
        </is>
      </c>
      <c r="H36" s="23" t="inlineStr">
        <is>
          <t xml:space="preserve">Gate 1 Main Prompt → Gate 2 exact Content Edit → owner content review → Gate 3 Column M manifest → Gate 4 Column N complete closure → owner tracker update</t>
        </is>
      </c>
      <c r="I36" s="23" t="inlineStr">
        <is>
          <t xml:space="preserve">READY FOR PRE-EDIT REVIEW — W1-REVIEW-001</t>
        </is>
      </c>
      <c r="J36" s="23" t="inlineStr">
        <is>
          <t xml:space="preserve">Owner approval required after complete read-only impact review</t>
        </is>
      </c>
      <c r="K36" s="23" t="inlineStr">
        <is>
          <t xml:space="preserve">W1-12</t>
        </is>
      </c>
      <c r="L36" s="23" t="inlineStr">
        <is>
          <t xml:space="preserve">COLUMN L — COMPLETE BOUNDED CONTENT EDIT APPROVAL — W1-REVIEW-001
APPROVED TASK CONTRACT
- Prompt and tracker steps: W1-REVIEW-001 / W1-12
- Business purpose: Close Week 1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1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or Terraform-example format; the Terraform example contains placeholders only,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docs/test-evidence/W1-REVIEW-001.md
UPDATE:
- docs/deployment-records/W1-signoff.md
- docs/test-evidence/README.md
DELETE:
- None
VERIFIED UNCHANGED CONSUMERS:
- feature-matrix.yaml
- The Master Plan, task statuses and historical evidence records in the Excel tracker.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End exactly: CONTENT READY FOR OWNER REVIEW — W1-REVIEW-001.
</t>
        </is>
      </c>
      <c r="M36" s="23" t="inlineStr">
        <is>
          <t xml:space="preserve">COLUMN M — EXACT DOCUMENT WRITING APPROVAL — W1-REVIEW-001
This is a separate owner approval after the bounded edit and owner testing or content review. Classify every path under one—and only one—of the CREATE and UPDATE headings after read-only preflight inspection.
EXACT DOCUMENTATION BOUNDARY
CREATE:
- docs/test-evidence/W1-REVIEW-001.md
UPDATE:
- docs/deployment-records/W1-signoff.md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W1-REVIEW-001.
</t>
        </is>
      </c>
      <c r="N36" s="22" t="inlineStr">
        <is>
          <t xml:space="preserve">COLUMN N — FINAL APPROVAL AND COMPLETE DOCUMENTATION CLOSURE — W1-REVIEW-001
This gate authorizes documentation closure only after owner review; it is not a code, test, deployment or tracker-edit approval.
OWNER MUST SUPPLY — DO NOT INVENT
- Prompt ID: W1-REVIEW-001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W1-REVIEW-001.
</t>
        </is>
      </c>
    </row>
    <row r="37" spans="1:14" ht="409.6">
      <c r="A37" s="23" t="inlineStr">
        <is>
          <t xml:space="preserve">W2-REVIEW-001</t>
        </is>
      </c>
      <c r="B37" s="23" t="inlineStr">
        <is>
          <t xml:space="preserve">Week 2</t>
        </is>
      </c>
      <c r="C37" s="23" t="inlineStr">
        <is>
          <t xml:space="preserve">Week 2 review and sign-off</t>
        </is>
      </c>
      <c r="D37" s="23" t="inlineStr">
        <is>
          <t xml:space="preserve">Close Week 2 only after tracker-to-repository-to-evidence reconciliation and independent owner validation.</t>
        </is>
      </c>
      <c r="E37" s="23" t="inlineStr">
        <is>
          <t xml:space="preserve">Week 2 sheet, owner-executed results, evidence register, ADRs, TODOs, rollback, teardown and cleanliness outcomes</t>
        </is>
      </c>
      <c r="F37" s="23" t="inlineStr">
        <is>
          <t xml:space="preserve">Approved business-first weekly evidence, sign-off and evidence-index update only; no code or command execution</t>
        </is>
      </c>
      <c r="G37" s="23" t="inlineStr">
        <is>
          <t xml:space="preserve">FOUR APPROVAL GATES PLUS OWNER TESTING AND WEEKLY LEARNING — TRACKER v1.3.4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Documentation/governance: Trace every decision to its authority; separate historical facts, owner-approved values, proposals and unresolved owner inputs without rewriting history.
- Data/privacy: Classify data, minimize content, prohibit secrets/PII in logs and evidence, and state residency, retention and deletion effects.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W2-REVIEW-001.
</t>
        </is>
      </c>
      <c r="H37" s="23" t="inlineStr">
        <is>
          <t xml:space="preserve">Gate 1 Main Prompt → Gate 2 exact Content Edit → owner content review → Gate 3 Column M manifest → Gate 4 Column N complete closure → owner tracker update</t>
        </is>
      </c>
      <c r="I37" s="23" t="inlineStr">
        <is>
          <t xml:space="preserve">READY FOR PRE-EDIT REVIEW — W2-REVIEW-001</t>
        </is>
      </c>
      <c r="J37" s="23" t="inlineStr">
        <is>
          <t xml:space="preserve">Owner approval required after complete read-only impact review</t>
        </is>
      </c>
      <c r="K37" s="23" t="inlineStr">
        <is>
          <t xml:space="preserve">W2-12</t>
        </is>
      </c>
      <c r="L37" s="23" t="inlineStr">
        <is>
          <t xml:space="preserve">COLUMN L — COMPLETE BOUNDED CONTENT EDIT APPROVAL — W2-REVIEW-001
APPROVED TASK CONTRACT
- Prompt and tracker steps: W2-REVIEW-001 / W2-12
- Business purpose: Close Week 2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2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or Terraform-example format; the Terraform example contains placeholders only,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docs/test-evidence/W2-REVIEW-001.md
- docs/deployment-records/W2-signoff.md
UPDATE:
- docs/test-evidence/README.md
DELETE:
- None
VERIFIED UNCHANGED CONSUMERS:
- feature-matrix.yaml
- The Master Plan, task statuses and historical evidence records in the Excel tracker.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End exactly: CONTENT READY FOR OWNER REVIEW — W2-REVIEW-001.
</t>
        </is>
      </c>
      <c r="M37" s="23" t="inlineStr">
        <is>
          <t xml:space="preserve">COLUMN M — EXACT DOCUMENT WRITING APPROVAL — W2-REVIEW-001
This is a separate owner approval after the bounded edit and owner testing or content review. Classify every path under one—and only one—of the CREATE and UPDATE headings after read-only preflight inspection.
EXACT DOCUMENTATION BOUNDARY
CREATE:
- docs/test-evidence/W2-REVIEW-001.md
- docs/deployment-records/W2-signoff.md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W2-REVIEW-001.
</t>
        </is>
      </c>
      <c r="N37" s="22" t="inlineStr">
        <is>
          <t xml:space="preserve">COLUMN N — FINAL APPROVAL AND COMPLETE DOCUMENTATION CLOSURE — W2-REVIEW-001
This gate authorizes documentation closure only after owner review; it is not a code, test, deployment or tracker-edit approval.
OWNER MUST SUPPLY — DO NOT INVENT
- Prompt ID: W2-REVIEW-001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W2-REVIEW-001.
</t>
        </is>
      </c>
    </row>
    <row r="38" spans="1:14" ht="409.6">
      <c r="A38" s="23" t="inlineStr">
        <is>
          <t xml:space="preserve">W3-REVIEW-001</t>
        </is>
      </c>
      <c r="B38" s="23" t="inlineStr">
        <is>
          <t xml:space="preserve">Week 3</t>
        </is>
      </c>
      <c r="C38" s="23" t="inlineStr">
        <is>
          <t xml:space="preserve">Week 3 review and sign-off</t>
        </is>
      </c>
      <c r="D38" s="23" t="inlineStr">
        <is>
          <t xml:space="preserve">Close Week 3 only after tracker-to-repository-to-evidence reconciliation and independent owner validation.</t>
        </is>
      </c>
      <c r="E38" s="23" t="inlineStr">
        <is>
          <t xml:space="preserve">Week 3 sheet, owner-executed results, evidence register, ADRs, TODOs, rollback, teardown and cleanliness outcomes</t>
        </is>
      </c>
      <c r="F38" s="23" t="inlineStr">
        <is>
          <t xml:space="preserve">Approved business-first weekly evidence, sign-off and evidence-index update only; no code or command execution</t>
        </is>
      </c>
      <c r="G38" s="23" t="inlineStr">
        <is>
          <t xml:space="preserve">FOUR APPROVAL GATES PLUS OWNER TESTING AND WEEKLY LEARNING — TRACKER v1.3.4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Documentation/governance: Trace every decision to its authority; separate historical facts, owner-approved values, proposals and unresolved owner inputs without rewriting history.
- Data/privacy: Classify data, minimize content, prohibit secrets/PII in logs and evidence, and state residency, retention and deletion effects.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W3-REVIEW-001.
</t>
        </is>
      </c>
      <c r="H38" s="23" t="inlineStr">
        <is>
          <t xml:space="preserve">Gate 1 Main Prompt → Gate 2 exact Content Edit → owner content review → Gate 3 Column M manifest → Gate 4 Column N complete closure → owner tracker update</t>
        </is>
      </c>
      <c r="I38" s="23" t="inlineStr">
        <is>
          <t xml:space="preserve">READY FOR PRE-EDIT REVIEW — W3-REVIEW-001</t>
        </is>
      </c>
      <c r="J38" s="23" t="inlineStr">
        <is>
          <t xml:space="preserve">Owner approval required after complete read-only impact review</t>
        </is>
      </c>
      <c r="K38" s="23" t="inlineStr">
        <is>
          <t xml:space="preserve">W3-12</t>
        </is>
      </c>
      <c r="L38" s="23" t="inlineStr">
        <is>
          <t xml:space="preserve">COLUMN L — COMPLETE BOUNDED CONTENT EDIT APPROVAL — W3-REVIEW-001
APPROVED TASK CONTRACT
- Prompt and tracker steps: W3-REVIEW-001 / W3-12
- Business purpose: Close Week 3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3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or Terraform-example format; the Terraform example contains placeholders only,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docs/test-evidence/W3-REVIEW-001.md
- docs/deployment-records/W3-signoff.md
UPDATE:
- docs/test-evidence/README.md
DELETE:
- None
VERIFIED UNCHANGED CONSUMERS:
- feature-matrix.yaml
- The Master Plan, task statuses and historical evidence records in the Excel tracker.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End exactly: CONTENT READY FOR OWNER REVIEW — W3-REVIEW-001.
</t>
        </is>
      </c>
      <c r="M38" s="23" t="inlineStr">
        <is>
          <t xml:space="preserve">COLUMN M — EXACT DOCUMENT WRITING APPROVAL — W3-REVIEW-001
This is a separate owner approval after the bounded edit and owner testing or content review. Classify every path under one—and only one—of the CREATE and UPDATE headings after read-only preflight inspection.
EXACT DOCUMENTATION BOUNDARY
CREATE:
- docs/test-evidence/W3-REVIEW-001.md
- docs/deployment-records/W3-signoff.md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W3-REVIEW-001.
</t>
        </is>
      </c>
      <c r="N38" s="22" t="inlineStr">
        <is>
          <t xml:space="preserve">COLUMN N — FINAL APPROVAL AND COMPLETE DOCUMENTATION CLOSURE — W3-REVIEW-001
This gate authorizes documentation closure only after owner review; it is not a code, test, deployment or tracker-edit approval.
OWNER MUST SUPPLY — DO NOT INVENT
- Prompt ID: W3-REVIEW-001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W3-REVIEW-001.
</t>
        </is>
      </c>
    </row>
    <row r="39" spans="1:14" ht="409.6">
      <c r="A39" s="23" t="inlineStr">
        <is>
          <t xml:space="preserve">W4-REVIEW-001</t>
        </is>
      </c>
      <c r="B39" s="23" t="inlineStr">
        <is>
          <t xml:space="preserve">Week 4</t>
        </is>
      </c>
      <c r="C39" s="23" t="inlineStr">
        <is>
          <t xml:space="preserve">Week 4 review and sign-off</t>
        </is>
      </c>
      <c r="D39" s="23" t="inlineStr">
        <is>
          <t xml:space="preserve">Close Week 4 only after tracker-to-repository-to-evidence reconciliation and independent owner validation.</t>
        </is>
      </c>
      <c r="E39" s="23" t="inlineStr">
        <is>
          <t xml:space="preserve">Week 4 sheet, owner-executed results, evidence register, ADRs, TODOs, rollback, teardown and cleanliness outcomes</t>
        </is>
      </c>
      <c r="F39" s="23" t="inlineStr">
        <is>
          <t xml:space="preserve">Approved business-first weekly evidence, sign-off and evidence-index update only; no code or command execution</t>
        </is>
      </c>
      <c r="G39" s="23" t="inlineStr">
        <is>
          <t xml:space="preserve">FOUR APPROVAL GATES PLUS OWNER TESTING AND WEEKLY LEARNING — TRACKER v1.3.4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Documentation/governance: Trace every decision to its authority; separate historical facts, owner-approved values, proposals and unresolved owner inputs without rewriting history.
- Data/privacy: Classify data, minimize content, prohibit secrets/PII in logs and evidence, and state residency, retention and deletion effects.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W4-REVIEW-001.
</t>
        </is>
      </c>
      <c r="H39" s="23" t="inlineStr">
        <is>
          <t xml:space="preserve">Gate 1 Main Prompt → Gate 2 exact Content Edit → owner content review → Gate 3 Column M manifest → Gate 4 Column N complete closure → owner tracker update</t>
        </is>
      </c>
      <c r="I39" s="23" t="inlineStr">
        <is>
          <t xml:space="preserve">READY FOR PRE-EDIT REVIEW — W4-REVIEW-001</t>
        </is>
      </c>
      <c r="J39" s="23" t="inlineStr">
        <is>
          <t xml:space="preserve">Owner approval required after complete read-only impact review</t>
        </is>
      </c>
      <c r="K39" s="23" t="inlineStr">
        <is>
          <t xml:space="preserve">W4-12</t>
        </is>
      </c>
      <c r="L39" s="23" t="inlineStr">
        <is>
          <t xml:space="preserve">COLUMN L — COMPLETE BOUNDED CONTENT EDIT APPROVAL — W4-REVIEW-001
APPROVED TASK CONTRACT
- Prompt and tracker steps: W4-REVIEW-001 / W4-12
- Business purpose: Close Week 4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4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or Terraform-example format; the Terraform example contains placeholders only,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docs/test-evidence/W4-REVIEW-001.md
- docs/deployment-records/W4-signoff.md
UPDATE:
- docs/test-evidence/README.md
DELETE:
- None
VERIFIED UNCHANGED CONSUMERS:
- feature-matrix.yaml
- The Master Plan, task statuses and historical evidence records in the Excel tracker.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End exactly: CONTENT READY FOR OWNER REVIEW — W4-REVIEW-001.
</t>
        </is>
      </c>
      <c r="M39" s="23" t="inlineStr">
        <is>
          <t xml:space="preserve">COLUMN M — EXACT DOCUMENT WRITING APPROVAL — W4-REVIEW-001
This is a separate owner approval after the bounded edit and owner testing or content review. Classify every path under one—and only one—of the CREATE and UPDATE headings after read-only preflight inspection.
EXACT DOCUMENTATION BOUNDARY
CREATE:
- docs/test-evidence/W4-REVIEW-001.md
- docs/deployment-records/W4-signoff.md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W4-REVIEW-001.
</t>
        </is>
      </c>
      <c r="N39" s="22" t="inlineStr">
        <is>
          <t xml:space="preserve">COLUMN N — FINAL APPROVAL AND COMPLETE DOCUMENTATION CLOSURE — W4-REVIEW-001
This gate authorizes documentation closure only after owner review; it is not a code, test, deployment or tracker-edit approval.
OWNER MUST SUPPLY — DO NOT INVENT
- Prompt ID: W4-REVIEW-001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W4-REVIEW-001.
</t>
        </is>
      </c>
    </row>
    <row r="40" spans="1:14" ht="409.6">
      <c r="A40" s="23" t="inlineStr">
        <is>
          <t xml:space="preserve">W5-REVIEW-001</t>
        </is>
      </c>
      <c r="B40" s="23" t="inlineStr">
        <is>
          <t xml:space="preserve">Week 5</t>
        </is>
      </c>
      <c r="C40" s="23" t="inlineStr">
        <is>
          <t xml:space="preserve">Week 5 review and sign-off</t>
        </is>
      </c>
      <c r="D40" s="23" t="inlineStr">
        <is>
          <t xml:space="preserve">Close Week 5 only after tracker-to-repository-to-evidence reconciliation and independent owner validation.</t>
        </is>
      </c>
      <c r="E40" s="23" t="inlineStr">
        <is>
          <t xml:space="preserve">Week 5 sheet, owner-executed results, evidence register, ADRs, TODOs, rollback, teardown and cleanliness outcomes</t>
        </is>
      </c>
      <c r="F40" s="23" t="inlineStr">
        <is>
          <t xml:space="preserve">Approved business-first weekly evidence, sign-off and evidence-index update only; no code or command execution</t>
        </is>
      </c>
      <c r="G40" s="23" t="inlineStr">
        <is>
          <t xml:space="preserve">FOUR APPROVAL GATES PLUS OWNER TESTING AND WEEKLY LEARNING — TRACKER v1.3.4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Documentation/governance: Trace every decision to its authority; separate historical facts, owner-approved values, proposals and unresolved owner inputs without rewriting history.
- Data/privacy: Classify data, minimize content, prohibit secrets/PII in logs and evidence, and state residency, retention and deletion effects.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W5-REVIEW-001.
</t>
        </is>
      </c>
      <c r="H40" s="23" t="inlineStr">
        <is>
          <t xml:space="preserve">Gate 1 Main Prompt → Gate 2 exact Content Edit → owner content review → Gate 3 Column M manifest → Gate 4 Column N complete closure → owner tracker update</t>
        </is>
      </c>
      <c r="I40" s="23" t="inlineStr">
        <is>
          <t xml:space="preserve">READY FOR PRE-EDIT REVIEW — W5-REVIEW-001</t>
        </is>
      </c>
      <c r="J40" s="23" t="inlineStr">
        <is>
          <t xml:space="preserve">Owner approval required after complete read-only impact review</t>
        </is>
      </c>
      <c r="K40" s="23" t="inlineStr">
        <is>
          <t xml:space="preserve">W5-13</t>
        </is>
      </c>
      <c r="L40" s="23" t="inlineStr">
        <is>
          <t xml:space="preserve">COLUMN L — COMPLETE BOUNDED CONTENT EDIT APPROVAL — W5-REVIEW-001
APPROVED TASK CONTRACT
- Prompt and tracker steps: W5-REVIEW-001 / W5-13
- Business purpose: Close Week 5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5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or Terraform-example format; the Terraform example contains placeholders only,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docs/test-evidence/W5-REVIEW-001.md
- docs/deployment-records/W5-signoff.md
UPDATE:
- docs/test-evidence/README.md
DELETE:
- None
VERIFIED UNCHANGED CONSUMERS:
- feature-matrix.yaml
- The Master Plan, task statuses and historical evidence records in the Excel tracker.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End exactly: CONTENT READY FOR OWNER REVIEW — W5-REVIEW-001.
</t>
        </is>
      </c>
      <c r="M40" s="23" t="inlineStr">
        <is>
          <t xml:space="preserve">COLUMN M — EXACT DOCUMENT WRITING APPROVAL — W5-REVIEW-001
This is a separate owner approval after the bounded edit and owner testing or content review. Classify every path under one—and only one—of the CREATE and UPDATE headings after read-only preflight inspection.
EXACT DOCUMENTATION BOUNDARY
CREATE:
- docs/test-evidence/W5-REVIEW-001.md
- docs/deployment-records/W5-signoff.md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W5-REVIEW-001.
</t>
        </is>
      </c>
      <c r="N40" s="22" t="inlineStr">
        <is>
          <t xml:space="preserve">COLUMN N — FINAL APPROVAL AND COMPLETE DOCUMENTATION CLOSURE — W5-REVIEW-001
This gate authorizes documentation closure only after owner review; it is not a code, test, deployment or tracker-edit approval.
OWNER MUST SUPPLY — DO NOT INVENT
- Prompt ID: W5-REVIEW-001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W5-REVIEW-001.
</t>
        </is>
      </c>
    </row>
    <row r="41" spans="1:14" ht="409.6">
      <c r="A41" s="22" t="inlineStr">
        <is>
          <t xml:space="preserve">ST-001</t>
        </is>
      </c>
      <c r="B41" s="22" t="inlineStr">
        <is>
          <t xml:space="preserve">Post-MVP</t>
        </is>
      </c>
      <c r="C41" s="22" t="inlineStr">
        <is>
          <t xml:space="preserve">PyTorch Lightning and PEFT/LoRA training lab</t>
        </is>
      </c>
      <c r="D41" s="22" t="inlineStr">
        <is>
          <t xml:space="preserve">Learn model development without making it an MVP dependency.</t>
        </is>
      </c>
      <c r="E41" s="22" t="inlineStr">
        <is>
          <t xml:space="preserve">Approved model/dataset IDs, license and GPU budget</t>
        </is>
      </c>
      <c r="F41" s="22" t="inlineStr">
        <is>
          <t xml:space="preserve">Approved code/configuration/test-code changes; owner test/deployment/remediation guide; business/technical/layman/interview summary</t>
        </is>
      </c>
      <c r="G41" s="22" t="inlineStr">
        <is>
          <t xml:space="preserve">FOUR APPROVAL GATES PLUS OWNER TESTING AND WEEKLY LEARNING — TRACKER v1.3.4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ST-001.
</t>
        </is>
      </c>
      <c r="H41" s="22" t="inlineStr">
        <is>
          <t xml:space="preserve">Gate 1 Main Prompt → Gate 2 exact Code Edit → owner TEST-001 → Gate 3 Column M manifest → Gate 4 Column N complete closure → owner tracker update</t>
        </is>
      </c>
      <c r="I41" s="22" t="inlineStr">
        <is>
          <t xml:space="preserve">READY FOR PRE-EDIT REVIEW — ST-001</t>
        </is>
      </c>
      <c r="J41" s="22" t="inlineStr">
        <is>
          <t xml:space="preserve">Owner approval required after complete read-only impact review</t>
        </is>
      </c>
      <c r="K41" s="22" t="inlineStr">
        <is>
          <t xml:space="preserve">Post-MVP</t>
        </is>
      </c>
      <c r="L41" s="22" t="inlineStr">
        <is>
          <t xml:space="preserve">COLUMN L — COMPLETE BOUNDED CODE EDIT APPROVAL — ST-001
APPROVED TASK CONTRACT
- Prompt and tracker steps: ST-001 / Post-MVP
- Business purpose: Learn model development without making it an MVP dependency.
- Architecture and design: An optional isolated training package uses Transformers, PyTorch Lightning and PEFT LoRA without becoming a default application or CPU-image dependency.
- Exact interfaces, functions and connections: validate_dataset, build_training_module, train_adapter and register_training_artifact accept approved model/dataset identities and return adapter-only artifact metadata.
- Exact inputs, outputs, errors and invariants: Inputs are limited to Approved model/dataset IDs, license and GPU budget.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Dataset records, deterministic split manifest, training configuration and artifact manifest carry immutable IDs, license, seed, metrics and provenance; unsafe or unlicensed data is rejected.
- Exact dependency and runtime API rules: Training dependencies stay in requirements-training; fast_dev_run uses synthetic data; model/network/GPU and SageMaker actions are owner-approved opt-ins.
- Exact security, privacy, concurrency and operational controls: No enterprise data or credentials in logs; save adapter weights only; bound compute, checkpoints and cancellation; default application image remains unchanged.
- Exact automated-test behavior: Dataset unit tests cover schema/splits; artifact contract rejects full weights; fast-dev integration is opt-in and synthetic; security tests cover provenance; teardown tests inventory training outputs and caches.
- Accepted baseline: The inspected repository contains every UPDATE path and does not contain every CREATE path. Historical results remain unchanged; future execution must revalidate content and patch anchors.
EXACT APPROVED PATH MANIFEST
CREATE:
- src/enterprise_ai_platform/training/__init__.py
- src/enterprise_ai_platform/training/models.py
- src/enterprise_ai_platform/training/dataset.py
- src/enterprise_ai_platform/training/lora.py
- src/enterprise_ai_platform/training/lightning_module.py
- src/enterprise_ai_platform/training/sagemaker.py
- requirements-training.txt
- tests/unit/test_training_dataset.py
- tests/contract/test_training_artifact_contract.py
- tests/integration/test_training_fast_dev_run.py
- tests/security/test_training_provenance.py
- tests/teardown/test_training_artifact_cleanliness.py
UPDATE:
- feature-matrix.yaml
- tools/platformctl/validate.py
- tests/feature/test_feature_matrix.py
- tests/unit/test_platformctl.py
DELETE:
- None
VERIFIED UNCHANGED CONSUMERS:
- requirements.txt
- docker-compose.yml
- src/enterprise_ai_platform/app.py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ST-001.
</t>
        </is>
      </c>
      <c r="M41" s="22" t="inlineStr">
        <is>
          <t xml:space="preserve">COLUMN M — EXACT DOCUMENT WRITING APPROVAL — ST-001
This is a separate owner approval after the bounded edit and owner testing or content review. Classify every path under one—and only one—of the CREATE and UPDATE headings after read-only preflight inspection.
EXACT DOCUMENTATION BOUNDARY
CREATE:
- docs/test-evidence/ST-001.md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ST-001.
</t>
        </is>
      </c>
      <c r="N41" s="55" t="inlineStr">
        <is>
          <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t>
        </is>
      </c>
    </row>
    <row r="42" spans="1:14" ht="409.6">
      <c r="A42" s="23" t="inlineStr">
        <is>
          <t xml:space="preserve">ST-002</t>
        </is>
      </c>
      <c r="B42" s="23" t="inlineStr">
        <is>
          <t xml:space="preserve">Post-MVP</t>
        </is>
      </c>
      <c r="C42" s="23" t="inlineStr">
        <is>
          <t xml:space="preserve">Optional Ansible operations runner</t>
        </is>
      </c>
      <c r="D42" s="23" t="inlineStr">
        <is>
          <t xml:space="preserve">Limit Ansible to valid VM/bootstrap cases.</t>
        </is>
      </c>
      <c r="E42" s="23" t="inlineStr">
        <is>
          <t xml:space="preserve">SSM dynamic inventory; no SSH keys</t>
        </is>
      </c>
      <c r="F42" s="23" t="inlineStr">
        <is>
          <t xml:space="preserve">Approved code/configuration/test-code changes; owner test/deployment/remediation guide; business/technical/layman/interview summary</t>
        </is>
      </c>
      <c r="G42" s="23" t="inlineStr">
        <is>
          <t xml:space="preserve">FOUR APPROVAL GATES PLUS OWNER TESTING AND WEEKLY LEARNING — TRACKER v1.3.4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ST-002.
</t>
        </is>
      </c>
      <c r="H42" s="23" t="inlineStr">
        <is>
          <t xml:space="preserve">Gate 1 Main Prompt → Gate 2 exact Code Edit → owner TEST-001 → Gate 3 Column M manifest → Gate 4 Column N complete closure → owner tracker update</t>
        </is>
      </c>
      <c r="I42" s="23" t="inlineStr">
        <is>
          <t xml:space="preserve">READY FOR PRE-EDIT REVIEW — ST-002</t>
        </is>
      </c>
      <c r="J42" s="23" t="inlineStr">
        <is>
          <t xml:space="preserve">Owner approval required after complete read-only impact review</t>
        </is>
      </c>
      <c r="K42" s="23" t="inlineStr">
        <is>
          <t xml:space="preserve">Post-MVP</t>
        </is>
      </c>
      <c r="L42" s="23" t="inlineStr">
        <is>
          <t xml:space="preserve">COLUMN L — COMPLETE BOUNDED CODE EDIT APPROVAL — ST-002
APPROVED TASK CONTRACT
- Prompt and tracker steps: ST-002 / Post-MVP
- Business purpose: Limit Ansible to valid VM/bootstrap cases.
- Architecture and design: An optional Ansible role configures only an SSM-managed EC2 operations runner and explicitly excludes immutable EKS workloads.
- Exact interfaces, functions and connections: operations-runner playbook applies the role through dynamic inventory; handlers restart only changed services; check mode reports planned changes.
- Exact inputs, outputs, errors and invariants: Inputs are limited to SSM dynamic inventory; no SSH keys.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Role defaults define pinned package versions, non-root user, logging and patch settings; inventory uses SSM/EC2 metadata and contains no SSH key or secret value.
- Exact dependency and runtime API rules: Ansible collections are pinned; instance access uses IMDSv2 and runtime Secrets Manager lookup with no_log; execution is owner controlled.
- Exact security, privacy, concurrency and operational controls: No static SSH/AWS credentials, no secret templating or facts, least-privilege instance role, idempotent handlers and bounded host scope apply.
- Exact automated-test behavior: Role contract tests verify exact files; secret tests reject values and missing no_log; check-mode feature test proves idempotency; cleanup test verifies no local inventory cache or secret artifact.
- Accepted baseline: The inspected repository contains every UPDATE path and does not contain every CREATE path. Historical results remain unchanged; future execution must revalidate content and patch anchors.
EXACT APPROVED PATH MANIFEST
CREATE:
- ansible/ansible.cfg
- ansible/requirements.yml
- ansible/inventory/aws_ec2.yml
- ansible/playbooks/operations-runner.yml
- ansible/roles/operations_runner/defaults/main.yml
- ansible/roles/operations_runner/tasks/main.yml
- ansible/roles/operations_runner/handlers/main.yml
- ansible/roles/operations_runner/templates/docker-daemon.json.j2
- ansible/roles/operations_runner/molecule/default/converge.yml
- ansible/roles/operations_runner/molecule/default/verify.yml
- tests/contract/test_ansible_role_contract.py
- tests/security/test_ansible_secrets.py
- tests/feature/test_ansible_check_mode.py
- tests/teardown/test_ansible_runner_cleanliness.py
UPDATE:
- feature-matrix.yaml
- tools/platformctl/validate.py
- tests/feature/test_feature_matrix.py
- tests/unit/test_platformctl.py
DELETE:
- None
VERIFIED UNCHANGED CONSUMERS:
- deploy/k8s/deployment.yaml
- infra/modules/iam/main.tf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ST-002.
</t>
        </is>
      </c>
      <c r="M42" s="23" t="inlineStr">
        <is>
          <t xml:space="preserve">COLUMN M — EXACT DOCUMENT WRITING APPROVAL — ST-002
This is a separate owner approval after the bounded edit and owner testing or content review. Classify every path under one—and only one—of the CREATE and UPDATE headings after read-only preflight inspection.
EXACT DOCUMENTATION BOUNDARY
CREATE:
- docs/test-evidence/ST-002.md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ST-002.
</t>
        </is>
      </c>
      <c r="N42" s="22" t="inlineStr">
        <is>
          <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t>
        </is>
      </c>
    </row>
    <row r="43" spans="1:14" ht="409.6" customHeight="1">
      <c r="A43" s="27" t="inlineStr">
        <is>
          <t xml:space="preserve">W1-CONSOLIDATED-001</t>
        </is>
      </c>
      <c r="B43" s="27" t="inlineStr">
        <is>
          <t xml:space="preserve">Week 1</t>
        </is>
      </c>
      <c r="C43" s="27" t="inlineStr">
        <is>
          <t xml:space="preserve">Consolidated closure history and reusable regression gate</t>
        </is>
      </c>
      <c r="D43" s="27" t="inlineStr">
        <is>
          <t xml:space="preserve">Preserve every Week 1 correction, test transition and prevention control for future weeks.</t>
        </is>
      </c>
      <c r="E43" s="27" t="inlineStr">
        <is>
          <t xml:space="preserve">Week 1 commits, tracker rows W1-01:W1-12, evidence, ADRs, owner decisions and cleanliness records</t>
        </is>
      </c>
      <c r="F43" s="27" t="inlineStr">
        <is>
          <t xml:space="preserve">Business/technical/layman explanation, decision review and interview practice only</t>
        </is>
      </c>
      <c r="G43" s="28" t="inlineStr">
        <is>
          <t xml:space="preserve">FOUR APPROVAL GATES PLUS OWNER TESTING AND WEEKLY LEARNING — TRACKER v1.3.4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Preserve every Week 1 correction, test transition and prevention control for future weeks.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Documentation/governance: Trace every decision to its authority; separate historical facts, owner-approved values, proposals and unresolved owner inputs without rewriting history.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W1-CONSOLIDATED-001.
</t>
        </is>
      </c>
      <c r="H43" s="27" t="inlineStr">
        <is>
          <t xml:space="preserve">Gate 1 Main Prompt → Gate 2 exact Content Edit → owner content review → Gate 3 Column M manifest → Gate 4 Column N complete closure → owner tracker update</t>
        </is>
      </c>
      <c r="I43" s="27" t="inlineStr">
        <is>
          <t xml:space="preserve">READY FOR PRE-EDIT REVIEW — W1-CONSOLIDATED-001</t>
        </is>
      </c>
      <c r="J43" s="27" t="inlineStr">
        <is>
          <t xml:space="preserve">Owner approval required after complete read-only impact review</t>
        </is>
      </c>
      <c r="K43" s="27" t="inlineStr">
        <is>
          <t xml:space="preserve">W1-01:W1-12</t>
        </is>
      </c>
      <c r="L43" s="27" t="inlineStr">
        <is>
          <t xml:space="preserve">COLUMN L — COMPLETE BOUNDED CONTENT EDIT APPROVAL — W1-CONSOLIDATED-001
APPROVED TASK CONTRACT
- Prompt and tracker steps: W1-CONSOLIDATED-001 / W1-01:W1-12
- Business purpose: Preserve every Week 1 correction, test transition and prevention control for future weeks.
- Architecture position and content design: Preserve Week 1 closure history and reusable prevention controls as a learning record without changing code, tests, configuration or tracker status.
- Exact interfaces, functions and connections: No application function, class, API, service or infrastructure connection is changed. The exact document sections are Business use case, architecture flow, historical corrections, test transitions, prevention controls, decisions, failure/rollback/teardown story, layman explanation and interview practice.
- Exact inputs, outputs, errors and invariants: Inputs are limited to Week 1 commits, tracker rows W1-01:W1-12, evidence, ADRs, owner decisions and cleanliness records. Outputs are Business/technical/layman explanation, decision review and interview practice only. Missing authority, owner facts, path content or conflicting history stops the edit with BLOCKED — BASELINE CHANGED; no fact, PASS result, approval, reviewer or date may be inferred.
- Exact schema, serialization and fixture rules: Preserve the repository's existing Markdown or Terraform-example format; the Terraform example contains placeholders only,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docs/learning/W1-consolidated-review.md
UPDATE:
- None
DELETE:
- None
VERIFIED UNCHANGED CONSUMERS:
- feature-matrix.yaml
- The Master Plan, task statuses and historical evidence records in the Excel tracker.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End exactly: CONTENT READY FOR OWNER REVIEW — W1-CONSOLIDATED-001.
</t>
        </is>
      </c>
      <c r="M43" s="27" t="inlineStr">
        <is>
          <t xml:space="preserve">COLUMN M — EXACT DOCUMENT WRITING APPROVAL — W1-CONSOLIDATED-001
This is a separate owner approval after the bounded edit and owner testing or content review. Classify every path under one—and only one—of the CREATE and UPDATE headings after read-only preflight inspection.
EXACT DOCUMENTATION BOUNDARY
CREATE:
- docs/learning/W1-consolidated-review.md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W1-CONSOLIDATED-001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W1-CONSOLIDATED-001.
</t>
        </is>
      </c>
      <c r="N43" s="55" t="inlineStr">
        <is>
          <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t>
        </is>
      </c>
    </row>
    <row r="44" spans="1:14" ht="319.95" customHeight="1">
      <c r="A44" s="27" t="inlineStr">
        <is>
          <t xml:space="preserve">WEEKLY-LEARN-001</t>
        </is>
      </c>
      <c r="B44" s="27" t="inlineStr">
        <is>
          <t xml:space="preserve">Weeks 1-6</t>
        </is>
      </c>
      <c r="C44" s="27" t="inlineStr">
        <is>
          <t xml:space="preserve">Weekly owner architecture and interview teach-back</t>
        </is>
      </c>
      <c r="D44" s="27" t="inlineStr">
        <is>
          <t xml:space="preserve">Teach the business use case, end-to-end flow, decisions and interview story after each week.</t>
        </is>
      </c>
      <c r="E44" s="27" t="inlineStr">
        <is>
          <t xml:space="preserve">Completed weekly rows, Task Context, owner-executed results, decisions and approved documentation</t>
        </is>
      </c>
      <c r="F44" s="27" t="inlineStr">
        <is>
          <t xml:space="preserve">Business summary, technical deep-dive, layman analogy, failure/rollback story, interview Q&amp;A and owner teach-back</t>
        </is>
      </c>
      <c r="G44" s="27" t="inlineStr">
        <is>
          <t xml:space="preserve">FOUR APPROVAL GATES PLUS OWNER TESTING AND WEEKLY LEARNING — TRACKER v1.3.4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 or content mutation is authorized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teach-back; no command
  Expected result: Business summary, technical deep-dive, layman analogy, decision recap and interview Q&amp;A completed.
  Canonical evidence: docs/learning/W1-learning-review.md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teach-back; no command
  Expected result: Business summary, technical deep-dive, layman analogy, decision recap and interview Q&amp;A completed.
  Canonical evidence: docs/learning/W2-learning-review.md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teach-back; no command
  Expected result: Business summary, technical deep-dive, layman analogy, decision recap and interview Q&amp;A completed.
  Canonical evidence: docs/learning/W3-learning-review.md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teach-back; no command
  Expected result: Business summary, technical deep-dive, layman analogy, decision recap and interview Q&amp;A completed.
  Canonical evidence: docs/learning/W4-learning-review.md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teach-back; no command
  Expected result: Business summary, technical deep-dive, layman analogy, decision recap and interview Q&amp;A completed.
  Canonical evidence: docs/learning/W5-learning-review.md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teach-back; no command
  Expected result: Final business case, architecture deep-dive, layman walkthrough, decision recap and interview Q&amp;A completed.
  Canonical evidence: docs/learning/W6-learning-review.md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Teach the business use case, end-to-end flow, decisions and interview story after each week.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Documentation/governance: Trace every decision to its authority; separate historical facts, owner-approved values, proposals and unresolved owner inputs without rewriting history.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WEEKLY-LEARN-001.
</t>
        </is>
      </c>
      <c r="H44" s="27" t="inlineStr">
        <is>
          <t xml:space="preserve">Read-only teaching plan → owner teach-back → optional exact-path Column M only if separately approved</t>
        </is>
      </c>
      <c r="I44" s="27" t="inlineStr">
        <is>
          <t xml:space="preserve">Owner learning and teach-back review — WEEKLY-LEARN-001</t>
        </is>
      </c>
      <c r="J44" s="27" t="inlineStr">
        <is>
          <t xml:space="preserve">Owner teach-back required</t>
        </is>
      </c>
      <c r="K44" s="27" t="inlineStr">
        <is>
          <t xml:space="preserve">W1-13, W2-13, W3-13, W4-13, W5-14, W6-14</t>
        </is>
      </c>
      <c r="L44" s="27" t="inlineStr">
        <is>
          <t xml:space="preserve">COLUMN L — OWNER LEARNING POSITION — WEEKLY-LEARN-001
No code, configuration, infrastructure, schema, automated-test or document edit is authorized. Codex teaches from approved facts; the owner completes the teach-back and interview practice. Any later learning-note edit requires a separate exact-path Column M approval.
End exactly: LEARNING REVIEW READY — WEEKLY-LEARN-001.
</t>
        </is>
      </c>
      <c r="M44" s="27" t="inlineStr">
        <is>
          <t xml:space="preserve">COLUMN M — DOCUMENT WRITING APPROVAL — WEEKLY-LEARN-001
NOT APPLICABLE BY DEFAULT. This learning prompt authorizes teaching and teach-back only. No repository document is authorized or inferred. A later document request requires exact CREATE, UPDATE, VERIFIED UNCHANGED and EXCLUDED paths plus owner-supplied results.
End exactly: DOCUMENTATION NOT AUTHORIZED — WEEKLY-LEARN-001.
</t>
        </is>
      </c>
      <c r="N44" s="22" t="inlineStr">
        <is>
          <t xml:space="preserve">COLUMN N — FINAL APPROVAL AND COMPLETE DOCUMENTATION CLOSURE — WEEKLY-LEARN-001
If Column M was not used and no document manifest exists, this gate records owner teach-back only and authorizes no repository or tracker mutation. If any document was created or updated under a later Column M approval, the complete closure below is mandatory.
OWNER MUST SUPPLY — DO NOT INVENT
- Prompt ID: WEEKLY-LEARN-001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t>
        </is>
      </c>
    </row>
  </sheetData>
  <mergeCells count="2">
    <mergeCell ref="A1:J1"/>
    <mergeCell ref="A2:J2"/>
  </mergeCells>
  <conditionalFormatting sqref="J6:J44">
    <cfRule type="containsText" dxfId="19" priority="1" operator="containsText" text="Approved"/>
    <cfRule type="containsText" dxfId="18" priority="2" operator="containsText" text="Blocked"/>
    <cfRule type="containsText" dxfId="17" priority="3" operator="containsText" text="In Progress"/>
    <cfRule type="containsText" dxfId="16" priority="4" operator="containsText" text="Ready for Review"/>
  </conditionalFormatting>
  <dataValidations count="1">
    <dataValidation type="list" sqref="J6:J44" xr:uid="{00000000-0002-0000-0A00-000000000000}">
      <formula1>"Required before next prompt,Approved,Changes Requested,Blocked"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9"/>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56" t="s">
        <v>347</v>
      </c>
      <c r="B1" s="56"/>
      <c r="C1" s="56"/>
      <c r="D1" s="56"/>
      <c r="E1" s="56"/>
      <c r="F1" s="56"/>
      <c r="G1" s="56"/>
      <c r="H1" s="56"/>
      <c r="I1" s="56"/>
      <c r="J1" s="56"/>
      <c r="K1" s="56"/>
      <c r="L1" s="56"/>
    </row>
    <row r="2" spans="1:12" ht="31.95" customHeight="1">
      <c r="A2" s="57" t="s">
        <v>2260</v>
      </c>
      <c r="B2" s="57"/>
      <c r="C2" s="57"/>
      <c r="D2" s="57"/>
      <c r="E2" s="57"/>
      <c r="F2" s="57"/>
      <c r="G2" s="57"/>
      <c r="H2" s="57"/>
      <c r="I2" s="57"/>
      <c r="J2" s="57"/>
      <c r="K2" s="57"/>
      <c r="L2" s="57"/>
    </row>
    <row r="5" spans="1:12" ht="28.05" customHeight="1">
      <c r="A5" s="1" t="s">
        <v>348</v>
      </c>
      <c r="B5" s="2" t="s">
        <v>21</v>
      </c>
      <c r="C5" s="2" t="s">
        <v>349</v>
      </c>
      <c r="D5" s="2" t="s">
        <v>350</v>
      </c>
      <c r="E5" s="2" t="s">
        <v>351</v>
      </c>
      <c r="F5" s="2" t="s">
        <v>352</v>
      </c>
      <c r="G5" s="2" t="s">
        <v>353</v>
      </c>
      <c r="H5" s="2" t="s">
        <v>354</v>
      </c>
      <c r="I5" s="2" t="s">
        <v>355</v>
      </c>
      <c r="J5" s="2" t="s">
        <v>356</v>
      </c>
      <c r="K5" s="2" t="s">
        <v>357</v>
      </c>
      <c r="L5" s="3" t="s">
        <v>358</v>
      </c>
    </row>
    <row r="6" spans="1:12" ht="45.6">
      <c r="A6" s="10" t="s">
        <v>359</v>
      </c>
      <c r="B6" s="10" t="s">
        <v>9</v>
      </c>
      <c r="C6" s="10" t="s">
        <v>360</v>
      </c>
      <c r="D6" s="10" t="s">
        <v>361</v>
      </c>
      <c r="E6" s="10" t="s">
        <v>362</v>
      </c>
      <c r="F6" s="10" t="s">
        <v>363</v>
      </c>
      <c r="G6" s="10" t="s">
        <v>364</v>
      </c>
      <c r="H6" s="10" t="s">
        <v>365</v>
      </c>
      <c r="I6" s="17">
        <v>46252</v>
      </c>
      <c r="J6" s="10" t="s">
        <v>366</v>
      </c>
      <c r="K6" s="10" t="s">
        <v>367</v>
      </c>
      <c r="L6" s="10" t="s">
        <v>368</v>
      </c>
    </row>
    <row r="7" spans="1:12" ht="45.6">
      <c r="A7" s="11" t="s">
        <v>369</v>
      </c>
      <c r="B7" s="11" t="s">
        <v>9</v>
      </c>
      <c r="C7" s="11" t="s">
        <v>184</v>
      </c>
      <c r="D7" s="11" t="s">
        <v>370</v>
      </c>
      <c r="E7" s="11" t="s">
        <v>371</v>
      </c>
      <c r="F7" s="11" t="s">
        <v>372</v>
      </c>
      <c r="G7" s="11" t="s">
        <v>373</v>
      </c>
      <c r="H7" s="11" t="s">
        <v>365</v>
      </c>
      <c r="I7" s="18">
        <v>46252</v>
      </c>
      <c r="J7" s="11" t="s">
        <v>374</v>
      </c>
      <c r="K7" s="11" t="s">
        <v>367</v>
      </c>
      <c r="L7" s="11" t="s">
        <v>368</v>
      </c>
    </row>
    <row r="8" spans="1:12" ht="57">
      <c r="A8" s="11" t="s">
        <v>375</v>
      </c>
      <c r="B8" s="11" t="s">
        <v>9</v>
      </c>
      <c r="C8" s="11" t="s">
        <v>376</v>
      </c>
      <c r="D8" s="11" t="s">
        <v>377</v>
      </c>
      <c r="E8" s="11" t="s">
        <v>378</v>
      </c>
      <c r="F8" s="11" t="s">
        <v>379</v>
      </c>
      <c r="G8" s="11" t="s">
        <v>380</v>
      </c>
      <c r="H8" s="11" t="s">
        <v>365</v>
      </c>
      <c r="I8" s="18">
        <v>46252</v>
      </c>
      <c r="J8" s="11" t="s">
        <v>381</v>
      </c>
      <c r="K8" s="11" t="s">
        <v>382</v>
      </c>
      <c r="L8" s="11" t="s">
        <v>368</v>
      </c>
    </row>
    <row r="9" spans="1:12" ht="45.6">
      <c r="A9" s="11" t="s">
        <v>383</v>
      </c>
      <c r="B9" s="11" t="s">
        <v>9</v>
      </c>
      <c r="C9" s="11" t="s">
        <v>384</v>
      </c>
      <c r="D9" s="11" t="s">
        <v>385</v>
      </c>
      <c r="E9" s="11" t="s">
        <v>386</v>
      </c>
      <c r="F9" s="11" t="s">
        <v>387</v>
      </c>
      <c r="G9" s="11" t="s">
        <v>388</v>
      </c>
      <c r="H9" s="11" t="s">
        <v>365</v>
      </c>
      <c r="I9" s="18">
        <v>46252</v>
      </c>
      <c r="J9" s="11" t="s">
        <v>389</v>
      </c>
      <c r="K9" s="11" t="s">
        <v>390</v>
      </c>
      <c r="L9" s="11" t="s">
        <v>368</v>
      </c>
    </row>
    <row r="10" spans="1:12">
      <c r="A10" s="11" t="s">
        <v>391</v>
      </c>
      <c r="B10" s="11" t="s">
        <v>24</v>
      </c>
      <c r="C10" s="11" t="s">
        <v>360</v>
      </c>
      <c r="D10" s="11" t="s">
        <v>392</v>
      </c>
      <c r="E10" s="11" t="s">
        <v>393</v>
      </c>
      <c r="F10" s="11" t="s">
        <v>394</v>
      </c>
      <c r="G10" s="11" t="s">
        <v>395</v>
      </c>
      <c r="H10" s="11" t="s">
        <v>396</v>
      </c>
      <c r="I10" s="18"/>
      <c r="J10" s="11"/>
      <c r="K10" s="11"/>
      <c r="L10" s="11"/>
    </row>
    <row r="11" spans="1:12">
      <c r="A11" s="11" t="s">
        <v>397</v>
      </c>
      <c r="B11" s="11" t="s">
        <v>24</v>
      </c>
      <c r="C11" s="11" t="s">
        <v>398</v>
      </c>
      <c r="D11" s="11" t="s">
        <v>399</v>
      </c>
      <c r="E11" s="11" t="s">
        <v>400</v>
      </c>
      <c r="F11" s="11" t="s">
        <v>401</v>
      </c>
      <c r="G11" s="11" t="s">
        <v>402</v>
      </c>
      <c r="H11" s="11" t="s">
        <v>396</v>
      </c>
      <c r="I11" s="18"/>
      <c r="J11" s="11"/>
      <c r="K11" s="11"/>
      <c r="L11" s="11"/>
    </row>
    <row r="12" spans="1:12">
      <c r="A12" s="11" t="s">
        <v>403</v>
      </c>
      <c r="B12" s="11" t="s">
        <v>24</v>
      </c>
      <c r="C12" s="11" t="s">
        <v>360</v>
      </c>
      <c r="D12" s="11" t="s">
        <v>404</v>
      </c>
      <c r="E12" s="11" t="s">
        <v>405</v>
      </c>
      <c r="F12" s="11" t="s">
        <v>406</v>
      </c>
      <c r="G12" s="11" t="s">
        <v>407</v>
      </c>
      <c r="H12" s="11" t="s">
        <v>396</v>
      </c>
      <c r="I12" s="18"/>
      <c r="J12" s="11"/>
      <c r="K12" s="11"/>
      <c r="L12" s="11"/>
    </row>
    <row r="13" spans="1:12" ht="22.8">
      <c r="A13" s="11" t="s">
        <v>408</v>
      </c>
      <c r="B13" s="11" t="s">
        <v>24</v>
      </c>
      <c r="C13" s="11" t="s">
        <v>376</v>
      </c>
      <c r="D13" s="11" t="s">
        <v>409</v>
      </c>
      <c r="E13" s="11" t="s">
        <v>410</v>
      </c>
      <c r="F13" s="11" t="s">
        <v>411</v>
      </c>
      <c r="G13" s="11" t="s">
        <v>412</v>
      </c>
      <c r="H13" s="11" t="s">
        <v>396</v>
      </c>
      <c r="I13" s="18"/>
      <c r="J13" s="11"/>
      <c r="K13" s="11"/>
      <c r="L13" s="11"/>
    </row>
    <row r="14" spans="1:12">
      <c r="A14" s="11" t="s">
        <v>413</v>
      </c>
      <c r="B14" s="11" t="s">
        <v>24</v>
      </c>
      <c r="C14" s="11" t="s">
        <v>184</v>
      </c>
      <c r="D14" s="11" t="s">
        <v>414</v>
      </c>
      <c r="E14" s="11" t="s">
        <v>415</v>
      </c>
      <c r="F14" s="11" t="s">
        <v>416</v>
      </c>
      <c r="G14" s="11" t="s">
        <v>417</v>
      </c>
      <c r="H14" s="11" t="s">
        <v>396</v>
      </c>
      <c r="I14" s="18"/>
      <c r="J14" s="11"/>
      <c r="K14" s="11"/>
      <c r="L14" s="11"/>
    </row>
    <row r="15" spans="1:12">
      <c r="A15" s="11" t="s">
        <v>418</v>
      </c>
      <c r="B15" s="11" t="s">
        <v>24</v>
      </c>
      <c r="C15" s="11" t="s">
        <v>384</v>
      </c>
      <c r="D15" s="11" t="s">
        <v>419</v>
      </c>
      <c r="E15" s="11" t="s">
        <v>420</v>
      </c>
      <c r="F15" s="11" t="s">
        <v>421</v>
      </c>
      <c r="G15" s="11" t="s">
        <v>422</v>
      </c>
      <c r="H15" s="11" t="s">
        <v>396</v>
      </c>
      <c r="I15" s="18"/>
      <c r="J15" s="11"/>
      <c r="K15" s="11"/>
      <c r="L15" s="11"/>
    </row>
    <row r="16" spans="1:12">
      <c r="A16" s="11" t="s">
        <v>423</v>
      </c>
      <c r="B16" s="11" t="s">
        <v>25</v>
      </c>
      <c r="C16" s="11" t="s">
        <v>360</v>
      </c>
      <c r="D16" s="11" t="s">
        <v>424</v>
      </c>
      <c r="E16" s="11" t="s">
        <v>425</v>
      </c>
      <c r="F16" s="11" t="s">
        <v>426</v>
      </c>
      <c r="G16" s="11" t="s">
        <v>427</v>
      </c>
      <c r="H16" s="11" t="s">
        <v>396</v>
      </c>
      <c r="I16" s="18"/>
      <c r="J16" s="11"/>
      <c r="K16" s="11"/>
      <c r="L16" s="11"/>
    </row>
    <row r="17" spans="1:12">
      <c r="A17" s="11" t="s">
        <v>428</v>
      </c>
      <c r="B17" s="11" t="s">
        <v>25</v>
      </c>
      <c r="C17" s="11" t="s">
        <v>376</v>
      </c>
      <c r="D17" s="11" t="s">
        <v>429</v>
      </c>
      <c r="E17" s="11" t="s">
        <v>430</v>
      </c>
      <c r="F17" s="11" t="s">
        <v>431</v>
      </c>
      <c r="G17" s="11" t="s">
        <v>432</v>
      </c>
      <c r="H17" s="11" t="s">
        <v>396</v>
      </c>
      <c r="I17" s="18"/>
      <c r="J17" s="11"/>
      <c r="K17" s="11"/>
      <c r="L17" s="11"/>
    </row>
    <row r="18" spans="1:12">
      <c r="A18" s="11" t="s">
        <v>433</v>
      </c>
      <c r="B18" s="11" t="s">
        <v>25</v>
      </c>
      <c r="C18" s="11" t="s">
        <v>434</v>
      </c>
      <c r="D18" s="11" t="s">
        <v>435</v>
      </c>
      <c r="E18" s="11" t="s">
        <v>436</v>
      </c>
      <c r="F18" s="11" t="s">
        <v>437</v>
      </c>
      <c r="G18" s="11" t="s">
        <v>438</v>
      </c>
      <c r="H18" s="11" t="s">
        <v>396</v>
      </c>
      <c r="I18" s="18"/>
      <c r="J18" s="11"/>
      <c r="K18" s="11"/>
      <c r="L18" s="11"/>
    </row>
    <row r="19" spans="1:12">
      <c r="A19" s="11" t="s">
        <v>439</v>
      </c>
      <c r="B19" s="11" t="s">
        <v>25</v>
      </c>
      <c r="C19" s="11" t="s">
        <v>440</v>
      </c>
      <c r="D19" s="11" t="s">
        <v>441</v>
      </c>
      <c r="E19" s="11" t="s">
        <v>442</v>
      </c>
      <c r="F19" s="11" t="s">
        <v>443</v>
      </c>
      <c r="G19" s="11" t="s">
        <v>444</v>
      </c>
      <c r="H19" s="11" t="s">
        <v>396</v>
      </c>
      <c r="I19" s="18"/>
      <c r="J19" s="11"/>
      <c r="K19" s="11"/>
      <c r="L19" s="11"/>
    </row>
    <row r="20" spans="1:12">
      <c r="A20" s="11" t="s">
        <v>445</v>
      </c>
      <c r="B20" s="11" t="s">
        <v>26</v>
      </c>
      <c r="C20" s="11" t="s">
        <v>360</v>
      </c>
      <c r="D20" s="11" t="s">
        <v>446</v>
      </c>
      <c r="E20" s="11" t="s">
        <v>447</v>
      </c>
      <c r="F20" s="11" t="s">
        <v>448</v>
      </c>
      <c r="G20" s="11" t="s">
        <v>449</v>
      </c>
      <c r="H20" s="11" t="s">
        <v>396</v>
      </c>
      <c r="I20" s="18"/>
      <c r="J20" s="11"/>
      <c r="K20" s="11"/>
      <c r="L20" s="11"/>
    </row>
    <row r="21" spans="1:12">
      <c r="A21" s="11" t="s">
        <v>450</v>
      </c>
      <c r="B21" s="11" t="s">
        <v>26</v>
      </c>
      <c r="C21" s="11" t="s">
        <v>376</v>
      </c>
      <c r="D21" s="11" t="s">
        <v>451</v>
      </c>
      <c r="E21" s="11" t="s">
        <v>452</v>
      </c>
      <c r="F21" s="11" t="s">
        <v>453</v>
      </c>
      <c r="G21" s="11" t="s">
        <v>454</v>
      </c>
      <c r="H21" s="11" t="s">
        <v>396</v>
      </c>
      <c r="I21" s="18"/>
      <c r="J21" s="11"/>
      <c r="K21" s="11"/>
      <c r="L21" s="11"/>
    </row>
    <row r="22" spans="1:12">
      <c r="A22" s="11" t="s">
        <v>455</v>
      </c>
      <c r="B22" s="11" t="s">
        <v>26</v>
      </c>
      <c r="C22" s="11" t="s">
        <v>184</v>
      </c>
      <c r="D22" s="11" t="s">
        <v>456</v>
      </c>
      <c r="E22" s="11" t="s">
        <v>457</v>
      </c>
      <c r="F22" s="11" t="s">
        <v>458</v>
      </c>
      <c r="G22" s="11" t="s">
        <v>459</v>
      </c>
      <c r="H22" s="11" t="s">
        <v>396</v>
      </c>
      <c r="I22" s="18"/>
      <c r="J22" s="11"/>
      <c r="K22" s="11"/>
      <c r="L22" s="11"/>
    </row>
    <row r="23" spans="1:12" ht="22.8">
      <c r="A23" s="11" t="s">
        <v>460</v>
      </c>
      <c r="B23" s="11" t="s">
        <v>26</v>
      </c>
      <c r="C23" s="11" t="s">
        <v>461</v>
      </c>
      <c r="D23" s="11" t="s">
        <v>462</v>
      </c>
      <c r="E23" s="11" t="s">
        <v>463</v>
      </c>
      <c r="F23" s="11" t="s">
        <v>464</v>
      </c>
      <c r="G23" s="11" t="s">
        <v>465</v>
      </c>
      <c r="H23" s="11" t="s">
        <v>396</v>
      </c>
      <c r="I23" s="18"/>
      <c r="J23" s="11"/>
      <c r="K23" s="11"/>
      <c r="L23" s="11"/>
    </row>
    <row r="24" spans="1:12">
      <c r="A24" s="11" t="s">
        <v>466</v>
      </c>
      <c r="B24" s="11" t="s">
        <v>26</v>
      </c>
      <c r="C24" s="11" t="s">
        <v>440</v>
      </c>
      <c r="D24" s="11" t="s">
        <v>467</v>
      </c>
      <c r="E24" s="11" t="s">
        <v>468</v>
      </c>
      <c r="F24" s="11" t="s">
        <v>469</v>
      </c>
      <c r="G24" s="11" t="s">
        <v>470</v>
      </c>
      <c r="H24" s="11" t="s">
        <v>396</v>
      </c>
      <c r="I24" s="18"/>
      <c r="J24" s="11"/>
      <c r="K24" s="11"/>
      <c r="L24" s="11"/>
    </row>
    <row r="25" spans="1:12" ht="22.8">
      <c r="A25" s="11" t="s">
        <v>471</v>
      </c>
      <c r="B25" s="11" t="s">
        <v>27</v>
      </c>
      <c r="C25" s="11" t="s">
        <v>472</v>
      </c>
      <c r="D25" s="11" t="s">
        <v>473</v>
      </c>
      <c r="E25" s="11" t="s">
        <v>474</v>
      </c>
      <c r="F25" s="11" t="s">
        <v>475</v>
      </c>
      <c r="G25" s="11" t="s">
        <v>476</v>
      </c>
      <c r="H25" s="11" t="s">
        <v>396</v>
      </c>
      <c r="I25" s="18"/>
      <c r="J25" s="11"/>
      <c r="K25" s="11"/>
      <c r="L25" s="11"/>
    </row>
    <row r="26" spans="1:12">
      <c r="A26" s="11" t="s">
        <v>477</v>
      </c>
      <c r="B26" s="11" t="s">
        <v>27</v>
      </c>
      <c r="C26" s="11" t="s">
        <v>478</v>
      </c>
      <c r="D26" s="11" t="s">
        <v>479</v>
      </c>
      <c r="E26" s="11" t="s">
        <v>480</v>
      </c>
      <c r="F26" s="11" t="s">
        <v>481</v>
      </c>
      <c r="G26" s="11" t="s">
        <v>482</v>
      </c>
      <c r="H26" s="11" t="s">
        <v>396</v>
      </c>
      <c r="I26" s="18"/>
      <c r="J26" s="11"/>
      <c r="K26" s="11"/>
      <c r="L26" s="11"/>
    </row>
    <row r="27" spans="1:12">
      <c r="A27" s="11" t="s">
        <v>483</v>
      </c>
      <c r="B27" s="11" t="s">
        <v>27</v>
      </c>
      <c r="C27" s="11" t="s">
        <v>472</v>
      </c>
      <c r="D27" s="11" t="s">
        <v>484</v>
      </c>
      <c r="E27" s="11" t="s">
        <v>485</v>
      </c>
      <c r="F27" s="11" t="s">
        <v>486</v>
      </c>
      <c r="G27" s="11" t="s">
        <v>487</v>
      </c>
      <c r="H27" s="11" t="s">
        <v>396</v>
      </c>
      <c r="I27" s="18"/>
      <c r="J27" s="11"/>
      <c r="K27" s="11"/>
      <c r="L27" s="11"/>
    </row>
    <row r="28" spans="1:12">
      <c r="A28" s="11" t="s">
        <v>488</v>
      </c>
      <c r="B28" s="11" t="s">
        <v>27</v>
      </c>
      <c r="C28" s="11" t="s">
        <v>489</v>
      </c>
      <c r="D28" s="11" t="s">
        <v>490</v>
      </c>
      <c r="E28" s="11" t="s">
        <v>491</v>
      </c>
      <c r="F28" s="11" t="s">
        <v>492</v>
      </c>
      <c r="G28" s="11" t="s">
        <v>493</v>
      </c>
      <c r="H28" s="11" t="s">
        <v>396</v>
      </c>
      <c r="I28" s="18"/>
      <c r="J28" s="11"/>
      <c r="K28" s="11"/>
      <c r="L28" s="11"/>
    </row>
    <row r="29" spans="1:12">
      <c r="A29" s="11" t="s">
        <v>494</v>
      </c>
      <c r="B29" s="11" t="s">
        <v>27</v>
      </c>
      <c r="C29" s="11" t="s">
        <v>495</v>
      </c>
      <c r="D29" s="11" t="s">
        <v>496</v>
      </c>
      <c r="E29" s="11" t="s">
        <v>497</v>
      </c>
      <c r="F29" s="11" t="s">
        <v>498</v>
      </c>
      <c r="G29" s="11" t="s">
        <v>499</v>
      </c>
      <c r="H29" s="11" t="s">
        <v>396</v>
      </c>
      <c r="I29" s="18"/>
      <c r="J29" s="11"/>
      <c r="K29" s="11"/>
      <c r="L29" s="11"/>
    </row>
    <row r="30" spans="1:12" ht="22.8">
      <c r="A30" s="11" t="s">
        <v>500</v>
      </c>
      <c r="B30" s="11" t="s">
        <v>27</v>
      </c>
      <c r="C30" s="11" t="s">
        <v>384</v>
      </c>
      <c r="D30" s="11" t="s">
        <v>501</v>
      </c>
      <c r="E30" s="11" t="s">
        <v>502</v>
      </c>
      <c r="F30" s="11" t="s">
        <v>503</v>
      </c>
      <c r="G30" s="11" t="s">
        <v>504</v>
      </c>
      <c r="H30" s="11" t="s">
        <v>396</v>
      </c>
      <c r="I30" s="18"/>
      <c r="J30" s="11"/>
      <c r="K30" s="11"/>
      <c r="L30" s="11"/>
    </row>
    <row r="31" spans="1:12">
      <c r="A31" s="11" t="s">
        <v>505</v>
      </c>
      <c r="B31" s="11" t="s">
        <v>28</v>
      </c>
      <c r="C31" s="11" t="s">
        <v>506</v>
      </c>
      <c r="D31" s="11" t="s">
        <v>507</v>
      </c>
      <c r="E31" s="11" t="s">
        <v>508</v>
      </c>
      <c r="F31" s="11" t="s">
        <v>509</v>
      </c>
      <c r="G31" s="11" t="s">
        <v>510</v>
      </c>
      <c r="H31" s="11" t="s">
        <v>396</v>
      </c>
      <c r="I31" s="18"/>
      <c r="J31" s="11"/>
      <c r="K31" s="11"/>
      <c r="L31" s="11"/>
    </row>
    <row r="32" spans="1:12">
      <c r="A32" s="11" t="s">
        <v>511</v>
      </c>
      <c r="B32" s="11" t="s">
        <v>28</v>
      </c>
      <c r="C32" s="11" t="s">
        <v>495</v>
      </c>
      <c r="D32" s="11" t="s">
        <v>512</v>
      </c>
      <c r="E32" s="11" t="s">
        <v>513</v>
      </c>
      <c r="F32" s="11" t="s">
        <v>514</v>
      </c>
      <c r="G32" s="11" t="s">
        <v>515</v>
      </c>
      <c r="H32" s="11" t="s">
        <v>396</v>
      </c>
      <c r="I32" s="18"/>
      <c r="J32" s="11"/>
      <c r="K32" s="11"/>
      <c r="L32" s="11"/>
    </row>
    <row r="33" spans="1:12">
      <c r="A33" s="11" t="s">
        <v>516</v>
      </c>
      <c r="B33" s="11" t="s">
        <v>28</v>
      </c>
      <c r="C33" s="11" t="s">
        <v>517</v>
      </c>
      <c r="D33" s="11" t="s">
        <v>518</v>
      </c>
      <c r="E33" s="11" t="s">
        <v>519</v>
      </c>
      <c r="F33" s="11" t="s">
        <v>520</v>
      </c>
      <c r="G33" s="11" t="s">
        <v>521</v>
      </c>
      <c r="H33" s="11" t="s">
        <v>396</v>
      </c>
      <c r="I33" s="18"/>
      <c r="J33" s="11"/>
      <c r="K33" s="11"/>
      <c r="L33" s="11"/>
    </row>
    <row r="34" spans="1:12">
      <c r="A34" s="11" t="s">
        <v>522</v>
      </c>
      <c r="B34" s="11" t="s">
        <v>28</v>
      </c>
      <c r="C34" s="11" t="s">
        <v>523</v>
      </c>
      <c r="D34" s="11" t="s">
        <v>524</v>
      </c>
      <c r="E34" s="11" t="s">
        <v>525</v>
      </c>
      <c r="F34" s="11" t="s">
        <v>526</v>
      </c>
      <c r="G34" s="11" t="s">
        <v>527</v>
      </c>
      <c r="H34" s="11" t="s">
        <v>396</v>
      </c>
      <c r="I34" s="18"/>
      <c r="J34" s="11"/>
      <c r="K34" s="11"/>
      <c r="L34" s="11"/>
    </row>
    <row r="35" spans="1:12">
      <c r="A35" s="11" t="s">
        <v>528</v>
      </c>
      <c r="B35" s="11" t="s">
        <v>28</v>
      </c>
      <c r="C35" s="11" t="s">
        <v>434</v>
      </c>
      <c r="D35" s="11" t="s">
        <v>529</v>
      </c>
      <c r="E35" s="11" t="s">
        <v>530</v>
      </c>
      <c r="F35" s="11" t="s">
        <v>531</v>
      </c>
      <c r="G35" s="11" t="s">
        <v>532</v>
      </c>
      <c r="H35" s="11" t="s">
        <v>396</v>
      </c>
      <c r="I35" s="18"/>
      <c r="J35" s="11"/>
      <c r="K35" s="11"/>
      <c r="L35" s="11"/>
    </row>
    <row r="36" spans="1:12">
      <c r="A36" s="11" t="s">
        <v>533</v>
      </c>
      <c r="B36" s="11" t="s">
        <v>28</v>
      </c>
      <c r="C36" s="11" t="s">
        <v>440</v>
      </c>
      <c r="D36" s="11" t="s">
        <v>534</v>
      </c>
      <c r="E36" s="11" t="s">
        <v>535</v>
      </c>
      <c r="F36" s="11" t="s">
        <v>536</v>
      </c>
      <c r="G36" s="11" t="s">
        <v>537</v>
      </c>
      <c r="H36" s="11" t="s">
        <v>396</v>
      </c>
      <c r="I36" s="18"/>
      <c r="J36" s="11"/>
      <c r="K36" s="11"/>
      <c r="L36" s="11"/>
    </row>
    <row r="37" spans="1:12" ht="22.8">
      <c r="A37" s="11" t="s">
        <v>538</v>
      </c>
      <c r="B37" s="11" t="s">
        <v>28</v>
      </c>
      <c r="C37" s="11" t="s">
        <v>384</v>
      </c>
      <c r="D37" s="11" t="s">
        <v>539</v>
      </c>
      <c r="E37" s="11" t="s">
        <v>502</v>
      </c>
      <c r="F37" s="11" t="s">
        <v>540</v>
      </c>
      <c r="G37" s="11" t="s">
        <v>541</v>
      </c>
      <c r="H37" s="11" t="s">
        <v>396</v>
      </c>
      <c r="I37" s="18"/>
      <c r="J37" s="11"/>
      <c r="K37" s="11"/>
      <c r="L37" s="11"/>
    </row>
    <row r="38" spans="1:12" ht="42" customHeight="1">
      <c r="A38" s="23" t="s">
        <v>542</v>
      </c>
      <c r="B38" s="23" t="s">
        <v>9</v>
      </c>
      <c r="C38" s="23" t="s">
        <v>543</v>
      </c>
      <c r="D38" s="23" t="s">
        <v>544</v>
      </c>
      <c r="E38" s="23" t="s">
        <v>545</v>
      </c>
      <c r="F38" s="23" t="s">
        <v>546</v>
      </c>
      <c r="G38" s="23" t="s">
        <v>547</v>
      </c>
      <c r="H38" s="23" t="s">
        <v>365</v>
      </c>
      <c r="I38" s="25">
        <v>46252</v>
      </c>
      <c r="J38" s="23" t="s">
        <v>548</v>
      </c>
      <c r="K38" s="23" t="s">
        <v>549</v>
      </c>
      <c r="L38" s="23" t="s">
        <v>368</v>
      </c>
    </row>
    <row r="39" spans="1:12" ht="42" customHeight="1">
      <c r="A39" s="22" t="s">
        <v>550</v>
      </c>
      <c r="B39" s="22" t="s">
        <v>9</v>
      </c>
      <c r="C39" s="22" t="s">
        <v>551</v>
      </c>
      <c r="D39" s="22" t="s">
        <v>552</v>
      </c>
      <c r="E39" s="22" t="s">
        <v>553</v>
      </c>
      <c r="F39" s="22" t="s">
        <v>554</v>
      </c>
      <c r="G39" s="22" t="s">
        <v>555</v>
      </c>
      <c r="H39" s="22" t="s">
        <v>365</v>
      </c>
      <c r="I39" s="26">
        <v>46252</v>
      </c>
      <c r="J39" s="22" t="s">
        <v>556</v>
      </c>
      <c r="K39" s="22" t="s">
        <v>557</v>
      </c>
      <c r="L39" s="22" t="s">
        <v>368</v>
      </c>
    </row>
  </sheetData>
  <mergeCells count="2">
    <mergeCell ref="A1:L1"/>
    <mergeCell ref="A2:L2"/>
  </mergeCells>
  <conditionalFormatting sqref="H6:H37">
    <cfRule type="containsText" dxfId="15" priority="1" operator="containsText" text="Pass"/>
    <cfRule type="containsText" dxfId="14" priority="2" operator="containsText" text="Blocked"/>
    <cfRule type="containsText" dxfId="13" priority="3" operator="containsText" text="In Progress"/>
    <cfRule type="containsText" dxfId="12" priority="4" operator="containsText" text="Ready for Review"/>
  </conditionalFormatting>
  <dataValidations count="2">
    <dataValidation type="list" sqref="H6:H37" xr:uid="{00000000-0002-0000-0B00-000000000000}">
      <formula1>"Not Run,Pass,Fail,Blocked"</formula1>
    </dataValidation>
    <dataValidation type="list" sqref="L6:L37" xr:uid="{00000000-0002-0000-0B00-000001000000}">
      <formula1>"Pending,Approved,Rejected"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3"/>
  <sheetViews>
    <sheetView showGridLines="0" workbookViewId="0"/>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56" t="s">
        <v>558</v>
      </c>
      <c r="B1" s="56"/>
      <c r="C1" s="56"/>
      <c r="D1" s="56"/>
      <c r="E1" s="56"/>
      <c r="F1" s="56"/>
      <c r="G1" s="56"/>
      <c r="H1" s="56"/>
      <c r="I1" s="56"/>
      <c r="J1" s="56"/>
      <c r="K1" s="56"/>
    </row>
    <row r="2" spans="1:11" ht="31.95" customHeight="1">
      <c r="A2" s="57" t="s">
        <v>559</v>
      </c>
      <c r="B2" s="57"/>
      <c r="C2" s="57"/>
      <c r="D2" s="57"/>
      <c r="E2" s="57"/>
      <c r="F2" s="57"/>
      <c r="G2" s="57"/>
      <c r="H2" s="57"/>
      <c r="I2" s="57"/>
      <c r="J2" s="57"/>
      <c r="K2" s="57"/>
    </row>
    <row r="5" spans="1:11" ht="28.05" customHeight="1">
      <c r="A5" s="1" t="s">
        <v>560</v>
      </c>
      <c r="B5" s="2" t="s">
        <v>561</v>
      </c>
      <c r="C5" s="2" t="s">
        <v>354</v>
      </c>
      <c r="D5" s="2" t="s">
        <v>562</v>
      </c>
      <c r="E5" s="2" t="s">
        <v>563</v>
      </c>
      <c r="F5" s="2" t="s">
        <v>564</v>
      </c>
      <c r="G5" s="2" t="s">
        <v>565</v>
      </c>
      <c r="H5" s="2" t="s">
        <v>566</v>
      </c>
      <c r="I5" s="2" t="s">
        <v>6</v>
      </c>
      <c r="J5" s="2" t="s">
        <v>567</v>
      </c>
      <c r="K5" s="3" t="s">
        <v>568</v>
      </c>
    </row>
    <row r="6" spans="1:11" ht="22.8">
      <c r="A6" s="10" t="s">
        <v>569</v>
      </c>
      <c r="B6" s="10" t="s">
        <v>570</v>
      </c>
      <c r="C6" s="10" t="s">
        <v>571</v>
      </c>
      <c r="D6" s="10" t="s">
        <v>9</v>
      </c>
      <c r="E6" s="10" t="s">
        <v>572</v>
      </c>
      <c r="F6" s="10" t="s">
        <v>573</v>
      </c>
      <c r="G6" s="10" t="s">
        <v>574</v>
      </c>
      <c r="H6" s="10" t="s">
        <v>575</v>
      </c>
      <c r="I6" s="10" t="s">
        <v>576</v>
      </c>
      <c r="J6" s="10" t="s">
        <v>577</v>
      </c>
      <c r="K6" s="10"/>
    </row>
    <row r="7" spans="1:11" ht="22.8">
      <c r="A7" s="11" t="s">
        <v>80</v>
      </c>
      <c r="B7" s="11" t="s">
        <v>578</v>
      </c>
      <c r="C7" s="11" t="s">
        <v>571</v>
      </c>
      <c r="D7" s="11" t="s">
        <v>9</v>
      </c>
      <c r="E7" s="11" t="s">
        <v>579</v>
      </c>
      <c r="F7" s="11" t="s">
        <v>580</v>
      </c>
      <c r="G7" s="11" t="s">
        <v>581</v>
      </c>
      <c r="H7" s="11" t="s">
        <v>582</v>
      </c>
      <c r="I7" s="11" t="s">
        <v>576</v>
      </c>
      <c r="J7" s="11" t="s">
        <v>583</v>
      </c>
      <c r="K7" s="11"/>
    </row>
    <row r="8" spans="1:11" ht="22.8">
      <c r="A8" s="11" t="s">
        <v>86</v>
      </c>
      <c r="B8" s="11" t="s">
        <v>584</v>
      </c>
      <c r="C8" s="11" t="s">
        <v>571</v>
      </c>
      <c r="D8" s="11" t="s">
        <v>24</v>
      </c>
      <c r="E8" s="11" t="s">
        <v>585</v>
      </c>
      <c r="F8" s="11" t="s">
        <v>586</v>
      </c>
      <c r="G8" s="11" t="s">
        <v>587</v>
      </c>
      <c r="H8" s="11" t="s">
        <v>588</v>
      </c>
      <c r="I8" s="11" t="s">
        <v>576</v>
      </c>
      <c r="J8" s="11" t="s">
        <v>589</v>
      </c>
      <c r="K8" s="11"/>
    </row>
    <row r="9" spans="1:11" ht="22.8">
      <c r="A9" s="11" t="s">
        <v>118</v>
      </c>
      <c r="B9" s="11" t="s">
        <v>590</v>
      </c>
      <c r="C9" s="11" t="s">
        <v>571</v>
      </c>
      <c r="D9" s="11" t="s">
        <v>25</v>
      </c>
      <c r="E9" s="11" t="s">
        <v>591</v>
      </c>
      <c r="F9" s="11" t="s">
        <v>592</v>
      </c>
      <c r="G9" s="11" t="s">
        <v>593</v>
      </c>
      <c r="H9" s="11" t="s">
        <v>594</v>
      </c>
      <c r="I9" s="11" t="s">
        <v>576</v>
      </c>
      <c r="J9" s="11" t="s">
        <v>595</v>
      </c>
      <c r="K9" s="11"/>
    </row>
    <row r="10" spans="1:11" ht="22.8">
      <c r="A10" s="11" t="s">
        <v>130</v>
      </c>
      <c r="B10" s="11" t="s">
        <v>596</v>
      </c>
      <c r="C10" s="11" t="s">
        <v>571</v>
      </c>
      <c r="D10" s="11" t="s">
        <v>26</v>
      </c>
      <c r="E10" s="11" t="s">
        <v>597</v>
      </c>
      <c r="F10" s="11" t="s">
        <v>598</v>
      </c>
      <c r="G10" s="11" t="s">
        <v>599</v>
      </c>
      <c r="H10" s="11" t="s">
        <v>600</v>
      </c>
      <c r="I10" s="11" t="s">
        <v>576</v>
      </c>
      <c r="J10" s="11" t="s">
        <v>601</v>
      </c>
      <c r="K10" s="11"/>
    </row>
    <row r="11" spans="1:11" ht="22.8">
      <c r="A11" s="11" t="s">
        <v>105</v>
      </c>
      <c r="B11" s="11" t="s">
        <v>602</v>
      </c>
      <c r="C11" s="11" t="s">
        <v>571</v>
      </c>
      <c r="D11" s="11" t="s">
        <v>24</v>
      </c>
      <c r="E11" s="11" t="s">
        <v>603</v>
      </c>
      <c r="F11" s="11" t="s">
        <v>604</v>
      </c>
      <c r="G11" s="11" t="s">
        <v>605</v>
      </c>
      <c r="H11" s="11" t="s">
        <v>606</v>
      </c>
      <c r="I11" s="11" t="s">
        <v>576</v>
      </c>
      <c r="J11" s="11" t="s">
        <v>607</v>
      </c>
      <c r="K11" s="11"/>
    </row>
    <row r="12" spans="1:11" ht="22.8">
      <c r="A12" s="11" t="s">
        <v>98</v>
      </c>
      <c r="B12" s="11" t="s">
        <v>608</v>
      </c>
      <c r="C12" s="11" t="s">
        <v>571</v>
      </c>
      <c r="D12" s="11" t="s">
        <v>26</v>
      </c>
      <c r="E12" s="11" t="s">
        <v>609</v>
      </c>
      <c r="F12" s="11" t="s">
        <v>610</v>
      </c>
      <c r="G12" s="11" t="s">
        <v>611</v>
      </c>
      <c r="H12" s="11" t="s">
        <v>612</v>
      </c>
      <c r="I12" s="11" t="s">
        <v>576</v>
      </c>
      <c r="J12" s="11" t="s">
        <v>613</v>
      </c>
      <c r="K12" s="11"/>
    </row>
    <row r="13" spans="1:11" ht="22.8">
      <c r="A13" s="11" t="s">
        <v>166</v>
      </c>
      <c r="B13" s="11" t="s">
        <v>614</v>
      </c>
      <c r="C13" s="11" t="s">
        <v>571</v>
      </c>
      <c r="D13" s="11" t="s">
        <v>25</v>
      </c>
      <c r="E13" s="11" t="s">
        <v>615</v>
      </c>
      <c r="F13" s="11" t="s">
        <v>616</v>
      </c>
      <c r="G13" s="11" t="s">
        <v>617</v>
      </c>
      <c r="H13" s="11" t="s">
        <v>618</v>
      </c>
      <c r="I13" s="11" t="s">
        <v>576</v>
      </c>
      <c r="J13" s="11" t="s">
        <v>619</v>
      </c>
      <c r="K13" s="11"/>
    </row>
    <row r="14" spans="1:11" ht="22.8">
      <c r="A14" s="11" t="s">
        <v>620</v>
      </c>
      <c r="B14" s="11" t="s">
        <v>621</v>
      </c>
      <c r="C14" s="11" t="s">
        <v>571</v>
      </c>
      <c r="D14" s="11" t="s">
        <v>9</v>
      </c>
      <c r="E14" s="11" t="s">
        <v>622</v>
      </c>
      <c r="F14" s="11" t="s">
        <v>623</v>
      </c>
      <c r="G14" s="11" t="s">
        <v>624</v>
      </c>
      <c r="H14" s="11" t="s">
        <v>625</v>
      </c>
      <c r="I14" s="11" t="s">
        <v>576</v>
      </c>
      <c r="J14" s="11" t="s">
        <v>626</v>
      </c>
      <c r="K14" s="11"/>
    </row>
    <row r="15" spans="1:11" ht="22.8">
      <c r="A15" s="11" t="s">
        <v>627</v>
      </c>
      <c r="B15" s="11" t="s">
        <v>628</v>
      </c>
      <c r="C15" s="11" t="s">
        <v>571</v>
      </c>
      <c r="D15" s="11" t="s">
        <v>9</v>
      </c>
      <c r="E15" s="11" t="s">
        <v>629</v>
      </c>
      <c r="F15" s="11" t="s">
        <v>630</v>
      </c>
      <c r="G15" s="11" t="s">
        <v>631</v>
      </c>
      <c r="H15" s="11" t="s">
        <v>632</v>
      </c>
      <c r="I15" s="11" t="s">
        <v>576</v>
      </c>
      <c r="J15" s="11" t="s">
        <v>633</v>
      </c>
      <c r="K15" s="11"/>
    </row>
    <row r="16" spans="1:11" ht="22.8">
      <c r="A16" s="11" t="s">
        <v>634</v>
      </c>
      <c r="B16" s="11" t="s">
        <v>635</v>
      </c>
      <c r="C16" s="11" t="s">
        <v>571</v>
      </c>
      <c r="D16" s="11" t="s">
        <v>9</v>
      </c>
      <c r="E16" s="11" t="s">
        <v>636</v>
      </c>
      <c r="F16" s="11" t="s">
        <v>637</v>
      </c>
      <c r="G16" s="11" t="s">
        <v>638</v>
      </c>
      <c r="H16" s="11" t="s">
        <v>639</v>
      </c>
      <c r="I16" s="11" t="s">
        <v>576</v>
      </c>
      <c r="J16" s="11" t="s">
        <v>640</v>
      </c>
      <c r="K16" s="11"/>
    </row>
    <row r="17" spans="1:11" ht="22.8">
      <c r="A17" s="11" t="s">
        <v>641</v>
      </c>
      <c r="B17" s="11" t="s">
        <v>642</v>
      </c>
      <c r="C17" s="11" t="s">
        <v>571</v>
      </c>
      <c r="D17" s="11" t="s">
        <v>9</v>
      </c>
      <c r="E17" s="11" t="s">
        <v>643</v>
      </c>
      <c r="F17" s="11" t="s">
        <v>644</v>
      </c>
      <c r="G17" s="11" t="s">
        <v>645</v>
      </c>
      <c r="H17" s="11" t="s">
        <v>646</v>
      </c>
      <c r="I17" s="11" t="s">
        <v>576</v>
      </c>
      <c r="J17" s="11" t="s">
        <v>647</v>
      </c>
      <c r="K17" s="11"/>
    </row>
    <row r="18" spans="1:11" ht="22.8">
      <c r="A18" s="11" t="s">
        <v>648</v>
      </c>
      <c r="B18" s="11" t="s">
        <v>649</v>
      </c>
      <c r="C18" s="11" t="s">
        <v>571</v>
      </c>
      <c r="D18" s="11" t="s">
        <v>9</v>
      </c>
      <c r="E18" s="11" t="s">
        <v>650</v>
      </c>
      <c r="F18" s="11" t="s">
        <v>651</v>
      </c>
      <c r="G18" s="11" t="s">
        <v>652</v>
      </c>
      <c r="H18" s="11" t="s">
        <v>653</v>
      </c>
      <c r="I18" s="11" t="s">
        <v>576</v>
      </c>
      <c r="J18" s="11" t="s">
        <v>654</v>
      </c>
      <c r="K18" s="11"/>
    </row>
    <row r="19" spans="1:11" ht="22.8">
      <c r="A19" s="11" t="s">
        <v>655</v>
      </c>
      <c r="B19" s="11" t="s">
        <v>656</v>
      </c>
      <c r="C19" s="11" t="s">
        <v>571</v>
      </c>
      <c r="D19" s="11" t="s">
        <v>9</v>
      </c>
      <c r="E19" s="11" t="s">
        <v>657</v>
      </c>
      <c r="F19" s="11" t="s">
        <v>658</v>
      </c>
      <c r="G19" s="11" t="s">
        <v>659</v>
      </c>
      <c r="H19" s="11" t="s">
        <v>660</v>
      </c>
      <c r="I19" s="11" t="s">
        <v>576</v>
      </c>
      <c r="J19" s="11" t="s">
        <v>661</v>
      </c>
      <c r="K19" s="11"/>
    </row>
    <row r="20" spans="1:11">
      <c r="A20" s="11" t="s">
        <v>143</v>
      </c>
      <c r="B20" s="11" t="s">
        <v>662</v>
      </c>
      <c r="C20" s="11" t="s">
        <v>571</v>
      </c>
      <c r="D20" s="11" t="s">
        <v>28</v>
      </c>
      <c r="E20" s="11" t="s">
        <v>663</v>
      </c>
      <c r="F20" s="11" t="s">
        <v>664</v>
      </c>
      <c r="G20" s="11" t="s">
        <v>665</v>
      </c>
      <c r="H20" s="11" t="s">
        <v>666</v>
      </c>
      <c r="I20" s="11" t="s">
        <v>576</v>
      </c>
      <c r="J20" s="11" t="s">
        <v>667</v>
      </c>
      <c r="K20" s="11"/>
    </row>
    <row r="21" spans="1:11">
      <c r="A21" s="11" t="s">
        <v>668</v>
      </c>
      <c r="B21" s="11" t="s">
        <v>669</v>
      </c>
      <c r="C21" s="11" t="s">
        <v>571</v>
      </c>
      <c r="D21" s="11" t="s">
        <v>9</v>
      </c>
      <c r="E21" s="11" t="s">
        <v>670</v>
      </c>
      <c r="F21" s="11" t="s">
        <v>671</v>
      </c>
      <c r="G21" s="11" t="s">
        <v>672</v>
      </c>
      <c r="H21" s="11" t="s">
        <v>673</v>
      </c>
      <c r="I21" s="11" t="s">
        <v>576</v>
      </c>
      <c r="J21" s="11" t="s">
        <v>674</v>
      </c>
      <c r="K21" s="11"/>
    </row>
    <row r="22" spans="1:11" ht="22.8">
      <c r="A22" s="11" t="s">
        <v>675</v>
      </c>
      <c r="B22" s="11" t="s">
        <v>676</v>
      </c>
      <c r="C22" s="11" t="s">
        <v>571</v>
      </c>
      <c r="D22" s="11" t="s">
        <v>9</v>
      </c>
      <c r="E22" s="11" t="s">
        <v>677</v>
      </c>
      <c r="F22" s="11" t="s">
        <v>678</v>
      </c>
      <c r="G22" s="11" t="s">
        <v>679</v>
      </c>
      <c r="H22" s="11" t="s">
        <v>680</v>
      </c>
      <c r="I22" s="11" t="s">
        <v>576</v>
      </c>
      <c r="J22" s="11" t="s">
        <v>681</v>
      </c>
      <c r="K22" s="11"/>
    </row>
    <row r="23" spans="1:11" ht="22.8">
      <c r="A23" s="11" t="s">
        <v>682</v>
      </c>
      <c r="B23" s="11" t="s">
        <v>683</v>
      </c>
      <c r="C23" s="11" t="s">
        <v>571</v>
      </c>
      <c r="D23" s="11" t="s">
        <v>334</v>
      </c>
      <c r="E23" s="11" t="s">
        <v>684</v>
      </c>
      <c r="F23" s="11" t="s">
        <v>685</v>
      </c>
      <c r="G23" s="11" t="s">
        <v>686</v>
      </c>
      <c r="H23" s="11" t="s">
        <v>687</v>
      </c>
      <c r="I23" s="11" t="s">
        <v>576</v>
      </c>
      <c r="J23" s="11" t="s">
        <v>688</v>
      </c>
      <c r="K23" s="11"/>
    </row>
  </sheetData>
  <mergeCells count="2">
    <mergeCell ref="A1:K1"/>
    <mergeCell ref="A2:K2"/>
  </mergeCells>
  <conditionalFormatting sqref="C6:C23">
    <cfRule type="containsText" dxfId="11" priority="1" operator="containsText" text="Approved"/>
    <cfRule type="containsText" dxfId="10" priority="2" operator="containsText" text="Blocked"/>
    <cfRule type="containsText" dxfId="9" priority="3" operator="containsText" text="In Progress"/>
    <cfRule type="containsText" dxfId="8" priority="4" operator="containsText" text="Ready for Review"/>
  </conditionalFormatting>
  <dataValidations count="1">
    <dataValidation type="list" sqref="C6:C23" xr:uid="{00000000-0002-0000-0C00-000000000000}">
      <formula1>"Baseline Approved,Proposed,Approved,Rejected,Superseded,Revisit"</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0"/>
  <sheetViews>
    <sheetView showGridLines="0" tabSelected="1" workbookViewId="0">
      <selection activeCell="H9" sqref="H9:H20"/>
    </sheetView>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56" t="s">
        <v>689</v>
      </c>
      <c r="B1" s="56"/>
      <c r="C1" s="56"/>
      <c r="D1" s="56"/>
      <c r="E1" s="56"/>
      <c r="F1" s="56"/>
      <c r="G1" s="56"/>
      <c r="H1" s="56"/>
      <c r="I1" s="56"/>
      <c r="J1" s="56"/>
    </row>
    <row r="2" spans="1:10" ht="31.95" customHeight="1">
      <c r="A2" s="57" t="s">
        <v>690</v>
      </c>
      <c r="B2" s="57"/>
      <c r="C2" s="57"/>
      <c r="D2" s="57"/>
      <c r="E2" s="57"/>
      <c r="F2" s="57"/>
      <c r="G2" s="57"/>
      <c r="H2" s="57"/>
      <c r="I2" s="57"/>
      <c r="J2" s="57"/>
    </row>
    <row r="5" spans="1:10" ht="28.05" customHeight="1">
      <c r="A5" s="1" t="s">
        <v>691</v>
      </c>
      <c r="B5" s="2" t="s">
        <v>692</v>
      </c>
      <c r="C5" s="2" t="s">
        <v>693</v>
      </c>
      <c r="D5" s="2" t="s">
        <v>694</v>
      </c>
      <c r="E5" s="2" t="s">
        <v>695</v>
      </c>
      <c r="F5" s="2" t="s">
        <v>354</v>
      </c>
      <c r="G5" s="2" t="s">
        <v>6</v>
      </c>
      <c r="H5" s="2" t="s">
        <v>696</v>
      </c>
      <c r="I5" s="2" t="s">
        <v>697</v>
      </c>
      <c r="J5" s="3" t="s">
        <v>698</v>
      </c>
    </row>
    <row r="6" spans="1:10" ht="68.400000000000006" hidden="1">
      <c r="A6" s="10" t="s">
        <v>699</v>
      </c>
      <c r="B6" s="10" t="s">
        <v>700</v>
      </c>
      <c r="C6" s="19" t="s">
        <v>701</v>
      </c>
      <c r="D6" s="10" t="s">
        <v>9</v>
      </c>
      <c r="E6" s="10" t="s">
        <v>702</v>
      </c>
      <c r="F6" s="10" t="s">
        <v>14</v>
      </c>
      <c r="G6" s="10" t="s">
        <v>7</v>
      </c>
      <c r="H6" s="10" t="s">
        <v>547</v>
      </c>
      <c r="I6" s="19" t="s">
        <v>703</v>
      </c>
      <c r="J6" s="17">
        <v>46257</v>
      </c>
    </row>
    <row r="7" spans="1:10" ht="68.400000000000006" hidden="1">
      <c r="A7" s="11" t="s">
        <v>704</v>
      </c>
      <c r="B7" s="11" t="s">
        <v>705</v>
      </c>
      <c r="C7" s="20" t="s">
        <v>706</v>
      </c>
      <c r="D7" s="11" t="s">
        <v>9</v>
      </c>
      <c r="E7" s="11" t="s">
        <v>702</v>
      </c>
      <c r="F7" s="11" t="s">
        <v>14</v>
      </c>
      <c r="G7" s="11" t="s">
        <v>7</v>
      </c>
      <c r="H7" s="11" t="s">
        <v>547</v>
      </c>
      <c r="I7" s="20" t="s">
        <v>707</v>
      </c>
      <c r="J7" s="18">
        <v>46252</v>
      </c>
    </row>
    <row r="8" spans="1:10" hidden="1">
      <c r="A8" s="11" t="s">
        <v>708</v>
      </c>
      <c r="B8" s="11" t="s">
        <v>551</v>
      </c>
      <c r="C8" s="20" t="s">
        <v>709</v>
      </c>
      <c r="D8" s="11" t="s">
        <v>24</v>
      </c>
      <c r="E8" s="11" t="s">
        <v>702</v>
      </c>
      <c r="F8" s="11" t="s">
        <v>14</v>
      </c>
      <c r="G8" s="11" t="s">
        <v>576</v>
      </c>
      <c r="H8" s="11" t="s">
        <v>711</v>
      </c>
      <c r="I8" s="20"/>
      <c r="J8" s="18"/>
    </row>
    <row r="9" spans="1:10">
      <c r="A9" s="11" t="s">
        <v>712</v>
      </c>
      <c r="B9" s="11" t="s">
        <v>713</v>
      </c>
      <c r="C9" s="20" t="s">
        <v>714</v>
      </c>
      <c r="D9" s="11" t="s">
        <v>24</v>
      </c>
      <c r="E9" s="11" t="s">
        <v>702</v>
      </c>
      <c r="F9" s="11" t="s">
        <v>14</v>
      </c>
      <c r="G9" s="11" t="s">
        <v>576</v>
      </c>
      <c r="H9" s="11" t="s">
        <v>715</v>
      </c>
      <c r="I9" s="20"/>
      <c r="J9" s="18"/>
    </row>
    <row r="10" spans="1:10" hidden="1">
      <c r="A10" s="11" t="s">
        <v>716</v>
      </c>
      <c r="B10" s="11" t="s">
        <v>434</v>
      </c>
      <c r="C10" s="20" t="s">
        <v>717</v>
      </c>
      <c r="D10" s="11" t="s">
        <v>25</v>
      </c>
      <c r="E10" s="11" t="s">
        <v>702</v>
      </c>
      <c r="F10" s="11" t="s">
        <v>710</v>
      </c>
      <c r="G10" s="11" t="s">
        <v>576</v>
      </c>
      <c r="H10" s="11" t="s">
        <v>718</v>
      </c>
      <c r="I10" s="20"/>
      <c r="J10" s="18"/>
    </row>
    <row r="11" spans="1:10" hidden="1">
      <c r="A11" s="11" t="s">
        <v>719</v>
      </c>
      <c r="B11" s="11" t="s">
        <v>720</v>
      </c>
      <c r="C11" s="20" t="s">
        <v>721</v>
      </c>
      <c r="D11" s="11" t="s">
        <v>27</v>
      </c>
      <c r="E11" s="11" t="s">
        <v>702</v>
      </c>
      <c r="F11" s="11" t="s">
        <v>710</v>
      </c>
      <c r="G11" s="11" t="s">
        <v>576</v>
      </c>
      <c r="H11" s="11" t="s">
        <v>722</v>
      </c>
      <c r="I11" s="20"/>
      <c r="J11" s="18"/>
    </row>
    <row r="12" spans="1:10" ht="68.400000000000006" hidden="1">
      <c r="A12" s="11" t="s">
        <v>723</v>
      </c>
      <c r="B12" s="11" t="s">
        <v>720</v>
      </c>
      <c r="C12" s="20" t="s">
        <v>724</v>
      </c>
      <c r="D12" s="11" t="s">
        <v>9</v>
      </c>
      <c r="E12" s="11" t="s">
        <v>702</v>
      </c>
      <c r="F12" s="11" t="s">
        <v>14</v>
      </c>
      <c r="G12" s="11" t="s">
        <v>7</v>
      </c>
      <c r="H12" s="11" t="s">
        <v>725</v>
      </c>
      <c r="I12" s="20" t="s">
        <v>726</v>
      </c>
      <c r="J12" s="18">
        <v>46252</v>
      </c>
    </row>
    <row r="13" spans="1:10" ht="22.8" hidden="1">
      <c r="A13" s="11" t="s">
        <v>727</v>
      </c>
      <c r="B13" s="11" t="s">
        <v>728</v>
      </c>
      <c r="C13" s="20" t="s">
        <v>729</v>
      </c>
      <c r="D13" s="11" t="s">
        <v>27</v>
      </c>
      <c r="E13" s="11" t="s">
        <v>702</v>
      </c>
      <c r="F13" s="11" t="s">
        <v>710</v>
      </c>
      <c r="G13" s="11" t="s">
        <v>576</v>
      </c>
      <c r="H13" s="11" t="s">
        <v>730</v>
      </c>
      <c r="I13" s="20"/>
      <c r="J13" s="18"/>
    </row>
    <row r="14" spans="1:10" ht="91.2">
      <c r="A14" s="11" t="s">
        <v>731</v>
      </c>
      <c r="B14" s="11" t="s">
        <v>551</v>
      </c>
      <c r="C14" s="20" t="s">
        <v>732</v>
      </c>
      <c r="D14" s="11" t="s">
        <v>9</v>
      </c>
      <c r="E14" s="11" t="s">
        <v>702</v>
      </c>
      <c r="F14" s="11" t="s">
        <v>14</v>
      </c>
      <c r="G14" s="11" t="s">
        <v>7</v>
      </c>
      <c r="H14" s="11" t="s">
        <v>733</v>
      </c>
      <c r="I14" s="20" t="s">
        <v>734</v>
      </c>
      <c r="J14" s="18">
        <v>46252</v>
      </c>
    </row>
    <row r="15" spans="1:10" hidden="1">
      <c r="A15" s="11" t="s">
        <v>735</v>
      </c>
      <c r="B15" s="11" t="s">
        <v>376</v>
      </c>
      <c r="C15" s="20" t="s">
        <v>736</v>
      </c>
      <c r="D15" s="11" t="s">
        <v>27</v>
      </c>
      <c r="E15" s="11" t="s">
        <v>702</v>
      </c>
      <c r="F15" s="11" t="s">
        <v>710</v>
      </c>
      <c r="G15" s="11" t="s">
        <v>576</v>
      </c>
      <c r="H15" s="11" t="s">
        <v>730</v>
      </c>
      <c r="I15" s="20"/>
      <c r="J15" s="18"/>
    </row>
    <row r="16" spans="1:10" hidden="1">
      <c r="A16" s="11" t="s">
        <v>737</v>
      </c>
      <c r="B16" s="11" t="s">
        <v>738</v>
      </c>
      <c r="C16" s="20" t="s">
        <v>739</v>
      </c>
      <c r="D16" s="11" t="s">
        <v>27</v>
      </c>
      <c r="E16" s="11" t="s">
        <v>702</v>
      </c>
      <c r="F16" s="11" t="s">
        <v>710</v>
      </c>
      <c r="G16" s="11" t="s">
        <v>576</v>
      </c>
      <c r="H16" s="11" t="s">
        <v>740</v>
      </c>
      <c r="I16" s="20"/>
      <c r="J16" s="18"/>
    </row>
    <row r="17" spans="1:10" hidden="1">
      <c r="A17" s="11" t="s">
        <v>741</v>
      </c>
      <c r="B17" s="11" t="s">
        <v>742</v>
      </c>
      <c r="C17" s="20" t="s">
        <v>743</v>
      </c>
      <c r="D17" s="11" t="s">
        <v>25</v>
      </c>
      <c r="E17" s="11" t="s">
        <v>702</v>
      </c>
      <c r="F17" s="11" t="s">
        <v>710</v>
      </c>
      <c r="G17" s="11" t="s">
        <v>576</v>
      </c>
      <c r="H17" s="11" t="s">
        <v>744</v>
      </c>
      <c r="I17" s="20"/>
      <c r="J17" s="18"/>
    </row>
    <row r="18" spans="1:10" hidden="1">
      <c r="A18" s="11" t="s">
        <v>745</v>
      </c>
      <c r="B18" s="11" t="s">
        <v>742</v>
      </c>
      <c r="C18" s="20" t="s">
        <v>746</v>
      </c>
      <c r="D18" s="11" t="s">
        <v>24</v>
      </c>
      <c r="E18" s="11" t="s">
        <v>702</v>
      </c>
      <c r="F18" s="11" t="s">
        <v>14</v>
      </c>
      <c r="G18" s="11" t="s">
        <v>576</v>
      </c>
      <c r="H18" s="11" t="s">
        <v>234</v>
      </c>
      <c r="I18" s="20"/>
      <c r="J18" s="18"/>
    </row>
    <row r="19" spans="1:10" hidden="1">
      <c r="A19" s="11" t="s">
        <v>747</v>
      </c>
      <c r="B19" s="11" t="s">
        <v>495</v>
      </c>
      <c r="C19" s="20" t="s">
        <v>748</v>
      </c>
      <c r="D19" s="11" t="s">
        <v>24</v>
      </c>
      <c r="E19" s="11" t="s">
        <v>702</v>
      </c>
      <c r="F19" s="11" t="s">
        <v>14</v>
      </c>
      <c r="G19" s="11" t="s">
        <v>576</v>
      </c>
      <c r="H19" s="11" t="s">
        <v>749</v>
      </c>
      <c r="I19" s="20"/>
      <c r="J19" s="18"/>
    </row>
    <row r="20" spans="1:10" ht="79.8">
      <c r="A20" s="11" t="s">
        <v>750</v>
      </c>
      <c r="B20" s="11" t="s">
        <v>751</v>
      </c>
      <c r="C20" s="20" t="s">
        <v>752</v>
      </c>
      <c r="D20" s="11" t="s">
        <v>9</v>
      </c>
      <c r="E20" s="11" t="s">
        <v>753</v>
      </c>
      <c r="F20" s="11" t="s">
        <v>14</v>
      </c>
      <c r="G20" s="11" t="s">
        <v>7</v>
      </c>
      <c r="H20" s="11" t="s">
        <v>754</v>
      </c>
      <c r="I20" s="20" t="s">
        <v>755</v>
      </c>
      <c r="J20" s="18">
        <v>46252</v>
      </c>
    </row>
    <row r="21" spans="1:10" ht="22.8" hidden="1">
      <c r="A21" s="11" t="s">
        <v>756</v>
      </c>
      <c r="B21" s="11" t="s">
        <v>757</v>
      </c>
      <c r="C21" s="20" t="s">
        <v>758</v>
      </c>
      <c r="D21" s="11" t="s">
        <v>26</v>
      </c>
      <c r="E21" s="11" t="s">
        <v>702</v>
      </c>
      <c r="F21" s="11" t="s">
        <v>710</v>
      </c>
      <c r="G21" s="11" t="s">
        <v>576</v>
      </c>
      <c r="H21" s="11" t="s">
        <v>759</v>
      </c>
      <c r="I21" s="20"/>
      <c r="J21" s="18"/>
    </row>
    <row r="22" spans="1:10" hidden="1">
      <c r="A22" s="11" t="s">
        <v>760</v>
      </c>
      <c r="B22" s="11" t="s">
        <v>761</v>
      </c>
      <c r="C22" s="20" t="s">
        <v>762</v>
      </c>
      <c r="D22" s="11" t="s">
        <v>28</v>
      </c>
      <c r="E22" s="11" t="s">
        <v>702</v>
      </c>
      <c r="F22" s="11" t="s">
        <v>710</v>
      </c>
      <c r="G22" s="11" t="s">
        <v>576</v>
      </c>
      <c r="H22" s="11" t="s">
        <v>763</v>
      </c>
      <c r="I22" s="20"/>
      <c r="J22" s="18"/>
    </row>
    <row r="23" spans="1:10" hidden="1">
      <c r="A23" s="11" t="s">
        <v>764</v>
      </c>
      <c r="B23" s="11" t="s">
        <v>517</v>
      </c>
      <c r="C23" s="20" t="s">
        <v>765</v>
      </c>
      <c r="D23" s="11" t="s">
        <v>28</v>
      </c>
      <c r="E23" s="11" t="s">
        <v>702</v>
      </c>
      <c r="F23" s="11" t="s">
        <v>710</v>
      </c>
      <c r="G23" s="11" t="s">
        <v>576</v>
      </c>
      <c r="H23" s="11" t="s">
        <v>766</v>
      </c>
      <c r="I23" s="20"/>
      <c r="J23" s="18"/>
    </row>
    <row r="24" spans="1:10" ht="22.8" hidden="1">
      <c r="A24" s="11" t="s">
        <v>767</v>
      </c>
      <c r="B24" s="11" t="s">
        <v>768</v>
      </c>
      <c r="C24" s="20" t="s">
        <v>769</v>
      </c>
      <c r="D24" s="11" t="s">
        <v>26</v>
      </c>
      <c r="E24" s="11" t="s">
        <v>702</v>
      </c>
      <c r="F24" s="11" t="s">
        <v>710</v>
      </c>
      <c r="G24" s="11" t="s">
        <v>576</v>
      </c>
      <c r="H24" s="11" t="s">
        <v>770</v>
      </c>
      <c r="I24" s="20"/>
      <c r="J24" s="18"/>
    </row>
    <row r="25" spans="1:10" ht="22.8" hidden="1">
      <c r="A25" s="11" t="s">
        <v>771</v>
      </c>
      <c r="B25" s="11" t="s">
        <v>506</v>
      </c>
      <c r="C25" s="20" t="s">
        <v>772</v>
      </c>
      <c r="D25" s="11" t="s">
        <v>28</v>
      </c>
      <c r="E25" s="11" t="s">
        <v>702</v>
      </c>
      <c r="F25" s="11" t="s">
        <v>710</v>
      </c>
      <c r="G25" s="11" t="s">
        <v>576</v>
      </c>
      <c r="H25" s="11" t="s">
        <v>773</v>
      </c>
      <c r="I25" s="20"/>
      <c r="J25" s="18"/>
    </row>
    <row r="26" spans="1:10" hidden="1">
      <c r="A26" s="11" t="s">
        <v>774</v>
      </c>
      <c r="B26" s="11" t="s">
        <v>551</v>
      </c>
      <c r="C26" s="20" t="s">
        <v>775</v>
      </c>
      <c r="D26" s="11" t="s">
        <v>26</v>
      </c>
      <c r="E26" s="11" t="s">
        <v>753</v>
      </c>
      <c r="F26" s="11" t="s">
        <v>710</v>
      </c>
      <c r="G26" s="11" t="s">
        <v>576</v>
      </c>
      <c r="H26" s="11" t="s">
        <v>776</v>
      </c>
      <c r="I26" s="20"/>
      <c r="J26" s="18"/>
    </row>
    <row r="27" spans="1:10" ht="22.8" hidden="1">
      <c r="A27" s="11" t="s">
        <v>777</v>
      </c>
      <c r="B27" s="11" t="s">
        <v>523</v>
      </c>
      <c r="C27" s="20" t="s">
        <v>778</v>
      </c>
      <c r="D27" s="11" t="s">
        <v>28</v>
      </c>
      <c r="E27" s="11" t="s">
        <v>753</v>
      </c>
      <c r="F27" s="11" t="s">
        <v>710</v>
      </c>
      <c r="G27" s="11" t="s">
        <v>576</v>
      </c>
      <c r="H27" s="11" t="s">
        <v>779</v>
      </c>
      <c r="I27" s="20"/>
      <c r="J27" s="18"/>
    </row>
    <row r="28" spans="1:10" ht="68.400000000000006" hidden="1">
      <c r="A28" s="11" t="s">
        <v>780</v>
      </c>
      <c r="B28" s="11" t="s">
        <v>781</v>
      </c>
      <c r="C28" s="20" t="s">
        <v>782</v>
      </c>
      <c r="D28" s="11" t="s">
        <v>9</v>
      </c>
      <c r="E28" s="11" t="s">
        <v>702</v>
      </c>
      <c r="F28" s="11" t="s">
        <v>14</v>
      </c>
      <c r="G28" s="11" t="s">
        <v>7</v>
      </c>
      <c r="H28" s="11" t="s">
        <v>783</v>
      </c>
      <c r="I28" s="20" t="s">
        <v>784</v>
      </c>
      <c r="J28" s="18">
        <v>46252</v>
      </c>
    </row>
    <row r="29" spans="1:10" ht="22.8" hidden="1">
      <c r="A29" s="11" t="s">
        <v>785</v>
      </c>
      <c r="B29" s="11" t="s">
        <v>713</v>
      </c>
      <c r="C29" s="20" t="s">
        <v>786</v>
      </c>
      <c r="D29" s="11" t="s">
        <v>27</v>
      </c>
      <c r="E29" s="11" t="s">
        <v>702</v>
      </c>
      <c r="F29" s="11" t="s">
        <v>710</v>
      </c>
      <c r="G29" s="11" t="s">
        <v>576</v>
      </c>
      <c r="H29" s="11" t="s">
        <v>787</v>
      </c>
      <c r="I29" s="20"/>
      <c r="J29" s="18"/>
    </row>
    <row r="30" spans="1:10" ht="22.8" hidden="1">
      <c r="A30" s="11" t="s">
        <v>788</v>
      </c>
      <c r="B30" s="11" t="s">
        <v>789</v>
      </c>
      <c r="C30" s="20" t="s">
        <v>790</v>
      </c>
      <c r="D30" s="11" t="s">
        <v>25</v>
      </c>
      <c r="E30" s="11" t="s">
        <v>753</v>
      </c>
      <c r="F30" s="11" t="s">
        <v>710</v>
      </c>
      <c r="G30" s="11" t="s">
        <v>576</v>
      </c>
      <c r="H30" s="11" t="s">
        <v>791</v>
      </c>
      <c r="I30" s="20"/>
      <c r="J30" s="18"/>
    </row>
  </sheetData>
  <mergeCells count="2">
    <mergeCell ref="A1:J1"/>
    <mergeCell ref="A2:J2"/>
  </mergeCells>
  <conditionalFormatting sqref="F6:F30">
    <cfRule type="containsText" dxfId="7" priority="1" operator="containsText" text="Done"/>
    <cfRule type="containsText" dxfId="6" priority="2" operator="containsText" text="Blocked"/>
    <cfRule type="containsText" dxfId="5" priority="3" operator="containsText" text="In Progress"/>
    <cfRule type="containsText" dxfId="4" priority="4" operator="containsText" text="Ready for Review"/>
  </conditionalFormatting>
  <dataValidations count="1">
    <dataValidation type="list" sqref="F6:F30" xr:uid="{00000000-0002-0000-0D00-000000000000}">
      <formula1>"Not Started,In Progress,Blocked,Done,Deferred"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 r="A1" s="56" t="s">
        <v>792</v>
      </c>
      <c r="B1" s="56"/>
      <c r="C1" s="56"/>
      <c r="D1" s="56"/>
      <c r="E1" s="56"/>
      <c r="F1" s="56"/>
      <c r="G1" s="56"/>
      <c r="H1" s="56"/>
      <c r="I1" s="56"/>
    </row>
    <row r="2" spans="1:9">
      <c r="A2" s="57" t="s">
        <v>2261</v>
      </c>
      <c r="B2" s="57"/>
      <c r="C2" s="57"/>
      <c r="D2" s="57"/>
      <c r="E2" s="57"/>
      <c r="F2" s="57"/>
      <c r="G2" s="57"/>
      <c r="H2" s="57"/>
      <c r="I2" s="57"/>
    </row>
    <row r="4" spans="1:9">
      <c r="A4" s="58" t="s">
        <v>793</v>
      </c>
      <c r="B4" s="59"/>
      <c r="C4" s="59"/>
      <c r="D4" s="59"/>
      <c r="E4" s="59"/>
      <c r="F4" s="59"/>
      <c r="G4" s="59"/>
      <c r="H4" s="59"/>
      <c r="I4" s="60"/>
    </row>
    <row r="5" spans="1:9" ht="26.4">
      <c r="A5" s="1" t="s">
        <v>794</v>
      </c>
      <c r="B5" s="2" t="s">
        <v>795</v>
      </c>
      <c r="C5" s="2" t="s">
        <v>796</v>
      </c>
      <c r="D5" s="3" t="s">
        <v>797</v>
      </c>
      <c r="F5" s="1" t="s">
        <v>798</v>
      </c>
      <c r="G5" s="2" t="s">
        <v>799</v>
      </c>
      <c r="H5" s="2" t="s">
        <v>800</v>
      </c>
      <c r="I5" s="3" t="s">
        <v>801</v>
      </c>
    </row>
    <row r="6" spans="1:9" ht="91.2">
      <c r="A6" s="10" t="s">
        <v>802</v>
      </c>
      <c r="B6" s="10" t="s">
        <v>803</v>
      </c>
      <c r="C6" s="10" t="s">
        <v>804</v>
      </c>
      <c r="D6" s="10" t="s">
        <v>805</v>
      </c>
      <c r="F6" s="10" t="s">
        <v>806</v>
      </c>
      <c r="G6" s="10" t="s">
        <v>807</v>
      </c>
      <c r="H6" s="10" t="s">
        <v>808</v>
      </c>
      <c r="I6" s="10" t="s">
        <v>809</v>
      </c>
    </row>
    <row r="7" spans="1:9" ht="125.4">
      <c r="A7" s="11" t="s">
        <v>810</v>
      </c>
      <c r="B7" s="11" t="s">
        <v>811</v>
      </c>
      <c r="C7" s="11" t="s">
        <v>812</v>
      </c>
      <c r="D7" s="11" t="s">
        <v>813</v>
      </c>
      <c r="F7" s="11" t="s">
        <v>814</v>
      </c>
      <c r="G7" s="11" t="s">
        <v>815</v>
      </c>
      <c r="H7" s="11" t="s">
        <v>816</v>
      </c>
      <c r="I7" s="11" t="s">
        <v>817</v>
      </c>
    </row>
    <row r="8" spans="1:9" ht="79.8">
      <c r="A8" s="11" t="s">
        <v>818</v>
      </c>
      <c r="B8" s="11" t="s">
        <v>819</v>
      </c>
      <c r="C8" s="11" t="s">
        <v>820</v>
      </c>
      <c r="D8" s="11" t="s">
        <v>821</v>
      </c>
      <c r="F8" s="11" t="s">
        <v>822</v>
      </c>
      <c r="G8" s="11" t="s">
        <v>194</v>
      </c>
      <c r="H8" s="11" t="s">
        <v>823</v>
      </c>
      <c r="I8" s="11" t="s">
        <v>824</v>
      </c>
    </row>
    <row r="11" spans="1:9">
      <c r="A11" s="1" t="s">
        <v>825</v>
      </c>
      <c r="B11" s="2" t="s">
        <v>826</v>
      </c>
      <c r="C11" s="2" t="s">
        <v>827</v>
      </c>
      <c r="D11" s="2" t="s">
        <v>828</v>
      </c>
      <c r="E11" s="3" t="s">
        <v>829</v>
      </c>
    </row>
    <row r="12" spans="1:9" ht="22.8">
      <c r="A12" s="10">
        <v>1</v>
      </c>
      <c r="B12" s="10" t="s">
        <v>830</v>
      </c>
      <c r="C12" s="10" t="s">
        <v>194</v>
      </c>
      <c r="D12" s="10" t="s">
        <v>831</v>
      </c>
      <c r="E12" s="10" t="s">
        <v>832</v>
      </c>
    </row>
    <row r="13" spans="1:9">
      <c r="A13" s="11">
        <v>2</v>
      </c>
      <c r="B13" s="11" t="s">
        <v>833</v>
      </c>
      <c r="C13" s="11" t="s">
        <v>834</v>
      </c>
      <c r="D13" s="11" t="s">
        <v>835</v>
      </c>
      <c r="E13" s="11" t="s">
        <v>836</v>
      </c>
    </row>
    <row r="14" spans="1:9">
      <c r="A14" s="11">
        <v>3</v>
      </c>
      <c r="B14" s="11" t="s">
        <v>837</v>
      </c>
      <c r="C14" s="11" t="s">
        <v>802</v>
      </c>
      <c r="D14" s="11" t="s">
        <v>838</v>
      </c>
      <c r="E14" s="11" t="s">
        <v>839</v>
      </c>
    </row>
    <row r="15" spans="1:9" ht="22.8">
      <c r="A15" s="11">
        <v>4</v>
      </c>
      <c r="B15" s="11" t="s">
        <v>840</v>
      </c>
      <c r="C15" s="11" t="s">
        <v>810</v>
      </c>
      <c r="D15" s="11" t="s">
        <v>841</v>
      </c>
      <c r="E15" s="11" t="s">
        <v>842</v>
      </c>
    </row>
    <row r="16" spans="1:9" ht="22.8">
      <c r="A16" s="11">
        <v>5</v>
      </c>
      <c r="B16" s="11" t="s">
        <v>843</v>
      </c>
      <c r="C16" s="11" t="s">
        <v>384</v>
      </c>
      <c r="D16" s="11" t="s">
        <v>844</v>
      </c>
      <c r="E16" s="11" t="s">
        <v>845</v>
      </c>
    </row>
    <row r="17" spans="1:9" ht="22.8">
      <c r="A17" s="11">
        <v>6</v>
      </c>
      <c r="B17" s="11" t="s">
        <v>846</v>
      </c>
      <c r="C17" s="11" t="s">
        <v>384</v>
      </c>
      <c r="D17" s="11" t="s">
        <v>847</v>
      </c>
      <c r="E17" s="11" t="s">
        <v>848</v>
      </c>
    </row>
    <row r="18" spans="1:9" ht="22.8">
      <c r="A18" s="11">
        <v>7</v>
      </c>
      <c r="B18" s="11" t="s">
        <v>849</v>
      </c>
      <c r="C18" s="11" t="s">
        <v>384</v>
      </c>
      <c r="D18" s="11" t="s">
        <v>850</v>
      </c>
      <c r="E18" s="11" t="s">
        <v>851</v>
      </c>
    </row>
    <row r="19" spans="1:9" ht="22.8">
      <c r="A19" s="11">
        <v>8</v>
      </c>
      <c r="B19" s="11" t="s">
        <v>852</v>
      </c>
      <c r="C19" s="11" t="s">
        <v>384</v>
      </c>
      <c r="D19" s="11" t="s">
        <v>853</v>
      </c>
      <c r="E19" s="11" t="s">
        <v>854</v>
      </c>
    </row>
    <row r="20" spans="1:9">
      <c r="A20" s="11">
        <v>9</v>
      </c>
      <c r="B20" s="11" t="s">
        <v>855</v>
      </c>
      <c r="C20" s="11" t="s">
        <v>384</v>
      </c>
      <c r="D20" s="11" t="s">
        <v>856</v>
      </c>
      <c r="E20" s="11" t="s">
        <v>857</v>
      </c>
    </row>
    <row r="21" spans="1:9" ht="22.8">
      <c r="A21" s="11">
        <v>10</v>
      </c>
      <c r="B21" s="11" t="s">
        <v>858</v>
      </c>
      <c r="C21" s="11" t="s">
        <v>384</v>
      </c>
      <c r="D21" s="11" t="s">
        <v>859</v>
      </c>
      <c r="E21" s="11" t="s">
        <v>860</v>
      </c>
    </row>
    <row r="22" spans="1:9" ht="22.8">
      <c r="A22" s="11">
        <v>11</v>
      </c>
      <c r="B22" s="11" t="s">
        <v>861</v>
      </c>
      <c r="C22" s="11" t="s">
        <v>384</v>
      </c>
      <c r="D22" s="11" t="s">
        <v>862</v>
      </c>
      <c r="E22" s="11" t="s">
        <v>863</v>
      </c>
    </row>
    <row r="23" spans="1:9">
      <c r="A23" s="11">
        <v>12</v>
      </c>
      <c r="B23" s="11" t="s">
        <v>864</v>
      </c>
      <c r="C23" s="11" t="s">
        <v>384</v>
      </c>
      <c r="D23" s="11" t="s">
        <v>865</v>
      </c>
      <c r="E23" s="11" t="s">
        <v>866</v>
      </c>
    </row>
    <row r="24" spans="1:9" ht="22.8">
      <c r="A24" s="11">
        <v>13</v>
      </c>
      <c r="B24" s="11" t="s">
        <v>867</v>
      </c>
      <c r="C24" s="11" t="s">
        <v>384</v>
      </c>
      <c r="D24" s="11" t="s">
        <v>868</v>
      </c>
      <c r="E24" s="11" t="s">
        <v>869</v>
      </c>
    </row>
    <row r="25" spans="1:9">
      <c r="A25" s="11">
        <v>14</v>
      </c>
      <c r="B25" s="11" t="s">
        <v>870</v>
      </c>
      <c r="C25" s="11" t="s">
        <v>384</v>
      </c>
      <c r="D25" s="11" t="s">
        <v>871</v>
      </c>
      <c r="E25" s="11" t="s">
        <v>872</v>
      </c>
    </row>
    <row r="26" spans="1:9">
      <c r="A26" s="11">
        <v>15</v>
      </c>
      <c r="B26" s="11" t="s">
        <v>873</v>
      </c>
      <c r="C26" s="11" t="s">
        <v>384</v>
      </c>
      <c r="D26" s="11" t="s">
        <v>874</v>
      </c>
      <c r="E26" s="11" t="s">
        <v>875</v>
      </c>
    </row>
    <row r="27" spans="1:9" ht="22.8">
      <c r="A27" s="11">
        <v>16</v>
      </c>
      <c r="B27" s="11" t="s">
        <v>876</v>
      </c>
      <c r="C27" s="11" t="s">
        <v>194</v>
      </c>
      <c r="D27" s="11" t="s">
        <v>877</v>
      </c>
      <c r="E27" s="11" t="s">
        <v>878</v>
      </c>
    </row>
    <row r="29" spans="1:9">
      <c r="A29" s="116" t="s">
        <v>879</v>
      </c>
      <c r="B29" s="117"/>
      <c r="C29" s="117"/>
      <c r="D29" s="117"/>
      <c r="E29" s="117"/>
      <c r="F29" s="117"/>
      <c r="G29" s="117"/>
      <c r="H29" s="117"/>
      <c r="I29" s="118"/>
    </row>
  </sheetData>
  <mergeCells count="4">
    <mergeCell ref="A1:I1"/>
    <mergeCell ref="A2:I2"/>
    <mergeCell ref="A4:I4"/>
    <mergeCell ref="A29:I29"/>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9"/>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56" t="s">
        <v>880</v>
      </c>
      <c r="B1" s="56"/>
      <c r="C1" s="56"/>
      <c r="D1" s="56"/>
      <c r="E1" s="56"/>
      <c r="F1" s="56"/>
      <c r="G1" s="56"/>
    </row>
    <row r="2" spans="1:7" ht="31.95" customHeight="1">
      <c r="A2" s="57" t="s">
        <v>881</v>
      </c>
      <c r="B2" s="57"/>
      <c r="C2" s="57"/>
      <c r="D2" s="57"/>
      <c r="E2" s="57"/>
      <c r="F2" s="57"/>
      <c r="G2" s="57"/>
    </row>
    <row r="5" spans="1:7" ht="28.05" customHeight="1">
      <c r="A5" s="1" t="s">
        <v>692</v>
      </c>
      <c r="B5" s="2" t="s">
        <v>882</v>
      </c>
      <c r="C5" s="2" t="s">
        <v>883</v>
      </c>
      <c r="D5" s="2" t="s">
        <v>884</v>
      </c>
      <c r="E5" s="2" t="s">
        <v>885</v>
      </c>
      <c r="F5" s="2" t="s">
        <v>886</v>
      </c>
      <c r="G5" s="3" t="s">
        <v>887</v>
      </c>
    </row>
    <row r="6" spans="1:7">
      <c r="A6" s="10" t="s">
        <v>888</v>
      </c>
      <c r="B6" s="10" t="s">
        <v>889</v>
      </c>
      <c r="C6" s="10" t="s">
        <v>890</v>
      </c>
      <c r="D6" s="10" t="s">
        <v>334</v>
      </c>
      <c r="E6" s="10" t="s">
        <v>891</v>
      </c>
      <c r="F6" s="10" t="s">
        <v>892</v>
      </c>
      <c r="G6" s="10" t="s">
        <v>893</v>
      </c>
    </row>
    <row r="7" spans="1:7">
      <c r="A7" s="11" t="s">
        <v>888</v>
      </c>
      <c r="B7" s="11" t="s">
        <v>894</v>
      </c>
      <c r="C7" s="11" t="s">
        <v>890</v>
      </c>
      <c r="D7" s="11" t="s">
        <v>895</v>
      </c>
      <c r="E7" s="11" t="s">
        <v>896</v>
      </c>
      <c r="F7" s="11" t="s">
        <v>897</v>
      </c>
      <c r="G7" s="11" t="s">
        <v>898</v>
      </c>
    </row>
    <row r="8" spans="1:7">
      <c r="A8" s="11" t="s">
        <v>888</v>
      </c>
      <c r="B8" s="11" t="s">
        <v>899</v>
      </c>
      <c r="C8" s="11" t="s">
        <v>890</v>
      </c>
      <c r="D8" s="11" t="s">
        <v>895</v>
      </c>
      <c r="E8" s="11" t="s">
        <v>900</v>
      </c>
      <c r="F8" s="11" t="s">
        <v>901</v>
      </c>
      <c r="G8" s="11" t="s">
        <v>902</v>
      </c>
    </row>
    <row r="9" spans="1:7">
      <c r="A9" s="11" t="s">
        <v>888</v>
      </c>
      <c r="B9" s="11" t="s">
        <v>903</v>
      </c>
      <c r="C9" s="11" t="s">
        <v>890</v>
      </c>
      <c r="D9" s="11" t="s">
        <v>895</v>
      </c>
      <c r="E9" s="11" t="s">
        <v>904</v>
      </c>
      <c r="F9" s="11" t="s">
        <v>905</v>
      </c>
      <c r="G9" s="11" t="s">
        <v>906</v>
      </c>
    </row>
    <row r="10" spans="1:7">
      <c r="A10" s="11" t="s">
        <v>888</v>
      </c>
      <c r="B10" s="11" t="s">
        <v>907</v>
      </c>
      <c r="C10" s="11" t="s">
        <v>890</v>
      </c>
      <c r="D10" s="11" t="s">
        <v>895</v>
      </c>
      <c r="E10" s="11" t="s">
        <v>908</v>
      </c>
      <c r="F10" s="11" t="s">
        <v>909</v>
      </c>
      <c r="G10" s="11" t="s">
        <v>910</v>
      </c>
    </row>
    <row r="11" spans="1:7">
      <c r="A11" s="11" t="s">
        <v>911</v>
      </c>
      <c r="B11" s="11" t="s">
        <v>912</v>
      </c>
      <c r="C11" s="11" t="s">
        <v>913</v>
      </c>
      <c r="D11" s="11" t="s">
        <v>914</v>
      </c>
      <c r="E11" s="11" t="s">
        <v>915</v>
      </c>
      <c r="F11" s="11" t="s">
        <v>916</v>
      </c>
      <c r="G11" s="11" t="s">
        <v>917</v>
      </c>
    </row>
    <row r="12" spans="1:7">
      <c r="A12" s="11" t="s">
        <v>911</v>
      </c>
      <c r="B12" s="11" t="s">
        <v>918</v>
      </c>
      <c r="C12" s="11" t="s">
        <v>913</v>
      </c>
      <c r="D12" s="11" t="s">
        <v>26</v>
      </c>
      <c r="E12" s="11" t="s">
        <v>919</v>
      </c>
      <c r="F12" s="11" t="s">
        <v>920</v>
      </c>
      <c r="G12" s="11" t="s">
        <v>921</v>
      </c>
    </row>
    <row r="13" spans="1:7">
      <c r="A13" s="11" t="s">
        <v>922</v>
      </c>
      <c r="B13" s="11" t="s">
        <v>923</v>
      </c>
      <c r="C13" s="11" t="s">
        <v>890</v>
      </c>
      <c r="D13" s="11" t="s">
        <v>334</v>
      </c>
      <c r="E13" s="11" t="s">
        <v>924</v>
      </c>
      <c r="F13" s="11" t="s">
        <v>925</v>
      </c>
      <c r="G13" s="11" t="s">
        <v>926</v>
      </c>
    </row>
    <row r="14" spans="1:7">
      <c r="A14" s="11" t="s">
        <v>922</v>
      </c>
      <c r="B14" s="11" t="s">
        <v>927</v>
      </c>
      <c r="C14" s="11" t="s">
        <v>890</v>
      </c>
      <c r="D14" s="11" t="s">
        <v>334</v>
      </c>
      <c r="E14" s="11" t="s">
        <v>928</v>
      </c>
      <c r="F14" s="11" t="s">
        <v>929</v>
      </c>
      <c r="G14" s="11" t="s">
        <v>930</v>
      </c>
    </row>
    <row r="15" spans="1:7">
      <c r="A15" s="11" t="s">
        <v>922</v>
      </c>
      <c r="B15" s="11" t="s">
        <v>931</v>
      </c>
      <c r="C15" s="11" t="s">
        <v>890</v>
      </c>
      <c r="D15" s="11" t="s">
        <v>932</v>
      </c>
      <c r="E15" s="11" t="s">
        <v>933</v>
      </c>
      <c r="F15" s="11" t="s">
        <v>934</v>
      </c>
      <c r="G15" s="11" t="s">
        <v>935</v>
      </c>
    </row>
    <row r="16" spans="1:7">
      <c r="A16" s="11" t="s">
        <v>922</v>
      </c>
      <c r="B16" s="11" t="s">
        <v>936</v>
      </c>
      <c r="C16" s="11" t="s">
        <v>890</v>
      </c>
      <c r="D16" s="11" t="s">
        <v>937</v>
      </c>
      <c r="E16" s="11" t="s">
        <v>938</v>
      </c>
      <c r="F16" s="11" t="s">
        <v>939</v>
      </c>
      <c r="G16" s="11" t="s">
        <v>940</v>
      </c>
    </row>
    <row r="17" spans="1:7">
      <c r="A17" s="11" t="s">
        <v>941</v>
      </c>
      <c r="B17" s="11" t="s">
        <v>942</v>
      </c>
      <c r="C17" s="11" t="s">
        <v>890</v>
      </c>
      <c r="D17" s="11" t="s">
        <v>943</v>
      </c>
      <c r="E17" s="11" t="s">
        <v>944</v>
      </c>
      <c r="F17" s="11" t="s">
        <v>945</v>
      </c>
      <c r="G17" s="11" t="s">
        <v>946</v>
      </c>
    </row>
    <row r="18" spans="1:7" ht="22.8">
      <c r="A18" s="11" t="s">
        <v>947</v>
      </c>
      <c r="B18" s="11" t="s">
        <v>948</v>
      </c>
      <c r="C18" s="11" t="s">
        <v>913</v>
      </c>
      <c r="D18" s="11" t="s">
        <v>25</v>
      </c>
      <c r="E18" s="11" t="s">
        <v>949</v>
      </c>
      <c r="F18" s="11" t="s">
        <v>950</v>
      </c>
      <c r="G18" s="11" t="s">
        <v>951</v>
      </c>
    </row>
    <row r="19" spans="1:7">
      <c r="A19" s="11" t="s">
        <v>947</v>
      </c>
      <c r="B19" s="11" t="s">
        <v>952</v>
      </c>
      <c r="C19" s="11" t="s">
        <v>953</v>
      </c>
      <c r="D19" s="11" t="s">
        <v>334</v>
      </c>
      <c r="E19" s="11" t="s">
        <v>954</v>
      </c>
      <c r="F19" s="11" t="s">
        <v>955</v>
      </c>
      <c r="G19" s="11" t="s">
        <v>956</v>
      </c>
    </row>
    <row r="20" spans="1:7">
      <c r="A20" s="11" t="s">
        <v>434</v>
      </c>
      <c r="B20" s="11" t="s">
        <v>957</v>
      </c>
      <c r="C20" s="11" t="s">
        <v>913</v>
      </c>
      <c r="D20" s="11" t="s">
        <v>25</v>
      </c>
      <c r="E20" s="11" t="s">
        <v>958</v>
      </c>
      <c r="F20" s="11" t="s">
        <v>959</v>
      </c>
      <c r="G20" s="11" t="s">
        <v>960</v>
      </c>
    </row>
    <row r="21" spans="1:7">
      <c r="A21" s="11" t="s">
        <v>434</v>
      </c>
      <c r="B21" s="11" t="s">
        <v>961</v>
      </c>
      <c r="C21" s="11" t="s">
        <v>913</v>
      </c>
      <c r="D21" s="11" t="s">
        <v>25</v>
      </c>
      <c r="E21" s="11" t="s">
        <v>962</v>
      </c>
      <c r="F21" s="11" t="s">
        <v>963</v>
      </c>
      <c r="G21" s="11" t="s">
        <v>964</v>
      </c>
    </row>
    <row r="22" spans="1:7">
      <c r="A22" s="11" t="s">
        <v>434</v>
      </c>
      <c r="B22" s="11" t="s">
        <v>965</v>
      </c>
      <c r="C22" s="11" t="s">
        <v>953</v>
      </c>
      <c r="D22" s="11" t="s">
        <v>334</v>
      </c>
      <c r="E22" s="11" t="s">
        <v>966</v>
      </c>
      <c r="F22" s="11" t="s">
        <v>967</v>
      </c>
      <c r="G22" s="11" t="s">
        <v>968</v>
      </c>
    </row>
    <row r="23" spans="1:7">
      <c r="A23" s="11" t="s">
        <v>969</v>
      </c>
      <c r="B23" s="11" t="s">
        <v>970</v>
      </c>
      <c r="C23" s="11" t="s">
        <v>913</v>
      </c>
      <c r="D23" s="11" t="s">
        <v>26</v>
      </c>
      <c r="E23" s="11" t="s">
        <v>971</v>
      </c>
      <c r="F23" s="11" t="s">
        <v>972</v>
      </c>
      <c r="G23" s="11" t="s">
        <v>973</v>
      </c>
    </row>
    <row r="24" spans="1:7">
      <c r="A24" s="11" t="s">
        <v>969</v>
      </c>
      <c r="B24" s="11" t="s">
        <v>974</v>
      </c>
      <c r="C24" s="11" t="s">
        <v>890</v>
      </c>
      <c r="D24" s="11" t="s">
        <v>975</v>
      </c>
      <c r="E24" s="11" t="s">
        <v>976</v>
      </c>
      <c r="F24" s="11" t="s">
        <v>977</v>
      </c>
      <c r="G24" s="11" t="s">
        <v>978</v>
      </c>
    </row>
    <row r="25" spans="1:7">
      <c r="A25" s="11" t="s">
        <v>969</v>
      </c>
      <c r="B25" s="11" t="s">
        <v>979</v>
      </c>
      <c r="C25" s="11" t="s">
        <v>890</v>
      </c>
      <c r="D25" s="11" t="s">
        <v>975</v>
      </c>
      <c r="E25" s="11" t="s">
        <v>980</v>
      </c>
      <c r="F25" s="11" t="s">
        <v>981</v>
      </c>
      <c r="G25" s="11" t="s">
        <v>982</v>
      </c>
    </row>
    <row r="26" spans="1:7">
      <c r="A26" s="11" t="s">
        <v>969</v>
      </c>
      <c r="B26" s="11" t="s">
        <v>983</v>
      </c>
      <c r="C26" s="11" t="s">
        <v>890</v>
      </c>
      <c r="D26" s="11" t="s">
        <v>895</v>
      </c>
      <c r="E26" s="11" t="s">
        <v>984</v>
      </c>
      <c r="F26" s="11" t="s">
        <v>985</v>
      </c>
      <c r="G26" s="11" t="s">
        <v>986</v>
      </c>
    </row>
    <row r="27" spans="1:7">
      <c r="A27" s="11" t="s">
        <v>987</v>
      </c>
      <c r="B27" s="11" t="s">
        <v>988</v>
      </c>
      <c r="C27" s="11" t="s">
        <v>913</v>
      </c>
      <c r="D27" s="11" t="s">
        <v>165</v>
      </c>
      <c r="E27" s="11" t="s">
        <v>989</v>
      </c>
      <c r="F27" s="11" t="s">
        <v>959</v>
      </c>
      <c r="G27" s="11" t="s">
        <v>990</v>
      </c>
    </row>
    <row r="28" spans="1:7">
      <c r="A28" s="11" t="s">
        <v>987</v>
      </c>
      <c r="B28" s="11" t="s">
        <v>991</v>
      </c>
      <c r="C28" s="11" t="s">
        <v>890</v>
      </c>
      <c r="D28" s="11" t="s">
        <v>992</v>
      </c>
      <c r="E28" s="11" t="s">
        <v>993</v>
      </c>
      <c r="F28" s="11" t="s">
        <v>994</v>
      </c>
      <c r="G28" s="11" t="s">
        <v>995</v>
      </c>
    </row>
    <row r="29" spans="1:7">
      <c r="A29" s="11" t="s">
        <v>996</v>
      </c>
      <c r="B29" s="11" t="s">
        <v>997</v>
      </c>
      <c r="C29" s="11" t="s">
        <v>953</v>
      </c>
      <c r="D29" s="11" t="s">
        <v>998</v>
      </c>
      <c r="E29" s="11" t="s">
        <v>999</v>
      </c>
      <c r="F29" s="11" t="s">
        <v>1000</v>
      </c>
      <c r="G29" s="11" t="s">
        <v>1001</v>
      </c>
    </row>
    <row r="30" spans="1:7">
      <c r="A30" s="11" t="s">
        <v>996</v>
      </c>
      <c r="B30" s="11" t="s">
        <v>1002</v>
      </c>
      <c r="C30" s="11" t="s">
        <v>890</v>
      </c>
      <c r="D30" s="11" t="s">
        <v>998</v>
      </c>
      <c r="E30" s="11" t="s">
        <v>1003</v>
      </c>
      <c r="F30" s="11" t="s">
        <v>1004</v>
      </c>
      <c r="G30" s="11" t="s">
        <v>1005</v>
      </c>
    </row>
    <row r="31" spans="1:7">
      <c r="A31" s="11" t="s">
        <v>1006</v>
      </c>
      <c r="B31" s="11" t="s">
        <v>1007</v>
      </c>
      <c r="C31" s="11" t="s">
        <v>890</v>
      </c>
      <c r="D31" s="11" t="s">
        <v>1008</v>
      </c>
      <c r="E31" s="11" t="s">
        <v>1009</v>
      </c>
      <c r="F31" s="11" t="s">
        <v>1010</v>
      </c>
      <c r="G31" s="11" t="s">
        <v>1011</v>
      </c>
    </row>
    <row r="32" spans="1:7">
      <c r="A32" s="11" t="s">
        <v>1012</v>
      </c>
      <c r="B32" s="11" t="s">
        <v>1013</v>
      </c>
      <c r="C32" s="11" t="s">
        <v>913</v>
      </c>
      <c r="D32" s="11" t="s">
        <v>24</v>
      </c>
      <c r="E32" s="11" t="s">
        <v>1014</v>
      </c>
      <c r="F32" s="11" t="s">
        <v>1015</v>
      </c>
      <c r="G32" s="11" t="s">
        <v>1016</v>
      </c>
    </row>
    <row r="33" spans="1:7">
      <c r="A33" s="11" t="s">
        <v>1012</v>
      </c>
      <c r="B33" s="11" t="s">
        <v>1017</v>
      </c>
      <c r="C33" s="11" t="s">
        <v>890</v>
      </c>
      <c r="D33" s="11" t="s">
        <v>932</v>
      </c>
      <c r="E33" s="11" t="s">
        <v>1018</v>
      </c>
      <c r="F33" s="11" t="s">
        <v>1019</v>
      </c>
      <c r="G33" s="11" t="s">
        <v>1020</v>
      </c>
    </row>
    <row r="34" spans="1:7">
      <c r="A34" s="11" t="s">
        <v>1021</v>
      </c>
      <c r="B34" s="11" t="s">
        <v>83</v>
      </c>
      <c r="C34" s="11" t="s">
        <v>913</v>
      </c>
      <c r="D34" s="11" t="s">
        <v>24</v>
      </c>
      <c r="E34" s="11" t="s">
        <v>1022</v>
      </c>
      <c r="F34" s="11" t="s">
        <v>1023</v>
      </c>
      <c r="G34" s="11" t="s">
        <v>1024</v>
      </c>
    </row>
    <row r="35" spans="1:7" ht="22.8">
      <c r="A35" s="11" t="s">
        <v>1021</v>
      </c>
      <c r="B35" s="11" t="s">
        <v>89</v>
      </c>
      <c r="C35" s="11" t="s">
        <v>1025</v>
      </c>
      <c r="D35" s="11" t="s">
        <v>27</v>
      </c>
      <c r="E35" s="11" t="s">
        <v>1026</v>
      </c>
      <c r="F35" s="11" t="s">
        <v>1027</v>
      </c>
      <c r="G35" s="11" t="s">
        <v>1028</v>
      </c>
    </row>
    <row r="36" spans="1:7">
      <c r="A36" s="11" t="s">
        <v>1021</v>
      </c>
      <c r="B36" s="11" t="s">
        <v>1029</v>
      </c>
      <c r="C36" s="11" t="s">
        <v>890</v>
      </c>
      <c r="D36" s="11" t="s">
        <v>1030</v>
      </c>
      <c r="E36" s="11" t="s">
        <v>1031</v>
      </c>
      <c r="F36" s="11" t="s">
        <v>1032</v>
      </c>
      <c r="G36" s="11" t="s">
        <v>1033</v>
      </c>
    </row>
    <row r="37" spans="1:7">
      <c r="A37" s="11" t="s">
        <v>1021</v>
      </c>
      <c r="B37" s="11" t="s">
        <v>1034</v>
      </c>
      <c r="C37" s="11" t="s">
        <v>890</v>
      </c>
      <c r="D37" s="11" t="s">
        <v>1035</v>
      </c>
      <c r="E37" s="11" t="s">
        <v>1036</v>
      </c>
      <c r="F37" s="11" t="s">
        <v>1032</v>
      </c>
      <c r="G37" s="11" t="s">
        <v>1037</v>
      </c>
    </row>
    <row r="38" spans="1:7">
      <c r="A38" s="11" t="s">
        <v>1021</v>
      </c>
      <c r="B38" s="11" t="s">
        <v>1038</v>
      </c>
      <c r="C38" s="11" t="s">
        <v>890</v>
      </c>
      <c r="D38" s="11" t="s">
        <v>1039</v>
      </c>
      <c r="E38" s="11" t="s">
        <v>1040</v>
      </c>
      <c r="F38" s="11" t="s">
        <v>1041</v>
      </c>
      <c r="G38" s="11" t="s">
        <v>1042</v>
      </c>
    </row>
    <row r="39" spans="1:7">
      <c r="A39" s="11" t="s">
        <v>1021</v>
      </c>
      <c r="B39" s="11" t="s">
        <v>1043</v>
      </c>
      <c r="C39" s="11" t="s">
        <v>890</v>
      </c>
      <c r="D39" s="11" t="s">
        <v>1044</v>
      </c>
      <c r="E39" s="11" t="s">
        <v>1045</v>
      </c>
      <c r="F39" s="11" t="s">
        <v>1041</v>
      </c>
      <c r="G39" s="11" t="s">
        <v>1046</v>
      </c>
    </row>
    <row r="40" spans="1:7">
      <c r="A40" s="11" t="s">
        <v>1021</v>
      </c>
      <c r="B40" s="11" t="s">
        <v>1047</v>
      </c>
      <c r="C40" s="11" t="s">
        <v>890</v>
      </c>
      <c r="D40" s="11" t="s">
        <v>1048</v>
      </c>
      <c r="E40" s="11" t="s">
        <v>1049</v>
      </c>
      <c r="F40" s="11" t="s">
        <v>1041</v>
      </c>
      <c r="G40" s="11" t="s">
        <v>1050</v>
      </c>
    </row>
    <row r="41" spans="1:7">
      <c r="A41" s="11" t="s">
        <v>1051</v>
      </c>
      <c r="B41" s="11" t="s">
        <v>1052</v>
      </c>
      <c r="C41" s="11" t="s">
        <v>953</v>
      </c>
      <c r="D41" s="11" t="s">
        <v>1053</v>
      </c>
      <c r="E41" s="11" t="s">
        <v>1054</v>
      </c>
      <c r="F41" s="11" t="s">
        <v>1055</v>
      </c>
      <c r="G41" s="11" t="s">
        <v>1056</v>
      </c>
    </row>
    <row r="42" spans="1:7">
      <c r="A42" s="11" t="s">
        <v>1051</v>
      </c>
      <c r="B42" s="11" t="s">
        <v>1057</v>
      </c>
      <c r="C42" s="11" t="s">
        <v>890</v>
      </c>
      <c r="D42" s="11" t="s">
        <v>1058</v>
      </c>
      <c r="E42" s="11" t="s">
        <v>1059</v>
      </c>
      <c r="F42" s="11" t="s">
        <v>1060</v>
      </c>
      <c r="G42" s="11" t="s">
        <v>1061</v>
      </c>
    </row>
    <row r="43" spans="1:7">
      <c r="A43" s="11" t="s">
        <v>1051</v>
      </c>
      <c r="B43" s="11" t="s">
        <v>1062</v>
      </c>
      <c r="C43" s="11" t="s">
        <v>890</v>
      </c>
      <c r="D43" s="11" t="s">
        <v>1063</v>
      </c>
      <c r="E43" s="11" t="s">
        <v>1064</v>
      </c>
      <c r="F43" s="11" t="s">
        <v>1065</v>
      </c>
      <c r="G43" s="11" t="s">
        <v>1066</v>
      </c>
    </row>
    <row r="44" spans="1:7">
      <c r="A44" s="11" t="s">
        <v>1067</v>
      </c>
      <c r="B44" s="11" t="s">
        <v>1068</v>
      </c>
      <c r="C44" s="11" t="s">
        <v>953</v>
      </c>
      <c r="D44" s="11" t="s">
        <v>1053</v>
      </c>
      <c r="E44" s="11" t="s">
        <v>1069</v>
      </c>
      <c r="F44" s="11" t="s">
        <v>1070</v>
      </c>
      <c r="G44" s="11" t="s">
        <v>1071</v>
      </c>
    </row>
    <row r="45" spans="1:7">
      <c r="A45" s="11" t="s">
        <v>1067</v>
      </c>
      <c r="B45" s="11" t="s">
        <v>1072</v>
      </c>
      <c r="C45" s="11" t="s">
        <v>890</v>
      </c>
      <c r="D45" s="11" t="s">
        <v>1063</v>
      </c>
      <c r="E45" s="11" t="s">
        <v>1073</v>
      </c>
      <c r="F45" s="11" t="s">
        <v>1074</v>
      </c>
      <c r="G45" s="11" t="s">
        <v>1075</v>
      </c>
    </row>
    <row r="46" spans="1:7">
      <c r="A46" s="11" t="s">
        <v>1067</v>
      </c>
      <c r="B46" s="11" t="s">
        <v>1076</v>
      </c>
      <c r="C46" s="11" t="s">
        <v>890</v>
      </c>
      <c r="D46" s="11" t="s">
        <v>1063</v>
      </c>
      <c r="E46" s="11" t="s">
        <v>1077</v>
      </c>
      <c r="F46" s="11" t="s">
        <v>1078</v>
      </c>
      <c r="G46" s="11" t="s">
        <v>1079</v>
      </c>
    </row>
    <row r="47" spans="1:7">
      <c r="A47" s="11" t="s">
        <v>1080</v>
      </c>
      <c r="B47" s="11" t="s">
        <v>1081</v>
      </c>
      <c r="C47" s="11" t="s">
        <v>953</v>
      </c>
      <c r="D47" s="11" t="s">
        <v>1053</v>
      </c>
      <c r="E47" s="11" t="s">
        <v>1082</v>
      </c>
      <c r="F47" s="11" t="s">
        <v>1083</v>
      </c>
      <c r="G47" s="11" t="s">
        <v>1084</v>
      </c>
    </row>
    <row r="48" spans="1:7">
      <c r="A48" s="11" t="s">
        <v>1080</v>
      </c>
      <c r="B48" s="11" t="s">
        <v>1085</v>
      </c>
      <c r="C48" s="11" t="s">
        <v>890</v>
      </c>
      <c r="D48" s="11" t="s">
        <v>1086</v>
      </c>
      <c r="E48" s="11" t="s">
        <v>1087</v>
      </c>
      <c r="F48" s="11" t="s">
        <v>1088</v>
      </c>
      <c r="G48" s="11" t="s">
        <v>1089</v>
      </c>
    </row>
    <row r="49" spans="1:7">
      <c r="A49" s="11" t="s">
        <v>551</v>
      </c>
      <c r="B49" s="11" t="s">
        <v>1090</v>
      </c>
      <c r="C49" s="11" t="s">
        <v>913</v>
      </c>
      <c r="D49" s="11" t="s">
        <v>24</v>
      </c>
      <c r="E49" s="11" t="s">
        <v>1091</v>
      </c>
      <c r="F49" s="11" t="s">
        <v>1092</v>
      </c>
      <c r="G49" s="11" t="s">
        <v>1093</v>
      </c>
    </row>
    <row r="50" spans="1:7">
      <c r="A50" s="11" t="s">
        <v>551</v>
      </c>
      <c r="B50" s="11" t="s">
        <v>1094</v>
      </c>
      <c r="C50" s="11" t="s">
        <v>953</v>
      </c>
      <c r="D50" s="11" t="s">
        <v>1053</v>
      </c>
      <c r="E50" s="11" t="s">
        <v>1095</v>
      </c>
      <c r="F50" s="11" t="s">
        <v>1096</v>
      </c>
      <c r="G50" s="11" t="s">
        <v>1097</v>
      </c>
    </row>
    <row r="51" spans="1:7">
      <c r="A51" s="11" t="s">
        <v>1098</v>
      </c>
      <c r="B51" s="11" t="s">
        <v>140</v>
      </c>
      <c r="C51" s="11" t="s">
        <v>1099</v>
      </c>
      <c r="D51" s="11" t="s">
        <v>28</v>
      </c>
      <c r="E51" s="11" t="s">
        <v>1100</v>
      </c>
      <c r="F51" s="11" t="s">
        <v>1101</v>
      </c>
      <c r="G51" s="11" t="s">
        <v>1102</v>
      </c>
    </row>
    <row r="52" spans="1:7">
      <c r="A52" s="11" t="s">
        <v>1098</v>
      </c>
      <c r="B52" s="11" t="s">
        <v>1103</v>
      </c>
      <c r="C52" s="11" t="s">
        <v>1104</v>
      </c>
      <c r="D52" s="11" t="s">
        <v>1105</v>
      </c>
      <c r="E52" s="11" t="s">
        <v>1106</v>
      </c>
      <c r="F52" s="11" t="s">
        <v>1107</v>
      </c>
      <c r="G52" s="11" t="s">
        <v>1108</v>
      </c>
    </row>
    <row r="53" spans="1:7">
      <c r="A53" s="11" t="s">
        <v>1109</v>
      </c>
      <c r="B53" s="11" t="s">
        <v>1110</v>
      </c>
      <c r="C53" s="11" t="s">
        <v>913</v>
      </c>
      <c r="D53" s="11" t="s">
        <v>25</v>
      </c>
      <c r="E53" s="11" t="s">
        <v>1111</v>
      </c>
      <c r="F53" s="11" t="s">
        <v>1112</v>
      </c>
      <c r="G53" s="11" t="s">
        <v>1113</v>
      </c>
    </row>
    <row r="54" spans="1:7">
      <c r="A54" s="11" t="s">
        <v>1114</v>
      </c>
      <c r="B54" s="11" t="s">
        <v>1115</v>
      </c>
      <c r="C54" s="11" t="s">
        <v>913</v>
      </c>
      <c r="D54" s="11" t="s">
        <v>150</v>
      </c>
      <c r="E54" s="11" t="s">
        <v>1116</v>
      </c>
      <c r="F54" s="11" t="s">
        <v>1117</v>
      </c>
      <c r="G54" s="11" t="s">
        <v>1118</v>
      </c>
    </row>
    <row r="55" spans="1:7">
      <c r="A55" s="11" t="s">
        <v>1119</v>
      </c>
      <c r="B55" s="11" t="s">
        <v>1120</v>
      </c>
      <c r="C55" s="11" t="s">
        <v>913</v>
      </c>
      <c r="D55" s="11" t="s">
        <v>1121</v>
      </c>
      <c r="E55" s="11" t="s">
        <v>1122</v>
      </c>
      <c r="F55" s="11" t="s">
        <v>1123</v>
      </c>
      <c r="G55" s="11" t="s">
        <v>1124</v>
      </c>
    </row>
    <row r="56" spans="1:7" ht="22.8">
      <c r="A56" s="11" t="s">
        <v>728</v>
      </c>
      <c r="B56" s="11" t="s">
        <v>1125</v>
      </c>
      <c r="C56" s="11" t="s">
        <v>1126</v>
      </c>
      <c r="D56" s="11" t="s">
        <v>27</v>
      </c>
      <c r="E56" s="11" t="s">
        <v>1127</v>
      </c>
      <c r="F56" s="11" t="s">
        <v>1128</v>
      </c>
      <c r="G56" s="11" t="s">
        <v>1129</v>
      </c>
    </row>
    <row r="57" spans="1:7">
      <c r="A57" s="11" t="s">
        <v>472</v>
      </c>
      <c r="B57" s="11" t="s">
        <v>1130</v>
      </c>
      <c r="C57" s="11" t="s">
        <v>913</v>
      </c>
      <c r="D57" s="11" t="s">
        <v>1131</v>
      </c>
      <c r="E57" s="11" t="s">
        <v>1132</v>
      </c>
      <c r="F57" s="11" t="s">
        <v>1133</v>
      </c>
      <c r="G57" s="11" t="s">
        <v>1134</v>
      </c>
    </row>
    <row r="58" spans="1:7">
      <c r="A58" s="11" t="s">
        <v>1135</v>
      </c>
      <c r="B58" s="11" t="s">
        <v>1136</v>
      </c>
      <c r="C58" s="11" t="s">
        <v>890</v>
      </c>
      <c r="D58" s="11" t="s">
        <v>334</v>
      </c>
      <c r="E58" s="11" t="s">
        <v>1137</v>
      </c>
      <c r="F58" s="11" t="s">
        <v>1138</v>
      </c>
      <c r="G58" s="11" t="s">
        <v>1139</v>
      </c>
    </row>
    <row r="59" spans="1:7">
      <c r="A59" s="11" t="s">
        <v>738</v>
      </c>
      <c r="B59" s="11" t="s">
        <v>1140</v>
      </c>
      <c r="C59" s="11" t="s">
        <v>913</v>
      </c>
      <c r="D59" s="11" t="s">
        <v>27</v>
      </c>
      <c r="E59" s="11" t="s">
        <v>1141</v>
      </c>
      <c r="F59" s="11" t="s">
        <v>1142</v>
      </c>
      <c r="G59" s="11" t="s">
        <v>1143</v>
      </c>
    </row>
    <row r="60" spans="1:7" ht="22.8">
      <c r="A60" s="11" t="s">
        <v>1144</v>
      </c>
      <c r="B60" s="11" t="s">
        <v>1145</v>
      </c>
      <c r="C60" s="11" t="s">
        <v>913</v>
      </c>
      <c r="D60" s="11" t="s">
        <v>179</v>
      </c>
      <c r="E60" s="11" t="s">
        <v>1146</v>
      </c>
      <c r="F60" s="11" t="s">
        <v>1147</v>
      </c>
      <c r="G60" s="11" t="s">
        <v>1148</v>
      </c>
    </row>
    <row r="61" spans="1:7">
      <c r="A61" s="11" t="s">
        <v>489</v>
      </c>
      <c r="B61" s="11" t="s">
        <v>1149</v>
      </c>
      <c r="C61" s="11" t="s">
        <v>913</v>
      </c>
      <c r="D61" s="11" t="s">
        <v>27</v>
      </c>
      <c r="E61" s="11" t="s">
        <v>1150</v>
      </c>
      <c r="F61" s="11" t="s">
        <v>1151</v>
      </c>
      <c r="G61" s="11" t="s">
        <v>1152</v>
      </c>
    </row>
    <row r="62" spans="1:7">
      <c r="A62" s="11" t="s">
        <v>1153</v>
      </c>
      <c r="B62" s="11" t="s">
        <v>1154</v>
      </c>
      <c r="C62" s="11" t="s">
        <v>913</v>
      </c>
      <c r="D62" s="11" t="s">
        <v>9</v>
      </c>
      <c r="E62" s="11" t="s">
        <v>1155</v>
      </c>
      <c r="F62" s="11" t="s">
        <v>1156</v>
      </c>
      <c r="G62" s="11" t="s">
        <v>1157</v>
      </c>
    </row>
    <row r="63" spans="1:7">
      <c r="A63" s="11" t="s">
        <v>461</v>
      </c>
      <c r="B63" s="11" t="s">
        <v>1158</v>
      </c>
      <c r="C63" s="11" t="s">
        <v>85</v>
      </c>
      <c r="D63" s="11" t="s">
        <v>28</v>
      </c>
      <c r="E63" s="11" t="s">
        <v>1159</v>
      </c>
      <c r="F63" s="11" t="s">
        <v>1160</v>
      </c>
      <c r="G63" s="11" t="s">
        <v>1161</v>
      </c>
    </row>
    <row r="64" spans="1:7">
      <c r="A64" s="11" t="s">
        <v>461</v>
      </c>
      <c r="B64" s="11" t="s">
        <v>1162</v>
      </c>
      <c r="C64" s="11" t="s">
        <v>1126</v>
      </c>
      <c r="D64" s="11" t="s">
        <v>28</v>
      </c>
      <c r="E64" s="11" t="s">
        <v>1163</v>
      </c>
      <c r="F64" s="11" t="s">
        <v>1164</v>
      </c>
      <c r="G64" s="11" t="s">
        <v>1165</v>
      </c>
    </row>
    <row r="65" spans="1:7">
      <c r="A65" s="11" t="s">
        <v>461</v>
      </c>
      <c r="B65" s="11" t="s">
        <v>1166</v>
      </c>
      <c r="C65" s="11" t="s">
        <v>890</v>
      </c>
      <c r="D65" s="11" t="s">
        <v>992</v>
      </c>
      <c r="E65" s="11" t="s">
        <v>1167</v>
      </c>
      <c r="F65" s="11" t="s">
        <v>1168</v>
      </c>
      <c r="G65" s="11" t="s">
        <v>1169</v>
      </c>
    </row>
    <row r="66" spans="1:7">
      <c r="A66" s="11" t="s">
        <v>517</v>
      </c>
      <c r="B66" s="11" t="s">
        <v>1170</v>
      </c>
      <c r="C66" s="11" t="s">
        <v>1171</v>
      </c>
      <c r="D66" s="11" t="s">
        <v>28</v>
      </c>
      <c r="E66" s="11" t="s">
        <v>1172</v>
      </c>
      <c r="F66" s="11" t="s">
        <v>1173</v>
      </c>
      <c r="G66" s="11" t="s">
        <v>1174</v>
      </c>
    </row>
    <row r="67" spans="1:7">
      <c r="A67" s="11" t="s">
        <v>1175</v>
      </c>
      <c r="B67" s="11" t="s">
        <v>1176</v>
      </c>
      <c r="C67" s="11" t="s">
        <v>953</v>
      </c>
      <c r="D67" s="11" t="s">
        <v>1177</v>
      </c>
      <c r="E67" s="11" t="s">
        <v>1178</v>
      </c>
      <c r="F67" s="11" t="s">
        <v>1179</v>
      </c>
      <c r="G67" s="11" t="s">
        <v>1180</v>
      </c>
    </row>
    <row r="68" spans="1:7">
      <c r="A68" s="11" t="s">
        <v>1181</v>
      </c>
      <c r="B68" s="11" t="s">
        <v>1182</v>
      </c>
      <c r="C68" s="11" t="s">
        <v>1183</v>
      </c>
      <c r="D68" s="11" t="s">
        <v>1184</v>
      </c>
      <c r="E68" s="11" t="s">
        <v>1185</v>
      </c>
      <c r="F68" s="11" t="s">
        <v>1186</v>
      </c>
      <c r="G68" s="11" t="s">
        <v>1187</v>
      </c>
    </row>
    <row r="69" spans="1:7">
      <c r="A69" s="11" t="s">
        <v>489</v>
      </c>
      <c r="B69" s="11" t="s">
        <v>1188</v>
      </c>
      <c r="C69" s="11" t="s">
        <v>890</v>
      </c>
      <c r="D69" s="11" t="s">
        <v>1189</v>
      </c>
      <c r="E69" s="11" t="s">
        <v>1190</v>
      </c>
      <c r="F69" s="11" t="s">
        <v>1191</v>
      </c>
      <c r="G69" s="11" t="s">
        <v>1192</v>
      </c>
    </row>
  </sheetData>
  <mergeCells count="2">
    <mergeCell ref="A1:G1"/>
    <mergeCell ref="A2:G2"/>
  </mergeCells>
  <conditionalFormatting sqref="C6:C69">
    <cfRule type="containsText" dxfId="3" priority="1" operator="containsText" text="MUST"/>
    <cfRule type="containsText" dxfId="2" priority="2" operator="containsText" text="SHOULD"/>
    <cfRule type="containsText" dxfId="1" priority="3" operator="containsText" text="OPTIONAL"/>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56" t="s">
        <v>1193</v>
      </c>
      <c r="B1" s="56"/>
      <c r="C1" s="56"/>
      <c r="D1" s="56"/>
      <c r="E1" s="56"/>
      <c r="F1" s="56"/>
      <c r="G1" s="56"/>
      <c r="H1" s="56"/>
    </row>
    <row r="2" spans="1:8" ht="31.95" customHeight="1">
      <c r="A2" s="57" t="s">
        <v>1194</v>
      </c>
      <c r="B2" s="57"/>
      <c r="C2" s="57"/>
      <c r="D2" s="57"/>
      <c r="E2" s="57"/>
      <c r="F2" s="57"/>
      <c r="G2" s="57"/>
      <c r="H2" s="57"/>
    </row>
    <row r="5" spans="1:8" ht="28.05" customHeight="1">
      <c r="A5" s="1" t="s">
        <v>1195</v>
      </c>
      <c r="B5" s="2" t="s">
        <v>350</v>
      </c>
      <c r="C5" s="2" t="s">
        <v>1196</v>
      </c>
      <c r="D5" s="2" t="s">
        <v>1197</v>
      </c>
      <c r="E5" s="2" t="s">
        <v>1198</v>
      </c>
      <c r="F5" s="2" t="s">
        <v>1199</v>
      </c>
      <c r="G5" s="2" t="s">
        <v>1200</v>
      </c>
      <c r="H5" s="3" t="s">
        <v>1201</v>
      </c>
    </row>
    <row r="6" spans="1:8">
      <c r="A6" s="10" t="s">
        <v>1202</v>
      </c>
      <c r="B6" s="10" t="s">
        <v>1203</v>
      </c>
      <c r="C6" s="10" t="s">
        <v>753</v>
      </c>
      <c r="D6" s="10" t="s">
        <v>1204</v>
      </c>
      <c r="E6" s="10" t="s">
        <v>9</v>
      </c>
      <c r="F6" s="10" t="s">
        <v>1205</v>
      </c>
      <c r="G6" s="10" t="s">
        <v>1206</v>
      </c>
      <c r="H6" s="19"/>
    </row>
    <row r="7" spans="1:8">
      <c r="A7" s="11" t="s">
        <v>1207</v>
      </c>
      <c r="B7" s="11" t="s">
        <v>1203</v>
      </c>
      <c r="C7" s="11" t="s">
        <v>753</v>
      </c>
      <c r="D7" s="11" t="s">
        <v>1208</v>
      </c>
      <c r="E7" s="11" t="s">
        <v>9</v>
      </c>
      <c r="F7" s="11" t="s">
        <v>1209</v>
      </c>
      <c r="G7" s="11" t="s">
        <v>1206</v>
      </c>
      <c r="H7" s="20"/>
    </row>
    <row r="8" spans="1:8">
      <c r="A8" s="11" t="s">
        <v>1210</v>
      </c>
      <c r="B8" s="11" t="s">
        <v>1211</v>
      </c>
      <c r="C8" s="11" t="s">
        <v>753</v>
      </c>
      <c r="D8" s="11" t="s">
        <v>1212</v>
      </c>
      <c r="E8" s="11" t="s">
        <v>9</v>
      </c>
      <c r="F8" s="11" t="s">
        <v>1213</v>
      </c>
      <c r="G8" s="11" t="s">
        <v>1214</v>
      </c>
      <c r="H8" s="20"/>
    </row>
    <row r="9" spans="1:8">
      <c r="A9" s="11" t="s">
        <v>1215</v>
      </c>
      <c r="B9" s="11" t="s">
        <v>1216</v>
      </c>
      <c r="C9" s="11" t="s">
        <v>753</v>
      </c>
      <c r="D9" s="11" t="s">
        <v>1217</v>
      </c>
      <c r="E9" s="11" t="s">
        <v>9</v>
      </c>
      <c r="F9" s="11" t="s">
        <v>1218</v>
      </c>
      <c r="G9" s="11" t="s">
        <v>1219</v>
      </c>
      <c r="H9" s="20"/>
    </row>
    <row r="10" spans="1:8">
      <c r="A10" s="11" t="s">
        <v>1220</v>
      </c>
      <c r="B10" s="11" t="s">
        <v>1203</v>
      </c>
      <c r="C10" s="11" t="s">
        <v>753</v>
      </c>
      <c r="D10" s="11" t="s">
        <v>1221</v>
      </c>
      <c r="E10" s="11" t="s">
        <v>25</v>
      </c>
      <c r="F10" s="11" t="s">
        <v>1222</v>
      </c>
      <c r="G10" s="11" t="s">
        <v>1223</v>
      </c>
      <c r="H10" s="20"/>
    </row>
    <row r="11" spans="1:8">
      <c r="A11" s="11" t="s">
        <v>1224</v>
      </c>
      <c r="B11" s="11" t="s">
        <v>1203</v>
      </c>
      <c r="C11" s="11" t="s">
        <v>753</v>
      </c>
      <c r="D11" s="11" t="s">
        <v>1225</v>
      </c>
      <c r="E11" s="11" t="s">
        <v>25</v>
      </c>
      <c r="F11" s="11" t="s">
        <v>1226</v>
      </c>
      <c r="G11" s="11" t="s">
        <v>1227</v>
      </c>
      <c r="H11" s="20"/>
    </row>
    <row r="12" spans="1:8">
      <c r="A12" s="11" t="s">
        <v>1228</v>
      </c>
      <c r="B12" s="11" t="s">
        <v>1203</v>
      </c>
      <c r="C12" s="11" t="s">
        <v>753</v>
      </c>
      <c r="D12" s="11" t="s">
        <v>1229</v>
      </c>
      <c r="E12" s="11" t="s">
        <v>24</v>
      </c>
      <c r="F12" s="11" t="s">
        <v>1230</v>
      </c>
      <c r="G12" s="11" t="s">
        <v>1231</v>
      </c>
      <c r="H12" s="20"/>
    </row>
    <row r="13" spans="1:8">
      <c r="A13" s="11" t="s">
        <v>234</v>
      </c>
      <c r="B13" s="11" t="s">
        <v>1203</v>
      </c>
      <c r="C13" s="11" t="s">
        <v>753</v>
      </c>
      <c r="D13" s="11" t="s">
        <v>1232</v>
      </c>
      <c r="E13" s="11" t="s">
        <v>24</v>
      </c>
      <c r="F13" s="11" t="s">
        <v>1233</v>
      </c>
      <c r="G13" s="11" t="s">
        <v>1234</v>
      </c>
      <c r="H13" s="20"/>
    </row>
    <row r="14" spans="1:8">
      <c r="A14" s="11" t="s">
        <v>1235</v>
      </c>
      <c r="B14" s="11" t="s">
        <v>1203</v>
      </c>
      <c r="C14" s="11" t="s">
        <v>753</v>
      </c>
      <c r="D14" s="11" t="s">
        <v>1236</v>
      </c>
      <c r="E14" s="11" t="s">
        <v>24</v>
      </c>
      <c r="F14" s="11" t="s">
        <v>1237</v>
      </c>
      <c r="G14" s="11" t="s">
        <v>1238</v>
      </c>
      <c r="H14" s="20"/>
    </row>
    <row r="15" spans="1:8">
      <c r="A15" s="11" t="s">
        <v>1239</v>
      </c>
      <c r="B15" s="11" t="s">
        <v>1240</v>
      </c>
      <c r="C15" s="11" t="s">
        <v>753</v>
      </c>
      <c r="D15" s="11" t="s">
        <v>1241</v>
      </c>
      <c r="E15" s="11" t="s">
        <v>24</v>
      </c>
      <c r="F15" s="11" t="s">
        <v>1242</v>
      </c>
      <c r="G15" s="11" t="s">
        <v>1243</v>
      </c>
      <c r="H15" s="20"/>
    </row>
    <row r="16" spans="1:8">
      <c r="A16" s="11" t="s">
        <v>1244</v>
      </c>
      <c r="B16" s="11" t="s">
        <v>1245</v>
      </c>
      <c r="C16" s="11" t="s">
        <v>702</v>
      </c>
      <c r="D16" s="11"/>
      <c r="E16" s="11" t="s">
        <v>334</v>
      </c>
      <c r="F16" s="11" t="s">
        <v>1246</v>
      </c>
      <c r="G16" s="11" t="s">
        <v>1243</v>
      </c>
      <c r="H16" s="20"/>
    </row>
    <row r="17" spans="1:8">
      <c r="A17" s="11" t="s">
        <v>1247</v>
      </c>
      <c r="B17" s="11" t="s">
        <v>1203</v>
      </c>
      <c r="C17" s="11" t="s">
        <v>753</v>
      </c>
      <c r="D17" s="11"/>
      <c r="E17" s="11" t="s">
        <v>27</v>
      </c>
      <c r="F17" s="11" t="s">
        <v>1248</v>
      </c>
      <c r="G17" s="11" t="s">
        <v>1249</v>
      </c>
      <c r="H17" s="20"/>
    </row>
    <row r="18" spans="1:8">
      <c r="A18" s="11" t="s">
        <v>1250</v>
      </c>
      <c r="B18" s="11" t="s">
        <v>1203</v>
      </c>
      <c r="C18" s="11" t="s">
        <v>753</v>
      </c>
      <c r="D18" s="11" t="s">
        <v>1251</v>
      </c>
      <c r="E18" s="11" t="s">
        <v>25</v>
      </c>
      <c r="F18" s="11" t="s">
        <v>1252</v>
      </c>
      <c r="G18" s="11" t="s">
        <v>1249</v>
      </c>
      <c r="H18" s="20"/>
    </row>
    <row r="19" spans="1:8">
      <c r="A19" s="11" t="s">
        <v>1253</v>
      </c>
      <c r="B19" s="11" t="s">
        <v>1203</v>
      </c>
      <c r="C19" s="11" t="s">
        <v>753</v>
      </c>
      <c r="D19" s="11" t="s">
        <v>1254</v>
      </c>
      <c r="E19" s="11" t="s">
        <v>27</v>
      </c>
      <c r="F19" s="11" t="s">
        <v>1255</v>
      </c>
      <c r="G19" s="11" t="s">
        <v>1231</v>
      </c>
      <c r="H19" s="20"/>
    </row>
    <row r="20" spans="1:8">
      <c r="A20" s="11" t="s">
        <v>1256</v>
      </c>
      <c r="B20" s="11" t="s">
        <v>1203</v>
      </c>
      <c r="C20" s="11" t="s">
        <v>753</v>
      </c>
      <c r="D20" s="11" t="s">
        <v>1257</v>
      </c>
      <c r="E20" s="11" t="s">
        <v>27</v>
      </c>
      <c r="F20" s="11" t="s">
        <v>1258</v>
      </c>
      <c r="G20" s="11" t="s">
        <v>1203</v>
      </c>
      <c r="H20" s="20"/>
    </row>
    <row r="21" spans="1:8">
      <c r="A21" s="11" t="s">
        <v>1259</v>
      </c>
      <c r="B21" s="11" t="s">
        <v>1203</v>
      </c>
      <c r="C21" s="11" t="s">
        <v>753</v>
      </c>
      <c r="D21" s="11" t="s">
        <v>1260</v>
      </c>
      <c r="E21" s="11" t="s">
        <v>25</v>
      </c>
      <c r="F21" s="11" t="s">
        <v>1261</v>
      </c>
      <c r="G21" s="11" t="s">
        <v>1238</v>
      </c>
      <c r="H21" s="20"/>
    </row>
    <row r="22" spans="1:8">
      <c r="A22" s="11" t="s">
        <v>1262</v>
      </c>
      <c r="B22" s="11" t="s">
        <v>1203</v>
      </c>
      <c r="C22" s="11" t="s">
        <v>753</v>
      </c>
      <c r="D22" s="11" t="s">
        <v>1263</v>
      </c>
      <c r="E22" s="11" t="s">
        <v>25</v>
      </c>
      <c r="F22" s="11" t="s">
        <v>1264</v>
      </c>
      <c r="G22" s="11" t="s">
        <v>1223</v>
      </c>
      <c r="H22" s="20"/>
    </row>
    <row r="23" spans="1:8">
      <c r="A23" s="11" t="s">
        <v>1265</v>
      </c>
      <c r="B23" s="11" t="s">
        <v>1203</v>
      </c>
      <c r="C23" s="11" t="s">
        <v>753</v>
      </c>
      <c r="D23" s="11" t="s">
        <v>1266</v>
      </c>
      <c r="E23" s="11" t="s">
        <v>25</v>
      </c>
      <c r="F23" s="11" t="s">
        <v>1267</v>
      </c>
      <c r="G23" s="11" t="s">
        <v>1223</v>
      </c>
      <c r="H23" s="20"/>
    </row>
    <row r="24" spans="1:8">
      <c r="A24" s="11" t="s">
        <v>1268</v>
      </c>
      <c r="B24" s="11" t="s">
        <v>1203</v>
      </c>
      <c r="C24" s="11" t="s">
        <v>753</v>
      </c>
      <c r="D24" s="11" t="s">
        <v>1269</v>
      </c>
      <c r="E24" s="11" t="s">
        <v>26</v>
      </c>
      <c r="F24" s="11" t="s">
        <v>1270</v>
      </c>
      <c r="G24" s="11" t="s">
        <v>918</v>
      </c>
      <c r="H24" s="20"/>
    </row>
    <row r="25" spans="1:8">
      <c r="A25" s="11" t="s">
        <v>1271</v>
      </c>
      <c r="B25" s="11" t="s">
        <v>1203</v>
      </c>
      <c r="C25" s="11" t="s">
        <v>753</v>
      </c>
      <c r="D25" s="11" t="s">
        <v>1272</v>
      </c>
      <c r="E25" s="11" t="s">
        <v>26</v>
      </c>
      <c r="F25" s="11" t="s">
        <v>1273</v>
      </c>
      <c r="G25" s="11" t="s">
        <v>1274</v>
      </c>
      <c r="H25" s="20"/>
    </row>
    <row r="26" spans="1:8">
      <c r="A26" s="11" t="s">
        <v>1275</v>
      </c>
      <c r="B26" s="11" t="s">
        <v>1203</v>
      </c>
      <c r="C26" s="11" t="s">
        <v>753</v>
      </c>
      <c r="D26" s="11" t="s">
        <v>1276</v>
      </c>
      <c r="E26" s="11" t="s">
        <v>26</v>
      </c>
      <c r="F26" s="11" t="s">
        <v>1277</v>
      </c>
      <c r="G26" s="11" t="s">
        <v>918</v>
      </c>
      <c r="H26" s="20"/>
    </row>
    <row r="27" spans="1:8">
      <c r="A27" s="11" t="s">
        <v>1278</v>
      </c>
      <c r="B27" s="11" t="s">
        <v>1203</v>
      </c>
      <c r="C27" s="11" t="s">
        <v>753</v>
      </c>
      <c r="D27" s="11" t="s">
        <v>1279</v>
      </c>
      <c r="E27" s="11" t="s">
        <v>26</v>
      </c>
      <c r="F27" s="11" t="s">
        <v>1280</v>
      </c>
      <c r="G27" s="11" t="s">
        <v>918</v>
      </c>
      <c r="H27" s="20"/>
    </row>
    <row r="28" spans="1:8">
      <c r="A28" s="11" t="s">
        <v>1281</v>
      </c>
      <c r="B28" s="11" t="s">
        <v>1203</v>
      </c>
      <c r="C28" s="11" t="s">
        <v>753</v>
      </c>
      <c r="D28" s="11" t="s">
        <v>1282</v>
      </c>
      <c r="E28" s="11" t="s">
        <v>25</v>
      </c>
      <c r="F28" s="11" t="s">
        <v>1283</v>
      </c>
      <c r="G28" s="11" t="s">
        <v>1284</v>
      </c>
      <c r="H28" s="20"/>
    </row>
    <row r="29" spans="1:8">
      <c r="A29" s="11" t="s">
        <v>1285</v>
      </c>
      <c r="B29" s="11" t="s">
        <v>1203</v>
      </c>
      <c r="C29" s="11" t="s">
        <v>753</v>
      </c>
      <c r="D29" s="11" t="s">
        <v>1286</v>
      </c>
      <c r="E29" s="11" t="s">
        <v>26</v>
      </c>
      <c r="F29" s="11" t="s">
        <v>1287</v>
      </c>
      <c r="G29" s="11" t="s">
        <v>1284</v>
      </c>
      <c r="H29" s="20"/>
    </row>
    <row r="30" spans="1:8">
      <c r="A30" s="11" t="s">
        <v>1288</v>
      </c>
      <c r="B30" s="11" t="s">
        <v>1203</v>
      </c>
      <c r="C30" s="11" t="s">
        <v>753</v>
      </c>
      <c r="D30" s="11" t="s">
        <v>1289</v>
      </c>
      <c r="E30" s="11" t="s">
        <v>334</v>
      </c>
      <c r="F30" s="11" t="s">
        <v>1290</v>
      </c>
      <c r="G30" s="11" t="s">
        <v>1291</v>
      </c>
      <c r="H30" s="20"/>
    </row>
    <row r="31" spans="1:8">
      <c r="A31" s="11" t="s">
        <v>1292</v>
      </c>
      <c r="B31" s="11" t="s">
        <v>1245</v>
      </c>
      <c r="C31" s="11" t="s">
        <v>702</v>
      </c>
      <c r="D31" s="11"/>
      <c r="E31" s="11" t="s">
        <v>334</v>
      </c>
      <c r="F31" s="11" t="s">
        <v>1293</v>
      </c>
      <c r="G31" s="11" t="s">
        <v>1291</v>
      </c>
      <c r="H31" s="20"/>
    </row>
    <row r="32" spans="1:8">
      <c r="A32" s="11" t="s">
        <v>1294</v>
      </c>
      <c r="B32" s="11" t="s">
        <v>1245</v>
      </c>
      <c r="C32" s="11" t="s">
        <v>702</v>
      </c>
      <c r="D32" s="11"/>
      <c r="E32" s="11" t="s">
        <v>932</v>
      </c>
      <c r="F32" s="11" t="s">
        <v>1295</v>
      </c>
      <c r="G32" s="11" t="s">
        <v>1296</v>
      </c>
      <c r="H32" s="20"/>
    </row>
    <row r="33" spans="1:8">
      <c r="A33" s="11" t="s">
        <v>1297</v>
      </c>
      <c r="B33" s="11" t="s">
        <v>1203</v>
      </c>
      <c r="C33" s="11" t="s">
        <v>753</v>
      </c>
      <c r="D33" s="11" t="s">
        <v>1298</v>
      </c>
      <c r="E33" s="11" t="s">
        <v>932</v>
      </c>
      <c r="F33" s="11" t="s">
        <v>1299</v>
      </c>
      <c r="G33" s="11" t="s">
        <v>1296</v>
      </c>
      <c r="H33" s="20"/>
    </row>
    <row r="34" spans="1:8">
      <c r="A34" s="11" t="s">
        <v>1300</v>
      </c>
      <c r="B34" s="11" t="s">
        <v>1301</v>
      </c>
      <c r="C34" s="11" t="s">
        <v>753</v>
      </c>
      <c r="D34" s="11" t="s">
        <v>1302</v>
      </c>
      <c r="E34" s="11" t="s">
        <v>27</v>
      </c>
      <c r="F34" s="11" t="s">
        <v>1303</v>
      </c>
      <c r="G34" s="11" t="s">
        <v>1304</v>
      </c>
      <c r="H34" s="20"/>
    </row>
    <row r="35" spans="1:8">
      <c r="A35" s="11" t="s">
        <v>1305</v>
      </c>
      <c r="B35" s="11" t="s">
        <v>1301</v>
      </c>
      <c r="C35" s="11" t="s">
        <v>753</v>
      </c>
      <c r="D35" s="11" t="s">
        <v>1306</v>
      </c>
      <c r="E35" s="11" t="s">
        <v>27</v>
      </c>
      <c r="F35" s="11" t="s">
        <v>1307</v>
      </c>
      <c r="G35" s="11" t="s">
        <v>1308</v>
      </c>
      <c r="H35" s="20"/>
    </row>
    <row r="36" spans="1:8">
      <c r="A36" s="11" t="s">
        <v>1309</v>
      </c>
      <c r="B36" s="11" t="s">
        <v>1310</v>
      </c>
      <c r="C36" s="11" t="s">
        <v>753</v>
      </c>
      <c r="D36" s="11" t="s">
        <v>1311</v>
      </c>
      <c r="E36" s="11" t="s">
        <v>9</v>
      </c>
      <c r="F36" s="11" t="s">
        <v>1312</v>
      </c>
      <c r="G36" s="11" t="s">
        <v>1313</v>
      </c>
      <c r="H36" s="20"/>
    </row>
    <row r="37" spans="1:8">
      <c r="A37" s="11" t="s">
        <v>1314</v>
      </c>
      <c r="B37" s="11" t="s">
        <v>1310</v>
      </c>
      <c r="C37" s="11" t="s">
        <v>753</v>
      </c>
      <c r="D37" s="11" t="s">
        <v>1315</v>
      </c>
      <c r="E37" s="11" t="s">
        <v>9</v>
      </c>
      <c r="F37" s="11" t="s">
        <v>1316</v>
      </c>
      <c r="G37" s="11" t="s">
        <v>1313</v>
      </c>
      <c r="H37" s="20"/>
    </row>
    <row r="38" spans="1:8">
      <c r="A38" s="11" t="s">
        <v>1317</v>
      </c>
      <c r="B38" s="11" t="s">
        <v>1310</v>
      </c>
      <c r="C38" s="11" t="s">
        <v>753</v>
      </c>
      <c r="D38" s="11" t="s">
        <v>1318</v>
      </c>
      <c r="E38" s="11" t="s">
        <v>9</v>
      </c>
      <c r="F38" s="11" t="s">
        <v>1319</v>
      </c>
      <c r="G38" s="11" t="s">
        <v>1313</v>
      </c>
      <c r="H38" s="20"/>
    </row>
  </sheetData>
  <mergeCells count="2">
    <mergeCell ref="A1:H1"/>
    <mergeCell ref="A2:H2"/>
  </mergeCells>
  <conditionalFormatting sqref="C6:C38">
    <cfRule type="containsText" dxfId="0" priority="1" operator="containsText" text="Yes"/>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1"/>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6" ht="31.95" customHeight="1">
      <c r="A1" s="56" t="s">
        <v>2531</v>
      </c>
      <c r="B1" s="56"/>
      <c r="C1" s="56"/>
      <c r="D1" s="56"/>
      <c r="E1" s="56"/>
      <c r="F1" s="56"/>
    </row>
    <row r="2" spans="1:6" ht="31.95" customHeight="1">
      <c r="A2" s="57" t="s">
        <v>1320</v>
      </c>
      <c r="B2" s="57"/>
      <c r="C2" s="57"/>
      <c r="D2" s="57"/>
      <c r="E2" s="57"/>
      <c r="F2" s="57"/>
    </row>
    <row r="5" spans="1:6" ht="28.05" customHeight="1">
      <c r="A5" s="1" t="s">
        <v>1321</v>
      </c>
      <c r="B5" s="2" t="s">
        <v>1322</v>
      </c>
      <c r="C5" s="2" t="s">
        <v>1323</v>
      </c>
      <c r="D5" s="2" t="s">
        <v>1324</v>
      </c>
      <c r="E5" s="2" t="s">
        <v>1325</v>
      </c>
      <c r="F5" s="3" t="s">
        <v>1326</v>
      </c>
    </row>
    <row r="6" spans="1:6" ht="22.8">
      <c r="A6" s="10" t="s">
        <v>1327</v>
      </c>
      <c r="B6" s="10" t="s">
        <v>1328</v>
      </c>
      <c r="C6" s="10" t="s">
        <v>1329</v>
      </c>
      <c r="D6" s="10" t="s">
        <v>1330</v>
      </c>
      <c r="E6" s="10" t="s">
        <v>1331</v>
      </c>
      <c r="F6" s="10" t="s">
        <v>1332</v>
      </c>
    </row>
    <row r="7" spans="1:6" ht="22.8">
      <c r="A7" s="11" t="s">
        <v>1333</v>
      </c>
      <c r="B7" s="11" t="s">
        <v>1334</v>
      </c>
      <c r="C7" s="11" t="s">
        <v>1335</v>
      </c>
      <c r="D7" s="11" t="s">
        <v>1336</v>
      </c>
      <c r="E7" s="11" t="s">
        <v>1337</v>
      </c>
      <c r="F7" s="11" t="s">
        <v>1332</v>
      </c>
    </row>
    <row r="8" spans="1:6" ht="45.6">
      <c r="A8" s="11" t="s">
        <v>1338</v>
      </c>
      <c r="B8" s="11" t="s">
        <v>2532</v>
      </c>
      <c r="C8" s="11" t="s">
        <v>2533</v>
      </c>
      <c r="D8" s="11" t="s">
        <v>2262</v>
      </c>
      <c r="E8" s="11" t="s">
        <v>2263</v>
      </c>
      <c r="F8" s="11" t="s">
        <v>2534</v>
      </c>
    </row>
    <row r="11" spans="1:6" ht="46.05" customHeight="1">
      <c r="A11" s="116" t="s">
        <v>2264</v>
      </c>
      <c r="B11" s="117"/>
      <c r="C11" s="117"/>
      <c r="D11" s="117"/>
      <c r="E11" s="117"/>
      <c r="F11" s="118"/>
    </row>
  </sheetData>
  <mergeCells count="3">
    <mergeCell ref="A1:F1"/>
    <mergeCell ref="A2:F2"/>
    <mergeCell ref="A11:F11"/>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6"/>
  <sheetViews>
    <sheetView showGridLines="0" workbookViewId="0"/>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119" t="s">
        <v>2535</v>
      </c>
      <c r="B1" s="119"/>
      <c r="C1" s="119"/>
      <c r="D1" s="119"/>
      <c r="E1" s="119"/>
      <c r="F1" s="119"/>
      <c r="G1" s="119"/>
      <c r="H1" s="119"/>
    </row>
    <row r="2" spans="1:8" ht="36" customHeight="1">
      <c r="A2" s="120" t="s">
        <v>2536</v>
      </c>
      <c r="B2" s="120"/>
      <c r="C2" s="120"/>
      <c r="D2" s="120"/>
      <c r="E2" s="120"/>
      <c r="F2" s="120"/>
      <c r="G2" s="120"/>
      <c r="H2" s="120"/>
    </row>
    <row r="3" spans="1:8" ht="15" customHeight="1">
      <c r="A3" s="29"/>
      <c r="B3" s="29"/>
      <c r="C3" s="29"/>
      <c r="D3" s="29"/>
      <c r="E3" s="29"/>
      <c r="F3" s="29"/>
      <c r="G3" s="29"/>
      <c r="H3" s="29"/>
    </row>
    <row r="4" spans="1:8" ht="15" customHeight="1">
      <c r="A4" s="121" t="s">
        <v>2334</v>
      </c>
      <c r="B4" s="121"/>
      <c r="C4" s="121"/>
      <c r="D4" s="121"/>
      <c r="E4" s="121"/>
      <c r="F4" s="121"/>
      <c r="G4" s="121"/>
      <c r="H4" s="121"/>
    </row>
    <row r="5" spans="1:8" ht="118.8" customHeight="1">
      <c r="A5" s="36" t="s">
        <v>2265</v>
      </c>
      <c r="B5" s="37" t="s">
        <v>2537</v>
      </c>
      <c r="C5" s="37" t="s">
        <v>2538</v>
      </c>
      <c r="D5" s="37" t="s">
        <v>2539</v>
      </c>
      <c r="E5" s="37" t="s">
        <v>2540</v>
      </c>
      <c r="F5" s="37" t="s">
        <v>2541</v>
      </c>
      <c r="G5" s="37" t="s">
        <v>2266</v>
      </c>
      <c r="H5" s="38" t="s">
        <v>2542</v>
      </c>
    </row>
    <row r="6" spans="1:8" ht="105.6" customHeight="1">
      <c r="A6" s="39" t="s">
        <v>2267</v>
      </c>
      <c r="B6" s="40" t="s">
        <v>2543</v>
      </c>
      <c r="C6" s="40" t="s">
        <v>2544</v>
      </c>
      <c r="D6" s="40" t="s">
        <v>2545</v>
      </c>
      <c r="E6" s="40" t="s">
        <v>2268</v>
      </c>
      <c r="F6" s="40" t="s">
        <v>2546</v>
      </c>
      <c r="G6" s="40" t="s">
        <v>2269</v>
      </c>
      <c r="H6" s="41" t="s">
        <v>2547</v>
      </c>
    </row>
    <row r="7" spans="1:8" ht="132" customHeight="1">
      <c r="A7" s="39" t="s">
        <v>1276</v>
      </c>
      <c r="B7" s="40" t="s">
        <v>2270</v>
      </c>
      <c r="C7" s="40" t="s">
        <v>2343</v>
      </c>
      <c r="D7" s="40" t="s">
        <v>2548</v>
      </c>
      <c r="E7" s="40" t="s">
        <v>199</v>
      </c>
      <c r="F7" s="40" t="s">
        <v>2271</v>
      </c>
      <c r="G7" s="40" t="s">
        <v>2549</v>
      </c>
      <c r="H7" s="41" t="s">
        <v>2550</v>
      </c>
    </row>
    <row r="8" spans="1:8" ht="118.8" customHeight="1">
      <c r="A8" s="39" t="s">
        <v>2272</v>
      </c>
      <c r="B8" s="40" t="s">
        <v>2551</v>
      </c>
      <c r="C8" s="40" t="s">
        <v>2552</v>
      </c>
      <c r="D8" s="40" t="s">
        <v>2553</v>
      </c>
      <c r="E8" s="40" t="s">
        <v>2273</v>
      </c>
      <c r="F8" s="40" t="s">
        <v>2554</v>
      </c>
      <c r="G8" s="40" t="s">
        <v>2555</v>
      </c>
      <c r="H8" s="41" t="s">
        <v>2274</v>
      </c>
    </row>
    <row r="9" spans="1:8" ht="118.8" customHeight="1">
      <c r="A9" s="39" t="s">
        <v>1260</v>
      </c>
      <c r="B9" s="40" t="s">
        <v>2556</v>
      </c>
      <c r="C9" s="40" t="s">
        <v>2557</v>
      </c>
      <c r="D9" s="40" t="s">
        <v>2558</v>
      </c>
      <c r="E9" s="40" t="s">
        <v>2275</v>
      </c>
      <c r="F9" s="40" t="s">
        <v>2559</v>
      </c>
      <c r="G9" s="40" t="s">
        <v>2560</v>
      </c>
      <c r="H9" s="41" t="s">
        <v>2276</v>
      </c>
    </row>
    <row r="10" spans="1:8" ht="132" customHeight="1">
      <c r="A10" s="42" t="s">
        <v>1269</v>
      </c>
      <c r="B10" s="43" t="s">
        <v>2277</v>
      </c>
      <c r="C10" s="43" t="s">
        <v>2561</v>
      </c>
      <c r="D10" s="43" t="s">
        <v>2562</v>
      </c>
      <c r="E10" s="43" t="s">
        <v>1493</v>
      </c>
      <c r="F10" s="43" t="s">
        <v>2278</v>
      </c>
      <c r="G10" s="43" t="s">
        <v>2279</v>
      </c>
      <c r="H10" s="44" t="s">
        <v>2280</v>
      </c>
    </row>
    <row r="11" spans="1:8" ht="15" customHeight="1">
      <c r="A11" s="29"/>
      <c r="B11" s="29"/>
      <c r="C11" s="29"/>
      <c r="D11" s="29"/>
      <c r="E11" s="29"/>
      <c r="F11" s="29"/>
      <c r="G11" s="29"/>
      <c r="H11" s="29"/>
    </row>
    <row r="12" spans="1:8" ht="39.6" customHeight="1">
      <c r="A12" s="29" t="s">
        <v>21</v>
      </c>
      <c r="B12" s="29" t="s">
        <v>2281</v>
      </c>
      <c r="C12" s="29" t="s">
        <v>2282</v>
      </c>
      <c r="D12" s="29" t="s">
        <v>2283</v>
      </c>
      <c r="E12" s="29" t="s">
        <v>2284</v>
      </c>
      <c r="F12" s="29" t="s">
        <v>2285</v>
      </c>
      <c r="G12" s="29" t="s">
        <v>2286</v>
      </c>
      <c r="H12" s="29" t="s">
        <v>2287</v>
      </c>
    </row>
    <row r="13" spans="1:8" ht="145.19999999999999" customHeight="1">
      <c r="A13" s="29" t="s">
        <v>9</v>
      </c>
      <c r="B13" s="29" t="s">
        <v>2288</v>
      </c>
      <c r="C13" s="29" t="s">
        <v>2289</v>
      </c>
      <c r="D13" s="29" t="s">
        <v>2290</v>
      </c>
      <c r="E13" s="29" t="s">
        <v>2291</v>
      </c>
      <c r="F13" s="29" t="s">
        <v>2292</v>
      </c>
      <c r="G13" s="29" t="s">
        <v>1489</v>
      </c>
      <c r="H13" s="29" t="str">
        <f>IF(COUNTIFS('02 Master Plan'!$B$6:$B$120,A13,'02 Master Plan'!$D$6:$D$120,"MUST",'02 Master Plan'!$S$6:$S$120,"&lt;&gt;Done")=0,"Ready to teach","In progress")</f>
        <v>Ready to teach</v>
      </c>
    </row>
    <row r="14" spans="1:8" ht="145.19999999999999" customHeight="1">
      <c r="A14" s="29" t="s">
        <v>24</v>
      </c>
      <c r="B14" s="29" t="s">
        <v>2293</v>
      </c>
      <c r="C14" s="29" t="s">
        <v>2294</v>
      </c>
      <c r="D14" s="29" t="s">
        <v>2295</v>
      </c>
      <c r="E14" s="29" t="s">
        <v>2296</v>
      </c>
      <c r="F14" s="29" t="s">
        <v>2297</v>
      </c>
      <c r="G14" s="29" t="s">
        <v>1625</v>
      </c>
      <c r="H14" s="29" t="str">
        <f>IF(COUNTIFS('02 Master Plan'!$B$6:$B$120,A14,'02 Master Plan'!$D$6:$D$120,"MUST",'02 Master Plan'!$S$6:$S$120,"&lt;&gt;Done")=0,"Ready to teach","In progress")</f>
        <v>In progress</v>
      </c>
    </row>
    <row r="15" spans="1:8" ht="118.8" customHeight="1">
      <c r="A15" s="29" t="s">
        <v>25</v>
      </c>
      <c r="B15" s="29" t="s">
        <v>2298</v>
      </c>
      <c r="C15" s="29" t="s">
        <v>2299</v>
      </c>
      <c r="D15" s="29" t="s">
        <v>2300</v>
      </c>
      <c r="E15" s="29" t="s">
        <v>2301</v>
      </c>
      <c r="F15" s="29" t="s">
        <v>2302</v>
      </c>
      <c r="G15" s="29" t="s">
        <v>1749</v>
      </c>
      <c r="H15" s="29" t="str">
        <f>IF(COUNTIFS('02 Master Plan'!$B$6:$B$120,A15,'02 Master Plan'!$D$6:$D$120,"MUST",'02 Master Plan'!$S$6:$S$120,"&lt;&gt;Done")=0,"Ready to teach","In progress")</f>
        <v>In progress</v>
      </c>
    </row>
    <row r="16" spans="1:8" ht="118.8" customHeight="1">
      <c r="A16" s="29" t="s">
        <v>26</v>
      </c>
      <c r="B16" s="29" t="s">
        <v>2303</v>
      </c>
      <c r="C16" s="29" t="s">
        <v>2304</v>
      </c>
      <c r="D16" s="29" t="s">
        <v>2305</v>
      </c>
      <c r="E16" s="29" t="s">
        <v>2306</v>
      </c>
      <c r="F16" s="29" t="s">
        <v>2307</v>
      </c>
      <c r="G16" s="29" t="s">
        <v>1877</v>
      </c>
      <c r="H16" s="29" t="str">
        <f>IF(COUNTIFS('02 Master Plan'!$B$6:$B$120,A16,'02 Master Plan'!$D$6:$D$120,"MUST",'02 Master Plan'!$S$6:$S$120,"&lt;&gt;Done")=0,"Ready to teach","In progress")</f>
        <v>In progress</v>
      </c>
    </row>
    <row r="17" spans="1:8" ht="118.8" customHeight="1">
      <c r="A17" s="29" t="s">
        <v>27</v>
      </c>
      <c r="B17" s="29" t="s">
        <v>2308</v>
      </c>
      <c r="C17" s="29" t="s">
        <v>2309</v>
      </c>
      <c r="D17" s="29" t="s">
        <v>2310</v>
      </c>
      <c r="E17" s="29" t="s">
        <v>2311</v>
      </c>
      <c r="F17" s="29" t="s">
        <v>2312</v>
      </c>
      <c r="G17" s="29" t="s">
        <v>2024</v>
      </c>
      <c r="H17" s="29" t="str">
        <f>IF(COUNTIFS('02 Master Plan'!$B$6:$B$120,A17,'02 Master Plan'!$D$6:$D$120,"MUST",'02 Master Plan'!$S$6:$S$120,"&lt;&gt;Done")=0,"Ready to teach","In progress")</f>
        <v>In progress</v>
      </c>
    </row>
    <row r="18" spans="1:8" ht="132" customHeight="1">
      <c r="A18" s="29" t="s">
        <v>28</v>
      </c>
      <c r="B18" s="29" t="s">
        <v>2313</v>
      </c>
      <c r="C18" s="29" t="s">
        <v>2314</v>
      </c>
      <c r="D18" s="29" t="s">
        <v>2315</v>
      </c>
      <c r="E18" s="29" t="s">
        <v>2316</v>
      </c>
      <c r="F18" s="29" t="s">
        <v>2317</v>
      </c>
      <c r="G18" s="29" t="s">
        <v>2163</v>
      </c>
      <c r="H18" s="29" t="str">
        <f>IF(COUNTIFS('02 Master Plan'!$B$6:$B$120,A18,'02 Master Plan'!$D$6:$D$120,"MUST",'02 Master Plan'!$S$6:$S$120,"&lt;&gt;Done")=0,"Ready to teach","In progress")</f>
        <v>In progress</v>
      </c>
    </row>
    <row r="19" spans="1:8" ht="15" customHeight="1">
      <c r="A19" s="29"/>
      <c r="B19" s="29"/>
      <c r="C19" s="29"/>
      <c r="D19" s="29"/>
      <c r="E19" s="29"/>
      <c r="F19" s="29"/>
      <c r="G19" s="29"/>
      <c r="H19" s="29"/>
    </row>
    <row r="20" spans="1:8" ht="15" customHeight="1">
      <c r="A20" s="121" t="s">
        <v>2318</v>
      </c>
      <c r="B20" s="121"/>
      <c r="C20" s="121"/>
      <c r="D20" s="121"/>
      <c r="E20" s="121"/>
      <c r="F20" s="121"/>
      <c r="G20" s="121"/>
      <c r="H20" s="121"/>
    </row>
    <row r="21" spans="1:8" ht="118.8" customHeight="1">
      <c r="A21" s="45" t="s">
        <v>2319</v>
      </c>
      <c r="B21" s="46" t="s">
        <v>2320</v>
      </c>
      <c r="C21" s="29"/>
      <c r="D21" s="29"/>
      <c r="E21" s="29"/>
      <c r="F21" s="29"/>
      <c r="G21" s="29"/>
      <c r="H21" s="29"/>
    </row>
    <row r="22" spans="1:8" ht="132" customHeight="1">
      <c r="A22" s="47" t="s">
        <v>2321</v>
      </c>
      <c r="B22" s="48" t="s">
        <v>2322</v>
      </c>
      <c r="C22" s="29"/>
      <c r="D22" s="29"/>
      <c r="E22" s="29"/>
      <c r="F22" s="29"/>
      <c r="G22" s="29"/>
      <c r="H22" s="29"/>
    </row>
    <row r="23" spans="1:8" ht="132" customHeight="1">
      <c r="A23" s="47" t="s">
        <v>2323</v>
      </c>
      <c r="B23" s="48" t="s">
        <v>2324</v>
      </c>
      <c r="C23" s="29"/>
      <c r="D23" s="29"/>
      <c r="E23" s="29"/>
      <c r="F23" s="29"/>
      <c r="G23" s="29"/>
      <c r="H23" s="29"/>
    </row>
    <row r="24" spans="1:8" ht="132" customHeight="1">
      <c r="A24" s="47" t="s">
        <v>761</v>
      </c>
      <c r="B24" s="48" t="s">
        <v>2325</v>
      </c>
      <c r="C24" s="29"/>
      <c r="D24" s="29"/>
      <c r="E24" s="29"/>
      <c r="F24" s="29"/>
      <c r="G24" s="29"/>
      <c r="H24" s="29"/>
    </row>
    <row r="25" spans="1:8" ht="132" customHeight="1">
      <c r="A25" s="47" t="s">
        <v>2326</v>
      </c>
      <c r="B25" s="48" t="s">
        <v>2327</v>
      </c>
      <c r="C25" s="29"/>
      <c r="D25" s="29"/>
      <c r="E25" s="29"/>
      <c r="F25" s="29"/>
      <c r="G25" s="29"/>
      <c r="H25" s="29"/>
    </row>
    <row r="26" spans="1:8" ht="132" customHeight="1">
      <c r="A26" s="49" t="s">
        <v>2328</v>
      </c>
      <c r="B26" s="50" t="s">
        <v>2329</v>
      </c>
      <c r="C26" s="29"/>
      <c r="D26" s="29"/>
      <c r="E26" s="29"/>
      <c r="F26" s="29"/>
      <c r="G26" s="29"/>
      <c r="H26" s="29"/>
    </row>
  </sheetData>
  <mergeCells count="4">
    <mergeCell ref="A1:H1"/>
    <mergeCell ref="A2:H2"/>
    <mergeCell ref="A4:H4"/>
    <mergeCell ref="A20:H20"/>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P Rai</dc:creator>
  <cp:lastModifiedBy>G P Rai</cp:lastModifiedBy>
  <dcterms:created xsi:type="dcterms:W3CDTF">2026-08-20T16:46:20Z</dcterms:created>
  <dcterms:modified xsi:type="dcterms:W3CDTF">2026-08-24T14:42:32Z</dcterms:modified>
</cp:coreProperties>
</file>