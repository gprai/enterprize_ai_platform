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2adabc673b94035" /></Relationships>
</file>

<file path=xl/workbook.xml><?xml version="1.0" encoding="utf-8"?>
<x:workbook xmlns:x="http://schemas.openxmlformats.org/spreadsheetml/2006/main">
  <x:sheets>
    <x:sheet xmlns:r="http://schemas.openxmlformats.org/officeDocument/2006/relationships" name="00 Start Here" sheetId="1" r:id="R6e5290db716545be"/>
    <x:sheet xmlns:r="http://schemas.openxmlformats.org/officeDocument/2006/relationships" name="01 Dashboard" sheetId="2" r:id="R581b0512cfd14043"/>
    <x:sheet xmlns:r="http://schemas.openxmlformats.org/officeDocument/2006/relationships" name="02 Master Plan" sheetId="3" r:id="R28bc931309544238"/>
    <x:sheet xmlns:r="http://schemas.openxmlformats.org/officeDocument/2006/relationships" name="03 W1 Control Foundation" sheetId="4" r:id="R20c97b8b2d674479"/>
    <x:sheet xmlns:r="http://schemas.openxmlformats.org/officeDocument/2006/relationships" name="04 W2 Local Retrieval" sheetId="5" r:id="Rea639e70e58f4f26"/>
    <x:sheet xmlns:r="http://schemas.openxmlformats.org/officeDocument/2006/relationships" name="05 W3 Cited RAG" sheetId="6" r:id="Rcb4da426f0d24688"/>
    <x:sheet xmlns:r="http://schemas.openxmlformats.org/officeDocument/2006/relationships" name="06 W4 API and Agent" sheetId="7" r:id="R825db4d39fa74861"/>
    <x:sheet xmlns:r="http://schemas.openxmlformats.org/officeDocument/2006/relationships" name="07 W5 AWS Lifecycle" sheetId="8" r:id="R91e1df7946104e4b"/>
    <x:sheet xmlns:r="http://schemas.openxmlformats.org/officeDocument/2006/relationships" name="08 W6 EKS and SRE" sheetId="9" r:id="Rf6405084b77b4908"/>
    <x:sheet xmlns:r="http://schemas.openxmlformats.org/officeDocument/2006/relationships" name="09 Architecture Map" sheetId="10" r:id="Rfe589b4175c34d0a"/>
    <x:sheet xmlns:r="http://schemas.openxmlformats.org/officeDocument/2006/relationships" name="10 Codex Prompts" sheetId="11" r:id="R6da7d867613f4388"/>
    <x:sheet xmlns:r="http://schemas.openxmlformats.org/officeDocument/2006/relationships" name="11 Test Evidence" sheetId="12" r:id="R05ece6e8d5234d2a"/>
    <x:sheet xmlns:r="http://schemas.openxmlformats.org/officeDocument/2006/relationships" name="12 Decision Log" sheetId="13" r:id="Rd6fed354c6214bb7"/>
    <x:sheet xmlns:r="http://schemas.openxmlformats.org/officeDocument/2006/relationships" name="13 Owner TODOs" sheetId="14" r:id="R3d8a4d785f4d450e"/>
    <x:sheet xmlns:r="http://schemas.openxmlformats.org/officeDocument/2006/relationships" name="14 Lifecycle" sheetId="15" r:id="R14a1d85ca4374b9a"/>
    <x:sheet xmlns:r="http://schemas.openxmlformats.org/officeDocument/2006/relationships" name="15 Tech Adoption" sheetId="16" r:id="Rc8a05a8ca3b74306"/>
    <x:sheet xmlns:r="http://schemas.openxmlformats.org/officeDocument/2006/relationships" name="16 Environment Variables" sheetId="17" r:id="Rff939211e75a4d4a"/>
    <x:sheet xmlns:r="http://schemas.openxmlformats.org/officeDocument/2006/relationships" name="17 Source Trace" sheetId="18" r:id="R8e2f64d2b50d43a3"/>
    <x:sheet xmlns:r="http://schemas.openxmlformats.org/officeDocument/2006/relationships" name="18 Learning Journey" sheetId="19" r:id="Rde8232005a5441a0"/>
  </x:sheets>
</x:workbook>
</file>

<file path=xl/sharedStrings.xml><?xml version="1.0" encoding="utf-8"?>
<x:sst xmlns:x="http://schemas.openxmlformats.org/spreadsheetml/2006/main" uniqueCount="2364">
  <x:si>
    <x:t xml:space="preserve">Enterprise AI Architecture — Owner-Led Learning and Execution Tracker v1.3.4</x:t>
  </x:si>
  <x:si>
    <x:t xml:space="preserve">Objective: learn and own the complete enterprise AI decision flow under FOUR APPROVAL GATES PLUS OWNER TESTING AND WEEKLY LEARNING; Codex writes only inside explicit gates and the owner executes every command.</x:t>
  </x:si>
  <x:si>
    <x:t xml:space="preserve">FOUR APPROVAL GATES PLUS OWNER TESTING AND WEEKLY LEARNING</x:t>
  </x:si>
  <x:si>
    <x:t xml:space="preserve">Operating rules</x:t>
  </x:si>
  <x:si>
    <x:t xml:space="preserve">Review dashboard and owner inputs</x:t>
  </x:si>
  <x:si>
    <x:t xml:space="preserve">Choose restart or resume later; preserve historical status until you decide.</x:t>
  </x:si>
  <x:si>
    <x:t xml:space="preserve">MUST — required for the six-week MVP and weekly gate.</x:t>
  </x:si>
  <x:si>
    <x:t xml:space="preserve">Paste CTX-001 and CTRL-001</x:t>
  </x:si>
  <x:si>
    <x:t xml:space="preserve">Set the architecture context and the code-only/owner-execution boundary.</x:t>
  </x:si>
  <x:si>
    <x:t xml:space="preserve">SHOULD — hardening or AWS deployment value; defer only with owner-recorded risk.</x:t>
  </x:si>
  <x:si>
    <x:t xml:space="preserve">Gate 1 — paste one Main Prompt</x:t>
  </x:si>
  <x:si>
    <x:t xml:space="preserve">Codex performs complete read-only impact analysis and returns one consolidated plan; no edits or execution.</x:t>
  </x:si>
  <x:si>
    <x:t xml:space="preserve">OPTIONAL — learn/adopt only when a measured requirement justifies cost/complexity.</x:t>
  </x:si>
  <x:si>
    <x:t xml:space="preserve">Review impact matrix and decide</x:t>
  </x:si>
  <x:si>
    <x:t xml:space="preserve">Confirm business purpose, architecture, all producers/consumers, exact paths, tests, access, cost, rollback, teardown and all owner decisions together.</x:t>
  </x:si>
  <x:si>
    <x:t xml:space="preserve">Codex writes code; the owner runs every test, deployment, rollback, teardown and access-sensitive command.</x:t>
  </x:si>
  <x:si>
    <x:t xml:space="preserve">Gate 2 — paste Column L approval</x:t>
  </x:si>
  <x:si>
    <x:t xml:space="preserve">Use exact Code Edit Approval, or bounded Content Edit Approval for document/governance tasks. Baseline drift blocks editing.</x:t>
  </x:si>
  <x:si>
    <x:t xml:space="preserve">A failure produces diagnosis and one owner command at a time; source fixes require a new Code Edit Approval.</x:t>
  </x:si>
  <x:si>
    <x:t xml:space="preserve">Receive bounded changes and owner guide</x:t>
  </x:si>
  <x:si>
    <x:t xml:space="preserve">Codex reports the read-only diff, complete owner execution order and post-implementation learning summary; Codex runs nothing.</x:t>
  </x:si>
  <x:si>
    <x:t xml:space="preserve">Documentation is a separate approved stage and must state business value in clear wording.</x:t>
  </x:si>
  <x:si>
    <x:t xml:space="preserve">Owner executes TEST-001</x:t>
  </x:si>
  <x:si>
    <x:t xml:space="preserve">Run one command at a time with cache-safe scopes and stop conditions; failures receive complete impact analysis before one consolidated remediation approval.</x:t>
  </x:si>
  <x:si>
    <x:t xml:space="preserve">Final approval follows owner testing and document review; Codex never self-approves.</x:t>
  </x:si>
  <x:si>
    <x:t xml:space="preserve">Gate 3 — paste Column M approval</x:t>
  </x:si>
  <x:si>
    <x:t xml:space="preserve">Codex writes only exact approved documentation and returns the complete Column M Approved Document Manifest.</x:t>
  </x:si>
  <x:si>
    <x:t xml:space="preserve">Weekly learning is mandatory before progressing: business story, technical deep-dive, layman analogy and interview teach-back.</x:t>
  </x:si>
  <x:si>
    <x:t xml:space="preserve">Gate 4 — paste Column N approval</x:t>
  </x:si>
  <x:si>
    <x:t xml:space="preserve">Codex preflights and closes every manifest document, records owner-supplied reviewer/decision/date and returns full reconciliation.</x:t>
  </x:si>
  <x:si>
    <x:t xml:space="preserve">Editable project inputs — owner maintained</x:t>
  </x:si>
  <x:si>
    <x:t xml:space="preserve">Owner updates tracker; complete weekly learning</x:t>
  </x:si>
  <x:si>
    <x:t xml:space="preserve">Only after complete Column N closure, update Excel yourself and complete the mandatory end-of-week teach-back before progression.</x:t>
  </x:si>
  <x:si>
    <x:t xml:space="preserve">Project start date</x:t>
  </x:si>
  <x:si>
    <x:t xml:space="preserve">Owner</x:t>
  </x:si>
  <x:si>
    <x:t xml:space="preserve">Gyan Prakash Rai</x:t>
  </x:si>
  <x:si>
    <x:t xml:space="preserve">Current week</x:t>
  </x:si>
  <x:si>
    <x:t xml:space="preserve">Week 2</x:t>
  </x:si>
  <x:si>
    <x:t xml:space="preserve">Monthly sandbox budget</x:t>
  </x:si>
  <x:si>
    <x:t xml:space="preserve">TODO</x:t>
  </x:si>
  <x:si>
    <x:t xml:space="preserve">Restart / resume decision</x:t>
  </x:si>
  <x:si>
    <x:t xml:space="preserve">Resume</x:t>
  </x:si>
  <x:si>
    <x:t xml:space="preserve">Source precedence remains unchanged. This version changes execution ownership and learning controls only: Codex writes approved code; the owner tests, deploys, remediates and approves.</x:t>
  </x:si>
  <x:si>
    <x:t xml:space="preserve">Execution Dashboard</x:t>
  </x:si>
  <x:si>
    <x:t xml:space="preserve">All KPIs are formula-driven from tracker sheets. Historical status is preserved; the owner executes tests/deployments and updates source records after final approval.</x:t>
  </x:si>
  <x:si>
    <x:t xml:space="preserve">Total steps</x:t>
  </x:si>
  <x:si>
    <x:t xml:space="preserve">Done</x:t>
  </x:si>
  <x:si>
    <x:t xml:space="preserve">Overall progress</x:t>
  </x:si>
  <x:si>
    <x:t xml:space="preserve">Blocked</x:t>
  </x:si>
  <x:si>
    <x:t xml:space="preserve">Open owner TODOs</x:t>
  </x:si>
  <x:si>
    <x:t xml:space="preserve">Tests passed</x:t>
  </x:si>
  <x:si>
    <x:t xml:space="preserve">Decisions approved</x:t>
  </x:si>
  <x:si>
    <x:t xml:space="preserve">Lifecycle tests passed</x:t>
  </x:si>
  <x:si>
    <x:t xml:space="preserve">Week</x:t>
  </x:si>
  <x:si>
    <x:t xml:space="preserve">Total</x:t>
  </x:si>
  <x:si>
    <x:t xml:space="preserve">Progress</x:t>
  </x:si>
  <x:si>
    <x:t xml:space="preserve">Week 1</x:t>
  </x:si>
  <x:si>
    <x:t xml:space="preserve">Week 3</x:t>
  </x:si>
  <x:si>
    <x:t xml:space="preserve">Week 4</x:t>
  </x:si>
  <x:si>
    <x:t xml:space="preserve">Week 5</x:t>
  </x:si>
  <x:si>
    <x:t xml:space="preserve">Week 6</x:t>
  </x:si>
  <x:si>
    <x:t xml:space="preserve">Weekly gate interpretation</x:t>
  </x:si>
  <x:si>
    <x:t xml:space="preserve">READY: every MUST task is Done, tests have evidence and the owner signs off.</x:t>
  </x:si>
  <x:si>
    <x:t xml:space="preserve">BLOCKED: stop new prompts; resolve the dependency or explicitly defer with risk/owner/date.</x:t>
  </x:si>
  <x:si>
    <x:t xml:space="preserve">IN PROGRESS: Codex writes approved code only; the owner follows TEST-001 guidance and returns each command result.</x:t>
  </x:si>
  <x:si>
    <x:t xml:space="preserve">Done requires owner-executed validation, approved business-first documentation, rollback/teardown evidence and final owner approval.</x:t>
  </x:si>
  <x:si>
    <x:t xml:space="preserve">Cloud mutations remain manual even when every automated gate passes.</x:t>
  </x:si>
  <x:si>
    <x:t xml:space="preserve">Master Six-Week Owner-Led Learning Plan — v1.3.4</x:t>
  </x:si>
  <x:si>
    <x:t xml:space="preserve">Historical statuses, evidence, notes and dates are preserved. Prompt execution follows FOUR APPROVAL GATES PLUS OWNER TESTING AND WEEKLY LEARNING; complete-impact review precedes any bounded edit, and only the owner updates tracker progress.</x:t>
  </x:si>
  <x:si>
    <x:t xml:space="preserve">Step ID</x:t>
  </x:si>
  <x:si>
    <x:t xml:space="preserve">Seq</x:t>
  </x:si>
  <x:si>
    <x:t xml:space="preserve">Priority</x:t>
  </x:si>
  <x:si>
    <x:t xml:space="preserve">Workstream</x:t>
  </x:si>
  <x:si>
    <x:t xml:space="preserve">Task / Outcome</x:t>
  </x:si>
  <x:si>
    <x:t xml:space="preserve">Why It Matters</x:t>
  </x:si>
  <x:si>
    <x:t xml:space="preserve">Effort (h)</x:t>
  </x:si>
  <x:si>
    <x:t xml:space="preserve">Prompt ID</x:t>
  </x:si>
  <x:si>
    <x:t xml:space="preserve">User TODO IDs</x:t>
  </x:si>
  <x:si>
    <x:t xml:space="preserve">Acceptance Criteria</x:t>
  </x:si>
  <x:si>
    <x:t xml:space="preserve">Owner Verification Command</x:t>
  </x:si>
  <x:si>
    <x:t xml:space="preserve">Expected Result</x:t>
  </x:si>
  <x:si>
    <x:t xml:space="preserve">Evidence Path</x:t>
  </x:si>
  <x:si>
    <x:t xml:space="preserve">Decision ID</x:t>
  </x:si>
  <x:si>
    <x:t xml:space="preserve">Dependency</x:t>
  </x:si>
  <x:si>
    <x:t xml:space="preserve">Rollback / Teardown</x:t>
  </x:si>
  <x:si>
    <x:t xml:space="preserve">Status</x:t>
  </x:si>
  <x:si>
    <x:t xml:space="preserve">Notes</x:t>
  </x:si>
  <x:si>
    <x:t xml:space="preserve">Task Context</x:t>
  </x:si>
  <x:si>
    <x:t xml:space="preserve">W1-01</x:t>
  </x:si>
  <x:si>
    <x:t xml:space="preserve">MUST</x:t>
  </x:si>
  <x:si>
    <x:t xml:space="preserve">Scope</x:t>
  </x:si>
  <x:si>
    <x:t xml:space="preserve">Confirm the first use case, user group, exclusions and measurable MVP outcome.</x:t>
  </x:si>
  <x:si>
    <x:t xml:space="preserve">A narrow use case prevents a platform-without-a-problem and sets evaluation truth.</x:t>
  </x:si>
  <x:si>
    <x:t xml:space="preserve">User</x:t>
  </x:si>
  <x:si>
    <x:t xml:space="preserve">W1-MVP-001</x:t>
  </x:si>
  <x:si>
    <x:t xml:space="preserve">USE-001, DATA-001, EVAL-001</x:t>
  </x:si>
  <x:si>
    <x:t xml:space="preserve">One approved one-page scope and 5 representative questions.</x:t>
  </x:si>
  <x:si>
    <x:t xml:space="preserve">Owner review of docs/features/MVP-001.md</x:t>
  </x:si>
  <x:si>
    <x:t xml:space="preserve">Scope, exclusions and success measures approved.</x:t>
  </x:si>
  <x:si>
    <x:t xml:space="preserve">docs/features/MVP-001.md</x:t>
  </x:si>
  <x:si>
    <x:t xml:space="preserve">ADR-001</x:t>
  </x:si>
  <x:si>
    <x:t xml:space="preserve">None</x:t>
  </x:si>
  <x:si>
    <x:t xml:space="preserve">Revert scope file before implementation begins.</x:t>
  </x:si>
  <x:si>
    <x:t xml:space="preserve">Use W1-MVP-001. Approve five starter questions now; the full 25+ golden dataset is completed under W3-002 in Week 3. | Implementation commit 210381c3ddbc9aab83ccaeb11a59db8d8dad549b; owner approval date 2026-08-18; owner reaffirmed 2026-08-18T16:01:18Z.</x:t>
  </x:si>
  <x:si>
    <x:t xml:space="preserve">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x:t>
  </x:si>
  <x:si>
    <x:t xml:space="preserve">W1-02</x:t>
  </x:si>
  <x:si>
    <x:t xml:space="preserve">Governance</x:t>
  </x:si>
  <x:si>
    <x:t xml:space="preserve">Record source precedence: v1.1 controls override older schedule while preserving technical prompts.</x:t>
  </x:si>
  <x:si>
    <x:t xml:space="preserve">Prevents Codex and coach from following conflicting weekly sequences.</x:t>
  </x:si>
  <x:si>
    <x:t xml:space="preserve">User (execute) + Codex (guide/code)</x:t>
  </x:si>
  <x:si>
    <x:t xml:space="preserve">W1-GOV-001</x:t>
  </x:si>
  <x:si>
    <x:t xml:space="preserve">Decision recorded and referenced by all feature prompts.</x:t>
  </x:si>
  <x:si>
    <x:t xml:space="preserve">Review docs/adr/ADR-000-source-precedence.md</x:t>
  </x:si>
  <x:si>
    <x:t xml:space="preserve">v1.1 is named implementation authority.</x:t>
  </x:si>
  <x:si>
    <x:t xml:space="preserve">docs/adr/ADR-000-source-precedence.md</x:t>
  </x:si>
  <x:si>
    <x:t xml:space="preserve">ADR-016</x:t>
  </x:si>
  <x:si>
    <x:t xml:space="preserve">Restore prior ADR only through reviewed superseding decision.</x:t>
  </x:si>
  <x:si>
    <x:t xml:space="preserve">Use W1-GOV-001. Create ADR-000 only; docs/codex files are not prerequisites for this task. | Implementation commit 210381c3ddbc9aab83ccaeb11a59db8d8dad549b; owner approval date 2026-08-18; owner reaffirmed 2026-08-18T16:01:18Z.</x:t>
  </x:si>
  <x:si>
    <x:t xml:space="preserve">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x:t>
  </x:si>
  <x:si>
    <x:t xml:space="preserve">W1-03</x:t>
  </x:si>
  <x:si>
    <x:t xml:space="preserve">Repository</x:t>
  </x:si>
  <x:si>
    <x:t xml:space="preserve">Create the monorepo and documentation/evidence structure.</x:t>
  </x:si>
  <x:si>
    <x:t xml:space="preserve">Gives every change an auditable home and supports clean ownership.</x:t>
  </x:si>
  <x:si>
    <x:t xml:space="preserve">Codex (code) + User (execute)</x:t>
  </x:si>
  <x:si>
    <x:t xml:space="preserve">W1-001</x:t>
  </x:si>
  <x:si>
    <x:t xml:space="preserve">TAG-001</x:t>
  </x:si>
  <x:si>
    <x:t xml:space="preserve">Required folders, README and Makefile exist.</x:t>
  </x:si>
  <x:si>
    <x:t xml:space="preserve">find . -maxdepth 3 -type d | sort</x:t>
  </x:si>
  <x:si>
    <x:t xml:space="preserve">Layout matches blueprint; no unrelated files changed.</x:t>
  </x:si>
  <x:si>
    <x:t xml:space="preserve">docs/test-evidence/W1-03-layout.txt</x:t>
  </x:si>
  <x:si>
    <x:t xml:space="preserve">Delete only newly created empty skeleton paths after diff review.</x:t>
  </x:si>
  <x:si>
    <x:t xml:space="preserve">Implementation commit 210381c3ddbc9aab83ccaeb11a59db8d8dad549b; owner approval date 2026-08-18; owner reaffirmed 2026-08-18T16:01:18Z.</x:t>
  </x:si>
  <x:si>
    <x:t xml:space="preserve">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x:t>
  </x:si>
  <x:si>
    <x:t xml:space="preserve">W1-04</x:t>
  </x:si>
  <x:si>
    <x:t xml:space="preserve">Traceability</x:t>
  </x:si>
  <x:si>
    <x:t xml:space="preserve">Create feature-matrix.yaml and the first feature record.</x:t>
  </x:si>
  <x:si>
    <x:t xml:space="preserve">Links purpose, files, tests, cost, approval, rollback and teardown.</x:t>
  </x:si>
  <x:si>
    <x:t xml:space="preserve">USE-001, TAG-001</x:t>
  </x:si>
  <x:si>
    <x:t xml:space="preserve">Schema validates and feature MVP-001 is planned.</x:t>
  </x:si>
  <x:si>
    <x:t xml:space="preserve">python tools/validate_feature_matrix.py</x:t>
  </x:si>
  <x:si>
    <x:t xml:space="preserve">Validation exits 0; missing required fields fail.</x:t>
  </x:si>
  <x:si>
    <x:t xml:space="preserve">docs/test-evidence/W1-04-feature-matrix.json</x:t>
  </x:si>
  <x:si>
    <x:t xml:space="preserve">Restore previous matrix version from Git.</x:t>
  </x:si>
  <x:si>
    <x:t xml:space="preserve">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x:t>
  </x:si>
  <x:si>
    <x:t xml:space="preserve">W1-05</x:t>
  </x:si>
  <x:si>
    <x:t xml:space="preserve">Python foundation</x:t>
  </x:si>
  <x:si>
    <x:t xml:space="preserve">Create reproducible dependencies and typed configuration.</x:t>
  </x:si>
  <x:si>
    <x:t xml:space="preserve">Fail-fast configuration and portable dependencies reduce hidden runtime risk.</x:t>
  </x:si>
  <x:si>
    <x:t xml:space="preserve">W1-002</x:t>
  </x:si>
  <x:si>
    <x:t xml:space="preserve">AWS-002, BED-001, EMB-001</x:t>
  </x:si>
  <x:si>
    <x:t xml:space="preserve">pip install succeeds; config tests pass offline.</x:t>
  </x:si>
  <x:si>
    <x:t xml:space="preserve">pip install -r requirements.txt &amp;&amp; pytest tests/unit/test_config.py -q</x:t>
  </x:si>
  <x:si>
    <x:t xml:space="preserve">No paid/network dependency in unit tests; TODOs remain non-secret.</x:t>
  </x:si>
  <x:si>
    <x:t xml:space="preserve">docs/test-evidence/W1-05-config.txt</x:t>
  </x:si>
  <x:si>
    <x:t xml:space="preserve">ADR-002</x:t>
  </x:si>
  <x:si>
    <x:t xml:space="preserve">Revert dependency/config commit and recreate virtual environment.</x:t>
  </x:si>
  <x:si>
    <x:t xml:space="preserve">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x:t>
  </x:si>
  <x:si>
    <x:t xml:space="preserve">W1-06</x:t>
  </x:si>
  <x:si>
    <x:t xml:space="preserve">Testing</x:t>
  </x:si>
  <x:si>
    <x:t xml:space="preserve">Create pytest layers, deterministic fakes and evidence capture.</x:t>
  </x:si>
  <x:si>
    <x:t xml:space="preserve">Testing is a feature gate, not an afterthought.</x:t>
  </x:si>
  <x:si>
    <x:t xml:space="preserve">W1-003</x:t>
  </x:si>
  <x:si>
    <x:t xml:space="preserve">Markers and sample feature test run locally.</x:t>
  </x:si>
  <x:si>
    <x:t xml:space="preserve">pytest tests/unit tests/feature -q</x:t>
  </x:si>
  <x:si>
    <x:t xml:space="preserve">Tests pass; evidence metadata excludes secrets/content.</x:t>
  </x:si>
  <x:si>
    <x:t xml:space="preserve">docs/test-evidence/W1-06-tests.json</x:t>
  </x:si>
  <x:si>
    <x:t xml:space="preserve">ADR-017</x:t>
  </x:si>
  <x:si>
    <x:t xml:space="preserve">W1-04,W1-05</x:t>
  </x:si>
  <x:si>
    <x:t xml:space="preserve">Revert test framework commit; no platform resources exist.</x:t>
  </x:si>
  <x:si>
    <x:t xml:space="preserve">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x:t>
  </x:si>
  <x:si>
    <x:t xml:space="preserve">W1-07</x:t>
  </x:si>
  <x:si>
    <x:t xml:space="preserve">Developer controls</x:t>
  </x:si>
  <x:si>
    <x:t xml:space="preserve">Add Make targets for preflight, test, scan, plan, rollback, destroy-plan and verify-clean.</x:t>
  </x:si>
  <x:si>
    <x:t xml:space="preserve">A single, reviewable command vocabulary keeps user and Codex synchronized.</x:t>
  </x:si>
  <x:si>
    <x:t xml:space="preserve">Make help documents safe commands; mutating commands are gated.</x:t>
  </x:si>
  <x:si>
    <x:t xml:space="preserve">make help &amp;&amp; make preflight</x:t>
  </x:si>
  <x:si>
    <x:t xml:space="preserve">Preflight passes; apply/destroy are never default dependencies.</x:t>
  </x:si>
  <x:si>
    <x:t xml:space="preserve">docs/test-evidence/W1-07-make.txt</x:t>
  </x:si>
  <x:si>
    <x:t xml:space="preserve">ADR-010, ADR-011</x:t>
  </x:si>
  <x:si>
    <x:t xml:space="preserve">Revert Makefile changes.</x:t>
  </x:si>
  <x:si>
    <x:t xml:space="preserve">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x:t>
  </x:si>
  <x:si>
    <x:t xml:space="preserve">W1-08</x:t>
  </x:si>
  <x:si>
    <x:t xml:space="preserve">DevSecOps</x:t>
  </x:si>
  <x:si>
    <x:t xml:space="preserve">Add pre-commit formatting, linting and secret scanning baseline.</x:t>
  </x:si>
  <x:si>
    <x:t xml:space="preserve">Shift-left checks stop secrets and poor-quality changes before PR.</x:t>
  </x:si>
  <x:si>
    <x:t xml:space="preserve">SEC-003</x:t>
  </x:si>
  <x:si>
    <x:t xml:space="preserve">Insecure secret fixture is blocked without committing a real secret.</x:t>
  </x:si>
  <x:si>
    <x:t xml:space="preserve">pre-commit run --all-files</x:t>
  </x:si>
  <x:si>
    <x:t xml:space="preserve">All checks pass on source; synthetic fixture produces expected failure.</x:t>
  </x:si>
  <x:si>
    <x:t xml:space="preserve">docs/test-evidence/W1-08-precommit.txt</x:t>
  </x:si>
  <x:si>
    <x:t xml:space="preserve">Revert hooks only after owner review; rotate any accidentally exposed credential.</x:t>
  </x:si>
  <x:si>
    <x:t xml:space="preserve">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x:t>
  </x:si>
  <x:si>
    <x:t xml:space="preserve">W1-09</x:t>
  </x:si>
  <x:si>
    <x:t xml:space="preserve">Terraform lifecycle</x:t>
  </x:si>
  <x:si>
    <x:t xml:space="preserve">Separate infra/bootstrap from infra/environments/sandbox and document state removal last.</x:t>
  </x:si>
  <x:si>
    <x:t xml:space="preserve">A platform cannot fully disappear if its state backend is embedded in the same lifecycle.</x:t>
  </x:si>
  <x:si>
    <x:t xml:space="preserve">W1-004</x:t>
  </x:si>
  <x:si>
    <x:t xml:space="preserve">AWS-001, AWS-002, TAG-001</x:t>
  </x:si>
  <x:si>
    <x:t xml:space="preserve">Two roots validate as skeletons and dependency order is documented.</x:t>
  </x:si>
  <x:si>
    <x:t xml:space="preserve">terraform -chdir=infra/bootstrap fmt -check &amp;&amp; terraform -chdir=infra/environments/sandbox fmt -check</x:t>
  </x:si>
  <x:si>
    <x:t xml:space="preserve">No resource apply; backend/platform boundaries are explicit.</x:t>
  </x:si>
  <x:si>
    <x:t xml:space="preserve">docs/test-evidence/W1-09-roots.txt</x:t>
  </x:si>
  <x:si>
    <x:t xml:space="preserve">ADR-009</x:t>
  </x:si>
  <x:si>
    <x:t xml:space="preserve">Revert Terraform skeleton; no state exists yet.</x:t>
  </x:si>
  <x:si>
    <x:t xml:space="preserve">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x:t>
  </x:si>
  <x:si>
    <x:t xml:space="preserve">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x:t>
  </x:si>
  <x:si>
    <x:t xml:space="preserve">W1-10</x:t>
  </x:si>
  <x:si>
    <x:t xml:space="preserve">Reversibility</x:t>
  </x:si>
  <x:si>
    <x:t xml:space="preserve">Create platformctl command contracts with dry-run and approvals.</x:t>
  </x:si>
  <x:si>
    <x:t xml:space="preserve">Deploy, rollback and teardown need distinct safe semantics.</x:t>
  </x:si>
  <x:si>
    <x:t xml:space="preserve">DEST-001, KMS-001</x:t>
  </x:si>
  <x:si>
    <x:t xml:space="preserve">CLI help and unit tests prove confirmation/approval gates.</x:t>
  </x:si>
  <x:si>
    <x:t xml:space="preserve">python -m tools.platformctl --help &amp;&amp; pytest tests/unit/test_platformctl.py -q</x:t>
  </x:si>
  <x:si>
    <x:t xml:space="preserve">No command mutates by default; missing approval fails closed.</x:t>
  </x:si>
  <x:si>
    <x:t xml:space="preserve">docs/test-evidence/W1-10-platformctl.txt</x:t>
  </x:si>
  <x:si>
    <x:t xml:space="preserve">ADR-010, ADR-011, ADR-012</x:t>
  </x:si>
  <x:si>
    <x:t xml:space="preserve">Revert CLI commit; no cloud mutation is allowed.</x:t>
  </x:si>
  <x:si>
    <x:t xml:space="preserve">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x:t>
  </x:si>
  <x:si>
    <x:t xml:space="preserve">W1-11</x:t>
  </x:si>
  <x:si>
    <x:t xml:space="preserve">Cleanup verification</x:t>
  </x:si>
  <x:si>
    <x:t xml:space="preserve">Implement mocked tag and service-specific residual checks.</x:t>
  </x:si>
  <x:si>
    <x:t xml:space="preserve">Tag-only discovery misses some resources; native checks close the gap.</x:t>
  </x:si>
  <x:si>
    <x:t xml:space="preserve">TAG-001, KMS-001</x:t>
  </x:si>
  <x:si>
    <x:t xml:space="preserve">Mock orphan makes verify-clean fail; PendingDeletion key is documented exception.</x:t>
  </x:si>
  <x:si>
    <x:t xml:space="preserve">pytest tests/teardown -q</x:t>
  </x:si>
  <x:si>
    <x:t xml:space="preserve">Expected pass/fail matrix is recorded.</x:t>
  </x:si>
  <x:si>
    <x:t xml:space="preserve">docs/test-evidence/W1-11-cleanup.json</x:t>
  </x:si>
  <x:si>
    <x:t xml:space="preserve">ADR-013, ADR-014</x:t>
  </x:si>
  <x:si>
    <x:t xml:space="preserve">Revert verifier implementation; keep the control requirement.</x:t>
  </x:si>
  <x:si>
    <x:t xml:space="preserve">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x:t>
  </x:si>
  <x:si>
    <x:t xml:space="preserve">W1-12</x:t>
  </x:si>
  <x:si>
    <x:t xml:space="preserve">Checkpoint</x:t>
  </x:si>
  <x:si>
    <x:t xml:space="preserve">Review diffs, architecture decisions, test evidence and Week 2 readiness.</x:t>
  </x:si>
  <x:si>
    <x:t xml:space="preserve">Owner approval is the stop point between features/weeks.</x:t>
  </x:si>
  <x:si>
    <x:t xml:space="preserve">All Week 1 TODOs</x:t>
  </x:si>
  <x:si>
    <x:t xml:space="preserve">Every MUST step is Done; no blocker or unapproved scope remains.</x:t>
  </x:si>
  <x:si>
    <x:t xml:space="preserve">make preflight &amp;&amp; make test</x:t>
  </x:si>
  <x:si>
    <x:t xml:space="preserve">Owner sign-off recorded with outstanding items explicitly deferred.</x:t>
  </x:si>
  <x:si>
    <x:t xml:space="preserve">docs/deployment-records/W1-signoff.md</x:t>
  </x:si>
  <x:si>
    <x:t xml:space="preserve">W1-01:W1-11</x:t>
  </x:si>
  <x:si>
    <x:t xml:space="preserve">No Week 2 prompt is used until gaps are resolved.</x:t>
  </x:si>
  <x:si>
    <x:t xml:space="preserve">W1-12 readiness PASS; final Week 1 sign-off APPROVED by Gyan Prakash Rai at 2026-08-19T00:10:55+08:00 (Asia/Singapore); sign-off evidence docs/deployment-records/W1-signoff.md; implementation commit 10f03a483f2ff639081c5b57dacaf282a31aaad4.</x:t>
  </x:si>
  <x:si>
    <x:t xml:space="preserve">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x:t>
  </x:si>
  <x:si>
    <x:t xml:space="preserve">W1-13</x:t>
  </x:si>
  <x:si>
    <x:t xml:space="preserve">Weekly learning</x:t>
  </x:si>
  <x:si>
    <x:t xml:space="preserve">Complete the Week 1 business, architecture and interview teach-back.</x:t>
  </x:si>
  <x:si>
    <x:t xml:space="preserve">Turns governance, repository, test and lifecycle controls into an explainable architecture story.</x:t>
  </x:si>
  <x:si>
    <x:t xml:space="preserve">WEEKLY-LEARN-001</x:t>
  </x:si>
  <x:si>
    <x:t xml:space="preserve">Owner explains the Week 1 business outcome, control flow, decisions, failure boundaries and three interview answers without reading code.</x:t>
  </x:si>
  <x:si>
    <x:t xml:space="preserve">Owner teach-back; no command</x:t>
  </x:si>
  <x:si>
    <x:t xml:space="preserve">Business summary, technical deep-dive, layman analogy, decision recap and interview Q&amp;A completed.</x:t>
  </x:si>
  <x:si>
    <x:t xml:space="preserve">docs/learning/W1-learning-review.md</x:t>
  </x:si>
  <x:si>
    <x:t xml:space="preserve">Existing Week 1 ADRs</x:t>
  </x:si>
  <x:si>
    <x:t xml:space="preserve">No runtime rollback; revise the learning note through document approval if inaccurate.</x:t>
  </x:si>
  <x:si>
    <x:t xml:space="preserve">Added in v1.3.0; historical Week 1 completion records remain unchanged.</x:t>
  </x:si>
  <x:si>
    <x:t xml:space="preserve">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x:t>
  </x:si>
  <x:si>
    <x:t xml:space="preserve">W2-01</x:t>
  </x:si>
  <x:si>
    <x:t xml:space="preserve">Data contracts</x:t>
  </x:si>
  <x:si>
    <x:t xml:space="preserve">Implement provider-neutral document, chunk, query, answer and citation models.</x:t>
  </x:si>
  <x:si>
    <x:t xml:space="preserve">Stable domain types make vector and LLM backends replaceable.</x:t>
  </x:si>
  <x:si>
    <x:t xml:space="preserve">W2-001</x:t>
  </x:si>
  <x:si>
    <x:t xml:space="preserve">DATA-002, SEC-001</x:t>
  </x:si>
  <x:si>
    <x:t xml:space="preserve">Models validate required identity/classification metadata.</x:t>
  </x:si>
  <x:si>
    <x:t xml:space="preserve">pytest tests/unit/test_models.py -q</x:t>
  </x:si>
  <x:si>
    <x:t xml:space="preserve">Invalid tenant/classification input fails.</x:t>
  </x:si>
  <x:si>
    <x:t xml:space="preserve">docs/test-evidence/W2-01-models.txt</x:t>
  </x:si>
  <x:si>
    <x:t xml:space="preserve">Revert model commit; no stored vectors affected.</x:t>
  </x:si>
  <x:si>
    <x:t xml:space="preserve">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x:t>
  </x:si>
  <x:si>
    <x:t xml:space="preserve">W2-02</x:t>
  </x:si>
  <x:si>
    <x:t xml:space="preserve">Vector interface</x:t>
  </x:si>
  <x:si>
    <x:t xml:space="preserve">Define VectorStore protocol and in-memory fake with contract tests.</x:t>
  </x:si>
  <x:si>
    <x:t xml:space="preserve">Business logic must not depend on Qdrant/OpenSearch SDK objects.</x:t>
  </x:si>
  <x:si>
    <x:t xml:space="preserve">Fake passes all contract tests.</x:t>
  </x:si>
  <x:si>
    <x:t xml:space="preserve">pytest tests/contract/test_vector_store.py -q</x:t>
  </x:si>
  <x:si>
    <x:t xml:space="preserve">Protocol behavior and normalized errors are stable.</x:t>
  </x:si>
  <x:si>
    <x:t xml:space="preserve">docs/test-evidence/W2-02-vector-contract.txt</x:t>
  </x:si>
  <x:si>
    <x:t xml:space="preserve">ADR-002, ADR-003</x:t>
  </x:si>
  <x:si>
    <x:t xml:space="preserve">Revert interface only before downstream adapters merge.</x:t>
  </x:si>
  <x:si>
    <x:t xml:space="preserve">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x:t>
  </x:si>
  <x:si>
    <x:t xml:space="preserve">W2-03</x:t>
  </x:si>
  <x:si>
    <x:t xml:space="preserve">Local platform</x:t>
  </x:si>
  <x:si>
    <x:t xml:space="preserve">Start pinned Qdrant through Docker Compose with healthcheck.</x:t>
  </x:si>
  <x:si>
    <x:t xml:space="preserve">A real client/server vector store gives useful local integration evidence.</x:t>
  </x:si>
  <x:si>
    <x:t xml:space="preserve">Qdrant becomes healthy without an embedded credential.</x:t>
  </x:si>
  <x:si>
    <x:t xml:space="preserve">docker compose up -d qdrant &amp;&amp; docker compose ps</x:t>
  </x:si>
  <x:si>
    <x:t xml:space="preserve">Service is healthy; image version is pinned.</x:t>
  </x:si>
  <x:si>
    <x:t xml:space="preserve">docs/test-evidence/W2-03-qdrant.txt</x:t>
  </x:si>
  <x:si>
    <x:t xml:space="preserve">ADR-003</x:t>
  </x:si>
  <x:si>
    <x:t xml:space="preserve">docker compose down -v; verify no project volume/network.</x:t>
  </x:si>
  <x:si>
    <x:t xml:space="preserve">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x:t>
  </x:si>
  <x:si>
    <x:t xml:space="preserve">W2-04</x:t>
  </x:si>
  <x:si>
    <x:t xml:space="preserve">Vector adapters</x:t>
  </x:si>
  <x:si>
    <x:t xml:space="preserve">Implement Qdrant adapter and OpenSearch adapter boundary.</x:t>
  </x:si>
  <x:si>
    <x:t xml:space="preserve">Local and AWS retrieval must satisfy the same contract.</x:t>
  </x:si>
  <x:si>
    <x:t xml:space="preserve">AWS-002, NET-001</x:t>
  </x:si>
  <x:si>
    <x:t xml:space="preserve">Fake/Qdrant tests pass; AWS tests remain marked/skipped.</x:t>
  </x:si>
  <x:si>
    <x:t xml:space="preserve">pytest tests/contract tests/integration/test_qdrant.py -q</x:t>
  </x:si>
  <x:si>
    <x:t xml:space="preserve">No vendor object leaks; timeouts and filters are applied.</x:t>
  </x:si>
  <x:si>
    <x:t xml:space="preserve">docs/test-evidence/W2-04-adapters.txt</x:t>
  </x:si>
  <x:si>
    <x:t xml:space="preserve">W2-02,W2-03</x:t>
  </x:si>
  <x:si>
    <x:t xml:space="preserve">Delete test collection and restore previous adapter version.</x:t>
  </x:si>
  <x:si>
    <x:t xml:space="preserve">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x:t>
  </x:si>
  <x:si>
    <x:t xml:space="preserve">W2-05</x:t>
  </x:si>
  <x:si>
    <x:t xml:space="preserve">Embeddings</x:t>
  </x:si>
  <x:si>
    <x:t xml:space="preserve">Implement sentence-transformer and deterministic fake embedders.</x:t>
  </x:si>
  <x:si>
    <x:t xml:space="preserve">Local CPU embeddings avoid a paid dependency while preserving provider exit.</x:t>
  </x:si>
  <x:si>
    <x:t xml:space="preserve">W2-002</x:t>
  </x:si>
  <x:si>
    <x:t xml:space="preserve">EMB-001</x:t>
  </x:si>
  <x:si>
    <x:t xml:space="preserve">Batch, normalization and dimension mismatch tests pass.</x:t>
  </x:si>
  <x:si>
    <x:t xml:space="preserve">pytest tests/unit/test_embedder.py -q</x:t>
  </x:si>
  <x:si>
    <x:t xml:space="preserve">Unit tests make no model download; integration model is explicit.</x:t>
  </x:si>
  <x:si>
    <x:t xml:space="preserve">docs/test-evidence/W2-05-embedder.txt</x:t>
  </x:si>
  <x:si>
    <x:t xml:space="preserve">Restore previous model configuration and recreate collection if dimension changed.</x:t>
  </x:si>
  <x:si>
    <x:t xml:space="preserve">Not Started</x:t>
  </x:si>
  <x:si>
    <x:t xml:space="preserve">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x:t>
  </x:si>
  <x:si>
    <x:t xml:space="preserve">W2-06</x:t>
  </x:si>
  <x:si>
    <x:t xml:space="preserve">Ingestion</x:t>
  </x:si>
  <x:si>
    <x:t xml:space="preserve">Implement validation, hashing, normalization and deterministic token chunking.</x:t>
  </x:si>
  <x:si>
    <x:t xml:space="preserve">Reproducible chunk IDs/versioning make re-index and deletion safe.</x:t>
  </x:si>
  <x:si>
    <x:t xml:space="preserve">W2-003</x:t>
  </x:si>
  <x:si>
    <x:t xml:space="preserve">DATA-001, DATA-002</x:t>
  </x:si>
  <x:si>
    <x:t xml:space="preserve">Same input produces same IDs; changed version is distinguishable.</x:t>
  </x:si>
  <x:si>
    <x:t xml:space="preserve">pytest tests/unit/test_chunking.py tests/unit/test_ingestion.py -q</x:t>
  </x:si>
  <x:si>
    <x:t xml:space="preserve">Size/type failures quarantine; no raw content in logs.</x:t>
  </x:si>
  <x:si>
    <x:t xml:space="preserve">docs/test-evidence/W2-06-ingestion.txt</x:t>
  </x:si>
  <x:si>
    <x:t xml:space="preserve">W2-01,W2-05</x:t>
  </x:si>
  <x:si>
    <x:t xml:space="preserve">Delete affected document version and re-ingest last approved manifest.</x:t>
  </x:si>
  <x:si>
    <x:t xml:space="preserve">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x:t>
  </x:si>
  <x:si>
    <x:t xml:space="preserve">W2-07</x:t>
  </x:si>
  <x:si>
    <x:t xml:space="preserve">Privacy</x:t>
  </x:si>
  <x:si>
    <x:t xml:space="preserve">Add replaceable Presidio PII detection/redaction hook.</x:t>
  </x:si>
  <x:si>
    <x:t xml:space="preserve">PII handling belongs before indexing and telemetry.</x:t>
  </x:si>
  <x:si>
    <x:t xml:space="preserve">DATA-003</x:t>
  </x:si>
  <x:si>
    <x:t xml:space="preserve">Configured PII is redacted/quarantined and never appears in evidence logs.</x:t>
  </x:si>
  <x:si>
    <x:t xml:space="preserve">pytest tests/security/test_pii.py -q</x:t>
  </x:si>
  <x:si>
    <x:t xml:space="preserve">Synthetic PII fixture is handled as policy states.</x:t>
  </x:si>
  <x:si>
    <x:t xml:space="preserve">docs/test-evidence/W2-07-pii.txt</x:t>
  </x:si>
  <x:si>
    <x:t xml:space="preserve">ADR-006</x:t>
  </x:si>
  <x:si>
    <x:t xml:space="preserve">Delete derived chunks; restore approved unredacted source only in controlled location.</x:t>
  </x:si>
  <x:si>
    <x:t xml:space="preserve">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x:t>
  </x:si>
  <x:si>
    <x:t xml:space="preserve">W2-08</x:t>
  </x:si>
  <x:si>
    <x:t xml:space="preserve">Authorization</x:t>
  </x:si>
  <x:si>
    <x:t xml:space="preserve">Enforce tenant/classification filters before vector search.</x:t>
  </x:si>
  <x:si>
    <x:t xml:space="preserve">The model cannot be trusted to enforce access control.</x:t>
  </x:si>
  <x:si>
    <x:t xml:space="preserve">SEC-001</x:t>
  </x:si>
  <x:si>
    <x:t xml:space="preserve">Cross-tenant query returns zero unauthorized chunks.</x:t>
  </x:si>
  <x:si>
    <x:t xml:space="preserve">pytest tests/security/test_tenant_isolation.py -q</x:t>
  </x:si>
  <x:si>
    <x:t xml:space="preserve">100% isolation test passes.</x:t>
  </x:si>
  <x:si>
    <x:t xml:space="preserve">docs/test-evidence/W2-08-isolation.txt</x:t>
  </x:si>
  <x:si>
    <x:t xml:space="preserve">Disable retrieval endpoint and restore last-known-good filter implementation.</x:t>
  </x:si>
  <x:si>
    <x:t xml:space="preserve">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x:t>
  </x:si>
  <x:si>
    <x:t xml:space="preserve">W2-09</x:t>
  </x:si>
  <x:si>
    <x:t xml:space="preserve">Feature proof</x:t>
  </x:si>
  <x:si>
    <x:t xml:space="preserve">Ingest approved sample corpus and verify top-5 retrieval.</x:t>
  </x:si>
  <x:si>
    <x:t xml:space="preserve">This is the first measurable RAG foundation outcome.</x:t>
  </x:si>
  <x:si>
    <x:t xml:space="preserve">W2-004</x:t>
  </x:si>
  <x:si>
    <x:t xml:space="preserve">DATA-001, EVAL-001</x:t>
  </x:si>
  <x:si>
    <x:t xml:space="preserve">Expected source appears in top 5 for representative questions.</x:t>
  </x:si>
  <x:si>
    <x:t xml:space="preserve">python -m enterprise_ai.ingestion.pipeline ingest --source data/sample --tenant demo &amp;&amp; pytest tests/feature/test_local_retrieval.py -q</x:t>
  </x:si>
  <x:si>
    <x:t xml:space="preserve">Manifest, retrieval scores and source IDs are captured.</x:t>
  </x:si>
  <x:si>
    <x:t xml:space="preserve">docs/test-evidence/W2-09-retrieval.json</x:t>
  </x:si>
  <x:si>
    <x:t xml:space="preserve">ADR-003, ADR-017</x:t>
  </x:si>
  <x:si>
    <x:t xml:space="preserve">W2-03:W2-08</x:t>
  </x:si>
  <x:si>
    <x:t xml:space="preserve">Delete test collection/volume and restore previous config.</x:t>
  </x:si>
  <x:si>
    <x:t xml:space="preserve">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x:t>
  </x:si>
  <x:si>
    <x:t xml:space="preserve">W2-10</x:t>
  </x:si>
  <x:si>
    <x:t xml:space="preserve">Run local deploy, rollback and complete removal drill.</x:t>
  </x:si>
  <x:si>
    <x:t xml:space="preserve">A working feature is incomplete until it can be removed cleanly.</x:t>
  </x:si>
  <x:si>
    <x:t xml:space="preserve">DEST-001</x:t>
  </x:si>
  <x:si>
    <x:t xml:space="preserve">Previous configuration works after rollback; teardown leaves no local residue.</x:t>
  </x:si>
  <x:si>
    <x:t xml:space="preserve">make rollback-local &amp;&amp; make destroy-local &amp;&amp; make verify-clean-local</x:t>
  </x:si>
  <x:si>
    <x:t xml:space="preserve">No project container, volume or network remains.</x:t>
  </x:si>
  <x:si>
    <x:t xml:space="preserve">docs/rollback-records/W2-local.md</x:t>
  </x:si>
  <x:si>
    <x:t xml:space="preserve">ADR-012, ADR-013</x:t>
  </x:si>
  <x:si>
    <x:t xml:space="preserve">Recreate from pinned Compose/config and re-run feature test.</x:t>
  </x:si>
  <x:si>
    <x:t xml:space="preserve">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x:t>
  </x:si>
  <x:si>
    <x:t xml:space="preserve">W2-11</x:t>
  </x:si>
  <x:si>
    <x:t xml:space="preserve">SHOULD</x:t>
  </x:si>
  <x:si>
    <x:t xml:space="preserve">Learning checkpoint</x:t>
  </x:si>
  <x:si>
    <x:t xml:space="preserve">Explain embeddings, cosine similarity, chunk size/overlap and metadata filtering.</x:t>
  </x:si>
  <x:si>
    <x:t xml:space="preserve">The workbook is also an interview/reference learning plan.</x:t>
  </x:si>
  <x:si>
    <x:t xml:space="preserve">W2-LEARN-001</x:t>
  </x:si>
  <x:si>
    <x:t xml:space="preserve">Five-minute explanation uses current implementation evidence.</x:t>
  </x:si>
  <x:si>
    <x:t xml:space="preserve">Explanation connects decisions to quality, security and cost.</x:t>
  </x:si>
  <x:si>
    <x:t xml:space="preserve">docs/architecture/local-retrieval.md</x:t>
  </x:si>
  <x:si>
    <x:t xml:space="preserve">ADR-002, ADR-003, ADR-006</x:t>
  </x:si>
  <x:si>
    <x:t xml:space="preserve">Revise ADR/notes; do not change code without a feature cycle.</x:t>
  </x:si>
  <x:si>
    <x:t xml:space="preserve">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x:t>
  </x:si>
  <x:si>
    <x:t xml:space="preserve">W2-12</x:t>
  </x:si>
  <x:si>
    <x:t xml:space="preserve">Approve local retrieval gate and Week 3 inputs.</x:t>
  </x:si>
  <x:si>
    <x:t xml:space="preserve">Prevents LLM work from hiding retrieval defects.</x:t>
  </x:si>
  <x:si>
    <x:t xml:space="preserve">BED-001, EVAL-001</x:t>
  </x:si>
  <x:si>
    <x:t xml:space="preserve">All MUST tests and cleanup evidence pass.</x:t>
  </x:si>
  <x:si>
    <x:t xml:space="preserve">make test &amp;&amp; make verify-clean-local</x:t>
  </x:si>
  <x:si>
    <x:t xml:space="preserve">Owner sign-off; Bedrock/evaluation TODOs resolved or explicitly mocked.</x:t>
  </x:si>
  <x:si>
    <x:t xml:space="preserve">docs/deployment-records/W2-signoff.md</x:t>
  </x:si>
  <x:si>
    <x:t xml:space="preserve">W2-01:W2-11</x:t>
  </x:si>
  <x:si>
    <x:t xml:space="preserve">Remain on local retrieval until the gate passes.</x:t>
  </x:si>
  <x:si>
    <x:t xml:space="preserve">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x:t>
  </x:si>
  <x:si>
    <x:t xml:space="preserve">W2-13</x:t>
  </x:si>
  <x:si>
    <x:t xml:space="preserve">Complete the Week 2 local retrieval business, architecture and interview teach-back.</x:t>
  </x:si>
  <x:si>
    <x:t xml:space="preserve">Converts vector retrieval, ingestion, privacy and authorization work into an end-to-end business explanation.</x:t>
  </x:si>
  <x:si>
    <x:t xml:space="preserve">Owner explains document-to-vector-to-authorized-retrieval flow, Qdrant role, failure handling and three interview answers.</x:t>
  </x:si>
  <x:si>
    <x:t xml:space="preserve">docs/learning/W2-learning-review.md</x:t>
  </x:si>
  <x:si>
    <x:t xml:space="preserve">Mandatory learning gate before Week 3.</x:t>
  </x:si>
  <x:si>
    <x:t xml:space="preserve">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x:t>
  </x:si>
  <x:si>
    <x:t xml:space="preserve">W3-01</x:t>
  </x:si>
  <x:si>
    <x:t xml:space="preserve">LLM contract</x:t>
  </x:si>
  <x:si>
    <x:t xml:space="preserve">Create provider-neutral chat/tool/usage types and fake provider.</x:t>
  </x:si>
  <x:si>
    <x:t xml:space="preserve">RAG logic should not depend on Bedrock response formats.</x:t>
  </x:si>
  <x:si>
    <x:t xml:space="preserve">W3-001</x:t>
  </x:si>
  <x:si>
    <x:t xml:space="preserve">BED-001</x:t>
  </x:si>
  <x:si>
    <x:t xml:space="preserve">Fake tests cover success, timeout and malformed response.</x:t>
  </x:si>
  <x:si>
    <x:t xml:space="preserve">pytest tests/unit/test_llm_provider.py -q</x:t>
  </x:si>
  <x:si>
    <x:t xml:space="preserve">Normalized errors and usage fields are stable.</x:t>
  </x:si>
  <x:si>
    <x:t xml:space="preserve">docs/test-evidence/W3-01-llm-contract.txt</x:t>
  </x:si>
  <x:si>
    <x:t xml:space="preserve">ADR-002, ADR-004</x:t>
  </x:si>
  <x:si>
    <x:t xml:space="preserve">Switch configuration back to fake provider.</x:t>
  </x:si>
  <x:si>
    <x:t xml:space="preserve">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x:t>
  </x:si>
  <x:si>
    <x:t xml:space="preserve">W3-02</x:t>
  </x:si>
  <x:si>
    <x:t xml:space="preserve">AWS AI adapter</x:t>
  </x:si>
  <x:si>
    <x:t xml:space="preserve">Implement Bedrock adapter behind marked integration tests.</x:t>
  </x:si>
  <x:si>
    <x:t xml:space="preserve">Bedrock is the primary AWS model boundary without GPU operations.</x:t>
  </x:si>
  <x:si>
    <x:t xml:space="preserve">AWS-002, BED-001</x:t>
  </x:si>
  <x:si>
    <x:t xml:space="preserve">Adapter has deadlines/retry caps and no hard-coded model ID.</x:t>
  </x:si>
  <x:si>
    <x:t xml:space="preserve">pytest tests/unit/test_bedrock_adapter.py -q</x:t>
  </x:si>
  <x:si>
    <x:t xml:space="preserve">Offline tests pass; live test is skipped unless explicitly enabled.</x:t>
  </x:si>
  <x:si>
    <x:t xml:space="preserve">docs/test-evidence/W3-02-bedrock.txt</x:t>
  </x:si>
  <x:si>
    <x:t xml:space="preserve">ADR-004</x:t>
  </x:si>
  <x:si>
    <x:t xml:space="preserve">Set LLM_PROVIDER=fake; revoke test session if created.</x:t>
  </x:si>
  <x:si>
    <x:t xml:space="preserve">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x:t>
  </x:si>
  <x:si>
    <x:t xml:space="preserve">W3-03</x:t>
  </x:si>
  <x:si>
    <x:t xml:space="preserve">Prompt boundary</x:t>
  </x:si>
  <x:si>
    <x:t xml:space="preserve">Create versioned evidence-bound prompt template.</x:t>
  </x:si>
  <x:si>
    <x:t xml:space="preserve">Retrieved documents are data, never instructions.</x:t>
  </x:si>
  <x:si>
    <x:t xml:space="preserve">Prompt clearly delimits evidence and demands citations/abstention.</x:t>
  </x:si>
  <x:si>
    <x:t xml:space="preserve">pytest tests/unit/test_prompt_template.py -q</x:t>
  </x:si>
  <x:si>
    <x:t xml:space="preserve">Injection fixture cannot override system policy.</x:t>
  </x:si>
  <x:si>
    <x:t xml:space="preserve">docs/test-evidence/W3-03-prompt.txt</x:t>
  </x:si>
  <x:si>
    <x:t xml:space="preserve">ADR-006, ADR-017</x:t>
  </x:si>
  <x:si>
    <x:t xml:space="preserve">Restore previous approved prompt version.</x:t>
  </x:si>
  <x:si>
    <x:t xml:space="preserve">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x:t>
  </x:si>
  <x:si>
    <x:t xml:space="preserve">W3-04</x:t>
  </x:si>
  <x:si>
    <x:t xml:space="preserve">RAG pipeline</x:t>
  </x:si>
  <x:si>
    <x:t xml:space="preserve">Authorize, retrieve, grade, generate and validate citations.</x:t>
  </x:si>
  <x:si>
    <x:t xml:space="preserve">This is the core safe-answer path.</x:t>
  </x:si>
  <x:si>
    <x:t xml:space="preserve">RAG-001</x:t>
  </x:si>
  <x:si>
    <x:t xml:space="preserve">Structured Answer contains only supplied source IDs.</x:t>
  </x:si>
  <x:si>
    <x:t xml:space="preserve">pytest tests/unit/test_rag_pipeline.py -q</x:t>
  </x:si>
  <x:si>
    <x:t xml:space="preserve">Good evidence answers; low evidence abstains.</x:t>
  </x:si>
  <x:si>
    <x:t xml:space="preserve">docs/test-evidence/W3-04-rag.txt</x:t>
  </x:si>
  <x:si>
    <x:t xml:space="preserve">W3-01:W3-03,W2-09</x:t>
  </x:si>
  <x:si>
    <x:t xml:space="preserve">Switch to last-known-good prompt/model/retriever configuration.</x:t>
  </x:si>
  <x:si>
    <x:t xml:space="preserve">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x:t>
  </x:si>
  <x:si>
    <x:t xml:space="preserve">W3-05</x:t>
  </x:si>
  <x:si>
    <x:t xml:space="preserve">Guardrails</x:t>
  </x:si>
  <x:si>
    <x:t xml:space="preserve">Add deterministic input/output/citation safety checks.</x:t>
  </x:si>
  <x:si>
    <x:t xml:space="preserve">Deterministic policy must surround probabilistic generation.</x:t>
  </x:si>
  <x:si>
    <x:t xml:space="preserve">W3-003</x:t>
  </x:si>
  <x:si>
    <x:t xml:space="preserve">SEC-001, DATA-002</x:t>
  </x:si>
  <x:si>
    <x:t xml:space="preserve">Malformed, unauthorized and uncited outputs fail safely.</x:t>
  </x:si>
  <x:si>
    <x:t xml:space="preserve">pytest tests/security tests/unit/test_guardrails.py -q</x:t>
  </x:si>
  <x:si>
    <x:t xml:space="preserve">Security suite passes with redacted logs.</x:t>
  </x:si>
  <x:si>
    <x:t xml:space="preserve">docs/test-evidence/W3-05-guardrails.txt</x:t>
  </x:si>
  <x:si>
    <x:t xml:space="preserve">Disable affected model route and return safe refusal.</x:t>
  </x:si>
  <x:si>
    <x:t xml:space="preserve">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x:t>
  </x:si>
  <x:si>
    <x:t xml:space="preserve">W3-06</x:t>
  </x:si>
  <x:si>
    <x:t xml:space="preserve">Evaluation data</x:t>
  </x:si>
  <x:si>
    <x:t xml:space="preserve">Create 25+ golden cases with sources, facts, tenant and safety tags.</x:t>
  </x:si>
  <x:si>
    <x:t xml:space="preserve">Quality thresholds require versioned, representative truth data.</x:t>
  </x:si>
  <x:si>
    <x:t xml:space="preserve">W3-002</x:t>
  </x:si>
  <x:si>
    <x:t xml:space="preserve">EVAL-001, DATA-001</x:t>
  </x:si>
  <x:si>
    <x:t xml:space="preserve">Dataset passes schema and privacy review.</x:t>
  </x:si>
  <x:si>
    <x:t xml:space="preserve">python tools/validate_eval_dataset.py configs/eval/golden.jsonl</x:t>
  </x:si>
  <x:si>
    <x:t xml:space="preserve">25+ valid cases; no prohibited data.</x:t>
  </x:si>
  <x:si>
    <x:t xml:space="preserve">docs/test-evidence/W3-06-golden.txt</x:t>
  </x:si>
  <x:si>
    <x:t xml:space="preserve">Revert dataset version; never silently edit expected answers.</x:t>
  </x:si>
  <x:si>
    <x:t xml:space="preserve">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x:t>
  </x:si>
  <x:si>
    <x:t xml:space="preserve">W3-07</x:t>
  </x:si>
  <x:si>
    <x:t xml:space="preserve">Evaluation harness</x:t>
  </x:si>
  <x:si>
    <x:t xml:space="preserve">Measure retrieval, citations, abstention, latency and cost.</x:t>
  </x:si>
  <x:si>
    <x:t xml:space="preserve">Promotion must rely on repeatable evidence, not a demo.</x:t>
  </x:si>
  <x:si>
    <x:t xml:space="preserve">EVAL-001</x:t>
  </x:si>
  <x:si>
    <x:t xml:space="preserve">Baseline report and nonzero regression exit behavior exist.</x:t>
  </x:si>
  <x:si>
    <x:t xml:space="preserve">python -m enterprise_ai.evaluation.run --dataset configs/eval/golden.jsonl --out reports/eval.json</x:t>
  </x:si>
  <x:si>
    <x:t xml:space="preserve">Recall@5, citation precision, groundedness, latency and estimated cost recorded.</x:t>
  </x:si>
  <x:si>
    <x:t xml:space="preserve">reports/eval.json</x:t>
  </x:si>
  <x:si>
    <x:t xml:space="preserve">W3-04,W3-06</x:t>
  </x:si>
  <x:si>
    <x:t xml:space="preserve">Restore last approved baseline; block release on unresolved regression.</x:t>
  </x:si>
  <x:si>
    <x:t xml:space="preserve">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x:t>
  </x:si>
  <x:si>
    <x:t xml:space="preserve">W3-08</x:t>
  </x:si>
  <x:si>
    <x:t xml:space="preserve">Security testing</x:t>
  </x:si>
  <x:si>
    <x:t xml:space="preserve">Test injection, cross-tenant retrieval, unsafe output and logging redaction.</x:t>
  </x:si>
  <x:si>
    <x:t xml:space="preserve">RAG expands the attack surface through untrusted content.</x:t>
  </x:si>
  <x:si>
    <x:t xml:space="preserve">All adversarial fixtures fail safely.</x:t>
  </x:si>
  <x:si>
    <x:t xml:space="preserve">pytest tests/security -q</x:t>
  </x:si>
  <x:si>
    <x:t xml:space="preserve">No unauthorized chunk/action; no raw content in logs.</x:t>
  </x:si>
  <x:si>
    <x:t xml:space="preserve">docs/test-evidence/W3-08-security.txt</x:t>
  </x:si>
  <x:si>
    <x:t xml:space="preserve">Disable affected path; purge/re-index poisoned test document.</x:t>
  </x:si>
  <x:si>
    <x:t xml:space="preserve">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x:t>
  </x:si>
  <x:si>
    <x:t xml:space="preserve">W3-09</x:t>
  </x:si>
  <x:si>
    <x:t xml:space="preserve">Telemetry</x:t>
  </x:si>
  <x:si>
    <x:t xml:space="preserve">Record retrieval/model/token/guardrail metrics without content.</x:t>
  </x:si>
  <x:si>
    <x:t xml:space="preserve">Stage-level data explains latency, errors and cost.</x:t>
  </x:si>
  <x:si>
    <x:t xml:space="preserve">W4-003</x:t>
  </x:si>
  <x:si>
    <x:t xml:space="preserve">OBS-001</x:t>
  </x:si>
  <x:si>
    <x:t xml:space="preserve">Metrics include versions/outcomes and exclude prompt/document text.</x:t>
  </x:si>
  <x:si>
    <x:t xml:space="preserve">pytest tests/unit/test_telemetry.py -q</x:t>
  </x:si>
  <x:si>
    <x:t xml:space="preserve">Redaction tests pass; metrics names are documented.</x:t>
  </x:si>
  <x:si>
    <x:t xml:space="preserve">docs/test-evidence/W3-09-telemetry.txt</x:t>
  </x:si>
  <x:si>
    <x:t xml:space="preserve">ADR-008</x:t>
  </x:si>
  <x:si>
    <x:t xml:space="preserve">Disable exporter or revert instrumentation, not core answer path.</x:t>
  </x:si>
  <x:si>
    <x:t xml:space="preserve">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x:t>
  </x:si>
  <x:si>
    <x:t xml:space="preserve">W3-10</x:t>
  </x:si>
  <x:si>
    <x:t xml:space="preserve">Regression gate</x:t>
  </x:si>
  <x:si>
    <x:t xml:space="preserve">Set initial thresholds: Recall@5 &gt;=0.85 and citation-valid/safe-abstain &gt;=95%.</x:t>
  </x:si>
  <x:si>
    <x:t xml:space="preserve">Thresholds convert evaluation into a release decision.</x:t>
  </x:si>
  <x:si>
    <x:t xml:space="preserve">SLO-001</x:t>
  </x:si>
  <x:si>
    <x:t xml:space="preserve">CI-style command fails on a material regression.</x:t>
  </x:si>
  <x:si>
    <x:t xml:space="preserve">make evaluate</x:t>
  </x:si>
  <x:si>
    <x:t xml:space="preserve">Baseline passes; synthetic regression fails.</x:t>
  </x:si>
  <x:si>
    <x:t xml:space="preserve">docs/test-evidence/W3-10-gate.txt</x:t>
  </x:si>
  <x:si>
    <x:t xml:space="preserve">Revert candidate prompt/model/index and preserve failing evidence.</x:t>
  </x:si>
  <x:si>
    <x:t xml:space="preserve">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x:t>
  </x:si>
  <x:si>
    <x:t xml:space="preserve">W3-11</x:t>
  </x:si>
  <x:si>
    <x:t xml:space="preserve">Rollback drill</x:t>
  </x:si>
  <x:si>
    <x:t xml:space="preserve">Restore prior prompt/model/retriever/index configuration and re-evaluate.</x:t>
  </x:si>
  <x:si>
    <x:t xml:space="preserve">RAG changes can regress without application code changes.</x:t>
  </x:si>
  <x:si>
    <x:t xml:space="preserve">W3-ROLLBACK-001</x:t>
  </x:si>
  <x:si>
    <x:t xml:space="preserve">Last-known-good configuration returns baseline results.</x:t>
  </x:si>
  <x:si>
    <x:t xml:space="preserve">make rollback-rag &amp;&amp; make evaluate</x:t>
  </x:si>
  <x:si>
    <x:t xml:space="preserve">Rollback record identifies versions and post-rollback metrics.</x:t>
  </x:si>
  <x:si>
    <x:t xml:space="preserve">docs/rollback-records/W3-rag.md</x:t>
  </x:si>
  <x:si>
    <x:t xml:space="preserve">ADR-012</x:t>
  </x:si>
  <x:si>
    <x:t xml:space="preserve">Forward-fix only after a new feature cycle.</x:t>
  </x:si>
  <x:si>
    <x:t xml:space="preserve">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x:t>
  </x:si>
  <x:si>
    <x:t xml:space="preserve">W3-12</x:t>
  </x:si>
  <x:si>
    <x:t xml:space="preserve">Approve cited RAG and quality gate before adding agent behavior.</x:t>
  </x:si>
  <x:si>
    <x:t xml:space="preserve">Agent tools should not be added to an ungrounded answer system.</x:t>
  </x:si>
  <x:si>
    <x:t xml:space="preserve">APP-001</x:t>
  </x:si>
  <x:si>
    <x:t xml:space="preserve">Grounded answer or abstention works; security/regression/rollback tests pass.</x:t>
  </x:si>
  <x:si>
    <x:t xml:space="preserve">make test &amp;&amp; make evaluate</x:t>
  </x:si>
  <x:si>
    <x:t xml:space="preserve">Owner sign-off and unresolved metrics documented.</x:t>
  </x:si>
  <x:si>
    <x:t xml:space="preserve">docs/deployment-records/W3-signoff.md</x:t>
  </x:si>
  <x:si>
    <x:t xml:space="preserve">W3-01:W3-11</x:t>
  </x:si>
  <x:si>
    <x:t xml:space="preserve">Keep agent endpoints disabled until approved.</x:t>
  </x:si>
  <x:si>
    <x:t xml:space="preserve">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x:t>
  </x:si>
  <x:si>
    <x:t xml:space="preserve">W3-13</x:t>
  </x:si>
  <x:si>
    <x:t xml:space="preserve">Complete the Week 3 cited-RAG business, architecture and interview teach-back.</x:t>
  </x:si>
  <x:si>
    <x:t xml:space="preserve">Builds confidence explaining grounded answers, abstention, evaluation and model-provider boundaries.</x:t>
  </x:si>
  <x:si>
    <x:t xml:space="preserve">Owner explains cited RAG, guardrails, evaluation thresholds, rollback and three interview answers.</x:t>
  </x:si>
  <x:si>
    <x:t xml:space="preserve">docs/learning/W3-learning-review.md</x:t>
  </x:si>
  <x:si>
    <x:t xml:space="preserve">ADR-004 and Week 3 ADRs</x:t>
  </x:si>
  <x:si>
    <x:t xml:space="preserve">Mandatory learning gate before Week 4.</x:t>
  </x:si>
  <x:si>
    <x:t xml:space="preserve">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x:t>
  </x:si>
  <x:si>
    <x:t xml:space="preserve">W4-01</x:t>
  </x:si>
  <x:si>
    <x:t xml:space="preserve">API</x:t>
  </x:si>
  <x:si>
    <x:t xml:space="preserve">Implement health, query and agent endpoints using dependency interfaces.</x:t>
  </x:si>
  <x:si>
    <x:t xml:space="preserve">A thin typed boundary isolates clients from implementation details.</x:t>
  </x:si>
  <x:si>
    <x:t xml:space="preserve">W4-001</x:t>
  </x:si>
  <x:si>
    <x:t xml:space="preserve">Endpoints return normalized schemas and request IDs.</x:t>
  </x:si>
  <x:si>
    <x:t xml:space="preserve">pytest tests/unit/test_api.py -q</x:t>
  </x:si>
  <x:si>
    <x:t xml:space="preserve">Health and fake query tests pass; no internal prompt/error leak.</x:t>
  </x:si>
  <x:si>
    <x:t xml:space="preserve">docs/test-evidence/W4-01-api.txt</x:t>
  </x:si>
  <x:si>
    <x:t xml:space="preserve">ADR-007</x:t>
  </x:si>
  <x:si>
    <x:t xml:space="preserve">Roll back image/config and disable new route.</x:t>
  </x:si>
  <x:si>
    <x:t xml:space="preserve">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x:t>
  </x:si>
  <x:si>
    <x:t xml:space="preserve">W4-02</x:t>
  </x:si>
  <x:si>
    <x:t xml:space="preserve">Implement auth context interface and deny before retrieval/action.</x:t>
  </x:si>
  <x:si>
    <x:t xml:space="preserve">Identity and authorization are deterministic platform controls.</x:t>
  </x:si>
  <x:si>
    <x:t xml:space="preserve">Unauthorized query never invokes retriever or tool.</x:t>
  </x:si>
  <x:si>
    <x:t xml:space="preserve">pytest tests/security/test_api_authorization.py -q</x:t>
  </x:si>
  <x:si>
    <x:t xml:space="preserve">Mock call assertions prove deny-before-retrieve.</x:t>
  </x:si>
  <x:si>
    <x:t xml:space="preserve">docs/test-evidence/W4-02-auth.txt</x:t>
  </x:si>
  <x:si>
    <x:t xml:space="preserve">Disable endpoint or restore previous auth dependency.</x:t>
  </x:si>
  <x:si>
    <x:t xml:space="preserve">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x:t>
  </x:si>
  <x:si>
    <x:t xml:space="preserve">W4-03</x:t>
  </x:si>
  <x:si>
    <x:t xml:space="preserve">Agent state</x:t>
  </x:si>
  <x:si>
    <x:t xml:space="preserve">Define typed LangGraph state, explicit nodes and terminal outcomes.</x:t>
  </x:si>
  <x:si>
    <x:t xml:space="preserve">Agents are bounded workflows, not autonomous black boxes.</x:t>
  </x:si>
  <x:si>
    <x:t xml:space="preserve">W4-002</x:t>
  </x:si>
  <x:si>
    <x:t xml:space="preserve">Every path reaches answer, denied, rejected, timed-out or safe-terminal.</x:t>
  </x:si>
  <x:si>
    <x:t xml:space="preserve">pytest tests/unit/test_agent_graph.py -q</x:t>
  </x:si>
  <x:si>
    <x:t xml:space="preserve">Graph routing tests pass; Mermaid matches implementation.</x:t>
  </x:si>
  <x:si>
    <x:t xml:space="preserve">docs/test-evidence/W4-03-graph.txt</x:t>
  </x:si>
  <x:si>
    <x:t xml:space="preserve">ADR-005</x:t>
  </x:si>
  <x:si>
    <x:t xml:space="preserve">Feature flag disables graph; query endpoint remains read-only.</x:t>
  </x:si>
  <x:si>
    <x:t xml:space="preserve">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x:t>
  </x:si>
  <x:si>
    <x:t xml:space="preserve">W4-04</x:t>
  </x:si>
  <x:si>
    <x:t xml:space="preserve">Tools</x:t>
  </x:si>
  <x:si>
    <x:t xml:space="preserve">Add one read-only status tool with narrow schema.</x:t>
  </x:si>
  <x:si>
    <x:t xml:space="preserve">Read-only tool proves integration at low consequence.</x:t>
  </x:si>
  <x:si>
    <x:t xml:space="preserve">Allowlist and JSON schema reject malformed calls.</x:t>
  </x:si>
  <x:si>
    <x:t xml:space="preserve">pytest tests/unit/test_agent_tools.py -q</x:t>
  </x:si>
  <x:si>
    <x:t xml:space="preserve">Only allowlisted tool executes; output is normalized/redacted.</x:t>
  </x:si>
  <x:si>
    <x:t xml:space="preserve">docs/test-evidence/W4-04-read-tool.txt</x:t>
  </x:si>
  <x:si>
    <x:t xml:space="preserve">Remove tool registration and restore prior graph.</x:t>
  </x:si>
  <x:si>
    <x:t xml:space="preserve">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x:t>
  </x:si>
  <x:si>
    <x:t xml:space="preserve">W4-05</x:t>
  </x:si>
  <x:si>
    <x:t xml:space="preserve">Human approval</x:t>
  </x:si>
  <x:si>
    <x:t xml:space="preserve">Add mocked write tool that requires durable approval.</x:t>
  </x:si>
  <x:si>
    <x:t xml:space="preserve">Consequential actions cannot rely on model intent.</x:t>
  </x:si>
  <x:si>
    <x:t xml:space="preserve">No approval/rejection/expired approval prevents execution.</x:t>
  </x:si>
  <x:si>
    <x:t xml:space="preserve">pytest tests/security/test_agent_approval.py -q</x:t>
  </x:si>
  <x:si>
    <x:t xml:space="preserve">100% write executions have valid approval and idempotency key.</x:t>
  </x:si>
  <x:si>
    <x:t xml:space="preserve">docs/test-evidence/W4-05-approval.txt</x:t>
  </x:si>
  <x:si>
    <x:t xml:space="preserve">ADR-005, ADR-006</x:t>
  </x:si>
  <x:si>
    <x:t xml:space="preserve">W4-03,W4-04</x:t>
  </x:si>
  <x:si>
    <x:t xml:space="preserve">Disable write-tool feature flag and invalidate pending approvals.</x:t>
  </x:si>
  <x:si>
    <x:t xml:space="preserve">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x:t>
  </x:si>
  <x:si>
    <x:t xml:space="preserve">W4-06</x:t>
  </x:si>
  <x:si>
    <x:t xml:space="preserve">Budgets</x:t>
  </x:si>
  <x:si>
    <x:t xml:space="preserve">Enforce step, tool-call, token/time deadline and retry limits.</x:t>
  </x:si>
  <x:si>
    <x:t xml:space="preserve">Bounds prevent loops, retry storms and unplanned model spend.</x:t>
  </x:si>
  <x:si>
    <x:t xml:space="preserve">COST-001</x:t>
  </x:si>
  <x:si>
    <x:t xml:space="preserve">Budget-exceeded paths stop safely and record reason.</x:t>
  </x:si>
  <x:si>
    <x:t xml:space="preserve">pytest tests/unit/test_agent_budgets.py -q</x:t>
  </x:si>
  <x:si>
    <x:t xml:space="preserve">No repeated tool execution; timeouts are bounded.</x:t>
  </x:si>
  <x:si>
    <x:t xml:space="preserve">docs/test-evidence/W4-06-budgets.txt</x:t>
  </x:si>
  <x:si>
    <x:t xml:space="preserve">Reduce limits or disable agent route.</x:t>
  </x:si>
  <x:si>
    <x:t xml:space="preserve">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x:t>
  </x:si>
  <x:si>
    <x:t xml:space="preserve">W4-07</x:t>
  </x:si>
  <x:si>
    <x:t xml:space="preserve">State security</x:t>
  </x:si>
  <x:si>
    <x:t xml:space="preserve">Persist only redacted agent state and audit decisions.</x:t>
  </x:si>
  <x:si>
    <x:t xml:space="preserve">Checkpoints must not become a secret/PII store.</x:t>
  </x:si>
  <x:si>
    <x:t xml:space="preserve">RET-001</x:t>
  </x:si>
  <x:si>
    <x:t xml:space="preserve">State fixture contains IDs/outcomes but no content/secrets.</x:t>
  </x:si>
  <x:si>
    <x:t xml:space="preserve">pytest tests/security/test_agent_state_redaction.py -q</x:t>
  </x:si>
  <x:si>
    <x:t xml:space="preserve">Redaction assertion passes.</x:t>
  </x:si>
  <x:si>
    <x:t xml:space="preserve">docs/test-evidence/W4-07-state.txt</x:t>
  </x:si>
  <x:si>
    <x:t xml:space="preserve">Purge test checkpoints and restore safe serializer.</x:t>
  </x:si>
  <x:si>
    <x:t xml:space="preserve">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x:t>
  </x:si>
  <x:si>
    <x:t xml:space="preserve">W4-08</x:t>
  </x:si>
  <x:si>
    <x:t xml:space="preserve">Observability</x:t>
  </x:si>
  <x:si>
    <x:t xml:space="preserve">Trace API to retrieval, LLM, guardrail, approval and tool.</x:t>
  </x:si>
  <x:si>
    <x:t xml:space="preserve">Correlated traces make probabilistic workflows diagnosable.</x:t>
  </x:si>
  <x:si>
    <x:t xml:space="preserve">One local trace contains all stages and safe attributes.</x:t>
  </x:si>
  <x:si>
    <x:t xml:space="preserve">pytest tests/feature/test_trace_correlation.py -q</x:t>
  </x:si>
  <x:si>
    <x:t xml:space="preserve">Trace ID links JSON logs and spans; content is redacted.</x:t>
  </x:si>
  <x:si>
    <x:t xml:space="preserve">docs/test-evidence/W4-08-trace.json</x:t>
  </x:si>
  <x:si>
    <x:t xml:space="preserve">W4-01:W4-07</x:t>
  </x:si>
  <x:si>
    <x:t xml:space="preserve">Disable exporter; preserve local logs and core service.</x:t>
  </x:si>
  <x:si>
    <x:t xml:space="preserve">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x:t>
  </x:si>
  <x:si>
    <x:t xml:space="preserve">W4-09</x:t>
  </x:si>
  <x:si>
    <x:t xml:space="preserve">Failure testing</x:t>
  </x:si>
  <x:si>
    <x:t xml:space="preserve">Exercise denial, malformed args, injection, timeout, loop and rejection.</x:t>
  </x:si>
  <x:si>
    <x:t xml:space="preserve">Agent safety is proven through negative paths.</x:t>
  </x:si>
  <x:si>
    <x:t xml:space="preserve">All failure modes terminate without write side effects.</x:t>
  </x:si>
  <x:si>
    <x:t xml:space="preserve">pytest tests/security/test_agent_* tests/feature/test_agent_failures.py -q</x:t>
  </x:si>
  <x:si>
    <x:t xml:space="preserve">Audit records show safe terminal reason.</x:t>
  </x:si>
  <x:si>
    <x:t xml:space="preserve">docs/test-evidence/W4-09-failures.txt</x:t>
  </x:si>
  <x:si>
    <x:t xml:space="preserve">ADR-005, ADR-017</x:t>
  </x:si>
  <x:si>
    <x:t xml:space="preserve">W4-05:W4-08</x:t>
  </x:si>
  <x:si>
    <x:t xml:space="preserve">Disable agent endpoint and preserve evidence.</x:t>
  </x:si>
  <x:si>
    <x:t xml:space="preserve">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x:t>
  </x:si>
  <x:si>
    <x:t xml:space="preserve">W4-10</x:t>
  </x:si>
  <x:si>
    <x:t xml:space="preserve">Performance</x:t>
  </x:si>
  <x:si>
    <x:t xml:space="preserve">Run bounded local smoke/load test with fake/approved model.</x:t>
  </x:si>
  <x:si>
    <x:t xml:space="preserve">Concurrency and timeouts must fail predictably before EKS.</x:t>
  </x:si>
  <x:si>
    <x:t xml:space="preserve">No unbounded queue; p95/p99 baseline is recorded.</x:t>
  </x:si>
  <x:si>
    <x:t xml:space="preserve">pytest tests/feature/test_api_load_smoke.py -q</x:t>
  </x:si>
  <x:si>
    <x:t xml:space="preserve">Latency/error/concurrency report is redacted.</x:t>
  </x:si>
  <x:si>
    <x:t xml:space="preserve">docs/test-evidence/W4-10-load.json</x:t>
  </x:si>
  <x:si>
    <x:t xml:space="preserve">ADR-007, ADR-008</x:t>
  </x:si>
  <x:si>
    <x:t xml:space="preserve">W4-01,W4-06</x:t>
  </x:si>
  <x:si>
    <x:t xml:space="preserve">Reduce traffic; revert concurrency settings.</x:t>
  </x:si>
  <x:si>
    <x:t xml:space="preserve">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x:t>
  </x:si>
  <x:si>
    <x:t xml:space="preserve">W4-11</x:t>
  </x:si>
  <x:si>
    <x:t xml:space="preserve">Release rollback</x:t>
  </x:si>
  <x:si>
    <x:t xml:space="preserve">Deploy local immutable version N+1, force regression and restore N.</x:t>
  </x:si>
  <x:si>
    <x:t xml:space="preserve">Release rollback is separate from infrastructure rollback.</x:t>
  </x:si>
  <x:si>
    <x:t xml:space="preserve">W4-ROLLBACK-001</x:t>
  </x:si>
  <x:si>
    <x:t xml:space="preserve">N becomes healthy and passes feature tests after rollback.</x:t>
  </x:si>
  <x:si>
    <x:t xml:space="preserve">make rollback-release &amp;&amp; make smoke</x:t>
  </x:si>
  <x:si>
    <x:t xml:space="preserve">Rollback duration and health evidence recorded.</x:t>
  </x:si>
  <x:si>
    <x:t xml:space="preserve">docs/rollback-records/W4-release.md</x:t>
  </x:si>
  <x:si>
    <x:t xml:space="preserve">W4-01:W4-10</x:t>
  </x:si>
  <x:si>
    <x:t xml:space="preserve">Keep agent route disabled until the failure is fixed.</x:t>
  </x:si>
  <x:si>
    <x:t xml:space="preserve">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x:t>
  </x:si>
  <x:si>
    <x:t xml:space="preserve">W4-12</x:t>
  </x:si>
  <x:si>
    <x:t xml:space="preserve">Approve controlled API/agent and Week 5 AWS inputs.</x:t>
  </x:si>
  <x:si>
    <x:t xml:space="preserve">Cloud infrastructure should not be planned for an unsafe runtime.</x:t>
  </x:si>
  <x:si>
    <x:t xml:space="preserve">AWS-001, AWS-002, NET-001, TAG-001, COST-001</x:t>
  </x:si>
  <x:si>
    <x:t xml:space="preserve">All consequential actions are policy-valid and approved.</x:t>
  </x:si>
  <x:si>
    <x:t xml:space="preserve">make test &amp;&amp; make security-scan</x:t>
  </x:si>
  <x:si>
    <x:t xml:space="preserve">Owner signs graph, API, evidence and rollback record.</x:t>
  </x:si>
  <x:si>
    <x:t xml:space="preserve">docs/deployment-records/W4-signoff.md</x:t>
  </x:si>
  <x:si>
    <x:t xml:space="preserve">W4-01:W4-11</x:t>
  </x:si>
  <x:si>
    <x:t xml:space="preserve">Do not begin Terraform plan until inputs and cost ceiling are approved.</x:t>
  </x:si>
  <x:si>
    <x:t xml:space="preserve">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x:t>
  </x:si>
  <x:si>
    <x:t xml:space="preserve">W4-13</x:t>
  </x:si>
  <x:si>
    <x:t xml:space="preserve">Complete the Week 4 API/agent business, architecture and interview teach-back.</x:t>
  </x:si>
  <x:si>
    <x:t xml:space="preserve">Makes bounded agents, human approval, API controls and observability explainable to business and technical interviewers.</x:t>
  </x:si>
  <x:si>
    <x:t xml:space="preserve">Owner explains API boundaries, authorization, agent state/budgets, human approval, telemetry and three interview answers.</x:t>
  </x:si>
  <x:si>
    <x:t xml:space="preserve">docs/learning/W4-learning-review.md</x:t>
  </x:si>
  <x:si>
    <x:t xml:space="preserve">ADR-005, ADR-007 and Week 4 ADRs</x:t>
  </x:si>
  <x:si>
    <x:t xml:space="preserve">Mandatory learning gate before Week 5.</x:t>
  </x:si>
  <x:si>
    <x:t xml:space="preserve">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x:t>
  </x:si>
  <x:si>
    <x:t xml:space="preserve">W5-01</x:t>
  </x:si>
  <x:si>
    <x:t xml:space="preserve">AWS inputs</x:t>
  </x:si>
  <x:si>
    <x:t xml:space="preserve">Confirm sandbox account, region, network, tags, data residency and budget ceiling.</x:t>
  </x:si>
  <x:si>
    <x:t xml:space="preserve">Terraform cannot be safely reviewed with ambiguous ownership or cost.</x:t>
  </x:si>
  <x:si>
    <x:t xml:space="preserve">W5-INPUTS-001</x:t>
  </x:si>
  <x:si>
    <x:t xml:space="preserve">AWS-001, AWS-002, NET-001, TAG-001, COST-001, PRIV-001</x:t>
  </x:si>
  <x:si>
    <x:t xml:space="preserve">All variables are non-secret and approved.</x:t>
  </x:si>
  <x:si>
    <x:t xml:space="preserve">Review infra/environments/sandbox/terraform.tfvars.example</x:t>
  </x:si>
  <x:si>
    <x:t xml:space="preserve">No credential/secret value is requested.</x:t>
  </x:si>
  <x:si>
    <x:t xml:space="preserve">docs/cost-estimates/W5-inputs.md</x:t>
  </x:si>
  <x:si>
    <x:t xml:space="preserve">Do not initialize/apply until inputs are approved.</x:t>
  </x:si>
  <x:si>
    <x:t xml:space="preserve">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x:t>
  </x:si>
  <x:si>
    <x:t xml:space="preserve">W5-02</x:t>
  </x:si>
  <x:si>
    <x:t xml:space="preserve">State bootstrap</x:t>
  </x:si>
  <x:si>
    <x:t xml:space="preserve">Build isolated encrypted/versioned S3 state and Terraform 1.5 DynamoDB locking stack.</x:t>
  </x:si>
  <x:si>
    <x:t xml:space="preserve">State must survive platform rollback and be removed last during full teardown.</x:t>
  </x:si>
  <x:si>
    <x:t xml:space="preserve">W5-001</x:t>
  </x:si>
  <x:si>
    <x:t xml:space="preserve">fmt/validate/Checkov pass; apply remains manual.</x:t>
  </x:si>
  <x:si>
    <x:t xml:space="preserve">terraform -chdir=infra/bootstrap fmt -check &amp;&amp; terraform -chdir=infra/bootstrap validate</x:t>
  </x:si>
  <x:si>
    <x:t xml:space="preserve">Bootstrap plan contains only expected resources.</x:t>
  </x:si>
  <x:si>
    <x:t xml:space="preserve">docs/test-evidence/W5-02-bootstrap.txt</x:t>
  </x:si>
  <x:si>
    <x:t xml:space="preserve">Destroy platform first; bootstrap destroy is separately reviewed.</x:t>
  </x:si>
  <x:si>
    <x:t xml:space="preserve">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x:t>
  </x:si>
  <x:si>
    <x:t xml:space="preserve">W5-03</x:t>
  </x:si>
  <x:si>
    <x:t xml:space="preserve">Security foundation</x:t>
  </x:si>
  <x:si>
    <x:t xml:space="preserve">Create KMS, private/versioned S3 and secret-metadata modules.</x:t>
  </x:si>
  <x:si>
    <x:t xml:space="preserve">Encryption and secret separation are foundational controls.</x:t>
  </x:si>
  <x:si>
    <x:t xml:space="preserve">KMS-001, TAG-001</x:t>
  </x:si>
  <x:si>
    <x:t xml:space="preserve">No public access or secret value resource exists.</x:t>
  </x:si>
  <x:si>
    <x:t xml:space="preserve">terraform -chdir=infra/environments/sandbox validate &amp;&amp; checkov -d infra/modules</x:t>
  </x:si>
  <x:si>
    <x:t xml:space="preserve">Security controls pass; deletion settings are explicit.</x:t>
  </x:si>
  <x:si>
    <x:t xml:space="preserve">docs/test-evidence/W5-03-security.txt</x:t>
  </x:si>
  <x:si>
    <x:t xml:space="preserve">ADR-009, ADR-014</x:t>
  </x:si>
  <x:si>
    <x:t xml:space="preserve">W5-01,W5-02</x:t>
  </x:si>
  <x:si>
    <x:t xml:space="preserve">Apply prior Terraform version; use purge only for disposable sandbox.</x:t>
  </x:si>
  <x:si>
    <x:t xml:space="preserve">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x:t>
  </x:si>
  <x:si>
    <x:t xml:space="preserve">W5-04</x:t>
  </x:si>
  <x:si>
    <x:t xml:space="preserve">IAM</x:t>
  </x:si>
  <x:si>
    <x:t xml:space="preserve">Create least-privilege runtime, ingestion and GitHub OIDC roles.</x:t>
  </x:si>
  <x:si>
    <x:t xml:space="preserve">Workloads need short-lived, separated permissions.</x:t>
  </x:si>
  <x:si>
    <x:t xml:space="preserve">GHA-001, BED-001, TAG-001</x:t>
  </x:si>
  <x:si>
    <x:t xml:space="preserve">No wildcard action/resource without reviewed exception.</x:t>
  </x:si>
  <x:si>
    <x:t xml:space="preserve">checkov -d infra &amp;&amp; opa test policies/opa -v</x:t>
  </x:si>
  <x:si>
    <x:t xml:space="preserve">Trust policies bind approved repo/environment and workload identity.</x:t>
  </x:si>
  <x:si>
    <x:t xml:space="preserve">docs/test-evidence/W5-04-iam.txt</x:t>
  </x:si>
  <x:si>
    <x:t xml:space="preserve">ADR-006, ADR-010</x:t>
  </x:si>
  <x:si>
    <x:t xml:space="preserve">Disable role session/restore prior policy; do not store keys.</x:t>
  </x:si>
  <x:si>
    <x:t xml:space="preserve">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x:t>
  </x:si>
  <x:si>
    <x:t xml:space="preserve">W5-05</x:t>
  </x:si>
  <x:si>
    <x:t xml:space="preserve">AWS retrieval</x:t>
  </x:si>
  <x:si>
    <x:t xml:space="preserve">Create private encrypted OpenSearch and ECR modules.</x:t>
  </x:si>
  <x:si>
    <x:t xml:space="preserve">OpenSearch is the AWS vector target; ECR stores immutable images.</x:t>
  </x:si>
  <x:si>
    <x:t xml:space="preserve">NET-001, TAG-001</x:t>
  </x:si>
  <x:si>
    <x:t xml:space="preserve">Private network, TLS, encryption, logs and access controls are planned.</x:t>
  </x:si>
  <x:si>
    <x:t xml:space="preserve">terraform -chdir=infra/environments/sandbox plan -out=tfplan</x:t>
  </x:si>
  <x:si>
    <x:t xml:space="preserve">Plan summary shows only expected resources and estimated baseline cost.</x:t>
  </x:si>
  <x:si>
    <x:t xml:space="preserve">docs/test-evidence/W5-05-platform-plan.txt</x:t>
  </x:si>
  <x:si>
    <x:t xml:space="preserve">ADR-003, ADR-015</x:t>
  </x:si>
  <x:si>
    <x:t xml:space="preserve">W5-03,W5-04</x:t>
  </x:si>
  <x:si>
    <x:t xml:space="preserve">Apply reviewed previous Terraform version or destroy disposable resources in order.</x:t>
  </x:si>
  <x:si>
    <x:t xml:space="preserve">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x:t>
  </x:si>
  <x:si>
    <x:t xml:space="preserve">W5-06</x:t>
  </x:si>
  <x:si>
    <x:t xml:space="preserve">Policy as code</x:t>
  </x:si>
  <x:si>
    <x:t xml:space="preserve">Implement OPA and Checkov security/tagging policies with fixtures.</x:t>
  </x:si>
  <x:si>
    <x:t xml:space="preserve">Policy gates make critical architecture decisions executable.</x:t>
  </x:si>
  <x:si>
    <x:t xml:space="preserve">W5-003</x:t>
  </x:si>
  <x:si>
    <x:t xml:space="preserve">AWS-002, TAG-001</x:t>
  </x:si>
  <x:si>
    <x:t xml:space="preserve">Insecure fixtures fail; secure fixtures pass.</x:t>
  </x:si>
  <x:si>
    <x:t xml:space="preserve">opa test policies/opa -v &amp;&amp; checkov -d infra</x:t>
  </x:si>
  <x:si>
    <x:t xml:space="preserve">Failures identify resource/rule/remediation.</x:t>
  </x:si>
  <x:si>
    <x:t xml:space="preserve">docs/test-evidence/W5-06-policy.txt</x:t>
  </x:si>
  <x:si>
    <x:t xml:space="preserve">ADR-010, ADR-017</x:t>
  </x:si>
  <x:si>
    <x:t xml:space="preserve">W5-03:W5-05</x:t>
  </x:si>
  <x:si>
    <x:t xml:space="preserve">Revert candidate policy only through reviewed exception/ADR.</x:t>
  </x:si>
  <x:si>
    <x:t xml:space="preserve">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x:t>
  </x:si>
  <x:si>
    <x:t xml:space="preserve">W5-07</x:t>
  </x:si>
  <x:si>
    <x:t xml:space="preserve">CI/CD</x:t>
  </x:si>
  <x:si>
    <x:t xml:space="preserve">Create PR CI and Terraform-plan workflow using GitHub OIDC.</x:t>
  </x:si>
  <x:si>
    <x:t xml:space="preserve">Automated gates and short-lived identity reduce change and credential risk.</x:t>
  </x:si>
  <x:si>
    <x:t xml:space="preserve">W5-002</x:t>
  </x:si>
  <x:si>
    <x:t xml:space="preserve">GHA-001</x:t>
  </x:si>
  <x:si>
    <x:t xml:space="preserve">All required checks run; apply/destroy are owner-gated.</x:t>
  </x:si>
  <x:si>
    <x:t xml:space="preserve">Review .github/workflows and run actionlint if available</x:t>
  </x:si>
  <x:si>
    <x:t xml:space="preserve">No access-key secret; immutable action pins are TODO/approved.</x:t>
  </x:si>
  <x:si>
    <x:t xml:space="preserve">docs/test-evidence/W5-07-ci.txt</x:t>
  </x:si>
  <x:si>
    <x:t xml:space="preserve">W5-04,W5-06</x:t>
  </x:si>
  <x:si>
    <x:t xml:space="preserve">Disable workflow; revoke OIDC trust; keep last good release.</x:t>
  </x:si>
  <x:si>
    <x:t xml:space="preserve">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x:t>
  </x:si>
  <x:si>
    <x:t xml:space="preserve">W5-08</x:t>
  </x:si>
  <x:si>
    <x:t xml:space="preserve">Supply chain</x:t>
  </x:si>
  <x:si>
    <x:t xml:space="preserve">Build image, scan with Trivy/Grype and generate Syft SBOM.</x:t>
  </x:si>
  <x:si>
    <x:t xml:space="preserve">Deployment must use a known, scanned immutable artifact.</x:t>
  </x:si>
  <x:si>
    <x:t xml:space="preserve">Critical findings fail per policy and SBOM is retained.</x:t>
  </x:si>
  <x:si>
    <x:t xml:space="preserve">docker build -t enterprise-ai:test . &amp;&amp; trivy image enterprise-ai:test</x:t>
  </x:si>
  <x:si>
    <x:t xml:space="preserve">Redacted scan reports and SPDX/CycloneDX SBOM exist.</x:t>
  </x:si>
  <x:si>
    <x:t xml:space="preserve">docs/test-evidence/W5-08-supply-chain.txt</x:t>
  </x:si>
  <x:si>
    <x:t xml:space="preserve">Do not publish vulnerable digest; restore prior approved digest.</x:t>
  </x:si>
  <x:si>
    <x:t xml:space="preserve">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x:t>
  </x:si>
  <x:si>
    <x:t xml:space="preserve">W5-09</x:t>
  </x:si>
  <x:si>
    <x:t xml:space="preserve">Plan review</x:t>
  </x:si>
  <x:si>
    <x:t xml:space="preserve">Generate saved Terraform plan, JSON policy result and human-readable summary.</x:t>
  </x:si>
  <x:si>
    <x:t xml:space="preserve">Applying the reviewed bytes prevents unseen infrastructure change.</x:t>
  </x:si>
  <x:si>
    <x:t xml:space="preserve">W5-004</x:t>
  </x:si>
  <x:si>
    <x:t xml:space="preserve">Plan, policy and cost review are approved before any apply.</x:t>
  </x:si>
  <x:si>
    <x:t xml:space="preserve">make plan-sandbox</x:t>
  </x:si>
  <x:si>
    <x:t xml:space="preserve">Summary lists creates/updates/deletes, costs and residual risks.</x:t>
  </x:si>
  <x:si>
    <x:t xml:space="preserve">docs/deployment-records/W5-plan-review.md</x:t>
  </x:si>
  <x:si>
    <x:t xml:space="preserve">W5-02:W5-08</x:t>
  </x:si>
  <x:si>
    <x:t xml:space="preserve">Discard saved plan on code/input drift and regenerate.</x:t>
  </x:si>
  <x:si>
    <x:t xml:space="preserve">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x:t>
  </x:si>
  <x:si>
    <x:t xml:space="preserve">W5-10</x:t>
  </x:si>
  <x:si>
    <x:t xml:space="preserve">Sandbox lifecycle</x:t>
  </x:si>
  <x:si>
    <x:t xml:space="preserve">After explicit approval, deploy/validate/rollback/destroy in controlled sequence.</x:t>
  </x:si>
  <x:si>
    <x:t xml:space="preserve">Capability must be proven, but Codex must never self-approve mutations.</x:t>
  </x:si>
  <x:si>
    <x:t xml:space="preserve">Reviewed plan applies; validation passes; rollback path is recorded.</x:t>
  </x:si>
  <x:si>
    <x:t xml:space="preserve">make deploy-sandbox  # owner-approved only</x:t>
  </x:si>
  <x:si>
    <x:t xml:space="preserve">Deployment record contains plan hash, approver, resources and health.</x:t>
  </x:si>
  <x:si>
    <x:t xml:space="preserve">docs/deployment-records/W5-sandbox.md</x:t>
  </x:si>
  <x:si>
    <x:t xml:space="preserve">Use last-known-good Terraform version; destroy is not ordinary rollback.</x:t>
  </x:si>
  <x:si>
    <x:t xml:space="preserve">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x:t>
  </x:si>
  <x:si>
    <x:t xml:space="preserve">W5-11</x:t>
  </x:si>
  <x:si>
    <x:t xml:space="preserve">Teardown plan</x:t>
  </x:si>
  <x:si>
    <x:t xml:space="preserve">Create and review platform destroy plan; preserve bootstrap until platform is gone.</x:t>
  </x:si>
  <x:si>
    <x:t xml:space="preserve">Deletion order prevents dependency residue and loss of auditability.</x:t>
  </x:si>
  <x:si>
    <x:t xml:space="preserve">Destroy plan targets only approved sandbox resources.</x:t>
  </x:si>
  <x:si>
    <x:t xml:space="preserve">make plan-destroy-sandbox</x:t>
  </x:si>
  <x:si>
    <x:t xml:space="preserve">Plan and deletion order approved; KMS window noted.</x:t>
  </x:si>
  <x:si>
    <x:t xml:space="preserve">docs/deployment-records/W5-destroy-plan.md</x:t>
  </x:si>
  <x:si>
    <x:t xml:space="preserve">ADR-009, ADR-012</x:t>
  </x:si>
  <x:si>
    <x:t xml:space="preserve">Cancel before apply if any unexpected target appears.</x:t>
  </x:si>
  <x:si>
    <x:t xml:space="preserve">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x:t>
  </x:si>
  <x:si>
    <x:t xml:space="preserve">W5-12</x:t>
  </x:si>
  <x:si>
    <x:t xml:space="preserve">Cleanliness proof</x:t>
  </x:si>
  <x:si>
    <x:t xml:space="preserve">Run verify-clean using required tags and native service APIs after approved teardown.</x:t>
  </x:si>
  <x:si>
    <x:t xml:space="preserve">A successful Terraform destroy is not proof of zero residual resources.</x:t>
  </x:si>
  <x:si>
    <x:t xml:space="preserve">No active unmanaged resource remains; exception is documented PendingDeletion KMS key.</x:t>
  </x:si>
  <x:si>
    <x:t xml:space="preserve">make destroy-sandbox &amp;&amp; make verify-clean  # owner-approved only</x:t>
  </x:si>
  <x:si>
    <x:t xml:space="preserve">Resource-cleanliness report is complete and signed.</x:t>
  </x:si>
  <x:si>
    <x:t xml:space="preserve">docs/resource-cleanliness/W5-report.json</x:t>
  </x:si>
  <x:si>
    <x:t xml:space="preserve">Remove residuals in dependency order; do not delete bootstrap until clean.</x:t>
  </x:si>
  <x:si>
    <x:t xml:space="preserve">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x:t>
  </x:si>
  <x:si>
    <x:t xml:space="preserve">W5-13</x:t>
  </x:si>
  <x:si>
    <x:t xml:space="preserve">Approve AWS lifecycle evidence and Week 6 EKS deployment inputs.</x:t>
  </x:si>
  <x:si>
    <x:t xml:space="preserve">Runtime deployment should use only reviewed, reconstructable platform components.</x:t>
  </x:si>
  <x:si>
    <x:t xml:space="preserve">EKS-001, OBS-001, SLO-001</x:t>
  </x:si>
  <x:si>
    <x:t xml:space="preserve">Plans/policies/scans/lifecycle evidence pass; no plaintext secret or unmanaged resource.</x:t>
  </x:si>
  <x:si>
    <x:t xml:space="preserve">Review W5 evidence index</x:t>
  </x:si>
  <x:si>
    <x:t xml:space="preserve">Owner sign-off and any deferred actual deployment clearly recorded.</x:t>
  </x:si>
  <x:si>
    <x:t xml:space="preserve">docs/deployment-records/W5-signoff.md</x:t>
  </x:si>
  <x:si>
    <x:t xml:space="preserve">W5-01:W5-12</x:t>
  </x:si>
  <x:si>
    <x:t xml:space="preserve">Do not deploy EKS app until the platform gate passes.</x:t>
  </x:si>
  <x:si>
    <x:t xml:space="preserve">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x:t>
  </x:si>
  <x:si>
    <x:t xml:space="preserve">W5-14</x:t>
  </x:si>
  <x:si>
    <x:t xml:space="preserve">Complete the Week 5 AWS lifecycle business, architecture and interview teach-back.</x:t>
  </x:si>
  <x:si>
    <x:t xml:space="preserve">Connects infrastructure-as-code, identity, policy, supply chain, cost and teardown into a controlled cloud story.</x:t>
  </x:si>
  <x:si>
    <x:t xml:space="preserve">Owner explains reviewed plans, OIDC, policy gates, immutable artifacts, rollback/teardown and three interview answers.</x:t>
  </x:si>
  <x:si>
    <x:t xml:space="preserve">docs/learning/W5-learning-review.md</x:t>
  </x:si>
  <x:si>
    <x:t xml:space="preserve">Week 5 ADRs</x:t>
  </x:si>
  <x:si>
    <x:t xml:space="preserve">Mandatory learning gate before Week 6.</x:t>
  </x:si>
  <x:si>
    <x:t xml:space="preserve">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x:t>
  </x:si>
  <x:si>
    <x:t xml:space="preserve">W6-01</x:t>
  </x:si>
  <x:si>
    <x:t xml:space="preserve">Artifact promotion</x:t>
  </x:si>
  <x:si>
    <x:t xml:space="preserve">Publish scanned image to ECR by immutable digest.</x:t>
  </x:si>
  <x:si>
    <x:t xml:space="preserve">Rollback and provenance require immutable deployment identity.</x:t>
  </x:si>
  <x:si>
    <x:t xml:space="preserve">EKS-001</x:t>
  </x:si>
  <x:si>
    <x:t xml:space="preserve">Digest matches the scanned/SBOM artifact.</x:t>
  </x:si>
  <x:si>
    <x:t xml:space="preserve">docker inspect --format='{{index .RepoDigests 0}}' enterprise-ai:test</x:t>
  </x:si>
  <x:si>
    <x:t xml:space="preserve">Digest, scan and SBOM are linked in deployment record.</x:t>
  </x:si>
  <x:si>
    <x:t xml:space="preserve">docs/deployment-records/W6-image.md</x:t>
  </x:si>
  <x:si>
    <x:t xml:space="preserve">ADR-012, ADR-017</x:t>
  </x:si>
  <x:si>
    <x:t xml:space="preserve">Restore prior approved digest; never reuse a mutable tag as authority.</x:t>
  </x:si>
  <x:si>
    <x:t xml:space="preserve">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x:t>
  </x:si>
  <x:si>
    <x:t xml:space="preserve">W6-02</x:t>
  </x:si>
  <x:si>
    <x:t xml:space="preserve">Kubernetes</x:t>
  </x:si>
  <x:si>
    <x:t xml:space="preserve">Create EKS deployment/Service with non-root/read-only settings and probes.</x:t>
  </x:si>
  <x:si>
    <x:t xml:space="preserve">Production-shaped runtime boundaries reduce container and availability risk.</x:t>
  </x:si>
  <x:si>
    <x:t xml:space="preserve">W6-001</x:t>
  </x:si>
  <x:si>
    <x:t xml:space="preserve">Server dry-run and policy validation pass.</x:t>
  </x:si>
  <x:si>
    <x:t xml:space="preserve">kubectl apply --dry-run=server -f deploy/k8s</x:t>
  </x:si>
  <x:si>
    <x:t xml:space="preserve">Manifests use immutable digest and no secret literal.</x:t>
  </x:si>
  <x:si>
    <x:t xml:space="preserve">docs/test-evidence/W6-02-k8s.txt</x:t>
  </x:si>
  <x:si>
    <x:t xml:space="preserve">ADR-015</x:t>
  </x:si>
  <x:si>
    <x:t xml:space="preserve">kubectl rollout undo or redeploy previous digest.</x:t>
  </x:si>
  <x:si>
    <x:t xml:space="preserve">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x:t>
  </x:si>
  <x:si>
    <x:t xml:space="preserve">W6-03</x:t>
  </x:si>
  <x:si>
    <x:t xml:space="preserve">Workload identity</x:t>
  </x:si>
  <x:si>
    <x:t xml:space="preserve">Configure EKS Pod Identity/IRSA, RBAC and least-privilege service account.</x:t>
  </x:si>
  <x:si>
    <x:t xml:space="preserve">Pods must never contain static AWS credentials.</x:t>
  </x:si>
  <x:si>
    <x:t xml:space="preserve">AWS-001, EKS-001</x:t>
  </x:si>
  <x:si>
    <x:t xml:space="preserve">Pod accesses only required AWS APIs and env has no static key.</x:t>
  </x:si>
  <x:si>
    <x:t xml:space="preserve">kubectl exec deploy/enterprise-ai-api -- env | grep AWS_ACCESS_KEY_ID; test $? -ne 0</x:t>
  </x:si>
  <x:si>
    <x:t xml:space="preserve">No static credential; role session is short-lived and scoped.</x:t>
  </x:si>
  <x:si>
    <x:t xml:space="preserve">docs/test-evidence/W6-03-identity.txt</x:t>
  </x:si>
  <x:si>
    <x:t xml:space="preserve">W5-04,W6-02</x:t>
  </x:si>
  <x:si>
    <x:t xml:space="preserve">Remove service-account binding and restore prior role policy.</x:t>
  </x:si>
  <x:si>
    <x:t xml:space="preserve">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x:t>
  </x:si>
  <x:si>
    <x:t xml:space="preserve">W6-04</x:t>
  </x:si>
  <x:si>
    <x:t xml:space="preserve">Network security</x:t>
  </x:si>
  <x:si>
    <x:t xml:space="preserve">Apply NetworkPolicy and approved ingress/egress boundaries.</x:t>
  </x:si>
  <x:si>
    <x:t xml:space="preserve">Retrieval/model paths should be explicit and least privilege.</x:t>
  </x:si>
  <x:si>
    <x:t xml:space="preserve">NET-001, EKS-001</x:t>
  </x:si>
  <x:si>
    <x:t xml:space="preserve">Denied destination test fails; approved dependencies remain reachable.</x:t>
  </x:si>
  <x:si>
    <x:t xml:space="preserve">kubectl apply --dry-run=server -f deploy/k8s/networkpolicy.yaml</x:t>
  </x:si>
  <x:si>
    <x:t xml:space="preserve">Network test evidence documents permitted flows.</x:t>
  </x:si>
  <x:si>
    <x:t xml:space="preserve">docs/test-evidence/W6-04-network.txt</x:t>
  </x:si>
  <x:si>
    <x:t xml:space="preserve">ADR-006, ADR-015</x:t>
  </x:si>
  <x:si>
    <x:t xml:space="preserve">Restore last-known-good policy; scale down if isolation is uncertain.</x:t>
  </x:si>
  <x:si>
    <x:t xml:space="preserve">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x:t>
  </x:si>
  <x:si>
    <x:t xml:space="preserve">W6-05</x:t>
  </x:si>
  <x:si>
    <x:t xml:space="preserve">Resilience</x:t>
  </x:si>
  <x:si>
    <x:t xml:space="preserve">Configure requests/limits, HPA, PDB and rolling update settings.</x:t>
  </x:si>
  <x:si>
    <x:t xml:space="preserve">Availability and autoscaling must be defined before load/chaos tests.</x:t>
  </x:si>
  <x:si>
    <x:t xml:space="preserve">Schema/policy checks pass and settings have rationale.</x:t>
  </x:si>
  <x:si>
    <x:t xml:space="preserve">PDB/HPA do not conflict at minimum replicas.</x:t>
  </x:si>
  <x:si>
    <x:t xml:space="preserve">docs/test-evidence/W6-05-resilience.txt</x:t>
  </x:si>
  <x:si>
    <x:t xml:space="preserve">Rollback manifests and return to last safe replica/settings.</x:t>
  </x:si>
  <x:si>
    <x:t xml:space="preserve">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x:t>
  </x:si>
  <x:si>
    <x:t xml:space="preserve">W6-06</x:t>
  </x:si>
  <x:si>
    <x:t xml:space="preserve">Observability platform</x:t>
  </x:si>
  <x:si>
    <x:t xml:space="preserve">Deploy OTel path to CloudWatch/X-Ray plus Prometheus/Grafana/Jaeger option.</x:t>
  </x:si>
  <x:si>
    <x:t xml:space="preserve">Vendor-neutral telemetry supports both AWS and open-source operations.</x:t>
  </x:si>
  <x:si>
    <x:t xml:space="preserve">W6-002</x:t>
  </x:si>
  <x:si>
    <x:t xml:space="preserve">One request trace links API, retrieval and LLM spans.</x:t>
  </x:si>
  <x:si>
    <x:t xml:space="preserve">Trace/log/metric IDs correlate without sensitive content.</x:t>
  </x:si>
  <x:si>
    <x:t xml:space="preserve">docs/test-evidence/W6-06-observability.json</x:t>
  </x:si>
  <x:si>
    <x:t xml:space="preserve">W4-08,W6-02</x:t>
  </x:si>
  <x:si>
    <x:t xml:space="preserve">Disable broken exporter; preserve local telemetry path.</x:t>
  </x:si>
  <x:si>
    <x:t xml:space="preserve">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x:t>
  </x:si>
  <x:si>
    <x:t xml:space="preserve">W6-07</x:t>
  </x:si>
  <x:si>
    <x:t xml:space="preserve">SRE objectives</x:t>
  </x:si>
  <x:si>
    <x:t xml:space="preserve">Approve SLIs/SLOs, error-budget policy and burn alerts.</x:t>
  </x:si>
  <x:si>
    <x:t xml:space="preserve">Reliability targets must reflect user pain and govern releases.</x:t>
  </x:si>
  <x:si>
    <x:t xml:space="preserve">SLO-001, OBS-001</x:t>
  </x:si>
  <x:si>
    <x:t xml:space="preserve">Availability 99.9%, p95&lt;4s, p99&lt;10s, retrieval p99&lt;750ms, grounded&gt;=95%, isolation/safety=100% are reviewed.</x:t>
  </x:si>
  <x:si>
    <x:t xml:space="preserve">promtool check rules observability/alerts.yml</x:t>
  </x:si>
  <x:si>
    <x:t xml:space="preserve">Rules validate and map to an owner/runbook.</x:t>
  </x:si>
  <x:si>
    <x:t xml:space="preserve">docs/architecture/slo.md</x:t>
  </x:si>
  <x:si>
    <x:t xml:space="preserve">Disable noisy alert only through reviewed threshold/runbook update.</x:t>
  </x:si>
  <x:si>
    <x:t xml:space="preserve">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x:t>
  </x:si>
  <x:si>
    <x:t xml:space="preserve">W6-08</x:t>
  </x:si>
  <x:si>
    <x:t xml:space="preserve">Runbook</x:t>
  </x:si>
  <x:si>
    <x:t xml:space="preserve">Create and rehearse inference-latency-spike runbook.</x:t>
  </x:si>
  <x:si>
    <x:t xml:space="preserve">An alert is useful only if it drives a safe action.</x:t>
  </x:si>
  <x:si>
    <x:t xml:space="preserve">Codex + User</x:t>
  </x:si>
  <x:si>
    <x:t xml:space="preserve">Runbook covers impact, stabilize, stage isolation, rollback and evidence.</x:t>
  </x:si>
  <x:si>
    <x:t xml:space="preserve">Run tabletop and record timeline</x:t>
  </x:si>
  <x:si>
    <x:t xml:space="preserve">Owner can distinguish retrieval, model, queue and dependency latency.</x:t>
  </x:si>
  <x:si>
    <x:t xml:space="preserve">runbooks/inference-latency.md</x:t>
  </x:si>
  <x:si>
    <x:t xml:space="preserve">ADR-008, ADR-012</x:t>
  </x:si>
  <x:si>
    <x:t xml:space="preserve">W6-06,W6-07</x:t>
  </x:si>
  <x:si>
    <x:t xml:space="preserve">Rollback release/config; use safe refusal/fallback if approved.</x:t>
  </x:si>
  <x:si>
    <x:t xml:space="preserve">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x:t>
  </x:si>
  <x:si>
    <x:t xml:space="preserve">W6-09</x:t>
  </x:si>
  <x:si>
    <x:t xml:space="preserve">Failure/chaos</x:t>
  </x:si>
  <x:si>
    <x:t xml:space="preserve">Stop Qdrant/inject LLM timeout locally; prepare FIS plan without executing it.</x:t>
  </x:si>
  <x:si>
    <x:t xml:space="preserve">Controlled failure proves readiness, bounded retries and alert/runbook quality.</x:t>
  </x:si>
  <x:si>
    <x:t xml:space="preserve">FIS-001</x:t>
  </x:si>
  <x:si>
    <x:t xml:space="preserve">Readiness fails, no retry storm, alert/runbook activates; FIS has tag targets/stop alarms.</x:t>
  </x:si>
  <x:si>
    <x:t xml:space="preserve">pytest tests/feature/test_failure_modes.py -q</x:t>
  </x:si>
  <x:si>
    <x:t xml:space="preserve">RTO and alert evidence recorded; no production target.</x:t>
  </x:si>
  <x:si>
    <x:t xml:space="preserve">docs/test-evidence/W6-09-chaos.txt</x:t>
  </x:si>
  <x:si>
    <x:t xml:space="preserve">W6-07,W6-08</x:t>
  </x:si>
  <x:si>
    <x:t xml:space="preserve">Stop experiment, restore dependency, rollback configuration.</x:t>
  </x:si>
  <x:si>
    <x:t xml:space="preserve">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x:t>
  </x:si>
  <x:si>
    <x:t xml:space="preserve">W6-10</x:t>
  </x:si>
  <x:si>
    <x:t xml:space="preserve">End-to-end validation</x:t>
  </x:si>
  <x:si>
    <x:t xml:space="preserve">Run local and sandbox cited query plus golden evaluation/security suite.</x:t>
  </x:si>
  <x:si>
    <x:t xml:space="preserve">Final proof must combine functionality, quality, security and observability.</x:t>
  </x:si>
  <x:si>
    <x:t xml:space="preserve">W6-003</x:t>
  </x:si>
  <x:si>
    <x:t xml:space="preserve">No material regression; sandbox query has citations and trace ID.</x:t>
  </x:si>
  <x:si>
    <x:t xml:space="preserve">make final-proof</x:t>
  </x:si>
  <x:si>
    <x:t xml:space="preserve">Evidence index links tests, eval, scans, traces and decisions.</x:t>
  </x:si>
  <x:si>
    <x:t xml:space="preserve">docs/test-evidence/W6-final-index.md</x:t>
  </x:si>
  <x:si>
    <x:t xml:space="preserve">W6-01:W6-09</x:t>
  </x:si>
  <x:si>
    <x:t xml:space="preserve">Block promotion and restore last-known-good release/config.</x:t>
  </x:si>
  <x:si>
    <x:t xml:space="preserve">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x:t>
  </x:si>
  <x:si>
    <x:t xml:space="preserve">W6-11</x:t>
  </x:si>
  <x:si>
    <x:t xml:space="preserve">Release rollback drill</x:t>
  </x:si>
  <x:si>
    <x:t xml:space="preserve">Force a safe sandbox regression and restore previous image/configuration.</x:t>
  </x:si>
  <x:si>
    <x:t xml:space="preserve">Rollback must be timed and revalidated before handover.</x:t>
  </x:si>
  <x:si>
    <x:t xml:space="preserve">Last-known-good release passes health, smoke and evaluation gates.</x:t>
  </x:si>
  <x:si>
    <x:t xml:space="preserve">make rollback-release &amp;&amp; make validate-sandbox</x:t>
  </x:si>
  <x:si>
    <x:t xml:space="preserve">Rollback record includes trigger, approver, duration and post-checks.</x:t>
  </x:si>
  <x:si>
    <x:t xml:space="preserve">docs/rollback-records/W6-release.md</x:t>
  </x:si>
  <x:si>
    <x:t xml:space="preserve">Keep failed digest blocked; open defect with evidence.</x:t>
  </x:si>
  <x:si>
    <x:t xml:space="preserve">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x:t>
  </x:si>
  <x:si>
    <x:t xml:space="preserve">W6-12</x:t>
  </x:si>
  <x:si>
    <x:t xml:space="preserve">Full teardown</x:t>
  </x:si>
  <x:si>
    <x:t xml:space="preserve">Run approved destroy sequence, remove bootstrap last and verify cleanliness.</x:t>
  </x:si>
  <x:si>
    <x:t xml:space="preserve">Learning-project cost and residue must stop after use.</x:t>
  </x:si>
  <x:si>
    <x:t xml:space="preserve">No active project resource remains; KMS exception is PendingDeletion only.</x:t>
  </x:si>
  <x:si>
    <x:t xml:space="preserve">make plan-destroy-sandbox; owner approve; make destroy-sandbox; make verify-clean</x:t>
  </x:si>
  <x:si>
    <x:t xml:space="preserve">Signed cleanup report and deletion record exist.</x:t>
  </x:si>
  <x:si>
    <x:t xml:space="preserve">docs/resource-cleanliness/W6-final.json</x:t>
  </x:si>
  <x:si>
    <x:t xml:space="preserve">ADR-009, ADR-013, ADR-014</x:t>
  </x:si>
  <x:si>
    <x:t xml:space="preserve">Remove residuals in dependency order; never broadly target unverified resources.</x:t>
  </x:si>
  <x:si>
    <x:t xml:space="preserve">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x:t>
  </x:si>
  <x:si>
    <x:t xml:space="preserve">W6-13</x:t>
  </x:si>
  <x:si>
    <x:t xml:space="preserve">Handover and learning</x:t>
  </x:si>
  <x:si>
    <x:t xml:space="preserve">Update ADRs with actual outcomes and deliver a 10-minute architecture explanation.</x:t>
  </x:si>
  <x:si>
    <x:t xml:space="preserve">The engineer must understand and defend every decision, not just run generated code.</x:t>
  </x:si>
  <x:si>
    <x:t xml:space="preserve">Explain objective, flows, security, evaluation, agent controls, SLOs and reversibility.</x:t>
  </x:si>
  <x:si>
    <x:t xml:space="preserve">Owner presentation rehearsal and final workbook review</x:t>
  </x:si>
  <x:si>
    <x:t xml:space="preserve">All TODOs/deferrals are visible; source-of-truth and workbook agree.</x:t>
  </x:si>
  <x:si>
    <x:t xml:space="preserve">docs/architecture/final-review.md</x:t>
  </x:si>
  <x:si>
    <x:t xml:space="preserve">W6-01:W6-12</x:t>
  </x:si>
  <x:si>
    <x:t xml:space="preserve">Any future change starts a new controlled feature cycle.</x:t>
  </x:si>
  <x:si>
    <x:t xml:space="preserve">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x:t>
  </x:si>
  <x:si>
    <x:t xml:space="preserve">W6-14</x:t>
  </x:si>
  <x:si>
    <x:t xml:space="preserve">Complete the Week 6 end-to-end architecture, deployment, SRE and interview teach-back.</x:t>
  </x:si>
  <x:si>
    <x:t xml:space="preserve">Consolidates the full enterprise AI platform into a deployment, reliability, security and business-value narrative.</x:t>
  </x:si>
  <x:si>
    <x:t xml:space="preserve">Owner delivers a 10-minute end-to-end explanation plus failure, rollback, teardown and five interview answers.</x:t>
  </x:si>
  <x:si>
    <x:t xml:space="preserve">Final business case, architecture deep-dive, layman walkthrough, decision recap and interview Q&amp;A completed.</x:t>
  </x:si>
  <x:si>
    <x:t xml:space="preserve">docs/learning/W6-learning-review.md</x:t>
  </x:si>
  <x:si>
    <x:t xml:space="preserve">All approved ADRs</x:t>
  </x:si>
  <x:si>
    <x:t xml:space="preserve">Final learning and interview-readiness gate.</x:t>
  </x:si>
  <x:si>
    <x:t xml:space="preserve">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x:t>
  </x:si>
  <x:si>
    <x:t xml:space="preserve">Week 1 — Control Foundation</x:t>
  </x:si>
  <x:si>
    <x:t xml:space="preserve">Control foundation: repo, traceability, test/security gates, separated Terraform roots and cleanup-verifier skeleton.</x:t>
  </x:si>
  <x:si>
    <x:t xml:space="preserve">Exit gate</x:t>
  </x:si>
  <x:si>
    <x:t xml:space="preserve">Preflight, tests, reviewed-plan and cleanup workflows are understood and pass before RAG code.</x:t>
  </x:si>
  <x:si>
    <x:t xml:space="preserve">Action</x:t>
  </x:si>
  <x:si>
    <x:t xml:space="preserve">Architecture Reason</x:t>
  </x:si>
  <x:si>
    <x:t xml:space="preserve">Effort</x:t>
  </x:si>
  <x:si>
    <x:t xml:space="preserve">Prompt</x:t>
  </x:si>
  <x:si>
    <x:t xml:space="preserve">User TODO</x:t>
  </x:si>
  <x:si>
    <x:t xml:space="preserve">Acceptance</x:t>
  </x:si>
  <x:si>
    <x:t xml:space="preserve">Owner Verify</x:t>
  </x:si>
  <x:si>
    <x:t xml:space="preserve">Evidence</x:t>
  </x:si>
  <x:si>
    <x:t xml:space="preserve">Rollback/Teardown</x:t>
  </x:si>
  <x:si>
    <x:t xml:space="preserve">Grouped prompt sequence — full Main / Code Edit / Document Writing / Final Approval prompts are in 10 Codex Prompts</x:t>
  </x:si>
  <x:si>
    <x:t xml:space="preserve">Order</x:t>
  </x:si>
  <x:si>
    <x:t xml:space="preserve">Feature</x:t>
  </x:si>
  <x:si>
    <x:t xml:space="preserve">Purpose</x:t>
  </x:si>
  <x:si>
    <x:t xml:space="preserve">Required Inputs</x:t>
  </x:si>
  <x:si>
    <x:t xml:space="preserve">Expected Outputs</x:t>
  </x:si>
  <x:si>
    <x:t xml:space="preserve">Example Usage</x:t>
  </x:si>
  <x:si>
    <x:t xml:space="preserve">MVP scope and approval record</x:t>
  </x:si>
  <x:si>
    <x:t xml:space="preserve">Create the missing one-page MVP-001 source-of-truth artifact before repository implementation.</x:t>
  </x:si>
  <x:si>
    <x:t xml:space="preserve">USE-001, DATA-001 and five starter EVAL-001 questions; no credentials</x:t>
  </x:si>
  <x:si>
    <x:t xml:space="preserve">docs/features/MVP-001.md with scope, exclusions, measures and approval fields</x:t>
  </x:si>
  <x:si>
    <x:t xml:space="preserve">Review Main Prompt → Column M document approval → owner review → Column N final approval</x:t>
  </x:si>
  <x:si>
    <x:t xml:space="preserve">Source precedence ADR</x:t>
  </x:si>
  <x:si>
    <x:t xml:space="preserve">Create the missing governance decision without creating unrelated Codex context files.</x:t>
  </x:si>
  <x:si>
    <x:t xml:space="preserve">Source of Truth v1.1 and Coaching Blueprint as read-only references; no credentials</x:t>
  </x:si>
  <x:si>
    <x:t xml:space="preserve">docs/adr/ADR-000-source-precedence.md in Proposed state</x:t>
  </x:si>
  <x:si>
    <x:t xml:space="preserve">Repository and feature-control foundation</x:t>
  </x:si>
  <x:si>
    <x:t xml:space="preserve">Create the traceability and evidence structure before feature code.</x:t>
  </x:si>
  <x:si>
    <x:t xml:space="preserve">TODO_REPOSITORY, TODO_USER_OR_TEAM, TODO_COST_CENTER</x:t>
  </x:si>
  <x:si>
    <x:t xml:space="preserve">Monorepo skeleton, feature-matrix.yaml, ADR/test/evidence folders, Makefile, README</x:t>
  </x:si>
  <x:si>
    <x:t xml:space="preserve">Review Main Prompt → Column L code approval → owner runs TEST-001 guidance → Column M documents → Column N final approval</x:t>
  </x:si>
  <x:si>
    <x:t xml:space="preserve">Dependency and configuration foundation</x:t>
  </x:si>
  <x:si>
    <x:t xml:space="preserve">Make installation reproducible and configuration explicit.</x:t>
  </x:si>
  <x:si>
    <x:t xml:space="preserve">Python 3.11; no cloud credentials</x:t>
  </x:si>
  <x:si>
    <x:t xml:space="preserve">requirements*.txt, pyproject.toml, .env.example, typed config and unit tests</x:t>
  </x:si>
  <x:si>
    <x:t xml:space="preserve">Test and evidence framework</x:t>
  </x:si>
  <x:si>
    <x:t xml:space="preserve">Make every acceptance criterion executable and auditable.</x:t>
  </x:si>
  <x:si>
    <x:t xml:space="preserve">Feature template and repo skeleton</x:t>
  </x:si>
  <x:si>
    <x:t xml:space="preserve">pytest markers, fixtures, evidence naming rules, sample feature test</x:t>
  </x:si>
  <x:si>
    <x:t xml:space="preserve">Lifecycle controller and cleanup-verifier skeleton</x:t>
  </x:si>
  <x:si>
    <x:t xml:space="preserve">Treat deployability and reversibility as platform features.</x:t>
  </x:si>
  <x:si>
    <x:t xml:space="preserve">Required tag schema; sandbox-only scope</x:t>
  </x:si>
  <x:si>
    <x:t xml:space="preserve">platformctl commands, dry-run workflows, mocked residual-resource tests</x:t>
  </x:si>
  <x:si>
    <x:t xml:space="preserve">Reusable weekly checkpoint</x:t>
  </x:si>
  <x:si>
    <x:t xml:space="preserve">Stop between weeks until MUST work, evidence, decisions, TODOs and rollback readiness are reviewed.</x:t>
  </x:si>
  <x:si>
    <x:t xml:space="preserve">Week 1 owner learning and interview teach-back</x:t>
  </x:si>
  <x:si>
    <x:t xml:space="preserve">Teach the completed week's business outcome, architecture, decisions, trade-offs and failure/rollback story.</x:t>
  </x:si>
  <x:si>
    <x:t xml:space="preserve">Completed weekly tasks, owner-executed results, approved decisions and documentation</x:t>
  </x:si>
  <x:si>
    <x:t xml:space="preserve">Owner teach-back and optional docs/learning/W1-learning-review.md</x:t>
  </x:si>
  <x:si>
    <x:t xml:space="preserve">Use after all weekly work and final approvals; no code or runtime action</x:t>
  </x:si>
  <x:si>
    <x:t xml:space="preserve">Week 2 — Local Retrieval</x:t>
  </x:si>
  <x:si>
    <x:t xml:space="preserve">Local searchable knowledge: typed contracts, secure ingestion, local embeddings, Qdrant, authorization and reversible feature proof.</x:t>
  </x:si>
  <x:si>
    <x:t xml:space="preserve">Local retrieval deploys, returns authorized expected sources, rolls back and removes without residue.</x:t>
  </x:si>
  <x:si>
    <x:t xml:space="preserve">Domain models and pluggable vector adapters</x:t>
  </x:si>
  <x:si>
    <x:t xml:space="preserve">Prevent vendor SDK types from leaking into RAG logic.</x:t>
  </x:si>
  <x:si>
    <x:t xml:space="preserve">QDRANT_URL; AWS auth only for marked tests</x:t>
  </x:si>
  <x:si>
    <x:t xml:space="preserve">Domain models, VectorStore protocol, Qdrant/OpenSearch/fake adapters, contract tests</x:t>
  </x:si>
  <x:si>
    <x:t xml:space="preserve">Embedder contract and local adapter</x:t>
  </x:si>
  <x:si>
    <x:t xml:space="preserve">Support local and future provider embeddings through one boundary.</x:t>
  </x:si>
  <x:si>
    <x:t xml:space="preserve">EMBEDDING_MODEL_ID</x:t>
  </x:si>
  <x:si>
    <x:t xml:space="preserve">Embedder protocol, sentence-transformer/fake adapters, batch and dimension tests</x:t>
  </x:si>
  <x:si>
    <x:t xml:space="preserve">Secure ingestion pipeline</x:t>
  </x:si>
  <x:si>
    <x:t xml:space="preserve">Turn approved files into versioned, authorized chunks.</x:t>
  </x:si>
  <x:si>
    <x:t xml:space="preserve">Approved local sample path; tenant/classification rules</x:t>
  </x:si>
  <x:si>
    <x:t xml:space="preserve">Loaders, chunker, Presidio hook, CLI, manifest, quarantine and tests</x:t>
  </x:si>
  <x:si>
    <x:t xml:space="preserve">Local Qdrant lifecycle and retrieval proof</x:t>
  </x:si>
  <x:si>
    <x:t xml:space="preserve">Prove the feature can be deployed, tested, rolled back and removed locally.</x:t>
  </x:si>
  <x:si>
    <x:t xml:space="preserve">Docker 24+, QDRANT_URL</x:t>
  </x:si>
  <x:si>
    <x:t xml:space="preserve">docker-compose.yml, local lifecycle targets, integration and cleanup tests</x:t>
  </x:si>
  <x:si>
    <x:t xml:space="preserve">Local retrieval architecture explanation</x:t>
  </x:si>
  <x:si>
    <x:t xml:space="preserve">Create an interview-ready explanation grounded in the implemented retrieval evidence.</x:t>
  </x:si>
  <x:si>
    <x:t xml:space="preserve">Approved W2 ADRs, adapter/chunking configuration and W2 evidence</x:t>
  </x:si>
  <x:si>
    <x:t xml:space="preserve">Use only for owner learning and teach-back; no code, command or document mutation</x:t>
  </x:si>
  <x:si>
    <x:t xml:space="preserve">Week 2 owner learning and interview teach-back</x:t>
  </x:si>
  <x:si>
    <x:t xml:space="preserve">Owner teach-back and optional docs/learning/W2-learning-review.md</x:t>
  </x:si>
  <x:si>
    <x:t xml:space="preserve">Week 3 — Cited RAG</x:t>
  </x:si>
  <x:si>
    <x:t xml:space="preserve">Cited RAG: provider-neutral LLM, Bedrock adapter, citations/abstention, guardrails, golden evaluation and regression rollback.</x:t>
  </x:si>
  <x:si>
    <x:t xml:space="preserve">A query returns a grounded cited answer or safe abstention; regression/security/rollback tests pass.</x:t>
  </x:si>
  <x:si>
    <x:t xml:space="preserve">LLM adapters and cited RAG pipeline</x:t>
  </x:si>
  <x:si>
    <x:t xml:space="preserve">Generate evidence-bound answers while retaining provider portability.</x:t>
  </x:si>
  <x:si>
    <x:t xml:space="preserve">LLM_PROVIDER, LLM_MODEL_ID, AWS_REGION; Bedrock test is marked</x:t>
  </x:si>
  <x:si>
    <x:t xml:space="preserve">LLM protocol, fake/Bedrock adapters, prompt loader, RAG service and tests</x:t>
  </x:si>
  <x:si>
    <x:t xml:space="preserve">Evaluation harness and release gate</x:t>
  </x:si>
  <x:si>
    <x:t xml:space="preserve">Replace subjective demonstrations with repeatable evidence.</x:t>
  </x:si>
  <x:si>
    <x:t xml:space="preserve">configs/eval/golden.jsonl with 25+ approved cases</x:t>
  </x:si>
  <x:si>
    <x:t xml:space="preserve">JSONL schema, deterministic metrics, Ragas adapter, baseline and report</x:t>
  </x:si>
  <x:si>
    <x:t xml:space="preserve">RAG guardrails and security regression suite</x:t>
  </x:si>
  <x:si>
    <x:t xml:space="preserve">Treat retrieved content as untrusted and enforce authorization outside the model.</x:t>
  </x:si>
  <x:si>
    <x:t xml:space="preserve">Classification/tenant rules; injection fixtures</x:t>
  </x:si>
  <x:si>
    <x:t xml:space="preserve">Input/output validators, citation/abstention gates, security tests</x:t>
  </x:si>
  <x:si>
    <x:t xml:space="preserve">Cited-RAG configuration rollback drill</x:t>
  </x:si>
  <x:si>
    <x:t xml:space="preserve">Prove prompt/model/retriever/index configuration can return to a known-good baseline.</x:t>
  </x:si>
  <x:si>
    <x:t xml:space="preserve">Approved baseline and exact local configuration paths from the pre-edit plan</x:t>
  </x:si>
  <x:si>
    <x:t xml:space="preserve">Restored configuration and docs/rollback-records/W3-rag.md</x:t>
  </x:si>
  <x:si>
    <x:t xml:space="preserve">Week 3 owner learning and interview teach-back</x:t>
  </x:si>
  <x:si>
    <x:t xml:space="preserve">Owner teach-back and optional docs/learning/W3-learning-review.md</x:t>
  </x:si>
  <x:si>
    <x:t xml:space="preserve">Week 4 — API and Agent</x:t>
  </x:si>
  <x:si>
    <x:t xml:space="preserve">Controlled API and agent: FastAPI, LangGraph, budgets, human approval, redacted state, telemetry and release rollback.</x:t>
  </x:si>
  <x:si>
    <x:t xml:space="preserve">Write action cannot execute without policy and durable approval; previous release restores successfully.</x:t>
  </x:si>
  <x:si>
    <x:t xml:space="preserve">FastAPI service boundary</x:t>
  </x:si>
  <x:si>
    <x:t xml:space="preserve">Expose production-shaped, testable endpoints.</x:t>
  </x:si>
  <x:si>
    <x:t xml:space="preserve">Fake providers by default; auth interface choice</x:t>
  </x:si>
  <x:si>
    <x:t xml:space="preserve">FastAPI endpoints, schemas, dependencies, health, error mapping and tests</x:t>
  </x:si>
  <x:si>
    <x:t xml:space="preserve">Bounded LangGraph agent controller</x:t>
  </x:si>
  <x:si>
    <x:t xml:space="preserve">Add controlled agent behavior without uncontrolled autonomy.</x:t>
  </x:si>
  <x:si>
    <x:t xml:space="preserve">Step/tool/time budgets; approval-store decision</x:t>
  </x:si>
  <x:si>
    <x:t xml:space="preserve">Typed graph, nodes/edges, approval interrupt, tools, tests and Mermaid</x:t>
  </x:si>
  <x:si>
    <x:t xml:space="preserve">Application telemetry and redacted audit trail</x:t>
  </x:si>
  <x:si>
    <x:t xml:space="preserve">Make each RAG and agent stage explainable operationally.</x:t>
  </x:si>
  <x:si>
    <x:t xml:space="preserve">OTEL exporter endpoint; no content export</x:t>
  </x:si>
  <x:si>
    <x:t xml:space="preserve">Telemetry module, structured logs, trace tests and local collector config</x:t>
  </x:si>
  <x:si>
    <x:t xml:space="preserve">Local immutable release rollback drill</x:t>
  </x:si>
  <x:si>
    <x:t xml:space="preserve">Prove release rollback separately from infrastructure rollback.</x:t>
  </x:si>
  <x:si>
    <x:t xml:space="preserve">Approved local immutable releases N and N+1 and safe regression method</x:t>
  </x:si>
  <x:si>
    <x:t xml:space="preserve">Restored release N and docs/rollback-records/W4-release.md</x:t>
  </x:si>
  <x:si>
    <x:t xml:space="preserve">Week 4 owner learning and interview teach-back</x:t>
  </x:si>
  <x:si>
    <x:t xml:space="preserve">Owner teach-back and optional docs/learning/W4-learning-review.md</x:t>
  </x:si>
  <x:si>
    <x:t xml:space="preserve">Week 5 — AWS Lifecycle</x:t>
  </x:si>
  <x:si>
    <x:t xml:space="preserve">AWS lifecycle proof: Terraform/policy/CI, reviewed plans, short-lived identity, deploy/rollback/teardown capability and orphan scan.</x:t>
  </x:si>
  <x:si>
    <x:t xml:space="preserve">Terraform/policy/plan/lifecycle evidence passes; no plaintext secret or unexpected unmanaged resource.</x:t>
  </x:si>
  <x:si>
    <x:t xml:space="preserve">AWS sandbox input approval</x:t>
  </x:si>
  <x:si>
    <x:t xml:space="preserve">Capture all non-secret AWS, network, tagging, residency and budget choices before Terraform work.</x:t>
  </x:si>
  <x:si>
    <x:t xml:space="preserve">AWS-001, AWS-002, NET-001, TAG-001, COST-001 and PRIV-001; no credentials</x:t>
  </x:si>
  <x:si>
    <x:t xml:space="preserve">Non-secret tfvars example and docs/cost-estimates/W5-inputs.md</x:t>
  </x:si>
  <x:si>
    <x:t xml:space="preserve">Terraform AWS sandbox modules</x:t>
  </x:si>
  <x:si>
    <x:t xml:space="preserve">Produce reviewable infrastructure without secret material.</x:t>
  </x:si>
  <x:si>
    <x:t xml:space="preserve">TODO account, region, VPC/subnets, GitHub repo, tags, Bedrock models</x:t>
  </x:si>
  <x:si>
    <x:t xml:space="preserve">Bootstrap and KMS/S3/IAM/OpenSearch/ECR/secret-metadata modules</x:t>
  </x:si>
  <x:si>
    <x:t xml:space="preserve">GitHub Actions DevSecOps pipeline</x:t>
  </x:si>
  <x:si>
    <x:t xml:space="preserve">Enforce quality, IaC and supply-chain gates with short-lived identity.</x:t>
  </x:si>
  <x:si>
    <x:t xml:space="preserve">GitHub environment, OIDC role ARN, sandbox variables</x:t>
  </x:si>
  <x:si>
    <x:t xml:space="preserve">PR CI, Terraform plan workflow, image/SBOM scans and approval-gated deploy shell</x:t>
  </x:si>
  <x:si>
    <x:t xml:space="preserve">OPA and Checkov policy pack</x:t>
  </x:si>
  <x:si>
    <x:t xml:space="preserve">Make critical cloud controls executable before apply.</x:t>
  </x:si>
  <x:si>
    <x:t xml:space="preserve">Approved regions, encryption/tag rules, exception process</x:t>
  </x:si>
  <x:si>
    <x:t xml:space="preserve">Rego policies/tests, Checkov custom policies and fixtures</x:t>
  </x:si>
  <x:si>
    <x:t xml:space="preserve">Reviewed deploy, rollback, teardown and orphan scan</x:t>
  </x:si>
  <x:si>
    <x:t xml:space="preserve">Prove the AWS lifecycle without leaving unmanaged resources.</x:t>
  </x:si>
  <x:si>
    <x:t xml:space="preserve">Approved saved plan; budget ceiling; typed owner confirmations</x:t>
  </x:si>
  <x:si>
    <x:t xml:space="preserve">platformctl AWS implementations, deployment/rollback/destroy records, cleanup report</x:t>
  </x:si>
  <x:si>
    <x:t xml:space="preserve">Week 5 owner learning and interview teach-back</x:t>
  </x:si>
  <x:si>
    <x:t xml:space="preserve">Owner teach-back and optional docs/learning/W5-learning-review.md</x:t>
  </x:si>
  <x:si>
    <x:t xml:space="preserve">Week 6 — EKS and SRE</x:t>
  </x:si>
  <x:si>
    <x:t xml:space="preserve">EKS/SRE final proof: immutable workload, identity/network/resilience, SLOs/runbook/chaos, rollback and complete teardown.</x:t>
  </x:si>
  <x:si>
    <x:t xml:space="preserve">End-to-end RAG meets gates; release rollback and full teardown/cleanliness proof are signed.</x:t>
  </x:si>
  <x:si>
    <x:t xml:space="preserve">Immutable EKS application deployment</x:t>
  </x:si>
  <x:si>
    <x:t xml:space="preserve">Deploy the verified service with workload identity and safe rollout controls.</x:t>
  </x:si>
  <x:si>
    <x:t xml:space="preserve">EKS cluster/namespace, ECR digest, domain/cert, pod identity choice</x:t>
  </x:si>
  <x:si>
    <x:t xml:space="preserve">Kubernetes/Helm manifests, identity, network policy, health, HPA/PDB and rollback</x:t>
  </x:si>
  <x:si>
    <x:t xml:space="preserve">SRE observability, alerts, runbook and chaos plan</x:t>
  </x:si>
  <x:si>
    <x:t xml:space="preserve">Make the platform supportable and measurable.</x:t>
  </x:si>
  <x:si>
    <x:t xml:space="preserve">SLO approval; alert destination; pre-production chaos approval</x:t>
  </x:si>
  <x:si>
    <x:t xml:space="preserve">OTel collector, Prometheus, Grafana, CloudWatch alarms, runbook and FIS plan</x:t>
  </x:si>
  <x:si>
    <x:t xml:space="preserve">Final end-to-end proof and handover</x:t>
  </x:si>
  <x:si>
    <x:t xml:space="preserve">Demonstrate architecture, quality, safety, rollback and clean teardown together.</x:t>
  </x:si>
  <x:si>
    <x:t xml:space="preserve">Approved sandbox window and evidence locations</x:t>
  </x:si>
  <x:si>
    <x:t xml:space="preserve">Final validation script, evidence index, ADR updates, demo checklist and architecture brief</x:t>
  </x:si>
  <x:si>
    <x:t xml:space="preserve">Week 6 owner learning and interview teach-back</x:t>
  </x:si>
  <x:si>
    <x:t xml:space="preserve">Owner teach-back and optional docs/learning/W6-learning-review.md</x:t>
  </x:si>
  <x:si>
    <x:t xml:space="preserve">Architecture Map and Decision Trace</x:t>
  </x:si>
  <x:si>
    <x:t xml:space="preserve">Objective: turn approved enterprise knowledge into safe, cited answers and controlled actions while every change remains testable, observable, recoverable and removable.</x:t>
  </x:si>
  <x:si>
    <x:t xml:space="preserve">End-to-end flow: approved source → validate/classify/redact → chunk/embed → vector index → authenticate/authorize → retrieve evidence → generate → validate citations/abstain → optionally propose an allowlisted tool → human approval → observe/audit</x:t>
  </x:si>
  <x:si>
    <x:t xml:space="preserve">Layer</x:t>
  </x:si>
  <x:si>
    <x:t xml:space="preserve">Component</x:t>
  </x:si>
  <x:si>
    <x:t xml:space="preserve">Plain-Language Role</x:t>
  </x:si>
  <x:si>
    <x:t xml:space="preserve">Selected Design</x:t>
  </x:si>
  <x:si>
    <x:t xml:space="preserve">Build Week</x:t>
  </x:si>
  <x:si>
    <x:t xml:space="preserve">Decision IDs</x:t>
  </x:si>
  <x:si>
    <x:t xml:space="preserve">Safe Failure Behavior</x:t>
  </x:si>
  <x:si>
    <x:t xml:space="preserve">How We Verify</x:t>
  </x:si>
  <x:si>
    <x:t xml:space="preserve">Knowledge plane</x:t>
  </x:si>
  <x:si>
    <x:t xml:space="preserve">S3 versioned source</x:t>
  </x:si>
  <x:si>
    <x:t xml:space="preserve">Document warehouse for approved source material.</x:t>
  </x:si>
  <x:si>
    <x:t xml:space="preserve">S3 + secure ingestion</x:t>
  </x:si>
  <x:si>
    <x:t xml:space="preserve">Weeks 2,5</x:t>
  </x:si>
  <x:si>
    <x:t xml:space="preserve">ADR-006, ADR-009</x:t>
  </x:si>
  <x:si>
    <x:t xml:space="preserve">Quarantine invalid/PII content; do not index it.</x:t>
  </x:si>
  <x:si>
    <x:t xml:space="preserve">Ingestion manifest and PII tests</x:t>
  </x:si>
  <x:si>
    <x:t xml:space="preserve">Ingestion + Presidio</x:t>
  </x:si>
  <x:si>
    <x:t xml:space="preserve">Librarian that validates, hashes, classifies, redacts and chunks.</x:t>
  </x:si>
  <x:si>
    <x:t xml:space="preserve">Python local first; Glue/Macie later</x:t>
  </x:si>
  <x:si>
    <x:t xml:space="preserve">Bad files are quarantined; retries are bounded.</x:t>
  </x:si>
  <x:si>
    <x:t xml:space="preserve">Idempotency/quarantine evidence</x:t>
  </x:si>
  <x:si>
    <x:t xml:space="preserve">Sentence Transformers</x:t>
  </x:si>
  <x:si>
    <x:t xml:space="preserve">Converts text meaning to normalized vectors.</x:t>
  </x:si>
  <x:si>
    <x:t xml:space="preserve">Local CPU adapter</x:t>
  </x:si>
  <x:si>
    <x:t xml:space="preserve">Dimension/model mismatch fails before upsert.</x:t>
  </x:si>
  <x:si>
    <x:t xml:space="preserve">Embedder unit tests</x:t>
  </x:si>
  <x:si>
    <x:t xml:space="preserve">Qdrant</x:t>
  </x:si>
  <x:si>
    <x:t xml:space="preserve">Local searchable catalogue for development/integration.</x:t>
  </x:si>
  <x:si>
    <x:t xml:space="preserve">MUST local</x:t>
  </x:si>
  <x:si>
    <x:t xml:space="preserve">Readiness fails and query returns controlled dependency error.</x:t>
  </x:si>
  <x:si>
    <x:t xml:space="preserve">Qdrant contract/cleanup tests</x:t>
  </x:si>
  <x:si>
    <x:t xml:space="preserve">OpenSearch vectors</x:t>
  </x:si>
  <x:si>
    <x:t xml:space="preserve">Private AWS vector and hybrid search target.</x:t>
  </x:si>
  <x:si>
    <x:t xml:space="preserve">MUST plan; SHOULD deploy</x:t>
  </x:si>
  <x:si>
    <x:t xml:space="preserve">Use last good Terraform/index; do not expose public endpoint.</x:t>
  </x:si>
  <x:si>
    <x:t xml:space="preserve">Terraform plan/policy evidence</x:t>
  </x:si>
  <x:si>
    <x:t xml:space="preserve">Request plane</x:t>
  </x:si>
  <x:si>
    <x:t xml:space="preserve">FastAPI/Uvicorn</x:t>
  </x:si>
  <x:si>
    <x:t xml:space="preserve">Typed front desk for health, query and agent requests.</x:t>
  </x:si>
  <x:si>
    <x:t xml:space="preserve">Thin API boundary</x:t>
  </x:si>
  <x:si>
    <x:t xml:space="preserve">Deadline/size/concurrency errors are normalized.</x:t>
  </x:si>
  <x:si>
    <x:t xml:space="preserve">API unit/smoke tests</x:t>
  </x:si>
  <x:si>
    <x:t xml:space="preserve">Identity + metadata policy</x:t>
  </x:si>
  <x:si>
    <x:t xml:space="preserve">Security desk checking who may retrieve or act.</x:t>
  </x:si>
  <x:si>
    <x:t xml:space="preserve">Authorize before retrieval/action</x:t>
  </x:si>
  <x:si>
    <x:t xml:space="preserve">Weeks 2,4</x:t>
  </x:si>
  <x:si>
    <x:t xml:space="preserve">Deny before calling retriever or tool.</x:t>
  </x:si>
  <x:si>
    <x:t xml:space="preserve">Tenant/auth security tests</x:t>
  </x:si>
  <x:si>
    <x:t xml:space="preserve">Retriever interface</x:t>
  </x:si>
  <x:si>
    <x:t xml:space="preserve">Finds authorized evidence without leaking vendor types.</x:t>
  </x:si>
  <x:si>
    <x:t xml:space="preserve">Qdrant/OpenSearch adapters</x:t>
  </x:si>
  <x:si>
    <x:t xml:space="preserve">Weeks 2,3</x:t>
  </x:si>
  <x:si>
    <x:t xml:space="preserve">Abstain/control-error when evidence/dependency is insufficient.</x:t>
  </x:si>
  <x:si>
    <x:t xml:space="preserve">Backend contract + recall@5</x:t>
  </x:si>
  <x:si>
    <x:t xml:space="preserve">Bedrock LLM adapter</x:t>
  </x:si>
  <x:si>
    <x:t xml:space="preserve">Language expert drafts from supplied evidence.</x:t>
  </x:si>
  <x:si>
    <x:t xml:space="preserve">Primary AWS LLM boundary</x:t>
  </x:si>
  <x:si>
    <x:t xml:space="preserve">Bounded retry/fallback or controlled timeout error.</x:t>
  </x:si>
  <x:si>
    <x:t xml:space="preserve">Adapter and usage tests</x:t>
  </x:si>
  <x:si>
    <x:t xml:space="preserve">RAG guardrails</x:t>
  </x:si>
  <x:si>
    <x:t xml:space="preserve">Checks untrusted context, citations, output schema and refusal.</x:t>
  </x:si>
  <x:si>
    <x:t xml:space="preserve">Deterministic gates around model</x:t>
  </x:si>
  <x:si>
    <x:t xml:space="preserve">Reject malformed/uncited output or safely abstain.</x:t>
  </x:si>
  <x:si>
    <x:t xml:space="preserve">Security and golden evaluation</x:t>
  </x:si>
  <x:si>
    <x:t xml:space="preserve">Action plane</x:t>
  </x:si>
  <x:si>
    <x:t xml:space="preserve">LangGraph controller</x:t>
  </x:si>
  <x:si>
    <x:t xml:space="preserve">Workflow supervisor with explicit state and terminal paths.</x:t>
  </x:si>
  <x:si>
    <x:t xml:space="preserve">Bounded graph</x:t>
  </x:si>
  <x:si>
    <x:t xml:space="preserve">Budget/timeout/denial ends in safe terminal.</x:t>
  </x:si>
  <x:si>
    <x:t xml:space="preserve">Graph path tests</x:t>
  </x:si>
  <x:si>
    <x:t xml:space="preserve">Allowlisted tools + approval</x:t>
  </x:si>
  <x:si>
    <x:t xml:space="preserve">Narrow functions; write actions need durable human decision.</x:t>
  </x:si>
  <x:si>
    <x:t xml:space="preserve">Read-only default</x:t>
  </x:si>
  <x:si>
    <x:t xml:space="preserve">No valid approval means no write side effect.</x:t>
  </x:si>
  <x:si>
    <x:t xml:space="preserve">Approval/idempotency tests</x:t>
  </x:si>
  <x:si>
    <x:t xml:space="preserve">Runtime plane</x:t>
  </x:si>
  <x:si>
    <x:t xml:space="preserve">EKS + ECR</x:t>
  </x:si>
  <x:si>
    <x:t xml:space="preserve">Runs immutable API image with Kubernetes controls.</x:t>
  </x:si>
  <x:si>
    <x:t xml:space="preserve">Learning deployment target</x:t>
  </x:si>
  <x:si>
    <x:t xml:space="preserve">Rolling rollback to previous digest.</x:t>
  </x:si>
  <x:si>
    <x:t xml:space="preserve">Manifest/health/rollback evidence</x:t>
  </x:si>
  <x:si>
    <x:t xml:space="preserve">Security plane</x:t>
  </x:si>
  <x:si>
    <x:t xml:space="preserve">IAM/KMS/Secrets Manager</x:t>
  </x:si>
  <x:si>
    <x:t xml:space="preserve">Workload identity, encryption and runtime secret retrieval.</x:t>
  </x:si>
  <x:si>
    <x:t xml:space="preserve">Least privilege; no secret in code/state</x:t>
  </x:si>
  <x:si>
    <x:t xml:space="preserve">Weeks 1–6</x:t>
  </x:si>
  <x:si>
    <x:t xml:space="preserve">Fail closed; revoke role/session; rotate exposed secret.</x:t>
  </x:si>
  <x:si>
    <x:t xml:space="preserve">Policy and identity tests</x:t>
  </x:si>
  <x:si>
    <x:t xml:space="preserve">Control plane</x:t>
  </x:si>
  <x:si>
    <x:t xml:space="preserve">Terraform + GitHub Actions</x:t>
  </x:si>
  <x:si>
    <x:t xml:space="preserve">Creates reviewed infrastructure and enforces CI/security gates.</x:t>
  </x:si>
  <x:si>
    <x:t xml:space="preserve">Saved plans; OIDC; manual mutation</x:t>
  </x:si>
  <x:si>
    <x:t xml:space="preserve">Weeks 1,5</x:t>
  </x:si>
  <x:si>
    <x:t xml:space="preserve">ADR-009, ADR-010, ADR-011</x:t>
  </x:si>
  <x:si>
    <x:t xml:space="preserve">Discard drifted plan; apply prior reviewed version.</x:t>
  </x:si>
  <x:si>
    <x:t xml:space="preserve">Plan/policy/OIDC evidence</x:t>
  </x:si>
  <x:si>
    <x:t xml:space="preserve">Operations plane</x:t>
  </x:si>
  <x:si>
    <x:t xml:space="preserve">OpenTelemetry</x:t>
  </x:si>
  <x:si>
    <x:t xml:space="preserve">Correlates safe traces, metrics and logs across every stage.</x:t>
  </x:si>
  <x:si>
    <x:t xml:space="preserve">Vendor-neutral contract</x:t>
  </x:si>
  <x:si>
    <x:t xml:space="preserve">Weeks 3–6</x:t>
  </x:si>
  <x:si>
    <x:t xml:space="preserve">Disable broken exporter; keep core service safe.</x:t>
  </x:si>
  <x:si>
    <x:t xml:space="preserve">Trace/redaction tests</x:t>
  </x:si>
  <x:si>
    <x:t xml:space="preserve">CloudWatch/X-Ray + Prometheus/Grafana/Jaeger</x:t>
  </x:si>
  <x:si>
    <x:t xml:space="preserve">Monitoring room, dashboards, alerts and investigation.</x:t>
  </x:si>
  <x:si>
    <x:t xml:space="preserve">AWS + open local path</x:t>
  </x:si>
  <x:si>
    <x:t xml:space="preserve">ADR-008, ADR-017</x:t>
  </x:si>
  <x:si>
    <x:t xml:space="preserve">Burn alert triggers runbook/rollback/fallback.</x:t>
  </x:si>
  <x:si>
    <x:t xml:space="preserve">Alert and runbook rehearsal</x:t>
  </x:si>
  <x:si>
    <x:t xml:space="preserve">Lifecycle plane</x:t>
  </x:si>
  <x:si>
    <x:t xml:space="preserve">platformctl + cleanup verifier</x:t>
  </x:si>
  <x:si>
    <x:t xml:space="preserve">Controls plan/deploy/rollback/destroy and proves no residue.</x:t>
  </x:si>
  <x:si>
    <x:t xml:space="preserve">Separate release/infra/teardown</x:t>
  </x:si>
  <x:si>
    <x:t xml:space="preserve">Weeks 1,5,6</x:t>
  </x:si>
  <x:si>
    <x:t xml:space="preserve">ADR-012, ADR-013, ADR-014</x:t>
  </x:si>
  <x:si>
    <x:t xml:space="preserve">Unexpected target/residual stops completion.</x:t>
  </x:si>
  <x:si>
    <x:t xml:space="preserve">Rollback and cleanliness reports</x:t>
  </x:si>
  <x:si>
    <x:t xml:space="preserve">Controlled Owner-Led Codex Prompt Library — v1.3.4</x:t>
  </x:si>
  <x:si>
    <x:t xml:space="preserve">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x:t>
  </x:si>
  <x:si>
    <x:t xml:space="preserve">Main Prompt (paste first)</x:t>
  </x:si>
  <x:si>
    <x:t xml:space="preserve">Workflow / Execution Order</x:t>
  </x:si>
  <x:si>
    <x:t xml:space="preserve">Verification / Stop Point</x:t>
  </x:si>
  <x:si>
    <x:t xml:space="preserve">Owner Approval</x:t>
  </x:si>
  <x:si>
    <x:t xml:space="preserve">Covered Tracker Steps</x:t>
  </x:si>
  <x:si>
    <x:t xml:space="preserve">Column L — Code or Content Edit Approval</x:t>
  </x:si>
  <x:si>
    <x:t xml:space="preserve">Column M — Document Approval + Manifest</x:t>
  </x:si>
  <x:si>
    <x:t xml:space="preserve">Column N — Final Approval + Complete Closure</x:t>
  </x:si>
  <x:si>
    <x:t xml:space="preserve">Test and Evidence Register</x:t>
  </x:si>
  <x:si>
    <x:t xml:space="preserve">The owner runs every command. Record PASS only when the owner-executed output and approved evidence prove the expected result.</x:t>
  </x:si>
  <x:si>
    <x:t xml:space="preserve">Test ID</x:t>
  </x:si>
  <x:si>
    <x:t xml:space="preserve">Type</x:t>
  </x:si>
  <x:si>
    <x:t xml:space="preserve">Command</x:t>
  </x:si>
  <x:si>
    <x:t xml:space="preserve">Run Date</x:t>
  </x:si>
  <x:si>
    <x:t xml:space="preserve">Actual Result</x:t>
  </x:si>
  <x:si>
    <x:t xml:space="preserve">Defect / Follow-up</x:t>
  </x:si>
  <x:si>
    <x:t xml:space="preserve">Owner Sign-off</x:t>
  </x:si>
  <x:si>
    <x:t xml:space="preserve">T-W1-001</x:t>
  </x:si>
  <x:si>
    <x:t xml:space="preserve">Unit</x:t>
  </x:si>
  <x:si>
    <x:t xml:space="preserve">Typed config and invalid-value behavior</x:t>
  </x:si>
  <x:si>
    <x:t xml:space="preserve">pytest tests/unit/test_config.py -q</x:t>
  </x:si>
  <x:si>
    <x:t xml:space="preserve">Pass offline; invalid values fail clearly</x:t>
  </x:si>
  <x:si>
    <x:t xml:space="preserve">Pass</x:t>
  </x:si>
  <x:si>
    <x:t xml:space="preserve">PASS — typed configuration and consolidated Week 1 validation; implementation commit 210381c3ddbc9aab83ccaeb11a59db8d8dad549b.</x:t>
  </x:si>
  <x:si>
    <x:t xml:space="preserve">Canonical evidence reconciled; composite PASS is recorded in docs/test-evidence/W1-consolidated-validation.json.</x:t>
  </x:si>
  <x:si>
    <x:t xml:space="preserve">Gyan Prakash Rai — implementation approved 2026-08-18; reaffirmed 2026-08-18T16:01:18Z</x:t>
  </x:si>
  <x:si>
    <x:t xml:space="preserve">T-W1-002</x:t>
  </x:si>
  <x:si>
    <x:t xml:space="preserve">Feature-matrix schema/traceability</x:t>
  </x:si>
  <x:si>
    <x:t xml:space="preserve">Exit 0; missing required field fails</x:t>
  </x:si>
  <x:si>
    <x:t xml:space="preserve">PASS — feature-matrix validation and consolidated Week 1 validation; implementation commit 210381c3ddbc9aab83ccaeb11a59db8d8dad549b.</x:t>
  </x:si>
  <x:si>
    <x:t xml:space="preserve">T-W1-003</x:t>
  </x:si>
  <x:si>
    <x:t xml:space="preserve">Security</x:t>
  </x:si>
  <x:si>
    <x:t xml:space="preserve">Pre-commit/secret scanning</x:t>
  </x:si>
  <x:si>
    <x:t xml:space="preserve">Source passes; synthetic secret fixture is rejected</x:t>
  </x:si>
  <x:si>
    <x:t xml:space="preserve">PASS — final composite independent Week 1 closure gate; exact-staged security controls passed; implementation commit 210381c3ddbc9aab83ccaeb11a59db8d8dad549b.</x:t>
  </x:si>
  <x:si>
    <x:t xml:space="preserve">Historical TEST-001 and TEST-001R failures and TEST-001R2 evidence-only failure remain preserved; final focused composite independent PASS recorded.</x:t>
  </x:si>
  <x:si>
    <x:t xml:space="preserve">T-W1-004</x:t>
  </x:si>
  <x:si>
    <x:t xml:space="preserve">Teardown</x:t>
  </x:si>
  <x:si>
    <x:t xml:space="preserve">Mocked residual-resource verifier</x:t>
  </x:si>
  <x:si>
    <x:t xml:space="preserve">Unexpected residual fails; KMS exception classified</x:t>
  </x:si>
  <x:si>
    <x:t xml:space="preserve">PASS — mocked cleanup and consolidated cleanliness validation; implementation commit 210381c3ddbc9aab83ccaeb11a59db8d8dad549b.</x:t>
  </x:si>
  <x:si>
    <x:t xml:space="preserve">Canonical evidence reconciled; no AWS, paid API or deployment mutation occurred.</x:t>
  </x:si>
  <x:si>
    <x:t xml:space="preserve">T-W2-001</x:t>
  </x:si>
  <x:si>
    <x:t xml:space="preserve">Domain model validation</x:t>
  </x:si>
  <x:si>
    <x:t xml:space="preserve">Tenant/classification required</x:t>
  </x:si>
  <x:si>
    <x:t xml:space="preserve">docs/test-evidence/W2-models.txt</x:t>
  </x:si>
  <x:si>
    <x:t xml:space="preserve">Not Run</x:t>
  </x:si>
  <x:si>
    <x:t xml:space="preserve">T-W2-002</x:t>
  </x:si>
  <x:si>
    <x:t xml:space="preserve">Contract</x:t>
  </x:si>
  <x:si>
    <x:t xml:space="preserve">VectorStore fake/Qdrant parity</x:t>
  </x:si>
  <x:si>
    <x:t xml:space="preserve">pytest tests/contract -q</x:t>
  </x:si>
  <x:si>
    <x:t xml:space="preserve">All implementations satisfy same contract</x:t>
  </x:si>
  <x:si>
    <x:t xml:space="preserve">docs/test-evidence/W2-contract.txt</x:t>
  </x:si>
  <x:si>
    <x:t xml:space="preserve">T-W2-003</x:t>
  </x:si>
  <x:si>
    <x:t xml:space="preserve">Embedder batching/normalization/dimension</x:t>
  </x:si>
  <x:si>
    <x:t xml:space="preserve">No network; normalized vectors; mismatch rejected</x:t>
  </x:si>
  <x:si>
    <x:t xml:space="preserve">docs/test-evidence/W2-embedder.txt</x:t>
  </x:si>
  <x:si>
    <x:t xml:space="preserve">T-W2-004</x:t>
  </x:si>
  <x:si>
    <x:t xml:space="preserve">PII and tenant isolation</x:t>
  </x:si>
  <x:si>
    <x:t xml:space="preserve">pytest tests/security/test_pii.py tests/security/test_tenant_isolation.py -q</x:t>
  </x:si>
  <x:si>
    <x:t xml:space="preserve">No unredacted PII or cross-tenant chunk</x:t>
  </x:si>
  <x:si>
    <x:t xml:space="preserve">docs/test-evidence/W2-security.txt</x:t>
  </x:si>
  <x:si>
    <x:t xml:space="preserve">T-W2-005</x:t>
  </x:si>
  <x:si>
    <x:t xml:space="preserve">Idempotent ingestion and top-5 retrieval</x:t>
  </x:si>
  <x:si>
    <x:t xml:space="preserve">pytest tests/feature/test_local_retrieval.py -q</x:t>
  </x:si>
  <x:si>
    <x:t xml:space="preserve">Repeated ingest stable; expected source in top 5</x:t>
  </x:si>
  <x:si>
    <x:t xml:space="preserve">docs/test-evidence/W2-retrieval.json</x:t>
  </x:si>
  <x:si>
    <x:t xml:space="preserve">T-W2-006</x:t>
  </x:si>
  <x:si>
    <x:t xml:space="preserve">Local Compose cleanup</x:t>
  </x:si>
  <x:si>
    <x:t xml:space="preserve">make destroy-local &amp;&amp; make verify-clean-local</x:t>
  </x:si>
  <x:si>
    <x:t xml:space="preserve">No project container/volume/network</x:t>
  </x:si>
  <x:si>
    <x:t xml:space="preserve">docs/resource-cleanliness/W2-local.json</x:t>
  </x:si>
  <x:si>
    <x:t xml:space="preserve">T-W3-001</x:t>
  </x:si>
  <x:si>
    <x:t xml:space="preserve">Citation validation and abstention</x:t>
  </x:si>
  <x:si>
    <x:t xml:space="preserve">Only supplied citations; weak evidence abstains</x:t>
  </x:si>
  <x:si>
    <x:t xml:space="preserve">docs/test-evidence/W3-rag.txt</x:t>
  </x:si>
  <x:si>
    <x:t xml:space="preserve">T-W3-002</x:t>
  </x:si>
  <x:si>
    <x:t xml:space="preserve">Prompt injection and cross-tenant RAG</x:t>
  </x:si>
  <x:si>
    <x:t xml:space="preserve">No policy override or unauthorized retrieval</x:t>
  </x:si>
  <x:si>
    <x:t xml:space="preserve">docs/test-evidence/W3-security.txt</x:t>
  </x:si>
  <x:si>
    <x:t xml:space="preserve">T-W3-003</x:t>
  </x:si>
  <x:si>
    <x:t xml:space="preserve">Evaluation</x:t>
  </x:si>
  <x:si>
    <x:t xml:space="preserve">Golden-set baseline</x:t>
  </x:si>
  <x:si>
    <x:t xml:space="preserve">Recall@5 &gt;=0.85; grounded/cited or abstain &gt;=95%</x:t>
  </x:si>
  <x:si>
    <x:t xml:space="preserve">T-W3-004</x:t>
  </x:si>
  <x:si>
    <x:t xml:space="preserve">Rollback</x:t>
  </x:si>
  <x:si>
    <x:t xml:space="preserve">Prompt/model/retriever rollback</x:t>
  </x:si>
  <x:si>
    <x:t xml:space="preserve">Last-known-good baseline restored</x:t>
  </x:si>
  <x:si>
    <x:t xml:space="preserve">T-W4-001</x:t>
  </x:si>
  <x:si>
    <x:t xml:space="preserve">FastAPI health/query/error mapping</x:t>
  </x:si>
  <x:si>
    <x:t xml:space="preserve">Typed response; controlled errors; no internal leakage</x:t>
  </x:si>
  <x:si>
    <x:t xml:space="preserve">docs/test-evidence/W4-api.txt</x:t>
  </x:si>
  <x:si>
    <x:t xml:space="preserve">T-W4-002</x:t>
  </x:si>
  <x:si>
    <x:t xml:space="preserve">Agent approval and tool schema</x:t>
  </x:si>
  <x:si>
    <x:t xml:space="preserve">No write without valid approval</x:t>
  </x:si>
  <x:si>
    <x:t xml:space="preserve">docs/test-evidence/W4-approval.txt</x:t>
  </x:si>
  <x:si>
    <x:t xml:space="preserve">T-W4-003</x:t>
  </x:si>
  <x:si>
    <x:t xml:space="preserve">Agent limits and failure terminals</x:t>
  </x:si>
  <x:si>
    <x:t xml:space="preserve">pytest tests/feature/test_agent_failures.py -q</x:t>
  </x:si>
  <x:si>
    <x:t xml:space="preserve">Timeout/loop/malformed calls stop safely</x:t>
  </x:si>
  <x:si>
    <x:t xml:space="preserve">docs/test-evidence/W4-agent-failures.txt</x:t>
  </x:si>
  <x:si>
    <x:t xml:space="preserve">T-W4-004</x:t>
  </x:si>
  <x:si>
    <x:t xml:space="preserve">Trace/log correlation and redaction</x:t>
  </x:si>
  <x:si>
    <x:t xml:space="preserve">pytest tests/feature/test_trace_correlation.py tests/security/test_log_redaction.py -q</x:t>
  </x:si>
  <x:si>
    <x:t xml:space="preserve">One trace links stages; no sensitive content</x:t>
  </x:si>
  <x:si>
    <x:t xml:space="preserve">docs/test-evidence/W4-trace.json</x:t>
  </x:si>
  <x:si>
    <x:t xml:space="preserve">T-W4-005</x:t>
  </x:si>
  <x:si>
    <x:t xml:space="preserve">Immutable application release rollback</x:t>
  </x:si>
  <x:si>
    <x:t xml:space="preserve">Previous release healthy and feature-valid</x:t>
  </x:si>
  <x:si>
    <x:t xml:space="preserve">T-W5-001</x:t>
  </x:si>
  <x:si>
    <x:t xml:space="preserve">IaC</x:t>
  </x:si>
  <x:si>
    <x:t xml:space="preserve">Terraform format and validation</x:t>
  </x:si>
  <x:si>
    <x:t xml:space="preserve">terraform fmt -check -recursive infra &amp;&amp; terraform -chdir=infra/environments/sandbox validate</x:t>
  </x:si>
  <x:si>
    <x:t xml:space="preserve">Exit 0</x:t>
  </x:si>
  <x:si>
    <x:t xml:space="preserve">docs/test-evidence/W5-terraform.txt</x:t>
  </x:si>
  <x:si>
    <x:t xml:space="preserve">T-W5-002</x:t>
  </x:si>
  <x:si>
    <x:t xml:space="preserve">Policy</x:t>
  </x:si>
  <x:si>
    <x:t xml:space="preserve">tflint/Checkov/OPA</x:t>
  </x:si>
  <x:si>
    <x:t xml:space="preserve">tflint --recursive &amp;&amp; checkov -d infra &amp;&amp; opa test policies/opa -v</x:t>
  </x:si>
  <x:si>
    <x:t xml:space="preserve">Secure config passes; insecure fixtures fail</x:t>
  </x:si>
  <x:si>
    <x:t xml:space="preserve">docs/test-evidence/W5-policy.txt</x:t>
  </x:si>
  <x:si>
    <x:t xml:space="preserve">T-W5-003</x:t>
  </x:si>
  <x:si>
    <x:t xml:space="preserve">Reviewed sandbox plan</x:t>
  </x:si>
  <x:si>
    <x:t xml:space="preserve">Only expected resources; no secret values</x:t>
  </x:si>
  <x:si>
    <x:t xml:space="preserve">T-W5-004</x:t>
  </x:si>
  <x:si>
    <x:t xml:space="preserve">Trivy, Syft and Grype</x:t>
  </x:si>
  <x:si>
    <x:t xml:space="preserve">make container-scan &amp;&amp; make sbom</x:t>
  </x:si>
  <x:si>
    <x:t xml:space="preserve">No disallowed critical finding; SBOM created</x:t>
  </x:si>
  <x:si>
    <x:t xml:space="preserve">docs/test-evidence/W5-supply-chain.txt</x:t>
  </x:si>
  <x:si>
    <x:t xml:space="preserve">T-W5-005</x:t>
  </x:si>
  <x:si>
    <x:t xml:space="preserve">Identity</x:t>
  </x:si>
  <x:si>
    <x:t xml:space="preserve">GitHub OIDC</x:t>
  </x:si>
  <x:si>
    <x:t xml:space="preserve">Run approved GitHub plan workflow</x:t>
  </x:si>
  <x:si>
    <x:t xml:space="preserve">Short-lived role; no access-key secret</x:t>
  </x:si>
  <x:si>
    <x:t xml:space="preserve">docs/test-evidence/W5-oidc.txt</x:t>
  </x:si>
  <x:si>
    <x:t xml:space="preserve">T-W5-006</x:t>
  </x:si>
  <x:si>
    <x:t xml:space="preserve">Destroy plan and clean-resource report</x:t>
  </x:si>
  <x:si>
    <x:t xml:space="preserve">No active residual except documented KMS PendingDeletion</x:t>
  </x:si>
  <x:si>
    <x:t xml:space="preserve">T-W6-001</x:t>
  </x:si>
  <x:si>
    <x:t xml:space="preserve">Manifest/schema/policy validation</x:t>
  </x:si>
  <x:si>
    <x:t xml:space="preserve">Dry-run passes; immutable digest/no secret literal</x:t>
  </x:si>
  <x:si>
    <x:t xml:space="preserve">docs/test-evidence/W6-k8s.txt</x:t>
  </x:si>
  <x:si>
    <x:t xml:space="preserve">T-W6-002</x:t>
  </x:si>
  <x:si>
    <x:t xml:space="preserve">Pod has workload identity only</x:t>
  </x:si>
  <x:si>
    <x:t xml:space="preserve">Inspect pod environment and AWS caller identity</x:t>
  </x:si>
  <x:si>
    <x:t xml:space="preserve">No static key; expected role session</x:t>
  </x:si>
  <x:si>
    <x:t xml:space="preserve">docs/test-evidence/W6-identity.txt</x:t>
  </x:si>
  <x:si>
    <x:t xml:space="preserve">T-W6-003</x:t>
  </x:si>
  <x:si>
    <x:t xml:space="preserve">SRE</x:t>
  </x:si>
  <x:si>
    <x:t xml:space="preserve">Prometheus rules and dashboard sources</x:t>
  </x:si>
  <x:si>
    <x:t xml:space="preserve">Rules valid and linked to runbook</x:t>
  </x:si>
  <x:si>
    <x:t xml:space="preserve">docs/test-evidence/W6-alerts.txt</x:t>
  </x:si>
  <x:si>
    <x:t xml:space="preserve">T-W6-004</x:t>
  </x:si>
  <x:si>
    <x:t xml:space="preserve">Chaos</x:t>
  </x:si>
  <x:si>
    <x:t xml:space="preserve">Qdrant stop and fake LLM timeout</x:t>
  </x:si>
  <x:si>
    <x:t xml:space="preserve">Readiness/alerts safe; no retry storm</x:t>
  </x:si>
  <x:si>
    <x:t xml:space="preserve">docs/test-evidence/W6-chaos.txt</x:t>
  </x:si>
  <x:si>
    <x:t xml:space="preserve">T-W6-005</x:t>
  </x:si>
  <x:si>
    <x:t xml:space="preserve">End-to-end sandbox quality</x:t>
  </x:si>
  <x:si>
    <x:t xml:space="preserve">No material regression; cited response and trace</x:t>
  </x:si>
  <x:si>
    <x:t xml:space="preserve">T-W6-006</x:t>
  </x:si>
  <x:si>
    <x:t xml:space="preserve">EKS release rollback</x:t>
  </x:si>
  <x:si>
    <x:t xml:space="preserve">Previous digest healthy within recorded RTO</x:t>
  </x:si>
  <x:si>
    <x:t xml:space="preserve">T-W6-007</x:t>
  </x:si>
  <x:si>
    <x:t xml:space="preserve">Full platform/bootstrap teardown and orphan scan</x:t>
  </x:si>
  <x:si>
    <x:t xml:space="preserve">No active project resource; state backend removed last</x:t>
  </x:si>
  <x:si>
    <x:t xml:space="preserve">T-W1-000</x:t>
  </x:si>
  <x:si>
    <x:t xml:space="preserve">Review</x:t>
  </x:si>
  <x:si>
    <x:t xml:space="preserve">MVP-001 scope completeness</x:t>
  </x:si>
  <x:si>
    <x:t xml:space="preserve">Review docs/features/MVP-001.md against USE-001, DATA-001 and the five-question EVAL-001 starter set</x:t>
  </x:si>
  <x:si>
    <x:t xml:space="preserve">Five representative questions, exclusions and measurable answer/abstain/security criteria are complete</x:t>
  </x:si>
  <x:si>
    <x:t xml:space="preserve">PASS — MVP-001 scope, starter questions and acceptance criteria reviewed and owner approved.</x:t>
  </x:si>
  <x:si>
    <x:t xml:space="preserve">Canonical scope evidence confirmed; implementation commit 210381c3ddbc9aab83ccaeb11a59db8d8dad549b.</x:t>
  </x:si>
  <x:si>
    <x:t xml:space="preserve">T-W1-000A</x:t>
  </x:si>
  <x:si>
    <x:t xml:space="preserve">ADR-000 source precedence</x:t>
  </x:si>
  <x:si>
    <x:t xml:space="preserve">Authority order, conflict rule, three examples, governance-only scope and Proposed status are present</x:t>
  </x:si>
  <x:si>
    <x:t xml:space="preserve">PASS — source precedence, conflict stop and governance-only scope reviewed and owner approved.</x:t>
  </x:si>
  <x:si>
    <x:t xml:space="preserve">Canonical governance evidence confirmed; implementation commit 210381c3ddbc9aab83ccaeb11a59db8d8dad549b.</x:t>
  </x:si>
  <x:si>
    <x:t xml:space="preserve">Architecture Decision Register</x:t>
  </x:si>
  <x:si>
    <x:t xml:space="preserve">Baseline decisions come from the source documents. Change them only with evidence, alternatives, trade-offs and a superseding ADR.</x:t>
  </x:si>
  <x:si>
    <x:t xml:space="preserve">Decision</x:t>
  </x:si>
  <x:si>
    <x:t xml:space="preserve">Decision Week</x:t>
  </x:si>
  <x:si>
    <x:t xml:space="preserve">Rationale</x:t>
  </x:si>
  <x:si>
    <x:t xml:space="preserve">Alternatives</x:t>
  </x:si>
  <x:si>
    <x:t xml:space="preserve">Trade-offs / Cost / Risk</x:t>
  </x:si>
  <x:si>
    <x:t xml:space="preserve">Revisit Trigger</x:t>
  </x:si>
  <x:si>
    <x:t xml:space="preserve">ADR Evidence Path</x:t>
  </x:si>
  <x:si>
    <x:t xml:space="preserve">Review Notes</x:t>
  </x:si>
  <x:si>
    <x:t xml:space="preserve">RAG before fine-tuning</x:t>
  </x:si>
  <x:si>
    <x:t xml:space="preserve">Baseline Approved</x:t>
  </x:si>
  <x:si>
    <x:t xml:space="preserve">Use RAG for current/proprietary knowledge; tune only after measured behavior gap.</x:t>
  </x:si>
  <x:si>
    <x:t xml:space="preserve">Fine-tune first; prompt-only</x:t>
  </x:si>
  <x:si>
    <x:t xml:space="preserve">Faster/cheaper and auditable, but retrieval quality becomes critical.</x:t>
  </x:si>
  <x:si>
    <x:t xml:space="preserve">Evaluation proves stable gap that RAG/prompting cannot close.</x:t>
  </x:si>
  <x:si>
    <x:t xml:space="preserve">docs/adr/ADR-001-rag-before-tuning.md</x:t>
  </x:si>
  <x:si>
    <x:t xml:space="preserve">Provider-neutral domain interfaces</x:t>
  </x:si>
  <x:si>
    <x:t xml:space="preserve">Keep model/vector/embedder SDK types at adapter boundaries.</x:t>
  </x:si>
  <x:si>
    <x:t xml:space="preserve">Direct vendor SDK use</x:t>
  </x:si>
  <x:si>
    <x:t xml:space="preserve">Adds interface code; materially improves portability and tests.</x:t>
  </x:si>
  <x:si>
    <x:t xml:space="preserve">A provider-specific feature gives measurable value impossible through the contract.</x:t>
  </x:si>
  <x:si>
    <x:t xml:space="preserve">docs/adr/ADR-002-provider-boundaries.md</x:t>
  </x:si>
  <x:si>
    <x:t xml:space="preserve">Qdrant local; OpenSearch AWS</x:t>
  </x:si>
  <x:si>
    <x:t xml:space="preserve">Qdrant gives realistic local DX; OpenSearch provides AWS-native vector/hybrid security.</x:t>
  </x:si>
  <x:si>
    <x:t xml:space="preserve">FAISS, Chroma, Milvus, Weaviate, Pinecone</x:t>
  </x:si>
  <x:si>
    <x:t xml:space="preserve">Two adapters/re-index path; OpenSearch has idle cost.</x:t>
  </x:si>
  <x:si>
    <x:t xml:space="preserve">Scale, residency, hybrid quality or cost evidence changes the decision.</x:t>
  </x:si>
  <x:si>
    <x:t xml:space="preserve">docs/adr/ADR-003-vector-stores.md</x:t>
  </x:si>
  <x:si>
    <x:t xml:space="preserve">Bedrock primary LLM adapter</x:t>
  </x:si>
  <x:si>
    <x:t xml:space="preserve">AWS IAM/regional model access without running GPUs.</x:t>
  </x:si>
  <x:si>
    <x:t xml:space="preserve">SageMaker, external API, local model</x:t>
  </x:si>
  <x:si>
    <x:t xml:space="preserve">Per-token cost, quotas and model/region constraints.</x:t>
  </x:si>
  <x:si>
    <x:t xml:space="preserve">Approved custom model or provider cost/quality advantage.</x:t>
  </x:si>
  <x:si>
    <x:t xml:space="preserve">docs/adr/ADR-004-bedrock.md</x:t>
  </x:si>
  <x:si>
    <x:t xml:space="preserve">LangGraph for bounded agent workflow</x:t>
  </x:si>
  <x:si>
    <x:t xml:space="preserve">Explicit state, budgets, approval and terminal outcomes.</x:t>
  </x:si>
  <x:si>
    <x:t xml:space="preserve">AutoGen, custom FSM, Step Functions</x:t>
  </x:si>
  <x:si>
    <x:t xml:space="preserve">Framework dependency and state discipline.</x:t>
  </x:si>
  <x:si>
    <x:t xml:space="preserve">Another engine passes identical safety/operability tests with lower complexity.</x:t>
  </x:si>
  <x:si>
    <x:t xml:space="preserve">docs/adr/ADR-005-langgraph.md</x:t>
  </x:si>
  <x:si>
    <x:t xml:space="preserve">Authorize before retrieval and action</x:t>
  </x:si>
  <x:si>
    <x:t xml:space="preserve">Models cannot enforce access; trusted identity/metadata policies must.</x:t>
  </x:si>
  <x:si>
    <x:t xml:space="preserve">Prompt-only authorization</x:t>
  </x:si>
  <x:si>
    <x:t xml:space="preserve">More policy/metadata design; prevents cross-tenant leakage/action.</x:t>
  </x:si>
  <x:si>
    <x:t xml:space="preserve">Never; only implementation may evolve after security review.</x:t>
  </x:si>
  <x:si>
    <x:t xml:space="preserve">docs/adr/ADR-006-authorization.md</x:t>
  </x:si>
  <x:si>
    <x:t xml:space="preserve">FastAPI/Uvicorn API boundary</x:t>
  </x:si>
  <x:si>
    <x:t xml:space="preserve">Typed, testable orchestration API and health endpoints.</x:t>
  </x:si>
  <x:si>
    <x:t xml:space="preserve">Lambda-only, Ray Serve, Triton</x:t>
  </x:si>
  <x:si>
    <x:t xml:space="preserve">Not optimized GPU serving; ideal for RAG orchestration.</x:t>
  </x:si>
  <x:si>
    <x:t xml:space="preserve">Measured throughput/model-serving needs require specialized runtime.</x:t>
  </x:si>
  <x:si>
    <x:t xml:space="preserve">docs/adr/ADR-007-fastapi.md</x:t>
  </x:si>
  <x:si>
    <x:t xml:space="preserve">OpenTelemetry as observability contract</x:t>
  </x:si>
  <x:si>
    <x:t xml:space="preserve">Vendor-neutral correlation across API, retrieval, model and tools.</x:t>
  </x:si>
  <x:si>
    <x:t xml:space="preserve">CloudWatch-only; vendor APM</x:t>
  </x:si>
  <x:si>
    <x:t xml:space="preserve">Requires collector/config; protects portability and privacy controls.</x:t>
  </x:si>
  <x:si>
    <x:t xml:space="preserve">Operating vendor standard changes while OTLP compatibility remains.</x:t>
  </x:si>
  <x:si>
    <x:t xml:space="preserve">docs/adr/ADR-008-otel.md</x:t>
  </x:si>
  <x:si>
    <x:t xml:space="preserve">Separate Terraform bootstrap/platform roots</x:t>
  </x:si>
  <x:si>
    <x:t xml:space="preserve">Platform can be destroyed before its remote-state backend.</x:t>
  </x:si>
  <x:si>
    <x:t xml:space="preserve">Single root</x:t>
  </x:si>
  <x:si>
    <x:t xml:space="preserve">Two-stage lifecycle adds deliberate coordination.</x:t>
  </x:si>
  <x:si>
    <x:t xml:space="preserve">A managed external state service changes teardown requirements.</x:t>
  </x:si>
  <x:si>
    <x:t xml:space="preserve">docs/adr/ADR-009-terraform-roots.md</x:t>
  </x:si>
  <x:si>
    <x:t xml:space="preserve">ADR-010</x:t>
  </x:si>
  <x:si>
    <x:t xml:space="preserve">Saved plan plus owner approval</x:t>
  </x:si>
  <x:si>
    <x:t xml:space="preserve">Only reviewed plan bytes may be applied.</x:t>
  </x:si>
  <x:si>
    <x:t xml:space="preserve">Direct terraform apply</x:t>
  </x:si>
  <x:si>
    <x:t xml:space="preserve">Slower delivery; much stronger change traceability.</x:t>
  </x:si>
  <x:si>
    <x:t xml:space="preserve">No relaxation for sandbox mutations without a superseding control decision.</x:t>
  </x:si>
  <x:si>
    <x:t xml:space="preserve">docs/adr/ADR-010-saved-plan.md</x:t>
  </x:si>
  <x:si>
    <x:t xml:space="preserve">ADR-011</x:t>
  </x:si>
  <x:si>
    <x:t xml:space="preserve">No automatic apply/destroy</x:t>
  </x:si>
  <x:si>
    <x:t xml:space="preserve">Protect learning-account budget and destructive boundaries.</x:t>
  </x:si>
  <x:si>
    <x:t xml:space="preserve">Fully automated CD/teardown</x:t>
  </x:si>
  <x:si>
    <x:t xml:space="preserve">Manual gate adds time; keeps user aware of every mutation.</x:t>
  </x:si>
  <x:si>
    <x:t xml:space="preserve">After mature controls, separate production governance may approve automation.</x:t>
  </x:si>
  <x:si>
    <x:t xml:space="preserve">docs/adr/ADR-011-manual-mutations.md</x:t>
  </x:si>
  <x:si>
    <x:t xml:space="preserve">Release, infrastructure rollback and teardown are separate</x:t>
  </x:si>
  <x:si>
    <x:t xml:space="preserve">Each solves a different failure and needs different validation.</x:t>
  </x:si>
  <x:si>
    <x:t xml:space="preserve">Use destroy as rollback</x:t>
  </x:si>
  <x:si>
    <x:t xml:space="preserve">More procedures; avoids data loss and confused recovery.</x:t>
  </x:si>
  <x:si>
    <x:t xml:space="preserve">Never merge concepts; refine runbooks as evidence changes.</x:t>
  </x:si>
  <x:si>
    <x:t xml:space="preserve">docs/adr/ADR-012-reversibility.md</x:t>
  </x:si>
  <x:si>
    <x:t xml:space="preserve">ADR-013</x:t>
  </x:si>
  <x:si>
    <x:t xml:space="preserve">Tags plus native service cleanup checks</x:t>
  </x:si>
  <x:si>
    <x:t xml:space="preserve">Tag discovery alone can miss untagged/unsupported residuals.</x:t>
  </x:si>
  <x:si>
    <x:t xml:space="preserve">Terraform destroy only; tags only</x:t>
  </x:si>
  <x:si>
    <x:t xml:space="preserve">Verifier needs maintenance; gives stronger cleanup evidence.</x:t>
  </x:si>
  <x:si>
    <x:t xml:space="preserve">AWS adds coverage that makes a native check redundant.</x:t>
  </x:si>
  <x:si>
    <x:t xml:space="preserve">docs/adr/ADR-013-cleanup-verification.md</x:t>
  </x:si>
  <x:si>
    <x:t xml:space="preserve">ADR-014</x:t>
  </x:si>
  <x:si>
    <x:t xml:space="preserve">KMS PendingDeletion is the only permitted residual</x:t>
  </x:si>
  <x:si>
    <x:t xml:space="preserve">AWS enforces a 7–30 day key deletion window.</x:t>
  </x:si>
  <x:si>
    <x:t xml:space="preserve">Force immediate key disappearance</x:t>
  </x:si>
  <x:si>
    <x:t xml:space="preserve">Documented exception, key unusable; requires follow-up check.</x:t>
  </x:si>
  <x:si>
    <x:t xml:space="preserve">AWS deletion behavior changes or org policy requires longer retention.</x:t>
  </x:si>
  <x:si>
    <x:t xml:space="preserve">docs/adr/ADR-014-kms-deletion.md</x:t>
  </x:si>
  <x:si>
    <x:t xml:space="preserve">EKS is the learning deployment target</x:t>
  </x:si>
  <x:si>
    <x:t xml:space="preserve">Matches enterprise Kubernetes/SRE learning goals.</x:t>
  </x:si>
  <x:si>
    <x:t xml:space="preserve">ECS/Fargate</x:t>
  </x:si>
  <x:si>
    <x:t xml:space="preserve">Higher baseline cost/complexity; richer controls/learning.</x:t>
  </x:si>
  <x:si>
    <x:t xml:space="preserve">Budget/ops evidence favors ECS for a real use case.</x:t>
  </x:si>
  <x:si>
    <x:t xml:space="preserve">docs/adr/ADR-015-eks.md</x:t>
  </x:si>
  <x:si>
    <x:t xml:space="preserve">One feature per controlled cycle</x:t>
  </x:si>
  <x:si>
    <x:t xml:space="preserve">Improves learning, traceability and rollback.</x:t>
  </x:si>
  <x:si>
    <x:t xml:space="preserve">Parallel feature generation</x:t>
  </x:si>
  <x:si>
    <x:t xml:space="preserve">Reduces speed; avoids opaque bulk changes.</x:t>
  </x:si>
  <x:si>
    <x:t xml:space="preserve">Team size/process matures with equivalent traceability.</x:t>
  </x:si>
  <x:si>
    <x:t xml:space="preserve">docs/adr/ADR-016-feature-cycle.md</x:t>
  </x:si>
  <x:si>
    <x:t xml:space="preserve">Quality, security and rollback are release gates</x:t>
  </x:si>
  <x:si>
    <x:t xml:space="preserve">A demo is not production evidence.</x:t>
  </x:si>
  <x:si>
    <x:t xml:space="preserve">Manual subjective acceptance</x:t>
  </x:si>
  <x:si>
    <x:t xml:space="preserve">More test/eval work; prevents silent regression.</x:t>
  </x:si>
  <x:si>
    <x:t xml:space="preserve">Thresholds change from measured evidence, not convenience.</x:t>
  </x:si>
  <x:si>
    <x:t xml:space="preserve">docs/adr/ADR-017-release-gates.md</x:t>
  </x:si>
  <x:si>
    <x:t xml:space="preserve">ADR-018</x:t>
  </x:si>
  <x:si>
    <x:t xml:space="preserve">Step Functions/EventBridge are background orchestration only</x:t>
  </x:si>
  <x:si>
    <x:t xml:space="preserve">Post-MVP</x:t>
  </x:si>
  <x:si>
    <x:t xml:space="preserve">Use durable AWS workflows for ingestion/re-index, not token-level agent loops.</x:t>
  </x:si>
  <x:si>
    <x:t xml:space="preserve">Step Functions for request agent</x:t>
  </x:si>
  <x:si>
    <x:t xml:space="preserve">Adds service transitions/cost and latency in background only.</x:t>
  </x:si>
  <x:si>
    <x:t xml:space="preserve">A long-running operational workflow needs managed durability.</x:t>
  </x:si>
  <x:si>
    <x:t xml:space="preserve">docs/adr/ADR-018-background-orchestration.md</x:t>
  </x:si>
  <x:si>
    <x:t xml:space="preserve">Owner TODO and Input Register</x:t>
  </x:si>
  <x:si>
    <x:t xml:space="preserve">Yellow cells are user-owned inputs. Never place a password, API key, secret value or long-lived AWS credential in this workbook.</x:t>
  </x:si>
  <x:si>
    <x:t xml:space="preserve">TODO ID</x:t>
  </x:si>
  <x:si>
    <x:t xml:space="preserve">Category</x:t>
  </x:si>
  <x:si>
    <x:t xml:space="preserve">Owner Action</x:t>
  </x:si>
  <x:si>
    <x:t xml:space="preserve">Due Week</x:t>
  </x:si>
  <x:si>
    <x:t xml:space="preserve">Blocking?</x:t>
  </x:si>
  <x:si>
    <x:t xml:space="preserve">Where Used</x:t>
  </x:si>
  <x:si>
    <x:t xml:space="preserve">Decision / Notes</x:t>
  </x:si>
  <x:si>
    <x:t xml:space="preserve">Completed Date</x:t>
  </x:si>
  <x:si>
    <x:t xml:space="preserve">USE-001</x:t>
  </x:si>
  <x:si>
    <x:t xml:space="preserve">Use case</x:t>
  </x:si>
  <x:si>
    <x:t xml:space="preserve">Define the first business question set, users, exclusions and action boundary.</x:t>
  </x:si>
  <x:si>
    <x:t xml:space="preserve">Yes</x:t>
  </x:si>
  <x:si>
    <x:t xml:space="preserve">Approved first use case, target users, exclusions, five starter questions and action boundary. Implementation commit 210381c3ddbc9aab83ccaeb11a59db8d8dad549b; approved 2026-08-18; reaffirmed 2026-08-18T16:01:18Z.</x:t>
  </x:si>
  <x:si>
    <x:t xml:space="preserve">DATA-001</x:t>
  </x:si>
  <x:si>
    <x:t xml:space="preserve">Data</x:t>
  </x:si>
  <x:si>
    <x:t xml:space="preserve">Provide a small approved, synthetic/non-sensitive sample corpus.</x:t>
  </x:si>
  <x:si>
    <x:t xml:space="preserve">Approved synthetic/non-sensitive sample-data boundary; the full golden dataset remains deferred to W3-002. Implementation commit 210381c3ddbc9aab83ccaeb11a59db8d8dad549b; approved 2026-08-18; reaffirmed 2026-08-18T16:01:18Z.</x:t>
  </x:si>
  <x:si>
    <x:t xml:space="preserve">DATA-002</x:t>
  </x:si>
  <x:si>
    <x:t xml:space="preserve">Define tenant, classification and document-access metadata.</x:t>
  </x:si>
  <x:si>
    <x:t xml:space="preserve">docs/architecture/data-classification.md</x:t>
  </x:si>
  <x:si>
    <x:t xml:space="preserve">Define which PII types are redact, quarantine or allow-with-approval.</x:t>
  </x:si>
  <x:si>
    <x:t xml:space="preserve">configs/pii-policy.yaml</x:t>
  </x:si>
  <x:si>
    <x:t xml:space="preserve">Create 25+ representative questions, expected facts and source IDs.</x:t>
  </x:si>
  <x:si>
    <x:t xml:space="preserve">configs/eval/golden.jsonl</x:t>
  </x:si>
  <x:si>
    <x:t xml:space="preserve">AWS-001</x:t>
  </x:si>
  <x:si>
    <x:t xml:space="preserve">AWS</x:t>
  </x:si>
  <x:si>
    <x:t xml:space="preserve">Enter sandbox account ID as a non-secret variable; never a credential.</x:t>
  </x:si>
  <x:si>
    <x:t xml:space="preserve">terraform.tfvars.example / GitHub variable</x:t>
  </x:si>
  <x:si>
    <x:t xml:space="preserve">AWS-002</x:t>
  </x:si>
  <x:si>
    <x:t xml:space="preserve">Choose approved AWS region and confirm Bedrock/OpenSearch availability.</x:t>
  </x:si>
  <x:si>
    <x:t xml:space="preserve">.env.example; infra/environments/sandbox/variables.tf; README.md</x:t>
  </x:si>
  <x:si>
    <x:t xml:space="preserve">Approved AWS-first boundary; region and model-service availability remain deployment-time verification. Implementation commit 210381c3ddbc9aab83ccaeb11a59db8d8dad549b; approved 2026-08-18; reaffirmed 2026-08-18T16:01:18Z.</x:t>
  </x:si>
  <x:si>
    <x:t xml:space="preserve">NET-001</x:t>
  </x:si>
  <x:si>
    <x:t xml:space="preserve">Networking</x:t>
  </x:si>
  <x:si>
    <x:t xml:space="preserve">Provide VPC/private subnet IDs, egress approach, CIDRs and DNS constraints.</x:t>
  </x:si>
  <x:si>
    <x:t xml:space="preserve">infra/environments/sandbox/variables.tf</x:t>
  </x:si>
  <x:si>
    <x:t xml:space="preserve">Provide Owner, CostCenter, Repository and ExpiresAt values.</x:t>
  </x:si>
  <x:si>
    <x:t xml:space="preserve">configs/tags.yaml</x:t>
  </x:si>
  <x:si>
    <x:t xml:space="preserve">Approved Owner=Gyan-Prakash-Rai; CostCenter=Personal-Learning; Repository=enterprise-ai-platform; ExpiresAt=2026-09-27T23:59:59Z. Implementation commit 210381c3ddbc9aab83ccaeb11a59db8d8dad549b; approved 2026-08-18; reaffirmed 2026-08-18T16:01:18Z.</x:t>
  </x:si>
  <x:si>
    <x:t xml:space="preserve">KMS-001</x:t>
  </x:si>
  <x:si>
    <x:t xml:space="preserve">Choose KMS deletion window (7–30 days) and follow-up owner.</x:t>
  </x:si>
  <x:si>
    <x:t xml:space="preserve">Provide GitHub org/repo, protected environment and OIDC role naming.</x:t>
  </x:si>
  <x:si>
    <x:t xml:space="preserve">GitHub variables / Terraform inputs</x:t>
  </x:si>
  <x:si>
    <x:t xml:space="preserve">AI platform</x:t>
  </x:si>
  <x:si>
    <x:t xml:space="preserve">Select approved Bedrock model ID, region, quota and fallback policy.</x:t>
  </x:si>
  <x:si>
    <x:t xml:space="preserve">LLM_MODEL_ID / docs/adr</x:t>
  </x:si>
  <x:si>
    <x:t xml:space="preserve">Approve sentence-transformer model, dimension and license.</x:t>
  </x:si>
  <x:si>
    <x:t xml:space="preserve">Define auth provider, claims, tenant mapping and authorization owner.</x:t>
  </x:si>
  <x:si>
    <x:t xml:space="preserve">docs/architecture/authorization.md</x:t>
  </x:si>
  <x:si>
    <x:t xml:space="preserve">Choose approved secret scanner/pre-commit policy and exception process.</x:t>
  </x:si>
  <x:si>
    <x:t xml:space="preserve">No</x:t>
  </x:si>
  <x:si>
    <x:t xml:space="preserve">.pre-commit-config.yaml; .secrets.baseline; docs/test-evidence/W1-08-precommit.txt</x:t>
  </x:si>
  <x:si>
    <x:t xml:space="preserve">Approved local pre-commit/detect-secrets policy and reviewed, time-bounded exception process; composite independent PASS recorded. Implementation commit 210381c3ddbc9aab83ccaeb11a59db8d8dad549b; approved 2026-08-18; reaffirmed 2026-08-18T16:01:18Z.</x:t>
  </x:si>
  <x:si>
    <x:t xml:space="preserve">Agent control</x:t>
  </x:si>
  <x:si>
    <x:t xml:space="preserve">Choose durable approval store, approver role and expiry/rejection policy.</x:t>
  </x:si>
  <x:si>
    <x:t xml:space="preserve">docs/architecture/agent-approval.md</x:t>
  </x:si>
  <x:si>
    <x:t xml:space="preserve">Operations</x:t>
  </x:si>
  <x:si>
    <x:t xml:space="preserve">Provide alert destination, on-call owner and telemetry retention.</x:t>
  </x:si>
  <x:si>
    <x:t xml:space="preserve">observability/ / runbooks/</x:t>
  </x:si>
  <x:si>
    <x:t xml:space="preserve">Approve initial SLIs/SLOs, error-budget review cadence and exclusions.</x:t>
  </x:si>
  <x:si>
    <x:t xml:space="preserve">Cost</x:t>
  </x:si>
  <x:si>
    <x:t xml:space="preserve">Set monthly sandbox ceiling, daily alert and maximum paid-evaluation spend.</x:t>
  </x:si>
  <x:si>
    <x:t xml:space="preserve">docs/cost-estimates/budget.md</x:t>
  </x:si>
  <x:si>
    <x:t xml:space="preserve">Choose existing/new EKS sandbox, namespace, domain/cert and identity method.</x:t>
  </x:si>
  <x:si>
    <x:t xml:space="preserve">deploy/k8s/values-sandbox.yaml</x:t>
  </x:si>
  <x:si>
    <x:t xml:space="preserve">Define logs/traces/evaluation/approval evidence retention and redaction.</x:t>
  </x:si>
  <x:si>
    <x:t xml:space="preserve">docs/architecture/retention.md</x:t>
  </x:si>
  <x:si>
    <x:t xml:space="preserve">Approve pre-production-only FIS targets, stop alarms, window and owner.</x:t>
  </x:si>
  <x:si>
    <x:t xml:space="preserve">docs/chaos/fis-plan.md</x:t>
  </x:si>
  <x:si>
    <x:t xml:space="preserve">Destructive control</x:t>
  </x:si>
  <x:si>
    <x:t xml:space="preserve">Approve typed confirmation format and who may deploy/rollback/destroy.</x:t>
  </x:si>
  <x:si>
    <x:t xml:space="preserve">docs/architecture/approval-boundaries.md</x:t>
  </x:si>
  <x:si>
    <x:t xml:space="preserve">Approved typed confirmation and owner-executed mutation boundary; no automatic apply or destroy. Implementation commit 210381c3ddbc9aab83ccaeb11a59db8d8dad549b; approved 2026-08-18; reaffirmed 2026-08-18T16:01:18Z.</x:t>
  </x:si>
  <x:si>
    <x:t xml:space="preserve">PRIV-001</x:t>
  </x:si>
  <x:si>
    <x:t xml:space="preserve">Confirm allowed regions, data residency and third-party data-processing rules.</x:t>
  </x:si>
  <x:si>
    <x:t xml:space="preserve">docs/architecture/privacy.md</x:t>
  </x:si>
  <x:si>
    <x:t xml:space="preserve">Retrieval</x:t>
  </x:si>
  <x:si>
    <x:t xml:space="preserve">Approve top_k, minimum score and maximum context budget after baseline tests.</x:t>
  </x:si>
  <x:si>
    <x:t xml:space="preserve">configs/rag.yaml</x:t>
  </x:si>
  <x:si>
    <x:t xml:space="preserve">Deploy, Rollback and Teardown Control</x:t>
  </x:si>
  <x:si>
    <x:t xml:space="preserve">Codex may write lifecycle code and advise steps, but the owner executes every deploy, rollback and teardown command after reviewing exact targets and risk.</x:t>
  </x:si>
  <x:si>
    <x:t xml:space="preserve">Three distinct operations</x:t>
  </x:si>
  <x:si>
    <x:t xml:space="preserve">Operation</x:t>
  </x:si>
  <x:si>
    <x:t xml:space="preserve">Trigger</x:t>
  </x:si>
  <x:si>
    <x:t xml:space="preserve">Required outcome</x:t>
  </x:si>
  <x:si>
    <x:t xml:space="preserve">Boundary</x:t>
  </x:si>
  <x:si>
    <x:t xml:space="preserve">Mode</x:t>
  </x:si>
  <x:si>
    <x:t xml:space="preserve">Environment</x:t>
  </x:si>
  <x:si>
    <x:t xml:space="preserve">Behavior</x:t>
  </x:si>
  <x:si>
    <x:t xml:space="preserve">Approval</x:t>
  </x:si>
  <x:si>
    <x:t xml:space="preserve">Failed app/prompt/graph/config</x:t>
  </x:si>
  <x:si>
    <x:t xml:space="preserve">Restore last-known-good immutable image/config and re-run health/feature/evaluation.</x:t>
  </x:si>
  <x:si>
    <x:t xml:space="preserve">Do not change infrastructure unless evidence requires it.</x:t>
  </x:si>
  <x:si>
    <x:t xml:space="preserve">destroy-safe</x:t>
  </x:si>
  <x:si>
    <x:t xml:space="preserve">Production-like</x:t>
  </x:si>
  <x:si>
    <x:t xml:space="preserve">Reviewed destroy plan, retention/recovery windows and residual report.</x:t>
  </x:si>
  <x:si>
    <x:t xml:space="preserve">Owner + change approval</x:t>
  </x:si>
  <x:si>
    <x:t xml:space="preserve">Infrastructure rollback</x:t>
  </x:si>
  <x:si>
    <x:t xml:space="preserve">Terraform change causes regression</x:t>
  </x:si>
  <x:si>
    <x:t xml:space="preserve">Review and apply last-known-good Git/Terraform version.</x:t>
  </x:si>
  <x:si>
    <x:t xml:space="preserve">Destroy is not ordinary rollback.</x:t>
  </x:si>
  <x:si>
    <x:t xml:space="preserve">purge-sandbox</x:t>
  </x:si>
  <x:si>
    <x:t xml:space="preserve">Disposable learning only</x:t>
  </x:si>
  <x:si>
    <x:t xml:space="preserve">Empty versions/images/logs, delete sandbox secrets, backend last, schedule KMS deletion.</x:t>
  </x:si>
  <x:si>
    <x:t xml:space="preserve">Owner typed confirmation</x:t>
  </x:si>
  <x:si>
    <x:t xml:space="preserve">Complete teardown</x:t>
  </x:si>
  <x:si>
    <x:t xml:space="preserve">Sandbox no longer needed</x:t>
  </x:si>
  <x:si>
    <x:t xml:space="preserve">Destroy in dependency order, backend last, then prove cleanliness.</x:t>
  </x:si>
  <x:si>
    <x:t xml:space="preserve">KMS PendingDeletion is the only documented residual.</x:t>
  </x:si>
  <x:si>
    <x:t xml:space="preserve">verify-clean</x:t>
  </x:si>
  <x:si>
    <x:t xml:space="preserve">All</x:t>
  </x:si>
  <x:si>
    <x:t xml:space="preserve">Tag discovery plus native API checks; fail on unexpected residual.</x:t>
  </x:si>
  <x:si>
    <x:t xml:space="preserve">Independent evidence review</x:t>
  </x:si>
  <x:si>
    <x:t xml:space="preserve">Applies To</x:t>
  </x:si>
  <x:si>
    <x:t xml:space="preserve">Verification / Required Outcome</x:t>
  </x:si>
  <x:si>
    <x:t xml:space="preserve">Failure / Recovery Rule</x:t>
  </x:si>
  <x:si>
    <x:t xml:space="preserve">Freeze changes and capture evidence</x:t>
  </x:si>
  <x:si>
    <x:t xml:space="preserve">Owner approval record, saved plan hash, image/config versions and backup/retention decision exist.</x:t>
  </x:si>
  <x:si>
    <x:t xml:space="preserve">Stop; do not mutate.</x:t>
  </x:si>
  <x:si>
    <x:t xml:space="preserve">Remove external traffic and scheduled triggers</x:t>
  </x:si>
  <x:si>
    <x:t xml:space="preserve">Destroy/Rollback</x:t>
  </x:si>
  <x:si>
    <x:t xml:space="preserve">No new requests/jobs enter the environment.</x:t>
  </x:si>
  <x:si>
    <x:t xml:space="preserve">Restore routing/triggers only from approved version.</x:t>
  </x:si>
  <x:si>
    <x:t xml:space="preserve">Roll back immutable app/prompt/graph/config if incident recovery</x:t>
  </x:si>
  <x:si>
    <x:t xml:space="preserve">Last-known-good release passes health, smoke and evaluation.</x:t>
  </x:si>
  <x:si>
    <x:t xml:space="preserve">Keep failed version blocked; open defect.</x:t>
  </x:si>
  <x:si>
    <x:t xml:space="preserve">Apply reviewed last-known-good Terraform version if platform regression</x:t>
  </x:si>
  <x:si>
    <x:t xml:space="preserve">Plan contains only intended corrective changes.</x:t>
  </x:si>
  <x:si>
    <x:t xml:space="preserve">Do not use destroy as ordinary rollback.</x:t>
  </x:si>
  <x:si>
    <x:t xml:space="preserve">Delete Kubernetes workload, ingress/load balancers and external DNS records</x:t>
  </x:si>
  <x:si>
    <x:t xml:space="preserve">No EKS workload or AWS load balancer remains for project tags.</x:t>
  </x:si>
  <x:si>
    <x:t xml:space="preserve">Remove finalizers/dependencies deliberately; never broad-delete.</x:t>
  </x:si>
  <x:si>
    <x:t xml:space="preserve">Delete OpenSearch indexes/domain and model endpoints if created</x:t>
  </x:si>
  <x:si>
    <x:t xml:space="preserve">No active vector/model compute; backups handled per policy.</x:t>
  </x:si>
  <x:si>
    <x:t xml:space="preserve">Restore only from approved snapshot/artifact.</x:t>
  </x:si>
  <x:si>
    <x:t xml:space="preserve">Delete ECR images/repository and artifact caches according to mode</x:t>
  </x:si>
  <x:si>
    <x:t xml:space="preserve">No billed image storage remains except required evidence.</x:t>
  </x:si>
  <x:si>
    <x:t xml:space="preserve">Retain signed SBOM/evidence outside disposable platform.</x:t>
  </x:si>
  <x:si>
    <x:t xml:space="preserve">Empty S3 object versions, delete markers and multipart uploads; delete buckets</x:t>
  </x:si>
  <x:si>
    <x:t xml:space="preserve">All project data buckets are empty/deleted in purge-sandbox.</x:t>
  </x:si>
  <x:si>
    <x:t xml:space="preserve">destroy-safe follows retention/legal hold.</x:t>
  </x:si>
  <x:si>
    <x:t xml:space="preserve">Delete/schedule Secrets Manager secrets per mode</x:t>
  </x:si>
  <x:si>
    <x:t xml:space="preserve">No recoverable sandbox secret unless destroy-safe retention requires it.</x:t>
  </x:si>
  <x:si>
    <x:t xml:space="preserve">Never expose secret values during verification.</x:t>
  </x:si>
  <x:si>
    <x:t xml:space="preserve">Delete logs, alarms, dashboards and EventBridge/Step Functions/Lambda resources</x:t>
  </x:si>
  <x:si>
    <x:t xml:space="preserve">No active monitoring/control-plane billing remains; evidence retained separately.</x:t>
  </x:si>
  <x:si>
    <x:t xml:space="preserve">Preserve incident/audit records per retention policy.</x:t>
  </x:si>
  <x:si>
    <x:t xml:space="preserve">Delete IAM policies/roles, security groups, endpoints and owned network resources</x:t>
  </x:si>
  <x:si>
    <x:t xml:space="preserve">No project principals or ENIs block deletion.</x:t>
  </x:si>
  <x:si>
    <x:t xml:space="preserve">Verify shared VPC resources are out of scope.</x:t>
  </x:si>
  <x:si>
    <x:t xml:space="preserve">Destroy owned EKS cluster/node groups only if created by project</x:t>
  </x:si>
  <x:si>
    <x:t xml:space="preserve">No project compute remains.</x:t>
  </x:si>
  <x:si>
    <x:t xml:space="preserve">Existing shared cluster is never targeted.</x:t>
  </x:si>
  <x:si>
    <x:t xml:space="preserve">Verify platform state is empty, then remove platform root resources</x:t>
  </x:si>
  <x:si>
    <x:t xml:space="preserve">Terraform platform destroy completes and state is preserved for audit until verified.</x:t>
  </x:si>
  <x:si>
    <x:t xml:space="preserve">Resolve residuals before backend deletion.</x:t>
  </x:si>
  <x:si>
    <x:t xml:space="preserve">Remove remote-state DynamoDB/S3 backend last</x:t>
  </x:si>
  <x:si>
    <x:t xml:space="preserve">State backend is deleted only after signed platform cleanliness report.</x:t>
  </x:si>
  <x:si>
    <x:t xml:space="preserve">If verification fails, keep backend and fix residuals.</x:t>
  </x:si>
  <x:si>
    <x:t xml:space="preserve">Schedule customer-managed KMS key deletion</x:t>
  </x:si>
  <x:si>
    <x:t xml:space="preserve">Key is unusable in PendingDeletion for approved 7–30 day window.</x:t>
  </x:si>
  <x:si>
    <x:t xml:space="preserve">This is the only allowed residual; record follow-up date.</x:t>
  </x:si>
  <x:si>
    <x:t xml:space="preserve">Run tag plus service-specific orphan scan and cost follow-up</x:t>
  </x:si>
  <x:si>
    <x:t xml:space="preserve">Zero active unmanaged resources; delayed billing checked later without claiming immediate zero cost.</x:t>
  </x:si>
  <x:si>
    <x:t xml:space="preserve">Any unexpected residual fails completion.</x:t>
  </x:si>
  <x:si>
    <x:t xml:space="preserve">Required commands (generated by the project, always owner-gated): make plan-sandbox | make deploy-sandbox | make validate-sandbox | make rollback-release | make plan-destroy-sandbox | make destroy-sandbox | make verify-clean</x:t>
  </x:si>
  <x:si>
    <x:t xml:space="preserve">Required Technology Adoption Map</x:t>
  </x:si>
  <x:si>
    <x:t xml:space="preserve">The comprehensive stack is retained, but only tools that reduce a measured risk or satisfy the MVP are activated. Alternatives and migration controls are explicit.</x:t>
  </x:si>
  <x:si>
    <x:t xml:space="preserve">Technology</x:t>
  </x:si>
  <x:si>
    <x:t xml:space="preserve">When</x:t>
  </x:si>
  <x:si>
    <x:t xml:space="preserve">Why / Role</x:t>
  </x:si>
  <x:si>
    <x:t xml:space="preserve">Open Alternative / Migration</x:t>
  </x:si>
  <x:si>
    <x:t xml:space="preserve">Cost, Residency and Privacy Note</x:t>
  </x:si>
  <x:si>
    <x:t xml:space="preserve">Core AI</x:t>
  </x:si>
  <x:si>
    <x:t xml:space="preserve">scikit-learn</x:t>
  </x:si>
  <x:si>
    <x:t xml:space="preserve">OPTIONAL</x:t>
  </x:si>
  <x:si>
    <x:t xml:space="preserve">Non-LLM baseline/explainability lab only.</x:t>
  </x:si>
  <x:si>
    <x:t xml:space="preserve">SHAP/LIME for classical model explanations.</x:t>
  </x:si>
  <x:si>
    <x:t xml:space="preserve">No hosted cost; dependency/license review.</x:t>
  </x:si>
  <x:si>
    <x:t xml:space="preserve">PyTorch</x:t>
  </x:si>
  <x:si>
    <x:t xml:space="preserve">Weeks 9–10</x:t>
  </x:si>
  <x:si>
    <x:t xml:space="preserve">Custom training only after measured gap.</x:t>
  </x:si>
  <x:si>
    <x:t xml:space="preserve">Bedrock avoids operating GPUs.</x:t>
  </x:si>
  <x:si>
    <x:t xml:space="preserve">GPU/training cost and model/data license.</x:t>
  </x:si>
  <x:si>
    <x:t xml:space="preserve">PyTorch Lightning</x:t>
  </x:si>
  <x:si>
    <x:t xml:space="preserve">Reproducible training harness.</x:t>
  </x:si>
  <x:si>
    <x:t xml:space="preserve">Native PyTorch.</x:t>
  </x:si>
  <x:si>
    <x:t xml:space="preserve">Same GPU/data considerations.</x:t>
  </x:si>
  <x:si>
    <x:t xml:space="preserve">Hugging Face Transformers</x:t>
  </x:si>
  <x:si>
    <x:t xml:space="preserve">Model/dataset ecosystem for approved training.</x:t>
  </x:si>
  <x:si>
    <x:t xml:space="preserve">Bedrock/SageMaker model catalog.</x:t>
  </x:si>
  <x:si>
    <x:t xml:space="preserve">License, model provenance and download residency.</x:t>
  </x:si>
  <x:si>
    <x:t xml:space="preserve">PEFT/LoRA</x:t>
  </x:si>
  <x:si>
    <x:t xml:space="preserve">Adapter tuning when evaluation justifies it.</x:t>
  </x:si>
  <x:si>
    <x:t xml:space="preserve">Prompt/RAG first.</x:t>
  </x:si>
  <x:si>
    <x:t xml:space="preserve">GPU cost; retain adapter/model cards.</x:t>
  </x:si>
  <x:si>
    <x:t xml:space="preserve">Orchestration</x:t>
  </x:si>
  <x:si>
    <x:t xml:space="preserve">LangChain</x:t>
  </x:si>
  <x:si>
    <x:t xml:space="preserve">Weeks 2–4</x:t>
  </x:si>
  <x:si>
    <x:t xml:space="preserve">Connectors/building blocks behind domain interfaces.</x:t>
  </x:si>
  <x:si>
    <x:t xml:space="preserve">Direct SDK adapters.</x:t>
  </x:si>
  <x:si>
    <x:t xml:space="preserve">Open-source; abstraction churn risk.</x:t>
  </x:si>
  <x:si>
    <x:t xml:space="preserve">LangGraph</x:t>
  </x:si>
  <x:si>
    <x:t xml:space="preserve">Bounded state graph, approval and terminal states.</x:t>
  </x:si>
  <x:si>
    <x:t xml:space="preserve">Custom FSM; AutoGen lab.</x:t>
  </x:si>
  <x:si>
    <x:t xml:space="preserve">Open-source; optional LangSmith privacy review.</x:t>
  </x:si>
  <x:si>
    <x:t xml:space="preserve">Agents</x:t>
  </x:si>
  <x:si>
    <x:t xml:space="preserve">AutoGen AgentChat</x:t>
  </x:si>
  <x:si>
    <x:t xml:space="preserve">Compare multi-agent patterns only.</x:t>
  </x:si>
  <x:si>
    <x:t xml:space="preserve">LangGraph production path.</x:t>
  </x:si>
  <x:si>
    <x:t xml:space="preserve">Second runtime and governance burden.</x:t>
  </x:si>
  <x:si>
    <x:t xml:space="preserve">AutoGen Studio</x:t>
  </x:si>
  <x:si>
    <x:t xml:space="preserve">Visual prototype, not production UI.</x:t>
  </x:si>
  <x:si>
    <x:t xml:space="preserve">Mermaid/graph tests.</x:t>
  </x:si>
  <x:si>
    <x:t xml:space="preserve">Review data flow and hosting.</x:t>
  </x:si>
  <x:si>
    <x:t xml:space="preserve">OpenAI Responses/Conversations patterns</x:t>
  </x:si>
  <x:si>
    <x:t xml:space="preserve">Provider lab</x:t>
  </x:si>
  <x:si>
    <x:t xml:space="preserve">Provider-neutral tool/state adapter.</x:t>
  </x:si>
  <x:si>
    <x:t xml:space="preserve">Bedrock/LangGraph.</x:t>
  </x:si>
  <x:si>
    <x:t xml:space="preserve">External API cost, DPA, residency and retention.</x:t>
  </x:si>
  <x:si>
    <x:t xml:space="preserve">Anthropic workflow patterns</x:t>
  </x:si>
  <x:si>
    <x:t xml:space="preserve">Design reference</x:t>
  </x:si>
  <x:si>
    <x:t xml:space="preserve">Reference patterns, not required runtime.</x:t>
  </x:si>
  <x:si>
    <x:t xml:space="preserve">LangGraph.</x:t>
  </x:si>
  <x:si>
    <x:t xml:space="preserve">Provider approval/residency if API used.</x:t>
  </x:si>
  <x:si>
    <x:t xml:space="preserve">LLM Ops</x:t>
  </x:si>
  <x:si>
    <x:t xml:space="preserve">LangSmith</x:t>
  </x:si>
  <x:si>
    <x:t xml:space="preserve">After privacy review</x:t>
  </x:si>
  <x:si>
    <x:t xml:space="preserve">Trace/evaluation convenience.</x:t>
  </x:si>
  <x:si>
    <x:t xml:space="preserve">OTel + Jaeger/Grafana.</x:t>
  </x:si>
  <x:si>
    <x:t xml:space="preserve">Telemetry content, license and residency.</x:t>
  </x:si>
  <x:si>
    <x:t xml:space="preserve">Deterministic validators and prompt templates</x:t>
  </x:si>
  <x:si>
    <x:t xml:space="preserve">Authorization, citations, abstention, schemas and allowlists.</x:t>
  </x:si>
  <x:si>
    <x:t xml:space="preserve">None; mandatory foundation.</x:t>
  </x:si>
  <x:si>
    <x:t xml:space="preserve">Low platform cost.</x:t>
  </x:si>
  <x:si>
    <x:t xml:space="preserve">Guardrails AI</x:t>
  </x:si>
  <x:si>
    <x:t xml:space="preserve">Declarative validator adapter.</x:t>
  </x:si>
  <x:si>
    <x:t xml:space="preserve">Custom deterministic checks; Bedrock Guardrails.</x:t>
  </x:si>
  <x:si>
    <x:t xml:space="preserve">Dependency and provider-specific cost for Bedrock option.</x:t>
  </x:si>
  <x:si>
    <x:t xml:space="preserve">Custom JSONL harness</x:t>
  </x:si>
  <x:si>
    <x:t xml:space="preserve">Portable deterministic release gate.</x:t>
  </x:si>
  <x:si>
    <x:t xml:space="preserve">None.</x:t>
  </x:si>
  <x:si>
    <x:t xml:space="preserve">Paid judge calls disabled by default.</x:t>
  </x:si>
  <x:si>
    <x:t xml:space="preserve">Ragas</x:t>
  </x:si>
  <x:si>
    <x:t xml:space="preserve">Faithfulness/relevance metrics behind adapter.</x:t>
  </x:si>
  <x:si>
    <x:t xml:space="preserve">Custom metrics.</x:t>
  </x:si>
  <x:si>
    <x:t xml:space="preserve">LLM evaluator token cost/privacy.</x:t>
  </x:si>
  <x:si>
    <x:t xml:space="preserve">DeepEval</x:t>
  </x:si>
  <x:si>
    <x:t xml:space="preserve">Additional regression suites.</x:t>
  </x:si>
  <x:si>
    <x:t xml:space="preserve">Ragas/custom.</x:t>
  </x:si>
  <x:si>
    <x:t xml:space="preserve">Judge cost and dataset privacy.</x:t>
  </x:si>
  <x:si>
    <x:t xml:space="preserve">Serving</x:t>
  </x:si>
  <x:si>
    <x:t xml:space="preserve">FastAPI + Uvicorn</x:t>
  </x:si>
  <x:si>
    <x:t xml:space="preserve">Typed orchestration API.</x:t>
  </x:si>
  <x:si>
    <x:t xml:space="preserve">Lambda/ECS for lower ops.</x:t>
  </x:si>
  <x:si>
    <x:t xml:space="preserve">Compute only; no GPU requirement.</x:t>
  </x:si>
  <x:si>
    <x:t xml:space="preserve">Ray Serve</x:t>
  </x:si>
  <x:si>
    <x:t xml:space="preserve">When measured</x:t>
  </x:si>
  <x:si>
    <x:t xml:space="preserve">Distributed Python model composition.</x:t>
  </x:si>
  <x:si>
    <x:t xml:space="preserve">FastAPI or SageMaker.</x:t>
  </x:si>
  <x:si>
    <x:t xml:space="preserve">Cluster operations/cost.</x:t>
  </x:si>
  <x:si>
    <x:t xml:space="preserve">Triton Inference Server</x:t>
  </x:si>
  <x:si>
    <x:t xml:space="preserve">High-throughput GPU inference.</x:t>
  </x:si>
  <x:si>
    <x:t xml:space="preserve">SageMaker endpoint/Ray.</x:t>
  </x:si>
  <x:si>
    <x:t xml:space="preserve">GPU and packaging complexity.</x:t>
  </x:si>
  <x:si>
    <x:t xml:space="preserve">SageMaker endpoints/autoscaling</x:t>
  </x:si>
  <x:si>
    <x:t xml:space="preserve">Approved custom model hosting.</x:t>
  </x:si>
  <x:si>
    <x:t xml:space="preserve">Ray/Triton on EKS; Bedrock.</x:t>
  </x:si>
  <x:si>
    <x:t xml:space="preserve">Idle/GPU cost and AWS coupling.</x:t>
  </x:si>
  <x:si>
    <x:t xml:space="preserve">Model monitoring</x:t>
  </x:si>
  <x:si>
    <x:t xml:space="preserve">OpenTelemetry custom metrics</x:t>
  </x:si>
  <x:si>
    <x:t xml:space="preserve">Portable model/retrieval/agent telemetry.</x:t>
  </x:si>
  <x:si>
    <x:t xml:space="preserve">Redact content; CloudWatch ingest cost.</x:t>
  </x:si>
  <x:si>
    <x:t xml:space="preserve">Arize / WhyLabs / Fiddler</x:t>
  </x:si>
  <x:si>
    <x:t xml:space="preserve">After review</x:t>
  </x:si>
  <x:si>
    <x:t xml:space="preserve">Managed model monitoring.</x:t>
  </x:si>
  <x:si>
    <x:t xml:space="preserve">OTel + Prometheus/Grafana.</x:t>
  </x:si>
  <x:si>
    <x:t xml:space="preserve">License, data residency and telemetry privacy.</x:t>
  </x:si>
  <x:si>
    <x:t xml:space="preserve">Model ops</x:t>
  </x:si>
  <x:si>
    <x:t xml:space="preserve">SageMaker Model Registry</x:t>
  </x:si>
  <x:si>
    <x:t xml:space="preserve">Custom-model phase</x:t>
  </x:si>
  <x:si>
    <x:t xml:space="preserve">AWS governance for trained models.</x:t>
  </x:si>
  <x:si>
    <x:t xml:space="preserve">MLflow.</x:t>
  </x:si>
  <x:si>
    <x:t xml:space="preserve">AWS coupling; low metadata cost vs hosting.</x:t>
  </x:si>
  <x:si>
    <x:t xml:space="preserve">MLflow</x:t>
  </x:si>
  <x:si>
    <x:t xml:space="preserve">Portable/self-hosted registry.</x:t>
  </x:si>
  <x:si>
    <x:t xml:space="preserve">SageMaker Registry.</x:t>
  </x:si>
  <x:si>
    <x:t xml:space="preserve">Operate database/artifact store.</x:t>
  </x:si>
  <x:si>
    <x:t xml:space="preserve">Feature store</x:t>
  </x:si>
  <x:si>
    <x:t xml:space="preserve">Feast / SageMaker Feature Store</x:t>
  </x:si>
  <x:si>
    <x:t xml:space="preserve">Structured ML only</x:t>
  </x:si>
  <x:si>
    <x:t xml:space="preserve">Not needed for document RAG.</x:t>
  </x:si>
  <x:si>
    <x:t xml:space="preserve">Versioned documents/vector metadata.</x:t>
  </x:si>
  <x:si>
    <x:t xml:space="preserve">Online store and managed-service cost.</x:t>
  </x:si>
  <x:si>
    <x:t xml:space="preserve">sentence-transformers</x:t>
  </x:si>
  <x:si>
    <x:t xml:space="preserve">Local CPU embeddings.</x:t>
  </x:si>
  <x:si>
    <x:t xml:space="preserve">Bedrock/OpenAI adapter later.</x:t>
  </x:si>
  <x:si>
    <x:t xml:space="preserve">Model license; local compute.</x:t>
  </x:si>
  <x:si>
    <x:t xml:space="preserve">OpenAI embeddings placeholder</x:t>
  </x:si>
  <x:si>
    <x:t xml:space="preserve">Adapter portability test.</x:t>
  </x:si>
  <x:si>
    <x:t xml:space="preserve">Local/Bedrock embeddings.</x:t>
  </x:si>
  <x:si>
    <x:t xml:space="preserve">Per-token cost, DPA, residency and retention.</x:t>
  </x:si>
  <x:si>
    <x:t xml:space="preserve">Vector DB</x:t>
  </x:si>
  <x:si>
    <x:t xml:space="preserve">Local client/server integration and filters.</x:t>
  </x:si>
  <x:si>
    <x:t xml:space="preserve">Chroma/FAISS for simpler labs.</x:t>
  </x:si>
  <x:si>
    <x:t xml:space="preserve">Low local cost; production ops if self-hosted.</x:t>
  </x:si>
  <x:si>
    <x:t xml:space="preserve">MUST plan / SHOULD deploy</x:t>
  </x:si>
  <x:si>
    <x:t xml:space="preserve">AWS vector/hybrid target with VPC/IAM/KMS.</x:t>
  </x:si>
  <x:si>
    <x:t xml:space="preserve">Qdrant/Milvus/Weaviate/Pinecone.</x:t>
  </x:si>
  <x:si>
    <x:t xml:space="preserve">Meaningful idle baseline; size sandbox carefully.</x:t>
  </x:si>
  <x:si>
    <x:t xml:space="preserve">FAISS</x:t>
  </x:si>
  <x:si>
    <x:t xml:space="preserve">Notebook lab</x:t>
  </x:si>
  <x:si>
    <x:t xml:space="preserve">In-process local vector search.</x:t>
  </x:si>
  <x:si>
    <x:t xml:space="preserve">Qdrant.</x:t>
  </x:si>
  <x:si>
    <x:t xml:space="preserve">No HA/tenancy/filter service controls.</x:t>
  </x:si>
  <x:si>
    <x:t xml:space="preserve">Chroma</x:t>
  </x:si>
  <x:si>
    <x:t xml:space="preserve">Prototype</x:t>
  </x:si>
  <x:si>
    <x:t xml:space="preserve">Fast learning path.</x:t>
  </x:si>
  <x:si>
    <x:t xml:space="preserve">Validate production security/durability.</x:t>
  </x:si>
  <x:si>
    <x:t xml:space="preserve">Milvus</x:t>
  </x:si>
  <x:si>
    <x:t xml:space="preserve">Scale phase</x:t>
  </x:si>
  <x:si>
    <x:t xml:space="preserve">Large self-managed scale.</x:t>
  </x:si>
  <x:si>
    <x:t xml:space="preserve">Qdrant/OpenSearch.</x:t>
  </x:si>
  <x:si>
    <x:t xml:space="preserve">High operational footprint; Zilliz adds SaaS residency.</x:t>
  </x:si>
  <x:si>
    <x:t xml:space="preserve">Weaviate</x:t>
  </x:si>
  <x:si>
    <x:t xml:space="preserve">Comparison phase</x:t>
  </x:si>
  <x:si>
    <x:t xml:space="preserve">Rich OSS ecosystem.</x:t>
  </x:si>
  <x:si>
    <x:t xml:space="preserve">Self-host ops or SaaS cost/residency.</x:t>
  </x:si>
  <x:si>
    <x:t xml:space="preserve">Pinecone</x:t>
  </x:si>
  <x:si>
    <x:t xml:space="preserve">SaaS comparison</x:t>
  </x:si>
  <x:si>
    <x:t xml:space="preserve">Managed convenience.</x:t>
  </x:si>
  <x:si>
    <x:t xml:space="preserve">Per-op/storage/egress, residency and vendor exit.</x:t>
  </x:si>
  <x:si>
    <x:t xml:space="preserve">Data engineering</x:t>
  </x:si>
  <x:si>
    <x:t xml:space="preserve">S3 + Glue Spark</x:t>
  </x:si>
  <x:si>
    <x:t xml:space="preserve">Weeks 7–8</x:t>
  </x:si>
  <x:si>
    <x:t xml:space="preserve">Versioned source and batch ETL.</x:t>
  </x:si>
  <x:si>
    <x:t xml:space="preserve">Local pipeline/Lambda for small corpus.</x:t>
  </x:si>
  <x:si>
    <x:t xml:space="preserve">Glue job/runtime and S3 request/storage cost.</x:t>
  </x:si>
  <x:si>
    <x:t xml:space="preserve">Apache Airflow/MWAA</x:t>
  </x:si>
  <x:si>
    <x:t xml:space="preserve">Complex data DAGs</x:t>
  </x:si>
  <x:si>
    <x:t xml:space="preserve">Cross-system DAG ownership/backfills.</x:t>
  </x:si>
  <x:si>
    <x:t xml:space="preserve">Step Functions.</x:t>
  </x:si>
  <x:si>
    <x:t xml:space="preserve">MWAA baseline cost/ops.</x:t>
  </x:si>
  <x:si>
    <x:t xml:space="preserve">Apache Flink</x:t>
  </x:si>
  <x:si>
    <x:t xml:space="preserve">Streaming phase</x:t>
  </x:si>
  <x:si>
    <x:t xml:space="preserve">Stateful event-time processing.</x:t>
  </x:si>
  <x:si>
    <x:t xml:space="preserve">Kinesis consumers/Lambda.</x:t>
  </x:si>
  <x:si>
    <x:t xml:space="preserve">Always-on streaming cost/ops.</x:t>
  </x:si>
  <x:si>
    <x:t xml:space="preserve">Eventing</x:t>
  </x:si>
  <x:si>
    <x:t xml:space="preserve">EventBridge + Step Functions</x:t>
  </x:si>
  <x:si>
    <x:t xml:space="preserve">Background ingestion/re-index orchestration.</x:t>
  </x:si>
  <x:si>
    <x:t xml:space="preserve">Airflow for data DAGs.</x:t>
  </x:si>
  <x:si>
    <x:t xml:space="preserve">Per-event/state-transition cost.</x:t>
  </x:si>
  <x:si>
    <x:t xml:space="preserve">Kafka/MSK</x:t>
  </x:si>
  <x:si>
    <x:t xml:space="preserve">Kafka compatibility/ecosystem.</x:t>
  </x:si>
  <x:si>
    <x:t xml:space="preserve">Kinesis/EventBridge.</x:t>
  </x:si>
  <x:si>
    <x:t xml:space="preserve">Broker/managed baseline and data transfer.</x:t>
  </x:si>
  <x:si>
    <x:t xml:space="preserve">Kinesis</x:t>
  </x:si>
  <x:si>
    <x:t xml:space="preserve">AWS-native high-throughput stream.</x:t>
  </x:si>
  <x:si>
    <x:t xml:space="preserve">MSK/Flink/EventBridge.</x:t>
  </x:si>
  <x:si>
    <x:t xml:space="preserve">Shard/on-demand and retention cost.</x:t>
  </x:si>
  <x:si>
    <x:t xml:space="preserve">Data quality</x:t>
  </x:si>
  <x:si>
    <x:t xml:space="preserve">Great Expectations</x:t>
  </x:si>
  <x:si>
    <x:t xml:space="preserve">Code-first data quality.</x:t>
  </x:si>
  <x:si>
    <x:t xml:space="preserve">Soda.</x:t>
  </x:si>
  <x:si>
    <x:t xml:space="preserve">Open-source execution cost.</x:t>
  </x:si>
  <x:si>
    <x:t xml:space="preserve">Soda / Monte Carlo</x:t>
  </x:si>
  <x:si>
    <x:t xml:space="preserve">Enterprise data ops</x:t>
  </x:si>
  <x:si>
    <x:t xml:space="preserve">Managed observability/convenience.</x:t>
  </x:si>
  <x:si>
    <x:t xml:space="preserve">Great Expectations.</x:t>
  </x:si>
  <x:si>
    <x:t xml:space="preserve">License, metadata/data residency.</x:t>
  </x:si>
  <x:si>
    <x:t xml:space="preserve">Microsoft Presidio</x:t>
  </x:si>
  <x:si>
    <x:t xml:space="preserve">Local PII detection/redaction hook.</x:t>
  </x:si>
  <x:si>
    <x:t xml:space="preserve">Custom detectors.</x:t>
  </x:si>
  <x:si>
    <x:t xml:space="preserve">Model accuracy and language coverage.</x:t>
  </x:si>
  <x:si>
    <x:t xml:space="preserve">AWS Macie</x:t>
  </x:si>
  <x:si>
    <x:t xml:space="preserve">Sensitive-data discovery in S3.</x:t>
  </x:si>
  <x:si>
    <x:t xml:space="preserve">Presidio + classification process.</x:t>
  </x:si>
  <x:si>
    <x:t xml:space="preserve">Per-GB discovery and regional service.</x:t>
  </x:si>
  <x:si>
    <x:t xml:space="preserve">AWS compute</x:t>
  </x:si>
  <x:si>
    <x:t xml:space="preserve">SHOULD target</x:t>
  </x:si>
  <x:si>
    <x:t xml:space="preserve">Kubernetes deployment and registry.</x:t>
  </x:si>
  <x:si>
    <x:t xml:space="preserve">ECS/Fargate for lower ops.</x:t>
  </x:si>
  <x:si>
    <x:t xml:space="preserve">Cluster/node/NAT/LB baseline cost.</x:t>
  </x:si>
  <x:si>
    <x:t xml:space="preserve">Lambda / Fargate / EC2</x:t>
  </x:si>
  <x:si>
    <x:t xml:space="preserve">SHOULD/OPTIONAL</x:t>
  </x:si>
  <x:si>
    <x:t xml:space="preserve">By use case</x:t>
  </x:si>
  <x:si>
    <x:t xml:space="preserve">Events, simpler containers or ops runner.</x:t>
  </x:si>
  <x:si>
    <x:t xml:space="preserve">EKS.</x:t>
  </x:si>
  <x:si>
    <x:t xml:space="preserve">Duration/idle/operations trade-offs.</x:t>
  </x:si>
  <x:si>
    <x:t xml:space="preserve">AWS managed AI</x:t>
  </x:si>
  <x:si>
    <x:t xml:space="preserve">Bedrock</x:t>
  </x:si>
  <x:si>
    <x:t xml:space="preserve">Primary LLM access.</x:t>
  </x:si>
  <x:si>
    <x:t xml:space="preserve">SageMaker/external/local adapter.</x:t>
  </x:si>
  <x:si>
    <x:t xml:space="preserve">Token cost, quota and regional availability.</x:t>
  </x:si>
  <x:si>
    <x:t xml:space="preserve">AWS security</x:t>
  </x:si>
  <x:si>
    <x:t xml:space="preserve">IAM, KMS, Secrets Manager</x:t>
  </x:si>
  <x:si>
    <x:t xml:space="preserve">Identity, encryption and secret separation.</x:t>
  </x:si>
  <x:si>
    <x:t xml:space="preserve">No substitute.</x:t>
  </x:si>
  <x:si>
    <x:t xml:space="preserve">KMS/API/secret monthly and call cost.</x:t>
  </x:si>
  <x:si>
    <x:t xml:space="preserve">AWS audit</x:t>
  </x:si>
  <x:si>
    <x:t xml:space="preserve">CloudTrail + CloudWatch</x:t>
  </x:si>
  <x:si>
    <x:t xml:space="preserve">Weeks 5–6</x:t>
  </x:si>
  <x:si>
    <x:t xml:space="preserve">Audit, logs, metrics and alarms.</x:t>
  </x:si>
  <x:si>
    <x:t xml:space="preserve">OTel + OSS destinations.</x:t>
  </x:si>
  <x:si>
    <x:t xml:space="preserve">Log ingestion, retention, alarms and API events.</x:t>
  </x:si>
  <x:si>
    <x:t xml:space="preserve">VPC, private subnets, NACLs, security groups</x:t>
  </x:si>
  <x:si>
    <x:t xml:space="preserve">MUST AWS</x:t>
  </x:si>
  <x:si>
    <x:t xml:space="preserve">Private data plane and controlled flows.</x:t>
  </x:si>
  <x:si>
    <x:t xml:space="preserve">Existing approved VPC.</x:t>
  </x:si>
  <x:si>
    <x:t xml:space="preserve">NAT/endpoints/flow logs can dominate sandbox cost.</x:t>
  </x:si>
  <x:si>
    <x:t xml:space="preserve">Terraform modules + remote state</x:t>
  </x:si>
  <x:si>
    <x:t xml:space="preserve">Weeks 1 and 5</x:t>
  </x:si>
  <x:si>
    <x:t xml:space="preserve">Reviewable/repeatable infrastructure.</x:t>
  </x:si>
  <x:si>
    <x:t xml:space="preserve">CloudFormation/CDK not selected.</x:t>
  </x:si>
  <x:si>
    <x:t xml:space="preserve">State S3/DynamoDB/KMS tiny but nonzero.</x:t>
  </x:si>
  <x:si>
    <x:t xml:space="preserve">Config management</x:t>
  </x:si>
  <x:si>
    <x:t xml:space="preserve">Ansible</x:t>
  </x:si>
  <x:si>
    <x:t xml:space="preserve">EC2/runner bootstrap only.</x:t>
  </x:si>
  <x:si>
    <x:t xml:space="preserve">Immutable images/user data/SSM.</x:t>
  </x:si>
  <x:si>
    <x:t xml:space="preserve">No platform fee; EC2 runtime cost.</x:t>
  </x:si>
  <x:si>
    <x:t xml:space="preserve">GitHub Actions</x:t>
  </x:si>
  <x:si>
    <x:t xml:space="preserve">PR checks, OIDC and controlled promotion.</x:t>
  </x:si>
  <x:si>
    <x:t xml:space="preserve">GitLab CI/Jenkins alternatives.</x:t>
  </x:si>
  <x:si>
    <x:t xml:space="preserve">Runner minutes/storage; self-hosted runner cost.</x:t>
  </x:si>
  <x:si>
    <x:t xml:space="preserve">IaC security</x:t>
  </x:si>
  <x:si>
    <x:t xml:space="preserve">Checkov, tflint, terraform fmt, OPA/Gatekeeper</x:t>
  </x:si>
  <x:si>
    <x:t xml:space="preserve">Shift-left and admission policy.</x:t>
  </x:si>
  <x:si>
    <x:t xml:space="preserve">Sentinel for TFE/HCP.</x:t>
  </x:si>
  <x:si>
    <x:t xml:space="preserve">OSS tools; CI time.</x:t>
  </x:si>
  <x:si>
    <x:t xml:space="preserve">Trivy, Syft, Grype</x:t>
  </x:si>
  <x:si>
    <x:t xml:space="preserve">Vulnerability scans and SBOM.</x:t>
  </x:si>
  <x:si>
    <x:t xml:space="preserve">Snyk/Wiz/Sysdig managed options.</x:t>
  </x:si>
  <x:si>
    <x:t xml:space="preserve">OSS vs license and telemetry considerations.</x:t>
  </x:si>
  <x:si>
    <x:t xml:space="preserve">Secrets scanning</x:t>
  </x:si>
  <x:si>
    <x:t xml:space="preserve">pre-commit + CI detector</x:t>
  </x:si>
  <x:si>
    <x:t xml:space="preserve">Prevent plaintext credentials.</x:t>
  </x:si>
  <x:si>
    <x:t xml:space="preserve">GitHub secret scanning if available.</x:t>
  </x:si>
  <x:si>
    <x:t xml:space="preserve">Repository plan/licensing may vary.</x:t>
  </x:si>
  <x:si>
    <x:t xml:space="preserve">Prometheus, Grafana, Jaeger</x:t>
  </x:si>
  <x:si>
    <x:t xml:space="preserve">Open local metrics/dashboard/tracing.</x:t>
  </x:si>
  <x:si>
    <x:t xml:space="preserve">CloudWatch/X-Ray.</x:t>
  </x:si>
  <x:si>
    <x:t xml:space="preserve">Self-host compute/storage.</x:t>
  </x:si>
  <x:si>
    <x:t xml:space="preserve">AWS X-Ray + CloudWatch</x:t>
  </x:si>
  <x:si>
    <x:t xml:space="preserve">AWS-native tracing/metrics/logs/alarms.</x:t>
  </x:si>
  <x:si>
    <x:t xml:space="preserve">OTel OSS backend.</x:t>
  </x:si>
  <x:si>
    <x:t xml:space="preserve">Ingest/retention/query costs.</x:t>
  </x:si>
  <x:si>
    <x:t xml:space="preserve">Datadog / New Relic</x:t>
  </x:si>
  <x:si>
    <x:t xml:space="preserve">Managed operations platform.</x:t>
  </x:si>
  <x:si>
    <x:t xml:space="preserve">OTel + CloudWatch/Prometheus/Grafana.</x:t>
  </x:si>
  <x:si>
    <x:t xml:space="preserve">License/ingest and data residency.</x:t>
  </x:si>
  <x:si>
    <x:t xml:space="preserve">SLIs/SLOs, error budgets, runbooks, FIS</x:t>
  </x:si>
  <x:si>
    <x:t xml:space="preserve">MUST controls</x:t>
  </x:si>
  <x:si>
    <x:t xml:space="preserve">Operational readiness and failure learning.</x:t>
  </x:si>
  <x:si>
    <x:t xml:space="preserve">Local fault injection before FIS.</x:t>
  </x:si>
  <x:si>
    <x:t xml:space="preserve">FIS actions and affected resources may cost.</x:t>
  </x:si>
  <x:si>
    <x:t xml:space="preserve">Autoscaling</x:t>
  </x:si>
  <x:si>
    <x:t xml:space="preserve">EKS HPA + SageMaker autoscaling</x:t>
  </x:si>
  <x:si>
    <x:t xml:space="preserve">Week 6/custom models</x:t>
  </x:si>
  <x:si>
    <x:t xml:space="preserve">Scale measured workloads.</x:t>
  </x:si>
  <x:si>
    <x:t xml:space="preserve">Fixed sandbox replicas/Bedrock managed service.</x:t>
  </x:si>
  <x:si>
    <x:t xml:space="preserve">Scaling can increase spend; cap maxima.</x:t>
  </x:si>
  <x:si>
    <x:t xml:space="preserve">Documentation</x:t>
  </x:si>
  <x:si>
    <x:t xml:space="preserve">Mermaid, PlantUML, C4</x:t>
  </x:si>
  <x:si>
    <x:t xml:space="preserve">MUST/SHOULD</x:t>
  </x:si>
  <x:si>
    <x:t xml:space="preserve">Throughout</x:t>
  </x:si>
  <x:si>
    <x:t xml:space="preserve">Architecture and interview communication.</x:t>
  </x:si>
  <x:si>
    <x:t xml:space="preserve">Markdown diagrams.</x:t>
  </x:si>
  <x:si>
    <x:t xml:space="preserve">No platform cost for OSS.</x:t>
  </x:si>
  <x:si>
    <x:t xml:space="preserve">Snyk / HashiCorp Sentinel</x:t>
  </x:si>
  <x:si>
    <x:t xml:space="preserve">Enterprise integration</x:t>
  </x:si>
  <x:si>
    <x:t xml:space="preserve">Managed SCA or TFE policy.</x:t>
  </x:si>
  <x:si>
    <x:t xml:space="preserve">Trivy/Grype and OPA.</x:t>
  </x:si>
  <x:si>
    <x:t xml:space="preserve">License and vendor coupling.</x:t>
  </x:si>
  <x:si>
    <x:t xml:space="preserve">Environment Variable and Secret Boundary</x:t>
  </x:si>
  <x:si>
    <x:t xml:space="preserve">The example column contains placeholders only. Secret values belong in Secrets Manager and are injected through workload identity at runtime.</x:t>
  </x:si>
  <x:si>
    <x:t xml:space="preserve">Variable</x:t>
  </x:si>
  <x:si>
    <x:t xml:space="preserve">Secret?</x:t>
  </x:si>
  <x:si>
    <x:t xml:space="preserve">Example / Placeholder</x:t>
  </x:si>
  <x:si>
    <x:t xml:space="preserve">Needed By</x:t>
  </x:si>
  <x:si>
    <x:t xml:space="preserve">Validation / Rule</x:t>
  </x:si>
  <x:si>
    <x:t xml:space="preserve">Consumer</x:t>
  </x:si>
  <x:si>
    <x:t xml:space="preserve">Owner Notes</x:t>
  </x:si>
  <x:si>
    <x:t xml:space="preserve">APP_ENV</x:t>
  </x:si>
  <x:si>
    <x:t xml:space="preserve">Runtime</x:t>
  </x:si>
  <x:si>
    <x:t xml:space="preserve">local</x:t>
  </x:si>
  <x:si>
    <x:t xml:space="preserve">local|sandbox|production</x:t>
  </x:si>
  <x:si>
    <x:t xml:space="preserve">Application</x:t>
  </x:si>
  <x:si>
    <x:t xml:space="preserve">LOG_LEVEL</x:t>
  </x:si>
  <x:si>
    <x:t xml:space="preserve">INFO</x:t>
  </x:si>
  <x:si>
    <x:t xml:space="preserve">Approved enum; no DEBUG in production by default</x:t>
  </x:si>
  <x:si>
    <x:t xml:space="preserve">AWS_REGION</x:t>
  </x:si>
  <x:si>
    <x:t xml:space="preserve">Runtime/IaC</x:t>
  </x:si>
  <x:si>
    <x:t xml:space="preserve">TODO_AWS_REGION</x:t>
  </x:si>
  <x:si>
    <x:t xml:space="preserve">Approved Bedrock/OpenSearch region</x:t>
  </x:si>
  <x:si>
    <x:t xml:space="preserve">AWS adapters/Terraform</x:t>
  </x:si>
  <x:si>
    <x:t xml:space="preserve">AWS_PROFILE</x:t>
  </x:si>
  <x:si>
    <x:t xml:space="preserve">Local only</x:t>
  </x:si>
  <x:si>
    <x:t xml:space="preserve">TODO_LOCAL_PROFILE_ONLY</x:t>
  </x:si>
  <x:si>
    <x:t xml:space="preserve">Must not be used in CI/EKS</x:t>
  </x:si>
  <x:si>
    <x:t xml:space="preserve">Local AWS SDK</x:t>
  </x:si>
  <x:si>
    <x:t xml:space="preserve">LLM_PROVIDER</x:t>
  </x:si>
  <x:si>
    <x:t xml:space="preserve">fake</x:t>
  </x:si>
  <x:si>
    <x:t xml:space="preserve">fake|bedrock|approved adapter</x:t>
  </x:si>
  <x:si>
    <x:t xml:space="preserve">RAG</x:t>
  </x:si>
  <x:si>
    <x:t xml:space="preserve">LLM_MODEL_ID</x:t>
  </x:si>
  <x:si>
    <x:t xml:space="preserve">TODO_APPROVED_BEDROCK_MODEL_ID</x:t>
  </x:si>
  <x:si>
    <x:t xml:space="preserve">Configuration only; approved model</x:t>
  </x:si>
  <x:si>
    <x:t xml:space="preserve">Bedrock adapter</x:t>
  </x:si>
  <x:si>
    <x:t xml:space="preserve">EMBEDDING_PROVIDER</x:t>
  </x:si>
  <x:si>
    <x:t xml:space="preserve">sentence_transformers</x:t>
  </x:si>
  <x:si>
    <x:t xml:space="preserve">Approved adapter</x:t>
  </x:si>
  <x:si>
    <x:t xml:space="preserve">sentence-transformers/all-MiniLM-L6-v2</x:t>
  </x:si>
  <x:si>
    <x:t xml:space="preserve">License/dimension approved</x:t>
  </x:si>
  <x:si>
    <x:t xml:space="preserve">Embedder</x:t>
  </x:si>
  <x:si>
    <x:t xml:space="preserve">VECTOR_BACKEND</x:t>
  </x:si>
  <x:si>
    <x:t xml:space="preserve">qdrant</x:t>
  </x:si>
  <x:si>
    <x:t xml:space="preserve">qdrant|opensearch|fake</x:t>
  </x:si>
  <x:si>
    <x:t xml:space="preserve">Retriever</x:t>
  </x:si>
  <x:si>
    <x:t xml:space="preserve">QDRANT_URL</x:t>
  </x:si>
  <x:si>
    <x:t xml:space="preserve">Local/runtime</x:t>
  </x:si>
  <x:si>
    <x:t xml:space="preserve">http://localhost:6333</x:t>
  </x:si>
  <x:si>
    <x:t xml:space="preserve">HTTPS/service DNS outside local</x:t>
  </x:si>
  <x:si>
    <x:t xml:space="preserve">Qdrant adapter</x:t>
  </x:si>
  <x:si>
    <x:t xml:space="preserve">QDRANT_API_KEY</x:t>
  </x:si>
  <x:si>
    <x:t xml:space="preserve">Secret</x:t>
  </x:si>
  <x:si>
    <x:t xml:space="preserve">Secrets Manager/runtime injection only</x:t>
  </x:si>
  <x:si>
    <x:t xml:space="preserve">OPENSEARCH_ENDPOINT</x:t>
  </x:si>
  <x:si>
    <x:t xml:space="preserve">Private endpoint; no credential in value</x:t>
  </x:si>
  <x:si>
    <x:t xml:space="preserve">OpenSearch adapter</x:t>
  </x:si>
  <x:si>
    <x:t xml:space="preserve">OPENSEARCH_INDEX</x:t>
  </x:si>
  <x:si>
    <x:t xml:space="preserve">enterprise-ai-chunks-v1</x:t>
  </x:si>
  <x:si>
    <x:t xml:space="preserve">Versioned naming convention</x:t>
  </x:si>
  <x:si>
    <x:t xml:space="preserve">S3_DOCUMENT_BUCKET</x:t>
  </x:si>
  <x:si>
    <x:t xml:space="preserve">TODO_BUCKET_NAME</x:t>
  </x:si>
  <x:si>
    <x:t xml:space="preserve">Private/versioned bucket</x:t>
  </x:si>
  <x:si>
    <x:t xml:space="preserve">SECRETS_PREFIX</x:t>
  </x:si>
  <x:si>
    <x:t xml:space="preserve">/TODO_ORG/enterprise-ai/sandbox</x:t>
  </x:si>
  <x:si>
    <x:t xml:space="preserve">Metadata path only; no secret value</x:t>
  </x:si>
  <x:si>
    <x:t xml:space="preserve">RAG_TOP_K</x:t>
  </x:si>
  <x:si>
    <x:t xml:space="preserve">5</x:t>
  </x:si>
  <x:si>
    <x:t xml:space="preserve">1–20; evaluation-approved</x:t>
  </x:si>
  <x:si>
    <x:t xml:space="preserve">RAG_MIN_SCORE</x:t>
  </x:si>
  <x:si>
    <x:t xml:space="preserve">0.45</x:t>
  </x:si>
  <x:si>
    <x:t xml:space="preserve">0–1; evaluation-approved</x:t>
  </x:si>
  <x:si>
    <x:t xml:space="preserve">RAG_MAX_CONTEXT_CHARS</x:t>
  </x:si>
  <x:si>
    <x:t xml:space="preserve">12000</x:t>
  </x:si>
  <x:si>
    <x:t xml:space="preserve">&gt;0 and token-budget aligned</x:t>
  </x:si>
  <x:si>
    <x:t xml:space="preserve">AGENT_MAX_STEPS</x:t>
  </x:si>
  <x:si>
    <x:t xml:space="preserve">6</x:t>
  </x:si>
  <x:si>
    <x:t xml:space="preserve">1–10</x:t>
  </x:si>
  <x:si>
    <x:t xml:space="preserve">AGENT_TIMEOUT_SECONDS</x:t>
  </x:si>
  <x:si>
    <x:t xml:space="preserve">30</x:t>
  </x:si>
  <x:si>
    <x:t xml:space="preserve">1–60</x:t>
  </x:si>
  <x:si>
    <x:t xml:space="preserve">LangGraph/API</x:t>
  </x:si>
  <x:si>
    <x:t xml:space="preserve">AGENT_MAX_TOOL_CALLS</x:t>
  </x:si>
  <x:si>
    <x:t xml:space="preserve">3</x:t>
  </x:si>
  <x:si>
    <x:t xml:space="preserve">0–5</x:t>
  </x:si>
  <x:si>
    <x:t xml:space="preserve">REQUIRE_TOOL_APPROVAL</x:t>
  </x:si>
  <x:si>
    <x:t xml:space="preserve">true</x:t>
  </x:si>
  <x:si>
    <x:t xml:space="preserve">Must remain true for write tools</x:t>
  </x:si>
  <x:si>
    <x:t xml:space="preserve">OTEL_SERVICE_NAME</x:t>
  </x:si>
  <x:si>
    <x:t xml:space="preserve">enterprise-ai-api</x:t>
  </x:si>
  <x:si>
    <x:t xml:space="preserve">Low-cardinality service name</x:t>
  </x:si>
  <x:si>
    <x:t xml:space="preserve">OTEL_EXPORTER_OTLP_ENDPOINT</x:t>
  </x:si>
  <x:si>
    <x:t xml:space="preserve">http://localhost:4317</x:t>
  </x:si>
  <x:si>
    <x:t xml:space="preserve">TLS/private endpoint outside local</x:t>
  </x:si>
  <x:si>
    <x:t xml:space="preserve">LANGSMITH_TRACING</x:t>
  </x:si>
  <x:si>
    <x:t xml:space="preserve">false</x:t>
  </x:si>
  <x:si>
    <x:t xml:space="preserve">Enable only after privacy review</x:t>
  </x:si>
  <x:si>
    <x:t xml:space="preserve">Optional telemetry</x:t>
  </x:si>
  <x:si>
    <x:t xml:space="preserve">LANGSMITH_API_KEY</x:t>
  </x:si>
  <x:si>
    <x:t xml:space="preserve">Secrets Manager only</x:t>
  </x:si>
  <x:si>
    <x:t xml:space="preserve">OPENAI_API_KEY</x:t>
  </x:si>
  <x:si>
    <x:t xml:space="preserve">Secrets Manager only; optional</x:t>
  </x:si>
  <x:si>
    <x:t xml:space="preserve">Optional adapter</x:t>
  </x:si>
  <x:si>
    <x:t xml:space="preserve">OPENAI_MODEL_ID</x:t>
  </x:si>
  <x:si>
    <x:t xml:space="preserve">TODO_ONLY_IF_APPROVED</x:t>
  </x:si>
  <x:si>
    <x:t xml:space="preserve">Approved model only</x:t>
  </x:si>
  <x:si>
    <x:t xml:space="preserve">AWS_ACCOUNT_ID</x:t>
  </x:si>
  <x:si>
    <x:t xml:space="preserve">IaC/CI</x:t>
  </x:si>
  <x:si>
    <x:t xml:space="preserve">TODO_SANDBOX_ACCOUNT_ID</x:t>
  </x:si>
  <x:si>
    <x:t xml:space="preserve">12-digit sandbox account</x:t>
  </x:si>
  <x:si>
    <x:t xml:space="preserve">Terraform/GitHub</x:t>
  </x:si>
  <x:si>
    <x:t xml:space="preserve">GITHUB_REPOSITORY</x:t>
  </x:si>
  <x:si>
    <x:t xml:space="preserve">TODO_ORG_REPO</x:t>
  </x:si>
  <x:si>
    <x:t xml:space="preserve">Exact owner/repository</x:t>
  </x:si>
  <x:si>
    <x:t xml:space="preserve">OIDC trust</x:t>
  </x:si>
  <x:si>
    <x:t xml:space="preserve">PROJECT_OWNER</x:t>
  </x:si>
  <x:si>
    <x:t xml:space="preserve">Tags</x:t>
  </x:si>
  <x:si>
    <x:t xml:space="preserve">TODO_USER_OR_TEAM</x:t>
  </x:si>
  <x:si>
    <x:t xml:space="preserve">Non-empty</x:t>
  </x:si>
  <x:si>
    <x:t xml:space="preserve">All AWS resources</x:t>
  </x:si>
  <x:si>
    <x:t xml:space="preserve">COST_CENTER</x:t>
  </x:si>
  <x:si>
    <x:t xml:space="preserve">TODO_COST_CENTER</x:t>
  </x:si>
  <x:si>
    <x:t xml:space="preserve">Organization-approved value</x:t>
  </x:si>
  <x:si>
    <x:t xml:space="preserve">EXPIRES_AT</x:t>
  </x:si>
  <x:si>
    <x:t xml:space="preserve">TODO_ISO8601_TIMESTAMP</x:t>
  </x:si>
  <x:si>
    <x:t xml:space="preserve">Future sandbox expiry</x:t>
  </x:si>
  <x:si>
    <x:t xml:space="preserve">Source and Traceability Register — v1.3.4</x:t>
  </x:si>
  <x:si>
    <x:t xml:space="preserve">Use this sheet to resolve any difference between the documents, workbook and generated implementation.</x:t>
  </x:si>
  <x:si>
    <x:t xml:space="preserve">Source</x:t>
  </x:si>
  <x:si>
    <x:t xml:space="preserve">Version / Type</x:t>
  </x:si>
  <x:si>
    <x:t xml:space="preserve">Content Used</x:t>
  </x:si>
  <x:si>
    <x:t xml:space="preserve">Authority</x:t>
  </x:si>
  <x:si>
    <x:t xml:space="preserve">Conflict Rule</x:t>
  </x:si>
  <x:si>
    <x:t xml:space="preserve">Review Status</x:t>
  </x:si>
  <x:si>
    <x:t xml:space="preserve">Enterprise_AI_Architecture_Source_of_Truth_v1.1(1).docx</x:t>
  </x:si>
  <x:si>
    <x:t xml:space="preserve">Version 1.1</x:t>
  </x:si>
  <x:si>
    <x:t xml:space="preserve">Implementation authority, controlled feature cycle, revised six-week schedule, deploy/rollback/teardown, cleanup verification and Codex contract.</x:t>
  </x:si>
  <x:si>
    <x:t xml:space="preserve">Highest</x:t>
  </x:si>
  <x:si>
    <x:t xml:space="preserve">Overrides conflicting earlier weekly sequencing.</x:t>
  </x:si>
  <x:si>
    <x:t xml:space="preserve">Current</x:t>
  </x:si>
  <x:si>
    <x:t xml:space="preserve">Enterprise_AI_Architecture_Coaching_Blueprint(1).docx</x:t>
  </x:si>
  <x:si>
    <x:t xml:space="preserve">Coaching Blueprint</x:t>
  </x:si>
  <x:si>
    <x:t xml:space="preserve">Technical stack, component rationale, original Codex prompts, acceptance criteria, SLOs, chaos and learning resources.</x:t>
  </x:si>
  <x:si>
    <x:t xml:space="preserve">Supporting</x:t>
  </x:si>
  <x:si>
    <x:t xml:space="preserve">Prompt/technology content retained and re-sequenced under v1.1.</x:t>
  </x:si>
  <x:si>
    <x:t xml:space="preserve">This workbook</x:t>
  </x:si>
  <x:si>
    <x:t xml:space="preserve">Execution Tracker v1.3.4</x:t>
  </x:si>
  <x:si>
    <x:t xml:space="preserve">Preserves the six-week architecture and historical status; adds complete producer-consumer impact control, owner-only execution, Column M document manifests and complete Column N document closure.</x:t>
  </x:si>
  <x:si>
    <x:t xml:space="preserve">Execution</x:t>
  </x:si>
  <x:si>
    <x:t xml:space="preserve">Must remain consistent with Source of Truth v1.1 and owner-approved decisions; architecture changes still require reviewed ADR control.</x:t>
  </x:si>
  <x:si>
    <x:t xml:space="preserve">Current — complete-impact and documentation-closure amendment</x:t>
  </x:si>
  <x:si>
    <x:t xml:space="preserve">Change rule: Codex writes approved code only. The owner executes tests/deployments/remediation, approves documentation separately, gives final approval after testing and completes the weekly learning teach-back.</x:t>
  </x:si>
  <x:si>
    <x:t xml:space="preserve">Enterprise AI Owner Learning Journey — v1.3.4</x:t>
  </x:si>
  <x:si>
    <x:t xml:space="preserve">The owner owns decisions and execution. Codex works within FOUR APPROVAL GATES PLUS OWNER TESTING AND WEEKLY LEARNING, explains every gate and preserves truthful evidence and complete documentation closure.</x:t>
  </x:si>
  <x:si>
    <x:t xml:space="preserve">1</x:t>
  </x:si>
  <x:si>
    <x:t xml:space="preserve">Gate 1 — Main Prompt</x:t>
  </x:si>
  <x:si>
    <x:t xml:space="preserve">Read-only complete-impact plan</x:t>
  </x:si>
  <x:si>
    <x:t xml:space="preserve">Business purpose, baseline, producers/consumers, connections, exact boundary, gates, rollback/teardown and consolidated decisions</x:t>
  </x:si>
  <x:si>
    <x:t xml:space="preserve">No edits or execution</x:t>
  </x:si>
  <x:si>
    <x:t xml:space="preserve">Owner reviews and decides</x:t>
  </x:si>
  <x:si>
    <x:t xml:space="preserve">No runtime action</x:t>
  </x:si>
  <x:si>
    <x:t xml:space="preserve">READY FOR PRE-EDIT REVIEW</x:t>
  </x:si>
  <x:si>
    <x:t xml:space="preserve">2</x:t>
  </x:si>
  <x:si>
    <x:t xml:space="preserve">Gate 2 — Column L</x:t>
  </x:si>
  <x:si>
    <x:t xml:space="preserve">Bounded code or content edit</x:t>
  </x:si>
  <x:si>
    <x:t xml:space="preserve">Exact approved paths/contracts; baseline and patch-context revalidation; complete consumer synchronization</x:t>
  </x:si>
  <x:si>
    <x:t xml:space="preserve">Column L</x:t>
  </x:si>
  <x:si>
    <x:t xml:space="preserve">Codex edits only</x:t>
  </x:si>
  <x:si>
    <x:t xml:space="preserve">No commands run</x:t>
  </x:si>
  <x:si>
    <x:t xml:space="preserve">CODE/CONTENT READY FOR OWNER REVIEW</x:t>
  </x:si>
  <x:si>
    <x:t xml:space="preserve">Owner Testing</x:t>
  </x:si>
  <x:si>
    <x:t xml:space="preserve">One command at a time; cache-safe configured gates; complete failure impact analysis before remediation approval</x:t>
  </x:si>
  <x:si>
    <x:t xml:space="preserve">TEST-001</x:t>
  </x:si>
  <x:si>
    <x:t xml:space="preserve">Owner executes</x:t>
  </x:si>
  <x:si>
    <x:t xml:space="preserve">Codex diagnoses only</x:t>
  </x:si>
  <x:si>
    <x:t xml:space="preserve">PASS / FAIL / NOT RUN / INDETERMINATE</x:t>
  </x:si>
  <x:si>
    <x:t xml:space="preserve">4</x:t>
  </x:si>
  <x:si>
    <x:t xml:space="preserve">Gate 3 — Column M</x:t>
  </x:si>
  <x:si>
    <x:t xml:space="preserve">Bounded documentation writing</x:t>
  </x:si>
  <x:si>
    <x:t xml:space="preserve">Exact CREATE/UPDATE paths, truthful owner results and complete Column M Approved Document Manifest</x:t>
  </x:si>
  <x:si>
    <x:t xml:space="preserve">Column M</x:t>
  </x:si>
  <x:si>
    <x:t xml:space="preserve">Codex documents only</x:t>
  </x:si>
  <x:si>
    <x:t xml:space="preserve">No code or commands</x:t>
  </x:si>
  <x:si>
    <x:t xml:space="preserve">DOCUMENTATION READY FOR OWNER REVIEW</x:t>
  </x:si>
  <x:si>
    <x:t xml:space="preserve">Gate 4 — Column N</x:t>
  </x:si>
  <x:si>
    <x:t xml:space="preserve">Complete documentation closure</x:t>
  </x:si>
  <x:si>
    <x:t xml:space="preserve">Preflight every manifest document; record owner-supplied reviewer, decision and date; reconcile every path</x:t>
  </x:si>
  <x:si>
    <x:t xml:space="preserve">Column N</x:t>
  </x:si>
  <x:si>
    <x:t xml:space="preserve">Codex closes docs only</x:t>
  </x:si>
  <x:si>
    <x:t xml:space="preserve">Owner updates Excel</x:t>
  </x:si>
  <x:si>
    <x:t xml:space="preserve">APPROVED FOR USER TRACKER UPDATE</x:t>
  </x:si>
  <x:si>
    <x:t xml:space="preserve">Weekly Learning</x:t>
  </x:si>
  <x:si>
    <x:t xml:space="preserve">Mandatory owner teach-back</x:t>
  </x:si>
  <x:si>
    <x:t xml:space="preserve">Business, architecture, data/control flow, decisions, failures, remediation, evidence gaps and interview practice</x:t>
  </x:si>
  <x:si>
    <x:t xml:space="preserve">Codex teaches</x:t>
  </x:si>
  <x:si>
    <x:t xml:space="preserve">Owner explains back</x:t>
  </x:si>
  <x:si>
    <x:t xml:space="preserve">WEEKLY LEARNING COMPLETE</x:t>
  </x:si>
  <x:si>
    <x:t xml:space="preserve">Business Outcome</x:t>
  </x:si>
  <x:si>
    <x:t xml:space="preserve">Technical Focus</x:t>
  </x:si>
  <x:si>
    <x:t xml:space="preserve">Owner Hands-On</x:t>
  </x:si>
  <x:si>
    <x:t xml:space="preserve">Decisions to Explain</x:t>
  </x:si>
  <x:si>
    <x:t xml:space="preserve">Interview Story</x:t>
  </x:si>
  <x:si>
    <x:t xml:space="preserve">Weekly Learning Task</x:t>
  </x:si>
  <x:si>
    <x:t xml:space="preserve">Learning Status</x:t>
  </x:si>
  <x:si>
    <x:t xml:space="preserve">A governed, testable and reversible engineering foundation.</x:t>
  </x:si>
  <x:si>
    <x:t xml:space="preserve">Repository, typed config, tests, DevSecOps, Terraform lifecycle and cleanup controls.</x:t>
  </x:si>
  <x:si>
    <x:t xml:space="preserve">Run local quality/security/lifecycle checks and review evidence.</x:t>
  </x:si>
  <x:si>
    <x:t xml:space="preserve">Source precedence, provider boundaries, tags, secret policy and teardown semantics.</x:t>
  </x:si>
  <x:si>
    <x:t xml:space="preserve">How you made AI delivery safe before building AI features.</x:t>
  </x:si>
  <x:si>
    <x:t xml:space="preserve">Authorized local document retrieval with privacy and rollback controls.</x:t>
  </x:si>
  <x:si>
    <x:t xml:space="preserve">Domain models, Qdrant, vector contracts, embeddings, ingestion, PII and tenant filtering.</x:t>
  </x:si>
  <x:si>
    <x:t xml:space="preserve">Run Docker/Qdrant and retrieval tests; diagnose local runtime issues.</x:t>
  </x:si>
  <x:si>
    <x:t xml:space="preserve">Vector store, embedding model, metadata, PII and authorization choices.</x:t>
  </x:si>
  <x:si>
    <x:t xml:space="preserve">How data becomes searchable evidence without crossing tenant/privacy boundaries.</x:t>
  </x:si>
  <x:si>
    <x:t xml:space="preserve">Grounded cited answers or safe abstention with measurable quality.</x:t>
  </x:si>
  <x:si>
    <x:t xml:space="preserve">LLM adapters, RAG pipeline, guardrails, evaluation, telemetry and config rollback.</x:t>
  </x:si>
  <x:si>
    <x:t xml:space="preserve">Run golden evaluation/security tests and interpret quality/cost results.</x:t>
  </x:si>
  <x:si>
    <x:t xml:space="preserve">Bedrock boundary, thresholds, prompt/evidence design and judge limitations.</x:t>
  </x:si>
  <x:si>
    <x:t xml:space="preserve">How you prove an AI answer is grounded, safe and reversible.</x:t>
  </x:si>
  <x:si>
    <x:t xml:space="preserve">A controlled API and bounded agent workflow with human approval.</x:t>
  </x:si>
  <x:si>
    <x:t xml:space="preserve">FastAPI, auth, LangGraph state, tools, budgets, redacted state and traces.</x:t>
  </x:si>
  <x:si>
    <x:t xml:space="preserve">Run API/agent failure tests, load smoke tests and local release rollback.</x:t>
  </x:si>
  <x:si>
    <x:t xml:space="preserve">Agent framework, tool boundary, approval durability and observability.</x:t>
  </x:si>
  <x:si>
    <x:t xml:space="preserve">How you prevent an agent from becoming an autonomous black box.</x:t>
  </x:si>
  <x:si>
    <x:t xml:space="preserve">A reviewable, secure and removable AWS platform lifecycle.</x:t>
  </x:si>
  <x:si>
    <x:t xml:space="preserve">Terraform state, IAM/OIDC, KMS/S3/OpenSearch/ECR, policy and supply chain.</x:t>
  </x:si>
  <x:si>
    <x:t xml:space="preserve">Review plans, execute approved cloud lifecycle and prove cleanup.</x:t>
  </x:si>
  <x:si>
    <x:t xml:space="preserve">Region/network/tags/budget, state separation, identity and policy exceptions.</x:t>
  </x:si>
  <x:si>
    <x:t xml:space="preserve">How you deploy cloud AI infrastructure without long-lived keys or orphaned cost.</x:t>
  </x:si>
  <x:si>
    <x:t xml:space="preserve">An immutable EKS deployment with SRE proof, rollback and final teardown.</x:t>
  </x:si>
  <x:si>
    <x:t xml:space="preserve">Kubernetes security/resilience, OTel, SLOs, runbooks, chaos and end-to-end proof.</x:t>
  </x:si>
  <x:si>
    <x:t xml:space="preserve">Execute rollout, SRE checks, safe failure drills, rollback and complete teardown.</x:t>
  </x:si>
  <x:si>
    <x:t xml:space="preserve">Artifact promotion, workload identity, SLOs, chaos boundary and handover.</x:t>
  </x:si>
  <x:si>
    <x:t xml:space="preserve">How the full platform operates safely in production-shaped conditions.</x:t>
  </x:si>
  <x:si>
    <x:t xml:space="preserve">Weekly teach-back checklist</x:t>
  </x:si>
  <x:si>
    <x:t xml:space="preserve">Business</x:t>
  </x:si>
  <x:si>
    <x:t xml:space="preserve">What problem did we solve, for whom and how is success measured?</x:t>
  </x:si>
  <x:si>
    <x:t xml:space="preserve">Architecture</x:t>
  </x:si>
  <x:si>
    <x:t xml:space="preserve">Can I draw the end-to-end flow and explain each component's responsibility?</x:t>
  </x:si>
  <x:si>
    <x:t xml:space="preserve">Decisions</x:t>
  </x:si>
  <x:si>
    <x:t xml:space="preserve">Can I explain selected choices, rejected alternatives, trade-offs and revisit triggers?</x:t>
  </x:si>
  <x:si>
    <x:t xml:space="preserve">Can I explain how we test, deploy, observe, diagnose, roll back and tear down?</x:t>
  </x:si>
  <x:si>
    <x:t xml:space="preserve">Security/cost</x:t>
  </x:si>
  <x:si>
    <x:t xml:space="preserve">Can I explain identity, data boundaries, secrets, failure containment and cost controls?</x:t>
  </x:si>
  <x:si>
    <x:t xml:space="preserve">Interview</x:t>
  </x:si>
  <x:si>
    <x:t xml:space="preserve">Can I tell the week's story in two minutes and answer five follow-up questions?</x:t>
  </x:si>
  <x:si>
    <x:t xml:space="preserve">python -m tools.platformctl validate</x:t>
  </x:si>
  <x:si>
    <x:t xml:space="preserve">python -m enterprise_ai_platform.evaluation.runner --dataset configs/eval/golden.jsonl --out reports/eval.json</x:t>
  </x:si>
  <x:si>
    <x:t xml:space="preserve">FOUR APPROVAL GATES PLUS OWNER TESTING AND WEEKLY LEARNING — TRACKER v1.3.4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W1-001.
</x:t>
  </x:si>
  <x:si>
    <x:t xml:space="preserve">FOUR APPROVAL GATES PLUS OWNER TESTING AND WEEKLY LEARNING — TRACKER v1.3.4
MAIN PROMPT — W3-002
TASK IDENTITY
- Week: Week 3
- Feature/outcome: Evaluation harness and release gate
- Business purpose: Replace subjective demonstrations with repeatable evidence.
- Covered tracker steps: W3-06, W3-07, W3-10
- Required inputs: configs/eval/golden.jsonl with 25+ approved cases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W3-06 — Create 25+ golden cases with sources, facts, tenant and safety tags.
  Business reason: Quality thresholds require versioned, representative truth data.
  Acceptance: Dataset passes schema and privacy review.
  Dependency: W2-09
  Owner verification reference: python tools/validate_eval_dataset.py configs/eval/golden.jsonl
  Expected result: 25+ valid cases; no prohibited data.
  Canonical evidence: docs/test-evidence/W3-06-golden.txt
  Rollback/teardown: Revert dataset version; never silently edit expected answers.
  Current tracker status (read-only historical/current fact): Not Started
  Separate Task Context: 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
- W3-07 — Measure retrieval, citations, abstention, latency and cost.
  Business reason: Promotion must rely on repeatable evidence, not a demo.
  Acceptance: Baseline report and nonzero regression exit behavior exist.
  Dependency: W3-04,W3-06
  Owner verification reference: python -m enterprise_ai_platform.evaluation.runner --dataset configs/eval/golden.jsonl --out reports/eval.json
  Expected result: Recall@5, citation precision, groundedness, latency and estimated cost recorded.
  Canonical evidence: reports/eval.json
  Rollback/teardown: Restore last approved baseline; block release on unresolved regression.
  Current tracker status (read-only historical/current fact): Not Started
  Separate Task Context: 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
- W3-10 — Set initial thresholds: Recall@5 &gt;=0.85 and citation-valid/safe-abstain &gt;=95%.
  Business reason: Thresholds convert evaluation into a release decision.
  Acceptance: CI-style command fails on a material regression.
  Dependency: W3-07
  Owner verification reference: make evaluate
  Expected result: Baseline passes; synthetic regression fails.
  Canonical evidence: docs/test-evidence/W3-10-gate.txt
  Rollback/teardown: Revert candidate prompt/model/index and preserve failing evidence.
  Current tracker status (read-only historical/current fact): Not Started
  Separate Task Context: 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
Downstream tracker steps identified from recorded dependencies: W3-07, W3-10, W3-11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TASK-SPECIFIC CLARIFICATION
Include at least 25 versioned golden JSONL cases with question, expected facts, expected source IDs, tenant and safety tags. Validate schema and privacy; never silently alter approved expected facts.
TASK-SPECIFIC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LEARNING GOALS
Explain the business story, technical importance, layman analogy, architecture choices, alternatives, security/privacy/reliability/cost trade-offs, failure/remediation/rollback/teardown story, and five interview questions with answer points. For an implementation task, the complete Post-Implementation Learning Summary is returned after the approved edit; for a document or learning task, adapt it to content authority and teach-back.
End exactly: READY FOR PRE-EDIT REVIEW — W3-002.
</x:t>
  </x:si>
  <x:si>
    <x:t xml:space="preserve">COLUMN L — COMPLETE BOUNDED CODE EDIT APPROVAL — W6-002
APPROVED TASK CONTRACT
- Prompt and tracker steps: W6-002 / W6-06, W6-07, W6-08, W6-09
- Business purpose: Make the platform supportable and measurable.
- Architecture and design: OTel Collector, Prometheus, Grafana and alert rules provide vendor-neutral telemetry; a tag-bounded FIS module records but does not execute approved chaos design.
- Exact interfaces, functions and connections: Collector pipelines receive OTLP and export approved traces/metrics; alert rules map SLIs to burn conditions; FIS variables accept exact sandbox targets and stop alarms.
- Exact inputs, outputs, errors and invariants: Inputs are limited to SLO approval; alert destination; pre-production chaos approval.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Telemetry configurations prohibit content; dashboard and alert files use stable metric names; FIS target selectors require project/environment tags and stop conditions.
- Exact dependency and runtime API rules: Exporter endpoints and credentials are owner-provided runtime inputs; owner performs deployment and chaos actions; code/config validation remains offline.
- Exact security, privacy, concurrency and operational controls: No sensitive content, bounded exporter queues/timeouts, least-privilege FIS role, pre-production-only targets, stop alarms and explicit cleanup apply.
- Exact automated-test behavior: Config contract tests parse pipelines; trace and alert feature tests cover correlation and thresholds; failure-mode tests prove bounded retries; security tests cover redaction and FIS targeting; teardown tests inventory telemetry resources.
- Accepted baseline: The inspected repository contains every UPDATE path and does not contain every CREATE path. Historical results remain unchanged; future execution must revalidate content and patch anchors.
EXACT APPROVED PATH MANIFEST
CREATE:
- observability/otel-collector.yaml
- observability/prometheus.yml
- observability/alerts.yml
- observability/grafana/enterprise-ai-dashboard.json
- infra/modules/fis/main.tf
- infra/modules/fis/variables.tf
- infra/modules/fis/outputs.tf
- tests/contract/test_observability_config.py
- tests/feature/test_slo_alerts.py
- tests/feature/test_failure_modes.py
- tests/security/test_observability_redaction.py
- tests/security/test_fis_targeting.py
- tests/teardown/test_observability_cleanliness.py
UPDATE:
- tests/feature/test_trace_correlation.py
- feature-matrix.yaml
- tools/platformctl/validate.py
- tests/feature/test_feature_matrix.py
- tests/unit/test_platformctl.py
DELETE:
- None
VERIFIED UNCHANGED CONSUMERS:
- src/enterprise_ai_platform/observability/tracing.py
- deploy/k8s/deployment.yaml
DEFERRED:
- None
EXCLUDED:
- All repository paths not enumerated under the CREATE and UPDATE headings.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End exactly: CODE READY FOR OWNER TESTING — W6-002.</x:t>
  </x:si>
  <x:si>
    <x: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x:t>
  </x:si>
  <x:si>
    <x: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x:t>
  </x:si>
  <x:si>
    <x: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x:t>
  </x:si>
  <x:si>
    <x: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x:t>
  </x:si>
  <x:si>
    <x: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x:t>
  </x:si>
  <x:si>
    <x: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x:t>
  </x:si>
  <x:si>
    <x:t xml:space="preserve">COLUMN M — EXACT DOCUMENT WRITING APPROVAL — W4-001
This is a separate owner approval after the bounded edit and owner testing or content review. Classify every path under one—and only one—of the CREATE and UPDATE headings after read-only preflight inspection.
EXACT DOCUMENTATION BOUNDARY
CREATE:
- docs/test-evidence/W4-001.md
- docs/test-evidence/W4-01-api.txt
- docs/test-evidence/W4-02-auth.txt
- docs/test-evidence/W4-10-load.json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W4-001.
</x:t>
  </x:si>
  <x:si>
    <x:t xml:space="preserve">COLUMN M — EXACT DOCUMENT WRITING APPROVAL — W4-002
This is a separate owner approval after the bounded edit and owner testing or content review. Classify every path under one—and only one—of the CREATE and UPDATE headings after read-only preflight inspection.
EXACT DOCUMENTATION BOUNDARY
CREATE:
- docs/test-evidence/W4-002.md
- docs/test-evidence/W4-03-graph.txt
- docs/test-evidence/W4-04-read-tool.txt
- docs/test-evidence/W4-05-approval.txt
- docs/test-evidence/W4-06-budgets.txt
- docs/test-evidence/W4-07-state.txt
- docs/test-evidence/W4-09-failures.txt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W4-002.
</x:t>
  </x:si>
  <x:si>
    <x:t xml:space="preserve">COLUMN M — EXACT DOCUMENT WRITING APPROVAL — W4-003
This is a separate owner approval after the bounded edit and owner testing or content review. Classify every path under one—and only one—of the CREATE and UPDATE headings after read-only preflight inspection.
EXACT DOCUMENTATION BOUNDARY
CREATE:
- docs/test-evidence/W4-003.md
- docs/test-evidence/W4-08-trace.json
- docs/test-evidence/W4-trace.json
- docs/test-evidence/W3-09-telemetry.txt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W4-003.
</x:t>
  </x:si>
  <x:si>
    <x:t xml:space="preserve">COLUMN M — EXACT DOCUMENT WRITING APPROVAL — W5-001
This is a separate owner approval after the bounded edit and owner testing or content review. Classify every path under one—and only one—of the CREATE and UPDATE headings after read-only preflight inspection.
EXACT DOCUMENTATION BOUNDARY
CREATE:
- docs/test-evidence/W5-001.md
- docs/test-evidence/W5-02-bootstrap.txt
- docs/test-evidence/W5-03-security.txt
- docs/test-evidence/W5-04-iam.txt
- docs/test-evidence/W5-05-platform-plan.txt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W5-001.
</x:t>
  </x:si>
  <x:si>
    <x:t xml:space="preserve">COLUMN M — EXACT DOCUMENT WRITING APPROVAL — W5-002
This is a separate owner approval after the bounded edit and owner testing or content review. Classify every path under one—and only one—of the CREATE and UPDATE headings after read-only preflight inspection.
EXACT DOCUMENTATION BOUNDARY
CREATE:
- docs/test-evidence/W5-002.md
- docs/deployment-records/W6-image.md
- docs/test-evidence/W5-07-ci.txt
- docs/test-evidence/W5-08-supply-chain.txt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W5-002.
</x:t>
  </x:si>
  <x:si>
    <x:t xml:space="preserve">COLUMN M — EXACT DOCUMENT WRITING APPROVAL — W5-004
This is a separate owner approval after the bounded edit and owner testing or content review. Classify every path under one—and only one—of the CREATE and UPDATE headings after read-only preflight inspection.
EXACT DOCUMENTATION BOUNDARY
CREATE:
- docs/test-evidence/W5-004.md
- docs/deployment-records/W5-plan-review.md
- docs/deployment-records/W5-sandbox.md
- docs/deployment-records/W5-destroy-plan.md
- docs/resource-cleanliness/W5-report.json
- docs/resource-cleanliness/W6-final.json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W5-004.
</x:t>
  </x:si>
  <x:si>
    <x:t xml:space="preserve">COLUMN M — EXACT DOCUMENT WRITING APPROVAL — W6-001
This is a separate owner approval after the bounded edit and owner testing or content review. Classify every path under one—and only one—of the CREATE and UPDATE headings after read-only preflight inspection.
EXACT DOCUMENTATION BOUNDARY
CREATE:
- docs/test-evidence/W6-001.md
- docs/test-evidence/W6-02-k8s.txt
- docs/test-evidence/W6-03-identity.txt
- docs/test-evidence/W6-04-network.txt
- docs/test-evidence/W6-05-resilience.txt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W6-001.
</x:t>
  </x:si>
  <x:si>
    <x:t xml:space="preserve">COLUMN M — EXACT DOCUMENT WRITING APPROVAL — W6-003
This is a separate owner approval after the bounded edit and owner testing or content review. Classify every path under one—and only one—of the CREATE and UPDATE headings after read-only preflight inspection.
EXACT DOCUMENTATION BOUNDARY
CREATE:
- docs/test-evidence/W6-003.md
- docs/test-evidence/W6-final-index.md
- docs/rollback-records/W6-release.md
- docs/architecture/final-review.md
UPDATE:
- docs/test-evidence/README.md
- docs/resource-cleanliness/W6-final.json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W6-003.
</x:t>
  </x:si>
  <x:si>
    <x:t xml:space="preserve">FOUR APPROVAL GATES PLUS OWNER TESTING AND WEEKLY LEARNING — TRACKER v1.3.4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W1-MVP-001.</x:t>
  </x:si>
  <x:si>
    <x:t xml:space="preserve">FOUR APPROVAL GATES PLUS OWNER TESTING AND WEEKLY LEARNING — TRACKER v1.3.4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W1-GOV-001.</x:t>
  </x:si>
  <x:si>
    <x:t xml:space="preserve">FOUR APPROVAL GATES PLUS OWNER TESTING AND WEEKLY LEARNING — TRACKER v1.3.4
MAIN PROMPT — W5-INPUTS-001
TASK IDENTITY
- Week: Week 5
- Feature/outcome: AWS sandbox input approval
- Business purpose: Capture all non-secret AWS, network, tagging, residency and budget choices before Terraform work.
- Covered tracker steps: W5-01
- Required inputs: AWS-001, AWS-002, NET-001, TAG-001, COST-001 and PRIV-001;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W5-01 — Confirm sandbox account, region, network, tags, data residency and budget ceiling.
  Business reason: Terraform cannot be safely reviewed with ambiguous ownership or cost.
  Acceptance: All variables are non-secret and approved.
  Dependency: W4-13
  Owner verification reference: Review infra/environments/sandbox/terraform.tfvars.example
  Expected result: No credential/secret value is requested.
  Canonical evidence: docs/cost-estimates/W5-inputs.md
  Rollback/teardown: Do not initialize/apply until inputs are approved.
  Current tracker status (read-only historical/current fact): Not Started
  Separate Task Context: 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
Downstream tracker steps identified from recorded dependencies: W5-02, W5-03, W5-04, W5-13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W5-INPUTS-001
The planned Column L content boundary is create only infra/environments/sandbox/terraform.tfvars.example and docs/cost-estimates/W5-inputs.md; their approved parent structure exists.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Record which later owner-run Terraform/AWS actions remain prohibited until a separate approval; do not provide or execute those actions in this task.
6. Confirm no ignored or Git-invisible residue remains.
TASK-SPECIFIC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CONTENT-SPECIFIC READ-ONLY REVIEW — REQUIRED RESPONSE SECTIONS
1. Business and document outcome
Explain the non-secret sandbox variable example and cost/input decision record; Terraform and AWS execution remain outside this task.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infra/environments/sandbox/terraform.tfvars.example
- docs/cost-estimates/W5-inputs.md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W5-INPUTS-001.</x:t>
  </x:si>
  <x:si>
    <x:t xml:space="preserve">FOUR APPROVAL GATES PLUS OWNER TESTING AND WEEKLY LEARNING — TRACKER v1.3.4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W1-REVIEW-001.</x:t>
  </x:si>
  <x:si>
    <x:t xml:space="preserve">FOUR APPROVAL GATES PLUS OWNER TESTING AND WEEKLY LEARNING — TRACKER v1.3.4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W2-REVIEW-001.</x:t>
  </x:si>
  <x:si>
    <x:t xml:space="preserve">FOUR APPROVAL GATES PLUS OWNER TESTING AND WEEKLY LEARNING — TRACKER v1.3.4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W3-REVIEW-001.</x:t>
  </x:si>
  <x:si>
    <x:t xml:space="preserve">FOUR APPROVAL GATES PLUS OWNER TESTING AND WEEKLY LEARNING — TRACKER v1.3.4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W4-REVIEW-001.</x:t>
  </x:si>
  <x:si>
    <x:t xml:space="preserve">FOUR APPROVAL GATES PLUS OWNER TESTING AND WEEKLY LEARNING — TRACKER v1.3.4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W5-REVIEW-001.</x:t>
  </x:si>
  <x:si>
    <x:t xml:space="preserve">FOUR APPROVAL GATES PLUS OWNER TESTING AND WEEKLY LEARNING — TRACKER v1.3.4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End exactly: READY FOR PRE-EDIT REVIEW — W1-CONSOLIDATED-001.</x:t>
  </x:si>
  <x:si>
    <x:t xml:space="preserve">FOUR APPROVAL GATES PLUS OWNER TESTING AND WEEKLY LEARNING — TRACKER v1.3.4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End exactly: READY FOR PRE-EDIT REVIEW — W2-LEARN-001.</x:t>
  </x:si>
  <x:si>
    <x:t xml:space="preserve">FOUR APPROVAL GATES PLUS OWNER TESTING AND WEEKLY LEARNING — TRACKER v1.3.4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End exactly: READY FOR PRE-EDIT REVIEW — WEEKLY-LEARN-001.</x:t>
  </x:si>
  <x:si>
    <x:t xml:space="preserve">Read-only teaching plan → owner teach-back → owner writes the exact weekly evidence note → final teach-back approval → owner tracker update</x:t>
  </x:si>
  <x:si>
    <x:t xml:space="preserve">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End exactly: LEARNING REVIEW READY — WEEKLY-LEARN-001.</x:t>
  </x:si>
  <x:si>
    <x:t xml:space="preserve">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x:t>
  </x:si>
  <x:si>
    <x: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x:t>
  </x:si>
  <x:si>
    <x: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x:t>
  </x:si>
  <x:si>
    <x:t xml:space="preserve">Owner completes the teach-back and records notes in docs/learning/W1-learning-review.md</x:t>
  </x:si>
  <x:si>
    <x:t xml:space="preserve">Owner completes the teach-back and records notes in docs/learning/W2-learning-review.md</x:t>
  </x:si>
  <x:si>
    <x:t xml:space="preserve">Owner completes the teach-back and records notes in docs/learning/W3-learning-review.md</x:t>
  </x:si>
  <x:si>
    <x:t xml:space="preserve">Owner completes the teach-back and records notes in docs/learning/W4-learning-review.md</x:t>
  </x:si>
  <x:si>
    <x:t xml:space="preserve">Owner completes the teach-back and records notes in docs/learning/W5-learning-review.md</x:t>
  </x:si>
  <x:si>
    <x:t xml:space="preserve">Owner completes the teach-back and records notes in docs/learning/W6-learning-review.md</x:t>
  </x:si>
</x:sst>
</file>

<file path=xl/styles.xml><?xml version="1.0" encoding="utf-8"?>
<x:styleSheet xmlns:x="http://schemas.openxmlformats.org/spreadsheetml/2006/main">
  <x:numFmts count="1">
    <x:numFmt numFmtId="164" formatCode="yyyy\-mm\-dd"/>
  </x:numFmts>
  <x:fonts count="15">
    <x:font>
      <x:sz val="11"/>
      <x:name val="Carlito"/>
    </x:font>
    <x:font>
      <x:b/>
      <x:sz val="18"/>
      <x:color rgb="FFFFFFFF"/>
      <x:name val="Carlito"/>
    </x:font>
    <x:font>
      <x:i/>
      <x:sz val="10"/>
      <x:color rgb="FF172B4D"/>
      <x:name val="Carlito"/>
    </x:font>
    <x:font>
      <x:b/>
      <x:sz val="10"/>
      <x:color rgb="FFFFFFFF"/>
      <x:name val="Carlito"/>
    </x:font>
    <x:font>
      <x:b/>
      <x:sz val="11"/>
      <x:color rgb="FFFFFFFF"/>
      <x:name val="Carlito"/>
    </x:font>
    <x:font>
      <x:sz val="10"/>
      <x:color rgb="FF172B4D"/>
      <x:name val="Carlito"/>
    </x:font>
    <x:font>
      <x:b/>
      <x:sz val="11"/>
      <x:color rgb="FF172B4D"/>
      <x:name val="Carlito"/>
    </x:font>
    <x:font>
      <x:sz val="11"/>
      <x:color rgb="FF172B4D"/>
      <x:name val="Carlito"/>
    </x:font>
    <x:font>
      <x:b/>
      <x:sz val="11"/>
      <x:color rgb="FF92400E"/>
      <x:name val="Carlito"/>
    </x:font>
    <x:font>
      <x:b/>
      <x:sz val="20"/>
      <x:color rgb="FF0F2747"/>
      <x:name val="Carlito"/>
    </x:font>
    <x:font>
      <x:sz val="9"/>
      <x:color rgb="FF172B4D"/>
      <x:name val="Carlito"/>
    </x:font>
    <x:font>
      <x:b/>
      <x:sz val="18"/>
      <x:color rgb="FF0F2747"/>
      <x:name val="Carlito"/>
    </x:font>
    <x:font>
      <x:b/>
      <x:sz val="18"/>
      <x:color rgb="FF991B1B"/>
      <x:name val="Carlito"/>
    </x:font>
    <x:font>
      <x:b/>
      <x:sz val="10"/>
      <x:color rgb="FF166534"/>
      <x:name val="Carlito"/>
    </x:font>
    <x:font>
      <x:b/>
      <x:sz val="9"/>
      <x:color rgb="FFFFFFFF"/>
      <x:name val="Carlito"/>
    </x:font>
  </x:fonts>
  <x:fills count="17">
    <x:fill>
      <x:patternFill patternType="none"/>
    </x:fill>
    <x:fill>
      <x:patternFill patternType="gray125"/>
    </x:fill>
    <x:fill>
      <x:patternFill patternType="solid">
        <x:fgColor rgb="FF0F2747"/>
      </x:patternFill>
    </x:fill>
    <x:fill>
      <x:patternFill patternType="solid">
        <x:fgColor rgb="FFDDEBF7"/>
      </x:patternFill>
    </x:fill>
    <x:fill>
      <x:patternFill patternType="solid">
        <x:fgColor rgb="FF1F4E78"/>
      </x:patternFill>
    </x:fill>
    <x:fill>
      <x:patternFill patternType="solid">
        <x:fgColor rgb="FF0F766E"/>
      </x:patternFill>
    </x:fill>
    <x:fill>
      <x:patternFill patternType="solid">
        <x:fgColor rgb="FFF5F8FC"/>
      </x:patternFill>
    </x:fill>
    <x:fill>
      <x:patternFill patternType="solid">
        <x:fgColor rgb="FFFFF7D6"/>
      </x:patternFill>
    </x:fill>
    <x:fill>
      <x:patternFill patternType="solid">
        <x:fgColor rgb="FFFEF3C7"/>
      </x:patternFill>
    </x:fill>
    <x:fill>
      <x:patternFill patternType="solid">
        <x:fgColor rgb="FFDCFCE7"/>
      </x:patternFill>
    </x:fill>
    <x:fill>
      <x:patternFill patternType="solid">
        <x:fgColor rgb="FF0F2747"/>
      </x:patternFill>
    </x:fill>
    <x:fill>
      <x:patternFill patternType="solid">
        <x:fgColor rgb="FFDDEBF7"/>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DDEBF7"/>
      </x:patternFill>
    </x:fill>
    <x:fill>
      <x:patternFill patternType="solid">
        <x:fgColor rgb="FFE2F0D9"/>
      </x:patternFill>
    </x:fill>
  </x:fills>
  <x:borders count="26">
    <x:border/>
    <x:border>
      <x:left style="thin">
        <x:color rgb="FFC8D4E3"/>
      </x:left>
      <x:top style="thin">
        <x:color rgb="FFC8D4E3"/>
      </x:top>
      <x:bottom style="thin">
        <x:color rgb="FFC8D4E3"/>
      </x:bottom>
    </x:border>
    <x:border>
      <x:top style="thin">
        <x:color rgb="FFC8D4E3"/>
      </x:top>
      <x:bottom style="thin">
        <x:color rgb="FFC8D4E3"/>
      </x:bottom>
    </x:border>
    <x:border>
      <x:right style="thin">
        <x:color rgb="FFC8D4E3"/>
      </x:right>
      <x:top style="thin">
        <x:color rgb="FFC8D4E3"/>
      </x:top>
      <x:bottom style="thin">
        <x:color rgb="FFC8D4E3"/>
      </x:bottom>
    </x:border>
    <x:border>
      <x:bottom style="thin">
        <x:color rgb="FFE5E7EB"/>
      </x:bottom>
    </x:border>
    <x:border>
      <x:top style="thin">
        <x:color rgb="FFE5E7EB"/>
      </x:top>
      <x:bottom style="thin">
        <x:color rgb="FFE5E7EB"/>
      </x:bottom>
    </x:border>
    <x:border>
      <x:top style="thin">
        <x:color rgb="FFE5E7EB"/>
      </x:top>
    </x:border>
    <x:border>
      <x:left style="thin">
        <x:color rgb="FFC8D4E3"/>
      </x:left>
      <x:top style="thin">
        <x:color rgb="FFC8D4E3"/>
      </x:top>
    </x:border>
    <x:border>
      <x:top style="thin">
        <x:color rgb="FFC8D4E3"/>
      </x:top>
    </x:border>
    <x:border>
      <x:right style="thin">
        <x:color rgb="FFC8D4E3"/>
      </x:right>
      <x:top style="thin">
        <x:color rgb="FFC8D4E3"/>
      </x:top>
    </x:border>
    <x:border>
      <x:left style="thin">
        <x:color rgb="FFC8D4E3"/>
      </x:left>
    </x:border>
    <x:border>
      <x:right style="thin">
        <x:color rgb="FFC8D4E3"/>
      </x:right>
    </x:border>
    <x:border>
      <x:left style="thin">
        <x:color rgb="FFC8D4E3"/>
      </x:left>
      <x:bottom style="thin">
        <x:color rgb="FFC8D4E3"/>
      </x:bottom>
    </x:border>
    <x:border>
      <x:bottom style="thin">
        <x:color rgb="FFC8D4E3"/>
      </x:bottom>
    </x:border>
    <x:border>
      <x:right style="thin">
        <x:color rgb="FFC8D4E3"/>
      </x:right>
      <x:bottom style="thin">
        <x:color rgb="FFC8D4E3"/>
      </x:bottom>
    </x:border>
    <x:border>
      <x:left style="thin">
        <x:color rgb="FFC8D4E3"/>
      </x:left>
      <x:right style="thin">
        <x:color rgb="FFC8D4E3"/>
      </x:right>
      <x:top style="thin">
        <x:color rgb="FFC8D4E3"/>
      </x:top>
      <x:bottom style="thin">
        <x:color rgb="FFC8D4E3"/>
      </x:bottom>
    </x:border>
    <x:border>
      <x:left style="thin">
        <x:color rgb="FFE5E7EB"/>
      </x:left>
      <x:right style="thin">
        <x:color rgb="FFE5E7EB"/>
      </x:right>
      <x:top style="thin">
        <x:color rgb="FFE5E7EB"/>
      </x:top>
      <x:bottom style="thin">
        <x:color rgb="FFE5E7EB"/>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122">
    <x:xf numFmtId="0" fontId="0" fillId="0" borderId="0" xfId="0"/>
    <x:xf numFmtId="0" fontId="3" fillId="4" borderId="1" xfId="0" applyFont="1" applyFill="1" applyBorder="1" applyAlignment="1">
      <x:alignment vertical="center" wrapText="1"/>
    </x:xf>
    <x:xf numFmtId="0" fontId="3" fillId="4" borderId="2" xfId="0" applyFont="1" applyFill="1" applyBorder="1" applyAlignment="1">
      <x:alignment vertical="center" wrapText="1"/>
    </x:xf>
    <x:xf numFmtId="0" fontId="3" fillId="4" borderId="3" xfId="0" applyFont="1" applyFill="1" applyBorder="1" applyAlignment="1">
      <x:alignment vertical="center" wrapText="1"/>
    </x:xf>
    <x:xf numFmtId="0" fontId="5" fillId="0" borderId="4" xfId="0" applyFont="1" applyBorder="1" applyAlignment="1">
      <x:alignment vertical="top" wrapText="1"/>
    </x:xf>
    <x:xf numFmtId="0" fontId="5" fillId="0" borderId="5" xfId="0" applyFont="1" applyBorder="1" applyAlignment="1">
      <x:alignment vertical="top" wrapText="1"/>
    </x:xf>
    <x:xf numFmtId="0" fontId="5" fillId="0" borderId="6" xfId="0" applyFont="1" applyBorder="1" applyAlignment="1">
      <x:alignment vertical="top" wrapText="1"/>
    </x:xf>
    <x:xf numFmtId="0" fontId="6" fillId="6" borderId="15" xfId="0" applyFont="1" applyFill="1" applyBorder="1"/>
    <x:xf numFmtId="0" fontId="7" fillId="7" borderId="15" xfId="0" applyFont="1" applyFill="1" applyBorder="1"/>
    <x:xf numFmtId="164" fontId="7" fillId="7" borderId="15" xfId="0" applyNumberFormat="1" applyFont="1" applyFill="1" applyBorder="1"/>
    <x:xf numFmtId="0" fontId="10" fillId="0" borderId="4" xfId="0" applyFont="1" applyBorder="1" applyAlignment="1">
      <x:alignment vertical="top" wrapText="1"/>
    </x:xf>
    <x:xf numFmtId="0" fontId="10" fillId="0" borderId="5" xfId="0" applyFont="1" applyBorder="1" applyAlignment="1">
      <x:alignment vertical="top" wrapText="1"/>
    </x:xf>
    <x:xf numFmtId="9" fontId="10" fillId="0" borderId="4" xfId="0" applyNumberFormat="1" applyFont="1" applyBorder="1" applyAlignment="1">
      <x:alignment vertical="top" wrapText="1"/>
    </x:xf>
    <x:xf numFmtId="9" fontId="10" fillId="0" borderId="5" xfId="0" applyNumberFormat="1" applyFont="1" applyBorder="1" applyAlignment="1">
      <x:alignment vertical="top" wrapText="1"/>
    </x:xf>
    <x:xf numFmtId="9" fontId="0" fillId="0" borderId="0" xfId="0" applyNumberFormat="1"/>
    <x:xf numFmtId="2" fontId="10" fillId="0" borderId="4" xfId="0" applyNumberFormat="1" applyFont="1" applyBorder="1" applyAlignment="1">
      <x:alignment vertical="top" wrapText="1"/>
    </x:xf>
    <x:xf numFmtId="2" fontId="10" fillId="0" borderId="5" xfId="0" applyNumberFormat="1" applyFont="1" applyBorder="1" applyAlignment="1">
      <x:alignment vertical="top" wrapText="1"/>
    </x:xf>
    <x:xf numFmtId="164" fontId="10" fillId="0" borderId="4" xfId="0" applyNumberFormat="1" applyFont="1" applyBorder="1" applyAlignment="1">
      <x:alignment vertical="top" wrapText="1"/>
    </x:xf>
    <x:xf numFmtId="164" fontId="10" fillId="0" borderId="5" xfId="0" applyNumberFormat="1" applyFont="1" applyBorder="1" applyAlignment="1">
      <x:alignment vertical="top" wrapText="1"/>
    </x:xf>
    <x:xf numFmtId="0" fontId="10" fillId="7" borderId="4" xfId="0" applyFont="1" applyFill="1" applyBorder="1" applyAlignment="1">
      <x:alignment vertical="top" wrapText="1"/>
    </x:xf>
    <x:xf numFmtId="0" fontId="10" fillId="7" borderId="5" xfId="0" applyFont="1" applyFill="1" applyBorder="1" applyAlignment="1">
      <x:alignment vertical="top" wrapText="1"/>
    </x:xf>
    <x:xf numFmtId="0" fontId="4" fillId="5" borderId="0" xfId="0" applyFont="1" applyFill="1" applyAlignment="1">
      <x:alignment horizontal="center" vertical="top" wrapText="1"/>
    </x:xf>
    <x:xf numFmtId="0" fontId="10" fillId="0" borderId="16" xfId="0" applyFont="1" applyBorder="1" applyAlignment="1">
      <x:alignment vertical="top" wrapText="1"/>
    </x:xf>
    <x:xf numFmtId="0" fontId="10" fillId="11" borderId="16" xfId="0" applyFont="1" applyFill="1" applyBorder="1" applyAlignment="1">
      <x:alignment vertical="top" wrapText="1"/>
    </x:xf>
    <x:xf numFmtId="0" fontId="4" fillId="10" borderId="0" xfId="0" applyFont="1" applyFill="1"/>
    <x:xf numFmtId="14" fontId="10" fillId="11" borderId="16" xfId="0" applyNumberFormat="1" applyFont="1" applyFill="1" applyBorder="1" applyAlignment="1">
      <x:alignment vertical="top" wrapText="1"/>
    </x:xf>
    <x:xf numFmtId="14" fontId="10" fillId="0" borderId="16" xfId="0" applyNumberFormat="1" applyFont="1" applyBorder="1" applyAlignment="1">
      <x:alignment vertical="top" wrapText="1"/>
    </x:xf>
    <x:xf numFmtId="0" fontId="0" fillId="0" borderId="0" xfId="0" applyAlignment="1">
      <x:alignment vertical="top"/>
    </x:xf>
    <x:xf numFmtId="0" fontId="0" fillId="0" borderId="0" xfId="0" applyAlignment="1">
      <x:alignment vertical="top" wrapText="1"/>
    </x:xf>
    <x:xf numFmtId="0" fontId="0" fillId="0" borderId="0" xfId="0" applyAlignment="1">
      <x:alignment wrapText="1"/>
    </x:xf>
    <x:xf numFmtId="0" fontId="3" fillId="13" borderId="15" xfId="0" applyFont="1" applyFill="1" applyBorder="1" applyAlignment="1">
      <x:alignment vertical="center" wrapText="1"/>
    </x:xf>
    <x:xf numFmtId="0" fontId="4" fillId="13" borderId="0" xfId="0" applyFont="1" applyFill="1" applyAlignment="1">
      <x:alignment wrapText="1"/>
    </x:xf>
    <x:xf numFmtId="0" fontId="14" fillId="13" borderId="16" xfId="0" applyFont="1" applyFill="1" applyBorder="1" applyAlignment="1">
      <x:alignment vertical="top" wrapText="1"/>
    </x:xf>
    <x:xf numFmtId="0" fontId="14" fillId="13" borderId="15" xfId="0" applyFont="1" applyFill="1" applyBorder="1" applyAlignment="1">
      <x:alignment vertical="top" wrapText="1"/>
    </x:xf>
    <x:xf numFmtId="0" fontId="10" fillId="3" borderId="16" xfId="0" applyFont="1" applyFill="1" applyBorder="1" applyAlignment="1">
      <x:alignment vertical="top" wrapText="1"/>
    </x:xf>
    <x:xf numFmtId="0" fontId="7" fillId="0" borderId="16" xfId="0" applyFont="1" applyBorder="1" applyAlignment="1">
      <x:alignment vertical="top"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0" fillId="0" borderId="20" xfId="0" applyBorder="1" applyAlignment="1">
      <x:alignment vertical="top" wrapText="1"/>
    </x:xf>
    <x:xf numFmtId="0" fontId="0" fillId="0" borderId="21" xfId="0" applyBorder="1" applyAlignment="1">
      <x:alignment vertical="top" wrapText="1"/>
    </x:xf>
    <x:xf numFmtId="0" fontId="0" fillId="0" borderId="22" xfId="0" applyBorder="1" applyAlignment="1">
      <x:alignment vertical="top" wrapText="1"/>
    </x:xf>
    <x:xf numFmtId="0" fontId="0" fillId="0" borderId="23" xfId="0" applyBorder="1" applyAlignment="1">
      <x:alignment vertical="top" wrapText="1"/>
    </x:xf>
    <x:xf numFmtId="0" fontId="0" fillId="0" borderId="24" xfId="0" applyBorder="1" applyAlignment="1">
      <x:alignment vertical="top" wrapText="1"/>
    </x:xf>
    <x:xf numFmtId="0" fontId="0" fillId="0" borderId="25" xfId="0" applyBorder="1" applyAlignment="1">
      <x:alignment vertical="top" wrapText="1"/>
    </x:xf>
    <x:xf numFmtId="0" fontId="0" fillId="16" borderId="17" xfId="0" applyFill="1" applyBorder="1" applyAlignment="1">
      <x:alignment vertical="top" wrapText="1"/>
    </x:xf>
    <x:xf numFmtId="0" fontId="0" fillId="16" borderId="19" xfId="0" applyFill="1" applyBorder="1" applyAlignment="1">
      <x:alignment vertical="top" wrapText="1"/>
    </x:xf>
    <x:xf numFmtId="0" fontId="0" fillId="16" borderId="20" xfId="0" applyFill="1" applyBorder="1" applyAlignment="1">
      <x:alignment vertical="top" wrapText="1"/>
    </x:xf>
    <x:xf numFmtId="0" fontId="0" fillId="16" borderId="22" xfId="0" applyFill="1" applyBorder="1" applyAlignment="1">
      <x:alignment vertical="top" wrapText="1"/>
    </x:xf>
    <x:xf numFmtId="0" fontId="0" fillId="16" borderId="23" xfId="0" applyFill="1" applyBorder="1" applyAlignment="1">
      <x:alignment vertical="top" wrapText="1"/>
    </x:xf>
    <x:xf numFmtId="0" fontId="0" fillId="16" borderId="25" xfId="0" applyFill="1" applyBorder="1" applyAlignment="1">
      <x:alignment vertical="top" wrapText="1"/>
    </x:xf>
    <x:xf numFmtId="0" fontId="1" fillId="10" borderId="0" xfId="0" applyFont="1" applyFill="1" applyAlignment="1">
      <x:alignment vertical="top"/>
    </x:xf>
    <x:xf numFmtId="0" fontId="2" fillId="11" borderId="0" xfId="0" applyFont="1" applyFill="1" applyAlignment="1">
      <x:alignment vertical="top" wrapText="1"/>
    </x:xf>
    <x:xf numFmtId="0" fontId="3" fillId="12" borderId="15" xfId="0" applyFont="1" applyFill="1" applyBorder="1" applyAlignment="1">
      <x:alignment vertical="top" wrapText="1"/>
    </x:xf>
    <x:xf numFmtId="0" fontId="3" fillId="13" borderId="15" xfId="0" applyFont="1" applyFill="1" applyBorder="1" applyAlignment="1">
      <x:alignment vertical="top" wrapText="1"/>
    </x:xf>
    <x:xf numFmtId="0" fontId="10" fillId="15" borderId="16" xfId="0" applyFont="1" applyFill="1" applyBorder="1" applyAlignment="1">
      <x:alignment vertical="top" wrapText="1"/>
    </x:xf>
    <x:xf numFmtId="0" fontId="1" fillId="2" borderId="0" xfId="0" applyFont="1" applyFill="1" applyAlignment="1">
      <x:alignment vertical="center"/>
    </x:xf>
    <x:xf numFmtId="0" fontId="2" fillId="3" borderId="0" xfId="0" applyFont="1" applyFill="1" applyAlignment="1">
      <x:alignment vertical="center" wrapText="1"/>
    </x:xf>
    <x:xf numFmtId="0" fontId="3" fillId="4" borderId="1" xfId="0" applyFont="1" applyFill="1" applyBorder="1" applyAlignment="1">
      <x:alignment vertical="center" wrapText="1"/>
    </x:xf>
    <x:xf numFmtId="0" fontId="3" fillId="4" borderId="2" xfId="0" applyFont="1" applyFill="1" applyBorder="1" applyAlignment="1">
      <x:alignment vertical="center" wrapText="1"/>
    </x:xf>
    <x:xf numFmtId="0" fontId="3" fillId="4" borderId="3" xfId="0" applyFont="1" applyFill="1" applyBorder="1" applyAlignment="1">
      <x:alignment vertical="center" wrapText="1"/>
    </x:xf>
    <x:xf numFmtId="0" fontId="5" fillId="6" borderId="7" xfId="0" applyFont="1" applyFill="1" applyBorder="1" applyAlignment="1">
      <x:alignment vertical="center" wrapText="1"/>
    </x:xf>
    <x:xf numFmtId="0" fontId="5" fillId="6" borderId="8" xfId="0" applyFont="1" applyFill="1" applyBorder="1" applyAlignment="1">
      <x:alignment vertical="center" wrapText="1"/>
    </x:xf>
    <x:xf numFmtId="0" fontId="5" fillId="6" borderId="9" xfId="0" applyFont="1" applyFill="1" applyBorder="1" applyAlignment="1">
      <x:alignment vertical="center" wrapText="1"/>
    </x:xf>
    <x:xf numFmtId="0" fontId="5" fillId="6" borderId="10" xfId="0" applyFont="1" applyFill="1" applyBorder="1" applyAlignment="1">
      <x:alignment vertical="center" wrapText="1"/>
    </x:xf>
    <x:xf numFmtId="0" fontId="5" fillId="6" borderId="0" xfId="0" applyFont="1" applyFill="1" applyAlignment="1">
      <x:alignment vertical="center" wrapText="1"/>
    </x:xf>
    <x:xf numFmtId="0" fontId="5" fillId="6" borderId="11" xfId="0" applyFont="1" applyFill="1" applyBorder="1" applyAlignment="1">
      <x:alignment vertical="center" wrapText="1"/>
    </x:xf>
    <x:xf numFmtId="0" fontId="8" fillId="8" borderId="7" xfId="0" applyFont="1" applyFill="1" applyBorder="1" applyAlignment="1">
      <x:alignment wrapText="1"/>
    </x:xf>
    <x:xf numFmtId="0" fontId="8" fillId="8" borderId="8" xfId="0" applyFont="1" applyFill="1" applyBorder="1" applyAlignment="1">
      <x:alignment wrapText="1"/>
    </x:xf>
    <x:xf numFmtId="0" fontId="8" fillId="8" borderId="9" xfId="0" applyFont="1" applyFill="1" applyBorder="1" applyAlignment="1">
      <x:alignment wrapText="1"/>
    </x:xf>
    <x:xf numFmtId="0" fontId="8" fillId="8" borderId="12" xfId="0" applyFont="1" applyFill="1" applyBorder="1" applyAlignment="1">
      <x:alignment wrapText="1"/>
    </x:xf>
    <x:xf numFmtId="0" fontId="8" fillId="8" borderId="13" xfId="0" applyFont="1" applyFill="1" applyBorder="1" applyAlignment="1">
      <x:alignment wrapText="1"/>
    </x:xf>
    <x:xf numFmtId="0" fontId="8" fillId="8" borderId="14" xfId="0" applyFont="1" applyFill="1" applyBorder="1" applyAlignment="1">
      <x:alignment wrapText="1"/>
    </x:xf>
    <x:xf numFmtId="0" fontId="5" fillId="6" borderId="12" xfId="0" applyFont="1" applyFill="1" applyBorder="1" applyAlignment="1">
      <x:alignment vertical="center" wrapText="1"/>
    </x:xf>
    <x:xf numFmtId="0" fontId="5" fillId="6" borderId="13" xfId="0" applyFont="1" applyFill="1" applyBorder="1" applyAlignment="1">
      <x:alignment vertical="center" wrapText="1"/>
    </x:xf>
    <x:xf numFmtId="0" fontId="5" fillId="6" borderId="14" xfId="0" applyFont="1" applyFill="1" applyBorder="1" applyAlignment="1">
      <x:alignment vertical="center" wrapText="1"/>
    </x:xf>
    <x:xf numFmtId="0" fontId="3" fillId="4" borderId="0" xfId="0" applyFont="1" applyFill="1" applyAlignment="1">
      <x:alignment horizontal="center"/>
    </x:xf>
    <x:xf numFmtId="0" fontId="9" fillId="6" borderId="7" xfId="0" applyFont="1" applyFill="1" applyBorder="1" applyAlignment="1">
      <x:alignment horizontal="center" vertical="center"/>
    </x:xf>
    <x:xf numFmtId="0" fontId="9" fillId="6" borderId="9" xfId="0" applyFont="1" applyFill="1" applyBorder="1" applyAlignment="1">
      <x:alignment horizontal="center" vertical="center"/>
    </x:xf>
    <x:xf numFmtId="0" fontId="9" fillId="6" borderId="12" xfId="0" applyFont="1" applyFill="1" applyBorder="1" applyAlignment="1">
      <x:alignment horizontal="center" vertical="center"/>
    </x:xf>
    <x:xf numFmtId="0" fontId="9" fillId="6" borderId="14" xfId="0" applyFont="1" applyFill="1" applyBorder="1" applyAlignment="1">
      <x:alignment horizontal="center" vertical="center"/>
    </x:xf>
    <x:xf numFmtId="9" fontId="9" fillId="6" borderId="7" xfId="0" applyNumberFormat="1" applyFont="1" applyFill="1" applyBorder="1" applyAlignment="1">
      <x:alignment horizontal="center" vertical="center"/>
    </x:xf>
    <x:xf numFmtId="9" fontId="9" fillId="6" borderId="9" xfId="0" applyNumberFormat="1" applyFont="1" applyFill="1" applyBorder="1" applyAlignment="1">
      <x:alignment horizontal="center" vertical="center"/>
    </x:xf>
    <x:xf numFmtId="9" fontId="9" fillId="6" borderId="12" xfId="0" applyNumberFormat="1" applyFont="1" applyFill="1" applyBorder="1" applyAlignment="1">
      <x:alignment horizontal="center" vertical="center"/>
    </x:xf>
    <x:xf numFmtId="9" fontId="9" fillId="6" borderId="14" xfId="0" applyNumberFormat="1" applyFont="1" applyFill="1" applyBorder="1" applyAlignment="1">
      <x:alignment horizontal="center" vertical="center"/>
    </x:xf>
    <x:xf numFmtId="0" fontId="5" fillId="6" borderId="10" xfId="0" applyFont="1" applyFill="1" applyBorder="1" applyAlignment="1">
      <x:alignment wrapText="1"/>
    </x:xf>
    <x:xf numFmtId="0" fontId="5" fillId="6" borderId="0" xfId="0" applyFont="1" applyFill="1" applyAlignment="1">
      <x:alignment wrapText="1"/>
    </x:xf>
    <x:xf numFmtId="0" fontId="5" fillId="6" borderId="11" xfId="0" applyFont="1" applyFill="1" applyBorder="1" applyAlignment="1">
      <x:alignment wrapText="1"/>
    </x:xf>
    <x:xf numFmtId="0" fontId="5" fillId="6" borderId="12" xfId="0" applyFont="1" applyFill="1" applyBorder="1" applyAlignment="1">
      <x:alignment wrapText="1"/>
    </x:xf>
    <x:xf numFmtId="0" fontId="5" fillId="6" borderId="13" xfId="0" applyFont="1" applyFill="1" applyBorder="1" applyAlignment="1">
      <x:alignment wrapText="1"/>
    </x:xf>
    <x:xf numFmtId="0" fontId="5" fillId="6" borderId="14" xfId="0" applyFont="1" applyFill="1" applyBorder="1" applyAlignment="1">
      <x:alignment wrapText="1"/>
    </x:xf>
    <x:xf numFmtId="0" fontId="5" fillId="6" borderId="7" xfId="0" applyFont="1" applyFill="1" applyBorder="1" applyAlignment="1">
      <x:alignment wrapText="1"/>
    </x:xf>
    <x:xf numFmtId="0" fontId="5" fillId="6" borderId="8" xfId="0" applyFont="1" applyFill="1" applyBorder="1" applyAlignment="1">
      <x:alignment wrapText="1"/>
    </x:xf>
    <x:xf numFmtId="0" fontId="5" fillId="6" borderId="9" xfId="0" applyFont="1" applyFill="1" applyBorder="1" applyAlignment="1">
      <x:alignment wrapText="1"/>
    </x:xf>
    <x:xf numFmtId="0" fontId="4" fillId="10" borderId="0" xfId="0" applyFont="1" applyFill="1"/>
    <x:xf numFmtId="0" fontId="0" fillId="0" borderId="0" xfId="0"/>
    <x:xf numFmtId="9" fontId="11" fillId="6" borderId="7" xfId="0" applyNumberFormat="1" applyFont="1" applyFill="1" applyBorder="1" applyAlignment="1">
      <x:alignment horizontal="center" vertical="center"/>
    </x:xf>
    <x:xf numFmtId="9" fontId="11" fillId="6" borderId="9" xfId="0" applyNumberFormat="1" applyFont="1" applyFill="1" applyBorder="1" applyAlignment="1">
      <x:alignment horizontal="center" vertical="center"/>
    </x:xf>
    <x:xf numFmtId="9" fontId="11" fillId="6" borderId="12" xfId="0" applyNumberFormat="1" applyFont="1" applyFill="1" applyBorder="1" applyAlignment="1">
      <x:alignment horizontal="center" vertical="center"/>
    </x:xf>
    <x:xf numFmtId="9" fontId="11" fillId="6" borderId="14" xfId="0" applyNumberFormat="1" applyFont="1" applyFill="1" applyBorder="1" applyAlignment="1">
      <x:alignment horizontal="center" vertical="center"/>
    </x:xf>
    <x:xf numFmtId="0" fontId="12" fillId="6" borderId="7" xfId="0" applyFont="1" applyFill="1" applyBorder="1" applyAlignment="1">
      <x:alignment horizontal="center" vertical="center"/>
    </x:xf>
    <x:xf numFmtId="0" fontId="12" fillId="6" borderId="9" xfId="0" applyFont="1" applyFill="1" applyBorder="1" applyAlignment="1">
      <x:alignment horizontal="center" vertical="center"/>
    </x:xf>
    <x:xf numFmtId="0" fontId="12" fillId="6" borderId="12" xfId="0" applyFont="1" applyFill="1" applyBorder="1" applyAlignment="1">
      <x:alignment horizontal="center" vertical="center"/>
    </x:xf>
    <x:xf numFmtId="0" fontId="12" fillId="6" borderId="14" xfId="0" applyFont="1" applyFill="1" applyBorder="1" applyAlignment="1">
      <x:alignment horizontal="center" vertical="center"/>
    </x:xf>
    <x:xf numFmtId="0" fontId="13" fillId="9" borderId="7" xfId="0" applyFont="1" applyFill="1" applyBorder="1" applyAlignment="1">
      <x:alignment vertical="center" wrapText="1"/>
    </x:xf>
    <x:xf numFmtId="0" fontId="13" fillId="9" borderId="8" xfId="0" applyFont="1" applyFill="1" applyBorder="1" applyAlignment="1">
      <x:alignment vertical="center" wrapText="1"/>
    </x:xf>
    <x:xf numFmtId="0" fontId="13" fillId="9" borderId="9" xfId="0" applyFont="1" applyFill="1" applyBorder="1" applyAlignment="1">
      <x:alignment vertical="center" wrapText="1"/>
    </x:xf>
    <x:xf numFmtId="0" fontId="13" fillId="9" borderId="12" xfId="0" applyFont="1" applyFill="1" applyBorder="1" applyAlignment="1">
      <x:alignment vertical="center" wrapText="1"/>
    </x:xf>
    <x:xf numFmtId="0" fontId="13" fillId="9" borderId="13" xfId="0" applyFont="1" applyFill="1" applyBorder="1" applyAlignment="1">
      <x:alignment vertical="center" wrapText="1"/>
    </x:xf>
    <x:xf numFmtId="0" fontId="13" fillId="9" borderId="14" xfId="0" applyFont="1" applyFill="1" applyBorder="1" applyAlignment="1">
      <x:alignment vertical="center" wrapText="1"/>
    </x:xf>
    <x:xf numFmtId="0" fontId="3" fillId="12" borderId="15" xfId="0" applyFont="1" applyFill="1" applyBorder="1" applyAlignment="1">
      <x:alignment vertical="center" wrapText="1"/>
    </x:xf>
    <x:xf numFmtId="0" fontId="13" fillId="9" borderId="1" xfId="0" applyFont="1" applyFill="1" applyBorder="1" applyAlignment="1">
      <x:alignment wrapText="1"/>
    </x:xf>
    <x:xf numFmtId="0" fontId="13" fillId="9" borderId="2" xfId="0" applyFont="1" applyFill="1" applyBorder="1" applyAlignment="1">
      <x:alignment wrapText="1"/>
    </x:xf>
    <x:xf numFmtId="0" fontId="13" fillId="9" borderId="3" xfId="0" applyFont="1" applyFill="1" applyBorder="1" applyAlignment="1">
      <x:alignment wrapText="1"/>
    </x:xf>
    <x:xf numFmtId="0" fontId="1" fillId="10" borderId="0" xfId="0" applyFont="1" applyFill="1" applyAlignment="1">
      <x:alignment vertical="top"/>
    </x:xf>
    <x:xf numFmtId="0" fontId="2" fillId="11" borderId="0" xfId="0" applyFont="1" applyFill="1" applyAlignment="1">
      <x:alignment vertical="top" wrapText="1"/>
    </x:xf>
    <x:xf numFmtId="0" fontId="8" fillId="8" borderId="1" xfId="0" applyFont="1" applyFill="1" applyBorder="1" applyAlignment="1">
      <x:alignment wrapText="1"/>
    </x:xf>
    <x:xf numFmtId="0" fontId="8" fillId="8" borderId="2" xfId="0" applyFont="1" applyFill="1" applyBorder="1" applyAlignment="1">
      <x:alignment wrapText="1"/>
    </x:xf>
    <x:xf numFmtId="0" fontId="8" fillId="8" borderId="3" xfId="0" applyFont="1" applyFill="1" applyBorder="1" applyAlignment="1">
      <x:alignment wrapText="1"/>
    </x:xf>
    <x:xf numFmtId="0" fontId="4" fillId="14" borderId="0" xfId="0" applyFont="1" applyFill="1" applyAlignment="1">
      <x:alignment horizontal="left" vertical="center" wrapText="1"/>
    </x:xf>
    <x:xf numFmtId="0" fontId="7" fillId="15" borderId="0" xfId="0" applyFont="1" applyFill="1" applyAlignment="1">
      <x:alignment wrapText="1"/>
    </x:xf>
    <x:xf numFmtId="0" fontId="4" fillId="13" borderId="0" xfId="0" applyFont="1" applyFill="1" applyAlignment="1">
      <x:alignment wrapText="1"/>
    </x:xf>
  </x:cellXfs>
  <x:cellStyles count="1">
    <x:cellStyle name="Normal" xfId="0"/>
  </x:cellStyles>
  <x:dxfs count="63">
    <x:dxf>
      <x:font>
        <x:b/>
        <x:color rgb="FF991B1B"/>
      </x:font>
      <x:fill>
        <x:patternFill>
          <x:bgColor rgb="FFFEE2E2"/>
        </x:patternFill>
      </x:fill>
    </x:dxf>
    <x:dxf>
      <x:font>
        <x:color rgb="FF5B6573"/>
      </x:font>
      <x:fill>
        <x:patternFill>
          <x:bgColor rgb="FFE5E7EB"/>
        </x:patternFill>
      </x:fill>
    </x:dxf>
    <x:dxf>
      <x:font>
        <x:b/>
        <x:color rgb="FF92400E"/>
      </x:font>
      <x:fill>
        <x:patternFill>
          <x:bgColor rgb="FFFEF3C7"/>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0F2747"/>
      </x:font>
      <x:fill>
        <x:patternFill>
          <x:bgColor rgb="FFEDE9FE"/>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dxf/>
    <x:dxf/>
    <x:dxf/>
    <x:dxf/>
    <x:dxf/>
    <x:dxf/>
    <x:dxf/>
    <x:dxf/>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bea1be78dcdb4585" /><Relationship Type="http://schemas.openxmlformats.org/officeDocument/2006/relationships/theme" Target="/xl/theme/theme1.xml" Id="Rcb6fb7b3ed724a6e" /><Relationship Type="http://schemas.openxmlformats.org/officeDocument/2006/relationships/sharedStrings" Target="/xl/sharedStrings.xml" Id="Reb3e5060f2364803" /><Relationship Type="http://schemas.openxmlformats.org/officeDocument/2006/relationships/worksheet" Target="/xl/worksheets/sheet1.xml" Id="R6e5290db716545be" /><Relationship Type="http://schemas.openxmlformats.org/officeDocument/2006/relationships/worksheet" Target="/xl/worksheets/sheet2.xml" Id="R581b0512cfd14043" /><Relationship Type="http://schemas.openxmlformats.org/officeDocument/2006/relationships/worksheet" Target="/xl/worksheets/sheet3.xml" Id="R28bc931309544238" /><Relationship Type="http://schemas.openxmlformats.org/officeDocument/2006/relationships/worksheet" Target="/xl/worksheets/sheet4.xml" Id="R20c97b8b2d674479" /><Relationship Type="http://schemas.openxmlformats.org/officeDocument/2006/relationships/worksheet" Target="/xl/worksheets/sheet5.xml" Id="Rea639e70e58f4f26" /><Relationship Type="http://schemas.openxmlformats.org/officeDocument/2006/relationships/worksheet" Target="/xl/worksheets/sheet6.xml" Id="Rcb4da426f0d24688" /><Relationship Type="http://schemas.openxmlformats.org/officeDocument/2006/relationships/worksheet" Target="/xl/worksheets/sheet7.xml" Id="R825db4d39fa74861" /><Relationship Type="http://schemas.openxmlformats.org/officeDocument/2006/relationships/worksheet" Target="/xl/worksheets/sheet8.xml" Id="R91e1df7946104e4b" /><Relationship Type="http://schemas.openxmlformats.org/officeDocument/2006/relationships/worksheet" Target="/xl/worksheets/sheet9.xml" Id="Rf6405084b77b4908" /><Relationship Type="http://schemas.openxmlformats.org/officeDocument/2006/relationships/worksheet" Target="/xl/worksheets/sheet10.xml" Id="Rfe589b4175c34d0a" /><Relationship Type="http://schemas.openxmlformats.org/officeDocument/2006/relationships/worksheet" Target="/xl/worksheets/sheet11.xml" Id="R6da7d867613f4388" /><Relationship Type="http://schemas.openxmlformats.org/officeDocument/2006/relationships/worksheet" Target="/xl/worksheets/sheet12.xml" Id="R05ece6e8d5234d2a" /><Relationship Type="http://schemas.openxmlformats.org/officeDocument/2006/relationships/worksheet" Target="/xl/worksheets/sheet13.xml" Id="Rd6fed354c6214bb7" /><Relationship Type="http://schemas.openxmlformats.org/officeDocument/2006/relationships/worksheet" Target="/xl/worksheets/sheet14.xml" Id="R3d8a4d785f4d450e" /><Relationship Type="http://schemas.openxmlformats.org/officeDocument/2006/relationships/worksheet" Target="/xl/worksheets/sheet15.xml" Id="R14a1d85ca4374b9a" /><Relationship Type="http://schemas.openxmlformats.org/officeDocument/2006/relationships/worksheet" Target="/xl/worksheets/sheet16.xml" Id="Rc8a05a8ca3b74306" /><Relationship Type="http://schemas.openxmlformats.org/officeDocument/2006/relationships/worksheet" Target="/xl/worksheets/sheet17.xml" Id="Rff939211e75a4d4a" /><Relationship Type="http://schemas.openxmlformats.org/officeDocument/2006/relationships/worksheet" Target="/xl/worksheets/sheet18.xml" Id="R8e2f64d2b50d43a3" /><Relationship Type="http://schemas.openxmlformats.org/officeDocument/2006/relationships/worksheet" Target="/xl/worksheets/sheet19.xml" Id="Rde8232005a5441a0" /></Relationships>
</file>

<file path=xl/drawings/_rels/drawing1.xml.rels>&#65279;<?xml version="1.0" encoding="utf-8"?><Relationships xmlns="http://schemas.openxmlformats.org/package/2006/relationships"><Relationship Type="http://schemas.openxmlformats.org/officeDocument/2006/relationships/chart" Target="/xl/drawings/charts/chart1.xml" Id="Rfccc6df16ab7472e"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Completion by week</a:t>
            </a:r>
          </a:p>
        </c:rich>
      </c:tx>
      <c:overlay val="0"/>
    </c:title>
    <c:autoTitleDeleted val="0"/>
    <c:plotArea>
      <c:barChart>
        <c:barDir val="col"/>
        <c:grouping val="clustered"/>
        <c:varyColors val="0"/>
        <c:ser>
          <c:idx val="0"/>
          <c:order val="0"/>
          <c:tx>
            <c:v>Progress</c:v>
          </c:tx>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0.38461538461538464</c:v>
                </c:pt>
                <c:pt idx="2">
                  <c:v>0</c:v>
                </c:pt>
                <c:pt idx="3">
                  <c:v>0</c:v>
                </c:pt>
                <c:pt idx="4">
                  <c:v>0</c:v>
                </c:pt>
                <c:pt idx="5">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10</xdr:row>
      <xdr:rowOff>0</xdr:rowOff>
    </xdr:from>
    <xdr:to>
      <xdr:col>16</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cc6df16ab7472e"/>
        </a:graphicData>
      </a:graphic>
    </xdr:graphicFrame>
    <xdr:clientData/>
  </xdr:twoCellAnchor>
</xdr:wsDr>
</file>

<file path=xl/tables/table1.xml><?xml version="1.0" encoding="utf-8"?>
<x:table xmlns:x="http://schemas.openxmlformats.org/spreadsheetml/2006/main" id="1" name="MasterPlanTable" displayName="MasterPlanTable" ref="A5:T85" totalsRowShown="0">
  <x:autoFilter ref="A5:T85">
    <x:filterColumn colId="1">
      <x:filters>
        <x:filter val="Week 2"/>
      </x:filters>
    </x:filterColumn>
    <x:filterColumn colId="9">
      <x:filters>
        <x:filter val="W2-001"/>
      </x:filters>
    </x:filterColumn>
  </x:autoFilter>
  <x:tableColumns count="20">
    <x:tableColumn id="1" name="Step ID"/>
    <x:tableColumn id="2" name="Week"/>
    <x:tableColumn id="3" name="Seq"/>
    <x:tableColumn id="4" name="Priority"/>
    <x:tableColumn id="5" name="Workstream"/>
    <x:tableColumn id="6" name="Task / Outcome"/>
    <x:tableColumn id="7" name="Why It Matters"/>
    <x:tableColumn id="8" name="Owner"/>
    <x:tableColumn id="9" name="Effort (h)"/>
    <x:tableColumn id="10" name="Prompt ID"/>
    <x:tableColumn id="11" name="User TODO IDs"/>
    <x:tableColumn id="12" name="Acceptance Criteria"/>
    <x:tableColumn id="13" name="Owner Verification Command"/>
    <x:tableColumn id="14" name="Expected Result"/>
    <x:tableColumn id="15" name="Evidence Path"/>
    <x:tableColumn id="16" name="Decision ID"/>
    <x:tableColumn id="17" name="Dependency"/>
    <x:tableColumn id="18" name="Rollback / Teardown"/>
    <x:tableColumn id="19" name="Status"/>
    <x:tableColumn id="20" name="Notes"/>
  </x:tableColumns>
  <x:tableStyleInfo name="TableStyleMedium2" showFirstColumn="0" showLastColumn="0" showRowStripes="1" showColumnStripes="0"/>
</x:table>
</file>

<file path=xl/tables/table2.xml><?xml version="1.0" encoding="utf-8"?>
<x:table xmlns:x="http://schemas.openxmlformats.org/spreadsheetml/2006/main" id="2" name="Week1PlanTable" displayName="Week1PlanTable" ref="A9:O22" totalsRowShown="0">
  <x:autoFilter ref="A9:O22"/>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3.xml><?xml version="1.0" encoding="utf-8"?>
<x:table xmlns:x="http://schemas.openxmlformats.org/spreadsheetml/2006/main" id="3" name="Week2PlanTable" displayName="Week2PlanTable" ref="A9:O22" totalsRowShown="0">
  <x:autoFilter ref="A9:O22">
    <x:filterColumn colId="8">
      <x:filters>
        <x:filter val="W2-001"/>
      </x:filters>
    </x:filterColumn>
  </x:autoFilter>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4.xml><?xml version="1.0" encoding="utf-8"?>
<x:table xmlns:x="http://schemas.openxmlformats.org/spreadsheetml/2006/main" id="4" name="Week3PlanTable" displayName="Week3PlanTable" ref="A9:O22" totalsRowShown="0">
  <x:autoFilter ref="A9:O22"/>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5.xml><?xml version="1.0" encoding="utf-8"?>
<x:table xmlns:x="http://schemas.openxmlformats.org/spreadsheetml/2006/main" id="5" name="Week4PlanTable" displayName="Week4PlanTable" ref="A9:O22" totalsRowShown="0">
  <x:autoFilter ref="A9:O22"/>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6.xml><?xml version="1.0" encoding="utf-8"?>
<x:table xmlns:x="http://schemas.openxmlformats.org/spreadsheetml/2006/main" id="6" name="Week5PlanTable" displayName="Week5PlanTable" ref="A9:O23" totalsRowShown="0">
  <x:autoFilter ref="A9:O23"/>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7.xml><?xml version="1.0" encoding="utf-8"?>
<x:table xmlns:x="http://schemas.openxmlformats.org/spreadsheetml/2006/main" id="7" name="Week6PlanTable" displayName="Week6PlanTable" ref="A9:O23" totalsRowShown="0">
  <x:autoFilter ref="A9:O23"/>
  <x:tableColumns count="15">
    <x:tableColumn id="1" name="Step ID"/>
    <x:tableColumn id="2" name="Seq"/>
    <x:tableColumn id="3" name="Priority"/>
    <x:tableColumn id="4" name="Workstream"/>
    <x:tableColumn id="5" name="Action"/>
    <x:tableColumn id="6" name="Architecture Reason"/>
    <x:tableColumn id="7" name="Owner"/>
    <x:tableColumn id="8" name="Effort"/>
    <x:tableColumn id="9" name="Prompt"/>
    <x:tableColumn id="10" name="User TODO"/>
    <x:tableColumn id="11" name="Acceptance"/>
    <x:tableColumn id="12" name="Verify"/>
    <x:tableColumn id="13" name="Evidence"/>
    <x:tableColumn id="14" name="Rollback/Teardown"/>
    <x:tableColumn id="15" name="Status"/>
  </x:tableColumns>
  <x:tableStyleInfo name="TableStyleMedium2" showFirstColumn="0" showLastColumn="0" showRowStripes="1" showColumnStripes="0"/>
</x:table>
</file>

<file path=xl/tables/table8.xml><?xml version="1.0" encoding="utf-8"?>
<x:table xmlns:x="http://schemas.openxmlformats.org/spreadsheetml/2006/main" id="8" name="ArchitectureMapTable" displayName="ArchitectureMapTable" ref="A6:H24" totalsRowShown="0">
  <x:autoFilter ref="A6:H24"/>
  <x:tableColumns count="8">
    <x:tableColumn id="1" name="Layer"/>
    <x:tableColumn id="2" name="Component"/>
    <x:tableColumn id="3" name="Plain-Language Role"/>
    <x:tableColumn id="4" name="Selected Design"/>
    <x:tableColumn id="5" name="Build Week"/>
    <x:tableColumn id="6" name="Decision IDs"/>
    <x:tableColumn id="7" name="Safe Failure Behavior"/>
    <x:tableColumn id="8" name="How We Verify"/>
  </x:tableColumns>
  <x:tableStyleInfo name="TableStyleMedium2" showFirstColumn="0" showLastColumn="0" showRowStripes="1" showColumnStripes="0"/>
</x:table>
</file>

<file path=xl/tables/table9.xml><?xml version="1.0" encoding="utf-8"?>
<x:table xmlns:x="http://schemas.openxmlformats.org/spreadsheetml/2006/main" id="20" name="CodexPromptTable" displayName="CodexPromptTable" ref="A5:N44" headerRowCount="1" totalsRowCount="0" totalsRowShown="0">
  <x:tableColumns count="14">
    <x:tableColumn id="1" name="Prompt ID"/>
    <x:tableColumn id="2" name="Week"/>
    <x:tableColumn id="3" name="Feature"/>
    <x:tableColumn id="4" name="Purpose"/>
    <x:tableColumn id="5" name="Required Inputs"/>
    <x:tableColumn id="6" name="Expected Outputs"/>
    <x:tableColumn id="7" name="Main Prompt (paste first)"/>
    <x:tableColumn id="8" name="Workflow / Execution Order"/>
    <x:tableColumn id="9" name="Verification / Stop Point"/>
    <x:tableColumn id="10" name="Owner Approval"/>
    <x:tableColumn id="11" name="Covered Tracker Steps"/>
    <x:tableColumn id="12" name="Column L — Code or Content Edit Approval"/>
    <x:tableColumn id="13" name="Column M — Document Approval + Manifest"/>
    <x:tableColumn id="14" name="Column N — Final Approval + Complete Closure"/>
  </x:tableColumns>
  <x:tableStyleInfo name="TableStyleMedium2" showFirstColumn="0" showLastColumn="0" showRowStripes="1" showColumnStripes="0"/>
</x:table>
</file>

<file path=xl/tables/table10.xml><?xml version="1.0" encoding="utf-8"?>
<x:table xmlns:x="http://schemas.openxmlformats.org/spreadsheetml/2006/main" id="18" name="TestEvidenceTable" displayName="TestEvidenceTable" ref="A5:L39" totalsRowShown="0">
  <x:tableColumns count="12">
    <x:tableColumn id="1" name="Test ID"/>
    <x:tableColumn id="2" name="Week"/>
    <x:tableColumn id="3" name="Type"/>
    <x:tableColumn id="4" name="Scope"/>
    <x:tableColumn id="5" name="Command"/>
    <x:tableColumn id="6" name="Expected Result"/>
    <x:tableColumn id="7" name="Evidence Path"/>
    <x:tableColumn id="8" name="Status"/>
    <x:tableColumn id="9" name="Run Date"/>
    <x:tableColumn id="10" name="Actual Result"/>
    <x:tableColumn id="11" name="Defect / Follow-up"/>
    <x:tableColumn id="12" name="Owner Sign-off"/>
  </x:tableColumns>
  <x:tableStyleInfo name="TableStyleMedium2" showFirstColumn="0" showLastColumn="0" showRowStripes="1" showColumnStripes="0"/>
</x:table>
</file>

<file path=xl/tables/table11.xml><?xml version="1.0" encoding="utf-8"?>
<x:table xmlns:x="http://schemas.openxmlformats.org/spreadsheetml/2006/main" id="11" name="DecisionLogTable" displayName="DecisionLogTable" ref="A5:K23" totalsRowShown="0">
  <x:autoFilter ref="A5:K23"/>
  <x:tableColumns count="11">
    <x:tableColumn id="1" name="Decision ID"/>
    <x:tableColumn id="2" name="Decision"/>
    <x:tableColumn id="3" name="Status"/>
    <x:tableColumn id="4" name="Decision Week"/>
    <x:tableColumn id="5" name="Rationale"/>
    <x:tableColumn id="6" name="Alternatives"/>
    <x:tableColumn id="7" name="Trade-offs / Cost / Risk"/>
    <x:tableColumn id="8" name="Revisit Trigger"/>
    <x:tableColumn id="9" name="Owner"/>
    <x:tableColumn id="10" name="ADR Evidence Path"/>
    <x:tableColumn id="11" name="Review Notes"/>
  </x:tableColumns>
  <x:tableStyleInfo name="TableStyleMedium2" showFirstColumn="0" showLastColumn="0" showRowStripes="1" showColumnStripes="0"/>
</x:table>
</file>

<file path=xl/tables/table12.xml><?xml version="1.0" encoding="utf-8"?>
<x:table xmlns:x="http://schemas.openxmlformats.org/spreadsheetml/2006/main" id="12" name="OwnerTodoTable" displayName="OwnerTodoTable" ref="A5:J30" totalsRowShown="0">
  <x:autoFilter ref="A5:J30">
    <x:filterColumn colId="3">
      <x:filters>
        <x:filter val="Week 1"/>
        <x:filter val="Week 2"/>
      </x:filters>
    </x:filterColumn>
    <x:filterColumn colId="7">
      <x:filters>
        <x:filter val=".pre-commit-config.yaml; .secrets.baseline; docs/test-evidence/W1-08-precommit.txt"/>
        <x:filter val="configs/pii-policy.yaml"/>
        <x:filter val="configs/tags.yaml"/>
      </x:filters>
    </x:filterColumn>
  </x:autoFilter>
  <x:tableColumns count="10">
    <x:tableColumn id="1" name="TODO ID"/>
    <x:tableColumn id="2" name="Category"/>
    <x:tableColumn id="3" name="Owner Action"/>
    <x:tableColumn id="4" name="Due Week"/>
    <x:tableColumn id="5" name="Blocking?"/>
    <x:tableColumn id="6" name="Status"/>
    <x:tableColumn id="7" name="Owner"/>
    <x:tableColumn id="8" name="Where Used"/>
    <x:tableColumn id="9" name="Decision / Notes"/>
    <x:tableColumn id="10" name="Completed Date"/>
  </x:tableColumns>
  <x:tableStyleInfo name="TableStyleMedium2" showFirstColumn="0" showLastColumn="0" showRowStripes="1" showColumnStripes="0"/>
</x:table>
</file>

<file path=xl/tables/table13.xml><?xml version="1.0" encoding="utf-8"?>
<x:table xmlns:x="http://schemas.openxmlformats.org/spreadsheetml/2006/main" id="13" name="LifecycleOrderTable" displayName="LifecycleOrderTable" ref="A11:E27" totalsRowShown="0">
  <x:autoFilter ref="A11:E27"/>
  <x:tableColumns count="5">
    <x:tableColumn id="1" name="Order"/>
    <x:tableColumn id="2" name="Action"/>
    <x:tableColumn id="3" name="Applies To"/>
    <x:tableColumn id="4" name="Verification / Required Outcome"/>
    <x:tableColumn id="5" name="Failure / Recovery Rule"/>
  </x:tableColumns>
  <x:tableStyleInfo name="TableStyleMedium2" showFirstColumn="0" showLastColumn="0" showRowStripes="1" showColumnStripes="0"/>
</x:table>
</file>

<file path=xl/tables/table14.xml><?xml version="1.0" encoding="utf-8"?>
<x:table xmlns:x="http://schemas.openxmlformats.org/spreadsheetml/2006/main" id="14" name="TechAdoptionTable" displayName="TechAdoptionTable" ref="A5:G69" totalsRowShown="0">
  <x:autoFilter ref="A5:G69"/>
  <x:tableColumns count="7">
    <x:tableColumn id="1" name="Category"/>
    <x:tableColumn id="2" name="Technology"/>
    <x:tableColumn id="3" name="Priority"/>
    <x:tableColumn id="4" name="When"/>
    <x:tableColumn id="5" name="Why / Role"/>
    <x:tableColumn id="6" name="Open Alternative / Migration"/>
    <x:tableColumn id="7" name="Cost, Residency and Privacy Note"/>
  </x:tableColumns>
  <x:tableStyleInfo name="TableStyleMedium2" showFirstColumn="0" showLastColumn="0" showRowStripes="1" showColumnStripes="0"/>
</x:table>
</file>

<file path=xl/tables/table15.xml><?xml version="1.0" encoding="utf-8"?>
<x:table xmlns:x="http://schemas.openxmlformats.org/spreadsheetml/2006/main" id="15" name="EnvironmentVariableTable" displayName="EnvironmentVariableTable" ref="A5:H38" totalsRowShown="0">
  <x:autoFilter ref="A5:H38"/>
  <x:tableColumns count="8">
    <x:tableColumn id="1" name="Variable"/>
    <x:tableColumn id="2" name="Scope"/>
    <x:tableColumn id="3" name="Secret?"/>
    <x:tableColumn id="4" name="Example / Placeholder"/>
    <x:tableColumn id="5" name="Needed By"/>
    <x:tableColumn id="6" name="Validation / Rule"/>
    <x:tableColumn id="7" name="Consumer"/>
    <x:tableColumn id="8" name="Owner Notes"/>
  </x:tableColumns>
  <x:tableStyleInfo name="TableStyleMedium2" showFirstColumn="0" showLastColumn="0" showRowStripes="1" showColumnStripes="0"/>
</x:table>
</file>

<file path=xl/tables/table16.xml><?xml version="1.0" encoding="utf-8"?>
<x:table xmlns:x="http://schemas.openxmlformats.org/spreadsheetml/2006/main" id="16" name="SourceTraceTable" displayName="SourceTraceTable" ref="A5:F8" totalsRowShown="0">
  <x:autoFilter ref="A5:F8"/>
  <x:tableColumns count="6">
    <x:tableColumn id="1" name="Source"/>
    <x:tableColumn id="2" name="Version / Type"/>
    <x:tableColumn id="3" name="Content Used"/>
    <x:tableColumn id="4" name="Authority"/>
    <x:tableColumn id="5" name="Conflict Rule"/>
    <x:tableColumn id="6" name="Review Status"/>
  </x:tableColumns>
  <x:tableStyleInfo name="TableStyleMedium2" showFirstColumn="0" showLastColumn="0" showRowStripes="1" showColumnStripes="0"/>
</x:table>
</file>

<file path=xl/tables/table17.xml><?xml version="1.0" encoding="utf-8"?>
<x:table xmlns:x="http://schemas.openxmlformats.org/spreadsheetml/2006/main" id="19" name="LearningJourneyTable" displayName="LearningJourneyTable" ref="A12:H18" totalsRowShown="0">
  <x:tableColumns count="8">
    <x:tableColumn id="1" name="Week"/>
    <x:tableColumn id="2" name="Business Outcome"/>
    <x:tableColumn id="3" name="Technical Focus"/>
    <x:tableColumn id="4" name="Owner Hands-On"/>
    <x:tableColumn id="5" name="Decisions to Explain"/>
    <x:tableColumn id="6" name="Interview Story"/>
    <x:tableColumn id="7" name="Weekly Learning Task"/>
    <x:tableColumn id="8" name="Learning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cad03db9fac64674" /></Relationships>
</file>

<file path=xl/worksheets/_rels/sheet3.xml.rels>&#65279;<?xml version="1.0" encoding="utf-8"?><Relationships xmlns="http://schemas.openxmlformats.org/package/2006/relationships"><Relationship Type="http://schemas.openxmlformats.org/officeDocument/2006/relationships/table" Target="/xl/tables/table1.xml" Id="R402ec53d3625470d" /></Relationships>
</file>

<file path=xl/worksheets/_rels/sheet4.xml.rels>&#65279;<?xml version="1.0" encoding="utf-8"?><Relationships xmlns="http://schemas.openxmlformats.org/package/2006/relationships"><Relationship Type="http://schemas.openxmlformats.org/officeDocument/2006/relationships/table" Target="/xl/tables/table2.xml" Id="R92daaaea82de44af" /></Relationships>
</file>

<file path=xl/worksheets/_rels/sheet5.xml.rels>&#65279;<?xml version="1.0" encoding="utf-8"?><Relationships xmlns="http://schemas.openxmlformats.org/package/2006/relationships"><Relationship Type="http://schemas.openxmlformats.org/officeDocument/2006/relationships/table" Target="/xl/tables/table3.xml" Id="R8344346a3fbf4ce9" /></Relationships>
</file>

<file path=xl/worksheets/_rels/sheet6.xml.rels>&#65279;<?xml version="1.0" encoding="utf-8"?><Relationships xmlns="http://schemas.openxmlformats.org/package/2006/relationships"><Relationship Type="http://schemas.openxmlformats.org/officeDocument/2006/relationships/table" Target="/xl/tables/table4.xml" Id="R54586b6397fa4d28" /></Relationships>
</file>

<file path=xl/worksheets/_rels/sheet7.xml.rels>&#65279;<?xml version="1.0" encoding="utf-8"?><Relationships xmlns="http://schemas.openxmlformats.org/package/2006/relationships"><Relationship Type="http://schemas.openxmlformats.org/officeDocument/2006/relationships/table" Target="/xl/tables/table5.xml" Id="Rb5f3c92b6f3e41da" /></Relationships>
</file>

<file path=xl/worksheets/_rels/sheet8.xml.rels>&#65279;<?xml version="1.0" encoding="utf-8"?><Relationships xmlns="http://schemas.openxmlformats.org/package/2006/relationships"><Relationship Type="http://schemas.openxmlformats.org/officeDocument/2006/relationships/table" Target="/xl/tables/table6.xml" Id="Rf9c94477c0d74c60" /></Relationships>
</file>

<file path=xl/worksheets/_rels/sheet9.xml.rels>&#65279;<?xml version="1.0" encoding="utf-8"?><Relationships xmlns="http://schemas.openxmlformats.org/package/2006/relationships"><Relationship Type="http://schemas.openxmlformats.org/officeDocument/2006/relationships/table" Target="/xl/tables/table7.xml" Id="R3af4df68c32d4525" /></Relationships>
</file>

<file path=xl/worksheets/_rels/sheet10.xml.rels>&#65279;<?xml version="1.0" encoding="utf-8"?><Relationships xmlns="http://schemas.openxmlformats.org/package/2006/relationships"><Relationship Type="http://schemas.openxmlformats.org/officeDocument/2006/relationships/table" Target="/xl/tables/table8.xml" Id="R3e9025ff210740f4" /></Relationships>
</file>

<file path=xl/worksheets/_rels/sheet11.xml.rels>&#65279;<?xml version="1.0" encoding="utf-8"?><Relationships xmlns="http://schemas.openxmlformats.org/package/2006/relationships"><Relationship Type="http://schemas.openxmlformats.org/officeDocument/2006/relationships/table" Target="/xl/tables/table9.xml" Id="Re2240347880c4516" /></Relationships>
</file>

<file path=xl/worksheets/_rels/sheet12.xml.rels>&#65279;<?xml version="1.0" encoding="utf-8"?><Relationships xmlns="http://schemas.openxmlformats.org/package/2006/relationships"><Relationship Type="http://schemas.openxmlformats.org/officeDocument/2006/relationships/table" Target="/xl/tables/table10.xml" Id="R68adbbff08854453" /></Relationships>
</file>

<file path=xl/worksheets/_rels/sheet13.xml.rels>&#65279;<?xml version="1.0" encoding="utf-8"?><Relationships xmlns="http://schemas.openxmlformats.org/package/2006/relationships"><Relationship Type="http://schemas.openxmlformats.org/officeDocument/2006/relationships/table" Target="/xl/tables/table11.xml" Id="R5b0c162dc34241b1" /></Relationships>
</file>

<file path=xl/worksheets/_rels/sheet14.xml.rels>&#65279;<?xml version="1.0" encoding="utf-8"?><Relationships xmlns="http://schemas.openxmlformats.org/package/2006/relationships"><Relationship Type="http://schemas.openxmlformats.org/officeDocument/2006/relationships/table" Target="/xl/tables/table12.xml" Id="Rff40f8a738484a12" /></Relationships>
</file>

<file path=xl/worksheets/_rels/sheet15.xml.rels>&#65279;<?xml version="1.0" encoding="utf-8"?><Relationships xmlns="http://schemas.openxmlformats.org/package/2006/relationships"><Relationship Type="http://schemas.openxmlformats.org/officeDocument/2006/relationships/table" Target="/xl/tables/table13.xml" Id="R8ccf956b4ce64731" /></Relationships>
</file>

<file path=xl/worksheets/_rels/sheet16.xml.rels>&#65279;<?xml version="1.0" encoding="utf-8"?><Relationships xmlns="http://schemas.openxmlformats.org/package/2006/relationships"><Relationship Type="http://schemas.openxmlformats.org/officeDocument/2006/relationships/table" Target="/xl/tables/table14.xml" Id="R1e4cfbc472e64bde" /></Relationships>
</file>

<file path=xl/worksheets/_rels/sheet17.xml.rels>&#65279;<?xml version="1.0" encoding="utf-8"?><Relationships xmlns="http://schemas.openxmlformats.org/package/2006/relationships"><Relationship Type="http://schemas.openxmlformats.org/officeDocument/2006/relationships/table" Target="/xl/tables/table15.xml" Id="R7fd30d83250149e9" /></Relationships>
</file>

<file path=xl/worksheets/_rels/sheet18.xml.rels>&#65279;<?xml version="1.0" encoding="utf-8"?><Relationships xmlns="http://schemas.openxmlformats.org/package/2006/relationships"><Relationship Type="http://schemas.openxmlformats.org/officeDocument/2006/relationships/table" Target="/xl/tables/table16.xml" Id="R9ce60cbc957e4e30" /></Relationships>
</file>

<file path=xl/worksheets/_rels/sheet19.xml.rels>&#65279;<?xml version="1.0" encoding="utf-8"?><Relationships xmlns="http://schemas.openxmlformats.org/package/2006/relationships"><Relationship Type="http://schemas.openxmlformats.org/officeDocument/2006/relationships/table" Target="/xl/tables/table17.xml" Id="R33f10a701fe146a0" /></Relationships>
</file>

<file path=xl/worksheets/sheet1.xml><?xml version="1.0" encoding="utf-8"?>
<x:worksheet xmlns:x="http://schemas.openxmlformats.org/spreadsheetml/2006/main">
  <x:sheetViews>
    <x:sheetView showGridLines="0" workbookViewId="0"/>
  </x:sheetViews>
  <x:sheetFormatPr defaultRowHeight="13.800000190734863"/>
  <x:cols>
    <x:col min="1" max="1" width="2.8984375" customWidth="1"/>
    <x:col min="2" max="2" width="21.296875" customWidth="1"/>
    <x:col min="3" max="4" width="22" customWidth="1"/>
    <x:col min="5" max="5" width="22.796875" customWidth="1"/>
    <x:col min="6" max="6" width="15.59765625" customWidth="1"/>
    <x:col min="7" max="9" width="22" customWidth="1"/>
    <x:col min="10" max="10" width="18" customWidth="1"/>
  </x:cols>
  <x:sheetData>
    <x:row r="1" ht="22.799999237060547">
      <x:c r="A1" s="56" t="s">
        <x:v>0</x:v>
      </x:c>
      <x:c r="B1" s="56"/>
      <x:c r="C1" s="56"/>
      <x:c r="D1" s="56"/>
      <x:c r="E1" s="56"/>
      <x:c r="F1" s="56"/>
      <x:c r="G1" s="56"/>
      <x:c r="H1" s="56"/>
      <x:c r="I1" s="56"/>
      <x:c r="J1" s="56"/>
    </x:row>
    <x:row r="2">
      <x:c r="A2" s="57" t="s">
        <x:v>1</x:v>
      </x:c>
      <x:c r="B2" s="57"/>
      <x:c r="C2" s="57"/>
      <x:c r="D2" s="57"/>
      <x:c r="E2" s="57"/>
      <x:c r="F2" s="57"/>
      <x:c r="G2" s="57"/>
      <x:c r="H2" s="57"/>
      <x:c r="I2" s="57"/>
      <x:c r="J2" s="57"/>
    </x:row>
    <x:row r="4">
      <x:c r="A4" s="58" t="s">
        <x:v>2</x:v>
      </x:c>
      <x:c r="B4" s="59"/>
      <x:c r="C4" s="59"/>
      <x:c r="D4" s="59"/>
      <x:c r="E4" s="58" t="s">
        <x:v>3</x:v>
      </x:c>
      <x:c r="F4" s="59"/>
      <x:c r="G4" s="59"/>
      <x:c r="H4" s="59"/>
      <x:c r="I4" s="59"/>
      <x:c r="J4" s="60"/>
    </x:row>
    <x:row r="5" ht="39.599998474121094">
      <x:c r="A5" s="21">
        <x:v>1</x:v>
      </x:c>
      <x:c r="B5" s="4" t="s">
        <x:v>4</x:v>
      </x:c>
      <x:c r="C5" s="4" t="s">
        <x:v>5</x:v>
      </x:c>
      <x:c r="E5" s="61" t="s">
        <x:v>6</x:v>
      </x:c>
      <x:c r="F5" s="62"/>
      <x:c r="G5" s="62"/>
      <x:c r="H5" s="62"/>
      <x:c r="I5" s="62"/>
      <x:c r="J5" s="63"/>
    </x:row>
    <x:row r="6" ht="39.599998474121094">
      <x:c r="A6" s="21">
        <x:v>2</x:v>
      </x:c>
      <x:c r="B6" s="5" t="s">
        <x:v>7</x:v>
      </x:c>
      <x:c r="C6" s="5" t="s">
        <x:v>8</x:v>
      </x:c>
      <x:c r="E6" s="64" t="s">
        <x:v>9</x:v>
      </x:c>
      <x:c r="F6" s="65"/>
      <x:c r="G6" s="65"/>
      <x:c r="H6" s="65"/>
      <x:c r="I6" s="65"/>
      <x:c r="J6" s="66"/>
    </x:row>
    <x:row r="7" ht="66">
      <x:c r="A7" s="21">
        <x:v>3</x:v>
      </x:c>
      <x:c r="B7" s="5" t="s">
        <x:v>10</x:v>
      </x:c>
      <x:c r="C7" s="5" t="s">
        <x:v>11</x:v>
      </x:c>
      <x:c r="E7" s="64" t="s">
        <x:v>12</x:v>
      </x:c>
      <x:c r="F7" s="65"/>
      <x:c r="G7" s="65"/>
      <x:c r="H7" s="65"/>
      <x:c r="I7" s="65"/>
      <x:c r="J7" s="66"/>
    </x:row>
    <x:row r="8" ht="79.19999694824219">
      <x:c r="A8" s="21">
        <x:v>4</x:v>
      </x:c>
      <x:c r="B8" s="5" t="s">
        <x:v>13</x:v>
      </x:c>
      <x:c r="C8" s="5" t="s">
        <x:v>14</x:v>
      </x:c>
      <x:c r="E8" s="64" t="s">
        <x:v>15</x:v>
      </x:c>
      <x:c r="F8" s="65"/>
      <x:c r="G8" s="65"/>
      <x:c r="H8" s="65"/>
      <x:c r="I8" s="65"/>
      <x:c r="J8" s="66"/>
    </x:row>
    <x:row r="9" ht="66">
      <x:c r="A9" s="21">
        <x:v>5</x:v>
      </x:c>
      <x:c r="B9" s="5" t="s">
        <x:v>16</x:v>
      </x:c>
      <x:c r="C9" s="5" t="s">
        <x:v>17</x:v>
      </x:c>
      <x:c r="E9" s="64" t="s">
        <x:v>18</x:v>
      </x:c>
      <x:c r="F9" s="65"/>
      <x:c r="G9" s="65"/>
      <x:c r="H9" s="65"/>
      <x:c r="I9" s="65"/>
      <x:c r="J9" s="66"/>
    </x:row>
    <x:row r="10" ht="79.19999694824219">
      <x:c r="A10" s="21">
        <x:v>6</x:v>
      </x:c>
      <x:c r="B10" s="5" t="s">
        <x:v>19</x:v>
      </x:c>
      <x:c r="C10" s="5" t="s">
        <x:v>20</x:v>
      </x:c>
      <x:c r="E10" s="64" t="s">
        <x:v>21</x:v>
      </x:c>
      <x:c r="F10" s="65"/>
      <x:c r="G10" s="65"/>
      <x:c r="H10" s="65"/>
      <x:c r="I10" s="65"/>
      <x:c r="J10" s="66"/>
    </x:row>
    <x:row r="11" ht="92.4000015258789">
      <x:c r="A11" s="21">
        <x:v>7</x:v>
      </x:c>
      <x:c r="B11" s="5" t="s">
        <x:v>22</x:v>
      </x:c>
      <x:c r="C11" s="5" t="s">
        <x:v>23</x:v>
      </x:c>
      <x:c r="E11" s="73" t="s">
        <x:v>24</x:v>
      </x:c>
      <x:c r="F11" s="74"/>
      <x:c r="G11" s="74"/>
      <x:c r="H11" s="74"/>
      <x:c r="I11" s="74"/>
      <x:c r="J11" s="75"/>
    </x:row>
    <x:row r="12" ht="66">
      <x:c r="A12" s="21">
        <x:v>8</x:v>
      </x:c>
      <x:c r="B12" s="5" t="s">
        <x:v>25</x:v>
      </x:c>
      <x:c r="C12" s="5" t="s">
        <x:v>26</x:v>
      </x:c>
      <x:c r="E12" t="s">
        <x:v>27</x:v>
      </x:c>
    </x:row>
    <x:row r="13" ht="66">
      <x:c r="A13" s="21">
        <x:v>9</x:v>
      </x:c>
      <x:c r="B13" s="5" t="s">
        <x:v>28</x:v>
      </x:c>
      <x:c r="C13" s="5" t="s">
        <x:v>29</x:v>
      </x:c>
      <x:c r="E13" s="58" t="s">
        <x:v>30</x:v>
      </x:c>
      <x:c r="F13" s="59"/>
      <x:c r="G13" s="59"/>
      <x:c r="H13" s="59"/>
      <x:c r="I13" s="59"/>
      <x:c r="J13" s="60"/>
    </x:row>
    <x:row r="14" ht="79.19999694824219">
      <x:c r="A14" s="21">
        <x:v>10</x:v>
      </x:c>
      <x:c r="B14" s="6" t="s">
        <x:v>31</x:v>
      </x:c>
      <x:c r="C14" s="6" t="s">
        <x:v>32</x:v>
      </x:c>
      <x:c r="E14" s="7" t="s">
        <x:v>33</x:v>
      </x:c>
      <x:c r="F14" s="9"/>
    </x:row>
    <x:row r="15">
      <x:c r="E15" s="7" t="s">
        <x:v>34</x:v>
      </x:c>
      <x:c r="F15" s="8" t="s">
        <x:v>35</x:v>
      </x:c>
    </x:row>
    <x:row r="16">
      <x:c r="E16" s="7" t="s">
        <x:v>36</x:v>
      </x:c>
      <x:c r="F16" s="8" t="s">
        <x:v>37</x:v>
      </x:c>
    </x:row>
    <x:row r="17">
      <x:c r="E17" s="7" t="s">
        <x:v>38</x:v>
      </x:c>
      <x:c r="F17" s="8" t="s">
        <x:v>39</x:v>
      </x:c>
    </x:row>
    <x:row r="18">
      <x:c r="E18" t="s">
        <x:v>40</x:v>
      </x:c>
      <x:c r="F18" t="s">
        <x:v>41</x:v>
      </x:c>
    </x:row>
    <x:row r="19">
      <x:c r="A19" s="67" t="s">
        <x:v>42</x:v>
      </x:c>
      <x:c r="B19" s="68"/>
      <x:c r="C19" s="68"/>
      <x:c r="D19" s="68"/>
      <x:c r="E19" s="68"/>
      <x:c r="F19" s="68"/>
      <x:c r="G19" s="68"/>
      <x:c r="H19" s="68"/>
      <x:c r="I19" s="68"/>
      <x:c r="J19" s="69"/>
    </x:row>
    <x:row r="20">
      <x:c r="A20" s="70"/>
      <x:c r="B20" s="71"/>
      <x:c r="C20" s="71"/>
      <x:c r="D20" s="71"/>
      <x:c r="E20" s="71"/>
      <x:c r="F20" s="71"/>
      <x:c r="G20" s="71"/>
      <x:c r="H20" s="71"/>
      <x:c r="I20" s="71"/>
      <x:c r="J20" s="72"/>
    </x:row>
  </x:sheetData>
  <x:mergeCells>
    <x:mergeCell ref="E13:J13"/>
    <x:mergeCell ref="A19:J20"/>
    <x:mergeCell ref="E7:J7"/>
    <x:mergeCell ref="E8:J8"/>
    <x:mergeCell ref="E9:J9"/>
    <x:mergeCell ref="E10:J10"/>
    <x:mergeCell ref="E11:J11"/>
    <x:mergeCell ref="A1:J1"/>
    <x:mergeCell ref="A2:J2"/>
    <x:mergeCell ref="A4:J4"/>
    <x:mergeCell ref="E5:J5"/>
    <x:mergeCell ref="E6:J6"/>
  </x:mergeCells>
  <x:dataValidations count="1">
    <x:dataValidation type="list" sqref="F16">
      <x:formula1>"Week 1,Week 2,Week 3,Week 4,Week 5,Week 6,Complete"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1" width="15" customWidth="1"/>
    <x:col min="2" max="2" width="12" customWidth="1"/>
    <x:col min="3" max="3" width="3" customWidth="1"/>
    <x:col min="4" max="4" width="15" customWidth="1"/>
    <x:col min="5" max="5" width="12" customWidth="1"/>
    <x:col min="6" max="6" width="3" customWidth="1"/>
    <x:col min="7" max="7" width="15" customWidth="1"/>
    <x:col min="8" max="8" width="12" customWidth="1"/>
    <x:col min="9" max="9" width="3" customWidth="1"/>
    <x:col min="10" max="16" width="13" customWidth="1"/>
  </x:cols>
  <x:sheetData>
    <x:row r="1" ht="31.950000762939453" customHeight="1">
      <x:c r="A1" s="56" t="s">
        <x:v>43</x:v>
      </x:c>
      <x:c r="B1" s="56"/>
      <x:c r="C1" s="56"/>
      <x:c r="D1" s="56"/>
      <x:c r="E1" s="56"/>
      <x:c r="F1" s="56"/>
      <x:c r="G1" s="56"/>
      <x:c r="H1" s="56"/>
      <x:c r="I1" s="56"/>
      <x:c r="J1" s="56"/>
      <x:c r="K1" s="56"/>
      <x:c r="L1" s="56"/>
      <x:c r="M1" s="56"/>
      <x:c r="N1" s="56"/>
      <x:c r="O1" s="56"/>
      <x:c r="P1" s="56"/>
    </x:row>
    <x:row r="2" ht="31.950000762939453" customHeight="1">
      <x:c r="A2" s="57" t="s">
        <x:v>44</x:v>
      </x:c>
      <x:c r="B2" s="57"/>
      <x:c r="C2" s="57"/>
      <x:c r="D2" s="57"/>
      <x:c r="E2" s="57"/>
      <x:c r="F2" s="57"/>
      <x:c r="G2" s="57"/>
      <x:c r="H2" s="57"/>
      <x:c r="I2" s="57"/>
      <x:c r="J2" s="57"/>
      <x:c r="K2" s="57"/>
      <x:c r="L2" s="57"/>
      <x:c r="M2" s="57"/>
      <x:c r="N2" s="57"/>
      <x:c r="O2" s="57"/>
      <x:c r="P2" s="57"/>
    </x:row>
    <x:row r="4">
      <x:c r="A4" s="76" t="s">
        <x:v>45</x:v>
      </x:c>
      <x:c r="B4" s="76"/>
      <x:c r="D4" s="76" t="s">
        <x:v>46</x:v>
      </x:c>
      <x:c r="E4" s="76"/>
      <x:c r="G4" s="76" t="s">
        <x:v>47</x:v>
      </x:c>
      <x:c r="H4" s="76"/>
      <x:c r="J4" s="76" t="s">
        <x:v>48</x:v>
      </x:c>
      <x:c r="K4" s="76"/>
    </x:row>
    <x:row r="5">
      <x:c r="A5" s="77" t="n">
        <x:f>COUNTA('02 Master Plan'!$A$6:$A$120)</x:f>
        <x:v>80</x:v>
      </x:c>
      <x:c r="B5" s="78"/>
      <x:c r="D5" s="77" t="n">
        <x:f>COUNTIF('02 Master Plan'!$S$6:$S$120,"Done")</x:f>
        <x:v>18</x:v>
      </x:c>
      <x:c r="E5" s="78"/>
      <x:c r="G5" s="81" t="n">
        <x:f>IF(A5=0,0,D5/A5)</x:f>
        <x:v>0.225</x:v>
      </x:c>
      <x:c r="H5" s="82"/>
      <x:c r="J5" s="77" t="n">
        <x:f>COUNTIF('02 Master Plan'!$S$6:$S$120,"Blocked")</x:f>
        <x:v>0</x:v>
      </x:c>
      <x:c r="K5" s="78"/>
    </x:row>
    <x:row r="6">
      <x:c r="A6" s="79"/>
      <x:c r="B6" s="80"/>
      <x:c r="D6" s="79"/>
      <x:c r="E6" s="80"/>
      <x:c r="G6" s="83"/>
      <x:c r="H6" s="84"/>
      <x:c r="J6" s="79"/>
      <x:c r="K6" s="80"/>
    </x:row>
    <x:row r="7">
      <x:c r="A7" s="76" t="s">
        <x:v>49</x:v>
      </x:c>
      <x:c r="B7" s="76"/>
      <x:c r="D7" s="76" t="s">
        <x:v>50</x:v>
      </x:c>
      <x:c r="E7" s="76"/>
      <x:c r="G7" s="76" t="s">
        <x:v>51</x:v>
      </x:c>
      <x:c r="H7" s="76"/>
      <x:c r="J7" s="76" t="s">
        <x:v>52</x:v>
      </x:c>
      <x:c r="K7" s="76"/>
    </x:row>
    <x:row r="8">
      <x:c r="A8" s="77" t="n">
        <x:f>COUNTIFS('13 Owner TODOs'!$F$6:$F$80,"&lt;&gt;Done",'13 Owner TODOs'!$A$6:$A$80,"&lt;&gt;")</x:f>
        <x:v>15</x:v>
      </x:c>
      <x:c r="B8" s="78"/>
      <x:c r="D8" s="77" t="n">
        <x:f>COUNTIF('11 Test Evidence'!$H$6:$H$80,"Pass")</x:f>
        <x:v>6</x:v>
      </x:c>
      <x:c r="E8" s="78"/>
      <x:c r="G8" s="77" t="n">
        <x:f>COUNTIF('12 Decision Log'!$C$6:$C$60,"Baseline Approved")+COUNTIF('12 Decision Log'!$C$6:$C$60,"Approved")</x:f>
        <x:v>18</x:v>
      </x:c>
      <x:c r="H8" s="78"/>
      <x:c r="J8" s="77" t="n">
        <x:f>COUNTIFS('11 Test Evidence'!$C$6:$C$80,"Teardown",'11 Test Evidence'!$H$6:$H$80,"Pass")</x:f>
        <x:v>1</x:v>
      </x:c>
      <x:c r="K8" s="78"/>
    </x:row>
    <x:row r="9">
      <x:c r="A9" s="79"/>
      <x:c r="B9" s="80"/>
      <x:c r="D9" s="79"/>
      <x:c r="E9" s="80"/>
      <x:c r="G9" s="79"/>
      <x:c r="H9" s="80"/>
      <x:c r="J9" s="79"/>
      <x:c r="K9" s="80"/>
    </x:row>
    <x:row r="12" ht="28.049999237060547" customHeight="1">
      <x:c r="A12" s="1" t="s">
        <x:v>53</x:v>
      </x:c>
      <x:c r="B12" s="2" t="s">
        <x:v>54</x:v>
      </x:c>
      <x:c r="C12" s="2" t="s">
        <x:v>46</x:v>
      </x:c>
      <x:c r="D12" s="2" t="s">
        <x:v>55</x:v>
      </x:c>
      <x:c r="E12" s="3" t="s">
        <x:v>48</x:v>
      </x:c>
      <x:c r="G12" s="1" t="s">
        <x:v>53</x:v>
      </x:c>
      <x:c r="H12" s="3" t="s">
        <x:v>55</x:v>
      </x:c>
    </x:row>
    <x:row r="13">
      <x:c r="A13" s="10" t="s">
        <x:v>56</x:v>
      </x:c>
      <x:c r="B13" s="10" t="n">
        <x:f>COUNTIF('02 Master Plan'!$B$6:$B$120,A13)</x:f>
        <x:v>13</x:v>
      </x:c>
      <x:c r="C13" s="10" t="n">
        <x:f>COUNTIFS('02 Master Plan'!$B$6:$B$120,A13,'02 Master Plan'!$S$6:$S$120,"Done")</x:f>
        <x:v>13</x:v>
      </x:c>
      <x:c r="D13" s="12" t="n">
        <x:f t="shared" ref="D13:D18" si="0">IF(B13=0,0,C13/B13)</x:f>
        <x:v>1</x:v>
      </x:c>
      <x:c r="E13" s="10" t="n">
        <x:f>COUNTIFS('02 Master Plan'!$B$6:$B$120,A13,'02 Master Plan'!$S$6:$S$120,"Blocked")</x:f>
        <x:v>0</x:v>
      </x:c>
      <x:c r="G13" t="str">
        <x:f t="shared" ref="G13:G18" si="1">A13</x:f>
        <x:v>Week 1</x:v>
      </x:c>
      <x:c r="H13" s="14" t="n">
        <x:f t="shared" ref="H13:H18" si="2">D13</x:f>
        <x:v>1</x:v>
      </x:c>
    </x:row>
    <x:row r="14">
      <x:c r="A14" s="11" t="s">
        <x:v>37</x:v>
      </x:c>
      <x:c r="B14" s="11" t="n">
        <x:f>COUNTIF('02 Master Plan'!$B$6:$B$120,A14)</x:f>
        <x:v>13</x:v>
      </x:c>
      <x:c r="C14" s="11" t="n">
        <x:f>COUNTIFS('02 Master Plan'!$B$6:$B$120,A14,'02 Master Plan'!$S$6:$S$120,"Done")</x:f>
        <x:v>5</x:v>
      </x:c>
      <x:c r="D14" s="13">
        <x:f t="shared" si="0"/>
        <x:v>0.38461538461538464</x:v>
      </x:c>
      <x:c r="E14" s="11" t="n">
        <x:f>COUNTIFS('02 Master Plan'!$B$6:$B$120,A14,'02 Master Plan'!$S$6:$S$120,"Blocked")</x:f>
        <x:v>0</x:v>
      </x:c>
      <x:c r="G14" t="str">
        <x:f t="shared" si="1"/>
        <x:v>Week 2</x:v>
      </x:c>
      <x:c r="H14" s="14">
        <x:f t="shared" si="2"/>
        <x:v>0.38461538461538464</x:v>
      </x:c>
    </x:row>
    <x:row r="15">
      <x:c r="A15" s="11" t="s">
        <x:v>57</x:v>
      </x:c>
      <x:c r="B15" s="11" t="n">
        <x:f>COUNTIF('02 Master Plan'!$B$6:$B$120,A15)</x:f>
        <x:v>13</x:v>
      </x:c>
      <x:c r="C15" s="11" t="n">
        <x:f>COUNTIFS('02 Master Plan'!$B$6:$B$120,A15,'02 Master Plan'!$S$6:$S$120,"Done")</x:f>
        <x:v>0</x:v>
      </x:c>
      <x:c r="D15" s="13">
        <x:f t="shared" si="0"/>
        <x:v>0</x:v>
      </x:c>
      <x:c r="E15" s="11" t="n">
        <x:f>COUNTIFS('02 Master Plan'!$B$6:$B$120,A15,'02 Master Plan'!$S$6:$S$120,"Blocked")</x:f>
        <x:v>0</x:v>
      </x:c>
      <x:c r="G15" t="str">
        <x:f t="shared" si="1"/>
        <x:v>Week 3</x:v>
      </x:c>
      <x:c r="H15" s="14">
        <x:f t="shared" si="2"/>
        <x:v>0</x:v>
      </x:c>
    </x:row>
    <x:row r="16">
      <x:c r="A16" s="11" t="s">
        <x:v>58</x:v>
      </x:c>
      <x:c r="B16" s="11" t="n">
        <x:f>COUNTIF('02 Master Plan'!$B$6:$B$120,A16)</x:f>
        <x:v>13</x:v>
      </x:c>
      <x:c r="C16" s="11" t="n">
        <x:f>COUNTIFS('02 Master Plan'!$B$6:$B$120,A16,'02 Master Plan'!$S$6:$S$120,"Done")</x:f>
        <x:v>0</x:v>
      </x:c>
      <x:c r="D16" s="13">
        <x:f t="shared" si="0"/>
        <x:v>0</x:v>
      </x:c>
      <x:c r="E16" s="11" t="n">
        <x:f>COUNTIFS('02 Master Plan'!$B$6:$B$120,A16,'02 Master Plan'!$S$6:$S$120,"Blocked")</x:f>
        <x:v>0</x:v>
      </x:c>
      <x:c r="G16" t="str">
        <x:f t="shared" si="1"/>
        <x:v>Week 4</x:v>
      </x:c>
      <x:c r="H16" s="14">
        <x:f t="shared" si="2"/>
        <x:v>0</x:v>
      </x:c>
    </x:row>
    <x:row r="17">
      <x:c r="A17" s="11" t="s">
        <x:v>59</x:v>
      </x:c>
      <x:c r="B17" s="11" t="n">
        <x:f>COUNTIF('02 Master Plan'!$B$6:$B$120,A17)</x:f>
        <x:v>14</x:v>
      </x:c>
      <x:c r="C17" s="11" t="n">
        <x:f>COUNTIFS('02 Master Plan'!$B$6:$B$120,A17,'02 Master Plan'!$S$6:$S$120,"Done")</x:f>
        <x:v>0</x:v>
      </x:c>
      <x:c r="D17" s="13">
        <x:f t="shared" si="0"/>
        <x:v>0</x:v>
      </x:c>
      <x:c r="E17" s="11" t="n">
        <x:f>COUNTIFS('02 Master Plan'!$B$6:$B$120,A17,'02 Master Plan'!$S$6:$S$120,"Blocked")</x:f>
        <x:v>0</x:v>
      </x:c>
      <x:c r="G17" t="str">
        <x:f t="shared" si="1"/>
        <x:v>Week 5</x:v>
      </x:c>
      <x:c r="H17" s="14">
        <x:f t="shared" si="2"/>
        <x:v>0</x:v>
      </x:c>
    </x:row>
    <x:row r="18">
      <x:c r="A18" s="11" t="s">
        <x:v>60</x:v>
      </x:c>
      <x:c r="B18" s="11" t="n">
        <x:f>COUNTIF('02 Master Plan'!$B$6:$B$120,A18)</x:f>
        <x:v>14</x:v>
      </x:c>
      <x:c r="C18" s="11" t="n">
        <x:f>COUNTIFS('02 Master Plan'!$B$6:$B$120,A18,'02 Master Plan'!$S$6:$S$120,"Done")</x:f>
        <x:v>0</x:v>
      </x:c>
      <x:c r="D18" s="13">
        <x:f t="shared" si="0"/>
        <x:v>0</x:v>
      </x:c>
      <x:c r="E18" s="11" t="n">
        <x:f>COUNTIFS('02 Master Plan'!$B$6:$B$120,A18,'02 Master Plan'!$S$6:$S$120,"Blocked")</x:f>
        <x:v>0</x:v>
      </x:c>
      <x:c r="G18" t="str">
        <x:f t="shared" si="1"/>
        <x:v>Week 6</x:v>
      </x:c>
      <x:c r="H18" s="14">
        <x:f t="shared" si="2"/>
        <x:v>0</x:v>
      </x:c>
    </x:row>
    <x:row r="21" ht="28.049999237060547" customHeight="1">
      <x:c r="A21" s="58" t="s">
        <x:v>61</x:v>
      </x:c>
      <x:c r="B21" s="59"/>
      <x:c r="C21" s="59"/>
      <x:c r="D21" s="59"/>
      <x:c r="E21" s="59"/>
      <x:c r="F21" s="59"/>
      <x:c r="G21" s="59"/>
      <x:c r="H21" s="60"/>
    </x:row>
    <x:row r="22" ht="30" customHeight="1">
      <x:c r="A22" s="91" t="s">
        <x:v>62</x:v>
      </x:c>
      <x:c r="B22" s="92"/>
      <x:c r="C22" s="92"/>
      <x:c r="D22" s="92"/>
      <x:c r="E22" s="92"/>
      <x:c r="F22" s="92"/>
      <x:c r="G22" s="92"/>
      <x:c r="H22" s="93"/>
    </x:row>
    <x:row r="23" ht="30" customHeight="1">
      <x:c r="A23" s="85" t="s">
        <x:v>63</x:v>
      </x:c>
      <x:c r="B23" s="86"/>
      <x:c r="C23" s="86"/>
      <x:c r="D23" s="86"/>
      <x:c r="E23" s="86"/>
      <x:c r="F23" s="86"/>
      <x:c r="G23" s="86"/>
      <x:c r="H23" s="87"/>
    </x:row>
    <x:row r="24" ht="30" customHeight="1">
      <x:c r="A24" s="85" t="s">
        <x:v>64</x:v>
      </x:c>
      <x:c r="B24" s="86"/>
      <x:c r="C24" s="86"/>
      <x:c r="D24" s="86"/>
      <x:c r="E24" s="86"/>
      <x:c r="F24" s="86"/>
      <x:c r="G24" s="86"/>
      <x:c r="H24" s="87"/>
    </x:row>
    <x:row r="25" ht="30" customHeight="1">
      <x:c r="A25" s="85" t="s">
        <x:v>65</x:v>
      </x:c>
      <x:c r="B25" s="86"/>
      <x:c r="C25" s="86"/>
      <x:c r="D25" s="86"/>
      <x:c r="E25" s="86"/>
      <x:c r="F25" s="86"/>
      <x:c r="G25" s="86"/>
      <x:c r="H25" s="87"/>
    </x:row>
    <x:row r="26" ht="30" customHeight="1">
      <x:c r="A26" s="88" t="s">
        <x:v>66</x:v>
      </x:c>
      <x:c r="B26" s="89"/>
      <x:c r="C26" s="89"/>
      <x:c r="D26" s="89"/>
      <x:c r="E26" s="89"/>
      <x:c r="F26" s="89"/>
      <x:c r="G26" s="89"/>
      <x:c r="H26" s="90"/>
    </x:row>
  </x:sheetData>
  <x:mergeCells>
    <x:mergeCell ref="A24:H24"/>
    <x:mergeCell ref="A25:H25"/>
    <x:mergeCell ref="A26:H26"/>
    <x:mergeCell ref="J7:K7"/>
    <x:mergeCell ref="J8:K9"/>
    <x:mergeCell ref="A21:H21"/>
    <x:mergeCell ref="A22:H22"/>
    <x:mergeCell ref="A23:H23"/>
    <x:mergeCell ref="A7:B7"/>
    <x:mergeCell ref="A8:B9"/>
    <x:mergeCell ref="D7:E7"/>
    <x:mergeCell ref="D8:E9"/>
    <x:mergeCell ref="G7:H7"/>
    <x:mergeCell ref="G8:H9"/>
    <x:mergeCell ref="A1:P1"/>
    <x:mergeCell ref="A2:P2"/>
    <x:mergeCell ref="A4:B4"/>
    <x:mergeCell ref="A5:B6"/>
    <x:mergeCell ref="D4:E4"/>
    <x:mergeCell ref="D5:E6"/>
    <x:mergeCell ref="G4:H4"/>
    <x:mergeCell ref="G5:H6"/>
    <x:mergeCell ref="J4:K4"/>
    <x:mergeCell ref="J5:K6"/>
  </x:mergeCells>
  <x:conditionalFormatting sqref="D13:D18">
    <x:cfRule type="dataBar" priority="1">
      <x:dataBar>
        <x:cfvo type="min"/>
        <x:cfvo type="max"/>
        <x:color rgb="FF0F766E"/>
      </x:dataBar>
    </x:cfRule>
    <x:cfRule type="dataBar" priority="2">
      <x:dataBar>
        <x:cfvo type="min"/>
        <x:cfvo type="max"/>
        <x:color rgb="FF0F766E"/>
      </x:dataBar>
    </x:cfRule>
    <x:cfRule type="dataBar" priority="3">
      <x:dataBar>
        <x:cfvo type="min"/>
        <x:cfvo type="max"/>
        <x:color rgb="FF0F766E"/>
      </x:dataBar>
    </x:cfRule>
    <x:cfRule type="dataBar" priority="4">
      <x:dataBar>
        <x:cfvo type="min"/>
        <x:cfvo type="max"/>
        <x:color rgb="FF0F766E"/>
      </x:dataBar>
    </x:cfRule>
    <x:cfRule type="dataBar" priority="5">
      <x:dataBar>
        <x:cfvo type="min"/>
        <x:cfvo type="max"/>
        <x:color rgb="FF0F766E"/>
      </x:dataBar>
      <x:extLst>
        <x:ext xmlns:x14="http://schemas.microsoft.com/office/spreadsheetml/2009/9/main" uri="{B025F937-C7B1-47D3-B67F-A62EFF666E3E}">
          <x14:id>{7ACD7930-3F82-D6B8-3D5C-A73611924FBF}</x14:id>
        </x:ext>
      </x:extLst>
    </x:cfRule>
  </x:conditionalFormatting>
  <x:pageMargins left="0.7" right="0.7" top="0.75" bottom="0.75" header="0.3" footer="0.3"/>
  <x:drawing xmlns:r="http://schemas.openxmlformats.org/officeDocument/2006/relationships" r:id="Rcad03db9fac64674"/>
  <x:extLst>
    <x:ext xmlns:x14="http://schemas.microsoft.com/office/spreadsheetml/2009/9/main" xmlns:xm="http://schemas.microsoft.com/office/excel/2006/main" uri="{78C0D931-6437-407d-A8EE-F0AAD7539E65}">
      <x14:conditionalFormattings>
        <x14:conditionalFormatting>
          <x14:cfRule type="dataBar" priority="5" id="{7ACD7930-3F82-D6B8-3D5C-A73611924FBF}">
            <x14:dataBar gradient="0">
              <x14:cfvo type="min"/>
              <x14:cfvo type="max"/>
              <x14:fillColor rgb="FF0F766E"/>
              <x14:negativeFillColor auto="1"/>
              <x14:axisColor auto="1"/>
            </x14:dataBar>
          </x14:cfRule>
          <xm:sqref>D13:D18</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3.800000190734863"/>
  <x:cols>
    <x:col min="1" max="1" width="12" customWidth="1"/>
    <x:col min="2" max="2" width="10" customWidth="1"/>
    <x:col min="3" max="3" width="6" customWidth="1"/>
    <x:col min="4" max="4" width="10" customWidth="1"/>
    <x:col min="5" max="5" width="16" customWidth="1"/>
    <x:col min="6" max="7" width="42" customWidth="1"/>
    <x:col min="8" max="8" width="14" customWidth="1"/>
    <x:col min="9" max="9" width="10" customWidth="1"/>
    <x:col min="10" max="10" width="13" customWidth="1"/>
    <x:col min="11" max="11" width="20" customWidth="1"/>
    <x:col min="12" max="13" width="40" customWidth="1"/>
    <x:col min="14" max="14" width="36" customWidth="1"/>
    <x:col min="15" max="15" width="32" customWidth="1"/>
    <x:col min="16" max="17" width="20" customWidth="1"/>
    <x:col min="18" max="18" width="38" customWidth="1"/>
    <x:col min="19" max="19" width="16" customWidth="1"/>
    <x:col min="20" max="20" width="30" customWidth="1"/>
    <x:col min="21" max="21" width="56" customWidth="1"/>
  </x:cols>
  <x:sheetData>
    <x:row r="1" ht="31.950000762939453" customHeight="1">
      <x:c r="A1" s="56" t="s">
        <x:v>67</x:v>
      </x:c>
      <x:c r="B1" s="56"/>
      <x:c r="C1" s="56"/>
      <x:c r="D1" s="56"/>
      <x:c r="E1" s="56"/>
      <x:c r="F1" s="56"/>
      <x:c r="G1" s="56"/>
      <x:c r="H1" s="56"/>
      <x:c r="I1" s="56"/>
      <x:c r="J1" s="56"/>
      <x:c r="K1" s="56"/>
      <x:c r="L1" s="56"/>
      <x:c r="M1" s="56"/>
      <x:c r="N1" s="56"/>
      <x:c r="O1" s="56"/>
      <x:c r="P1" s="56"/>
      <x:c r="Q1" s="56"/>
      <x:c r="R1" s="56"/>
      <x:c r="S1" s="56"/>
      <x:c r="T1" s="56"/>
    </x:row>
    <x:row r="2" ht="31.950000762939453" customHeight="1">
      <x:c r="A2" s="57" t="s">
        <x:v>68</x:v>
      </x:c>
      <x:c r="B2" s="57"/>
      <x:c r="C2" s="57"/>
      <x:c r="D2" s="57"/>
      <x:c r="E2" s="57"/>
      <x:c r="F2" s="57"/>
      <x:c r="G2" s="57"/>
      <x:c r="H2" s="57"/>
      <x:c r="I2" s="57"/>
      <x:c r="J2" s="57"/>
      <x:c r="K2" s="57"/>
      <x:c r="L2" s="57"/>
      <x:c r="M2" s="57"/>
      <x:c r="N2" s="57"/>
      <x:c r="O2" s="57"/>
      <x:c r="P2" s="57"/>
      <x:c r="Q2" s="57"/>
      <x:c r="R2" s="57"/>
      <x:c r="S2" s="57"/>
      <x:c r="T2" s="57"/>
    </x:row>
    <x:row r="5" ht="28.049999237060547" customHeight="1">
      <x:c r="A5" s="1" t="s">
        <x:v>69</x:v>
      </x:c>
      <x:c r="B5" s="2" t="s">
        <x:v>53</x:v>
      </x:c>
      <x:c r="C5" s="2" t="s">
        <x:v>70</x:v>
      </x:c>
      <x:c r="D5" s="2" t="s">
        <x:v>71</x:v>
      </x:c>
      <x:c r="E5" s="2" t="s">
        <x:v>72</x:v>
      </x:c>
      <x:c r="F5" s="2" t="s">
        <x:v>73</x:v>
      </x:c>
      <x:c r="G5" s="2" t="s">
        <x:v>74</x:v>
      </x:c>
      <x:c r="H5" s="2" t="s">
        <x:v>34</x:v>
      </x:c>
      <x:c r="I5" s="2" t="s">
        <x:v>75</x:v>
      </x:c>
      <x:c r="J5" s="2" t="s">
        <x:v>76</x:v>
      </x:c>
      <x:c r="K5" s="2" t="s">
        <x:v>77</x:v>
      </x:c>
      <x:c r="L5" s="2" t="s">
        <x:v>78</x:v>
      </x:c>
      <x:c r="M5" s="2" t="s">
        <x:v>79</x:v>
      </x:c>
      <x:c r="N5" s="2" t="s">
        <x:v>80</x:v>
      </x:c>
      <x:c r="O5" s="2" t="s">
        <x:v>81</x:v>
      </x:c>
      <x:c r="P5" s="2" t="s">
        <x:v>82</x:v>
      </x:c>
      <x:c r="Q5" s="2" t="s">
        <x:v>83</x:v>
      </x:c>
      <x:c r="R5" s="2" t="s">
        <x:v>84</x:v>
      </x:c>
      <x:c r="S5" s="2" t="s">
        <x:v>85</x:v>
      </x:c>
      <x:c r="T5" s="3" t="s">
        <x:v>86</x:v>
      </x:c>
      <x:c r="U5" s="29" t="s">
        <x:v>87</x:v>
      </x:c>
    </x:row>
    <x:row r="6" ht="96.5999984741211" hidden="1">
      <x:c r="A6" s="10" t="s">
        <x:v>88</x:v>
      </x:c>
      <x:c r="B6" s="10" t="s">
        <x:v>56</x:v>
      </x:c>
      <x:c r="C6" s="10">
        <x:v>1</x:v>
      </x:c>
      <x:c r="D6" s="10" t="s">
        <x:v>89</x:v>
      </x:c>
      <x:c r="E6" s="10" t="s">
        <x:v>90</x:v>
      </x:c>
      <x:c r="F6" s="10" t="s">
        <x:v>91</x:v>
      </x:c>
      <x:c r="G6" s="10" t="s">
        <x:v>92</x:v>
      </x:c>
      <x:c r="H6" s="10" t="s">
        <x:v>93</x:v>
      </x:c>
      <x:c r="I6" s="15">
        <x:v>1</x:v>
      </x:c>
      <x:c r="J6" s="10" t="s">
        <x:v>94</x:v>
      </x:c>
      <x:c r="K6" s="10" t="s">
        <x:v>95</x:v>
      </x:c>
      <x:c r="L6" s="10" t="s">
        <x:v>96</x:v>
      </x:c>
      <x:c r="M6" s="10" t="s">
        <x:v>97</x:v>
      </x:c>
      <x:c r="N6" s="10" t="s">
        <x:v>98</x:v>
      </x:c>
      <x:c r="O6" s="10" t="s">
        <x:v>99</x:v>
      </x:c>
      <x:c r="P6" s="10" t="s">
        <x:v>100</x:v>
      </x:c>
      <x:c r="Q6" s="10" t="s">
        <x:v>101</x:v>
      </x:c>
      <x:c r="R6" s="10" t="s">
        <x:v>102</x:v>
      </x:c>
      <x:c r="S6" s="10" t="s">
        <x:v>46</x:v>
      </x:c>
      <x:c r="T6" s="10" t="s">
        <x:v>103</x:v>
      </x:c>
      <x:c r="U6" s="29" t="s">
        <x:v>104</x:v>
      </x:c>
    </x:row>
    <x:row r="7" ht="96.5999984741211" hidden="1">
      <x:c r="A7" s="11" t="s">
        <x:v>105</x:v>
      </x:c>
      <x:c r="B7" s="11" t="s">
        <x:v>56</x:v>
      </x:c>
      <x:c r="C7" s="11">
        <x:v>2</x:v>
      </x:c>
      <x:c r="D7" s="11" t="s">
        <x:v>89</x:v>
      </x:c>
      <x:c r="E7" s="11" t="s">
        <x:v>106</x:v>
      </x:c>
      <x:c r="F7" s="11" t="s">
        <x:v>107</x:v>
      </x:c>
      <x:c r="G7" s="11" t="s">
        <x:v>108</x:v>
      </x:c>
      <x:c r="H7" s="11" t="s">
        <x:v>109</x:v>
      </x:c>
      <x:c r="I7" s="16">
        <x:v>0.5</x:v>
      </x:c>
      <x:c r="J7" s="11" t="s">
        <x:v>110</x:v>
      </x:c>
      <x:c r="K7" s="11" t="s">
        <x:v>101</x:v>
      </x:c>
      <x:c r="L7" s="11" t="s">
        <x:v>111</x:v>
      </x:c>
      <x:c r="M7" s="11" t="s">
        <x:v>112</x:v>
      </x:c>
      <x:c r="N7" s="11" t="s">
        <x:v>113</x:v>
      </x:c>
      <x:c r="O7" s="11" t="s">
        <x:v>114</x:v>
      </x:c>
      <x:c r="P7" s="11" t="s">
        <x:v>115</x:v>
      </x:c>
      <x:c r="Q7" s="11" t="s">
        <x:v>88</x:v>
      </x:c>
      <x:c r="R7" s="11" t="s">
        <x:v>116</x:v>
      </x:c>
      <x:c r="S7" s="11" t="s">
        <x:v>46</x:v>
      </x:c>
      <x:c r="T7" s="11" t="s">
        <x:v>117</x:v>
      </x:c>
      <x:c r="U7" s="29" t="s">
        <x:v>118</x:v>
      </x:c>
    </x:row>
    <x:row r="8" ht="110.4000015258789" hidden="1">
      <x:c r="A8" s="11" t="s">
        <x:v>119</x:v>
      </x:c>
      <x:c r="B8" s="11" t="s">
        <x:v>56</x:v>
      </x:c>
      <x:c r="C8" s="11">
        <x:v>3</x:v>
      </x:c>
      <x:c r="D8" s="11" t="s">
        <x:v>89</x:v>
      </x:c>
      <x:c r="E8" s="11" t="s">
        <x:v>120</x:v>
      </x:c>
      <x:c r="F8" s="11" t="s">
        <x:v>121</x:v>
      </x:c>
      <x:c r="G8" s="11" t="s">
        <x:v>122</x:v>
      </x:c>
      <x:c r="H8" s="11" t="s">
        <x:v>123</x:v>
      </x:c>
      <x:c r="I8" s="16">
        <x:v>1.5</x:v>
      </x:c>
      <x:c r="J8" s="11" t="s">
        <x:v>124</x:v>
      </x:c>
      <x:c r="K8" s="11" t="s">
        <x:v>125</x:v>
      </x:c>
      <x:c r="L8" s="11" t="s">
        <x:v>126</x:v>
      </x:c>
      <x:c r="M8" s="11" t="s">
        <x:v>127</x:v>
      </x:c>
      <x:c r="N8" s="11" t="s">
        <x:v>128</x:v>
      </x:c>
      <x:c r="O8" s="11" t="s">
        <x:v>129</x:v>
      </x:c>
      <x:c r="P8" s="11" t="s">
        <x:v>115</x:v>
      </x:c>
      <x:c r="Q8" s="11" t="s">
        <x:v>105</x:v>
      </x:c>
      <x:c r="R8" s="11" t="s">
        <x:v>130</x:v>
      </x:c>
      <x:c r="S8" s="11" t="s">
        <x:v>46</x:v>
      </x:c>
      <x:c r="T8" s="11" t="s">
        <x:v>131</x:v>
      </x:c>
      <x:c r="U8" s="29" t="s">
        <x:v>132</x:v>
      </x:c>
    </x:row>
    <x:row r="9" ht="110.4000015258789" hidden="1">
      <x:c r="A9" s="11" t="s">
        <x:v>133</x:v>
      </x:c>
      <x:c r="B9" s="11" t="s">
        <x:v>56</x:v>
      </x:c>
      <x:c r="C9" s="11">
        <x:v>4</x:v>
      </x:c>
      <x:c r="D9" s="11" t="s">
        <x:v>89</x:v>
      </x:c>
      <x:c r="E9" s="11" t="s">
        <x:v>134</x:v>
      </x:c>
      <x:c r="F9" s="11" t="s">
        <x:v>135</x:v>
      </x:c>
      <x:c r="G9" s="11" t="s">
        <x:v>136</x:v>
      </x:c>
      <x:c r="H9" s="11" t="s">
        <x:v>123</x:v>
      </x:c>
      <x:c r="I9" s="16">
        <x:v>1</x:v>
      </x:c>
      <x:c r="J9" s="11" t="s">
        <x:v>124</x:v>
      </x:c>
      <x:c r="K9" s="11" t="s">
        <x:v>137</x:v>
      </x:c>
      <x:c r="L9" s="11" t="s">
        <x:v>138</x:v>
      </x:c>
      <x:c r="M9" s="11" t="s">
        <x:v>2323</x:v>
      </x:c>
      <x:c r="N9" s="11" t="s">
        <x:v>140</x:v>
      </x:c>
      <x:c r="O9" s="11" t="s">
        <x:v>141</x:v>
      </x:c>
      <x:c r="P9" s="11" t="s">
        <x:v>115</x:v>
      </x:c>
      <x:c r="Q9" s="11" t="s">
        <x:v>119</x:v>
      </x:c>
      <x:c r="R9" s="11" t="s">
        <x:v>142</x:v>
      </x:c>
      <x:c r="S9" s="11" t="s">
        <x:v>46</x:v>
      </x:c>
      <x:c r="T9" s="11" t="s">
        <x:v>131</x:v>
      </x:c>
      <x:c r="U9" s="29" t="s">
        <x:v>143</x:v>
      </x:c>
    </x:row>
    <x:row r="10" ht="110.4000015258789" hidden="1">
      <x:c r="A10" s="11" t="s">
        <x:v>144</x:v>
      </x:c>
      <x:c r="B10" s="11" t="s">
        <x:v>56</x:v>
      </x:c>
      <x:c r="C10" s="11">
        <x:v>5</x:v>
      </x:c>
      <x:c r="D10" s="11" t="s">
        <x:v>89</x:v>
      </x:c>
      <x:c r="E10" s="11" t="s">
        <x:v>145</x:v>
      </x:c>
      <x:c r="F10" s="11" t="s">
        <x:v>146</x:v>
      </x:c>
      <x:c r="G10" s="11" t="s">
        <x:v>147</x:v>
      </x:c>
      <x:c r="H10" s="11" t="s">
        <x:v>123</x:v>
      </x:c>
      <x:c r="I10" s="16">
        <x:v>1.5</x:v>
      </x:c>
      <x:c r="J10" s="11" t="s">
        <x:v>148</x:v>
      </x:c>
      <x:c r="K10" s="11" t="s">
        <x:v>149</x:v>
      </x:c>
      <x:c r="L10" s="11" t="s">
        <x:v>150</x:v>
      </x:c>
      <x:c r="M10"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10" s="11" t="s">
        <x:v>152</x:v>
      </x:c>
      <x:c r="O10" s="11" t="s">
        <x:v>153</x:v>
      </x:c>
      <x:c r="P10" s="11" t="s">
        <x:v>154</x:v>
      </x:c>
      <x:c r="Q10" s="11" t="s">
        <x:v>119</x:v>
      </x:c>
      <x:c r="R10" s="11" t="s">
        <x:v>155</x:v>
      </x:c>
      <x:c r="S10" s="11" t="s">
        <x:v>46</x:v>
      </x:c>
      <x:c r="T10" s="11" t="s">
        <x:v>131</x:v>
      </x:c>
      <x:c r="U10" s="29" t="s">
        <x:v>156</x:v>
      </x:c>
    </x:row>
    <x:row r="11" ht="96.5999984741211" hidden="1">
      <x:c r="A11" s="11" t="s">
        <x:v>157</x:v>
      </x:c>
      <x:c r="B11" s="11" t="s">
        <x:v>56</x:v>
      </x:c>
      <x:c r="C11" s="11">
        <x:v>6</x:v>
      </x:c>
      <x:c r="D11" s="11" t="s">
        <x:v>89</x:v>
      </x:c>
      <x:c r="E11" s="11" t="s">
        <x:v>158</x:v>
      </x:c>
      <x:c r="F11" s="11" t="s">
        <x:v>159</x:v>
      </x:c>
      <x:c r="G11" s="11" t="s">
        <x:v>160</x:v>
      </x:c>
      <x:c r="H11" s="11" t="s">
        <x:v>123</x:v>
      </x:c>
      <x:c r="I11" s="16">
        <x:v>1.25</x:v>
      </x:c>
      <x:c r="J11" s="11" t="s">
        <x:v>161</x:v>
      </x:c>
      <x:c r="K11" s="11" t="s">
        <x:v>101</x:v>
      </x:c>
      <x:c r="L11" s="11" t="s">
        <x:v>162</x:v>
      </x:c>
      <x:c r="M11" s="11" t="s">
        <x:v>163</x:v>
      </x:c>
      <x:c r="N11" s="11" t="s">
        <x:v>164</x:v>
      </x:c>
      <x:c r="O11" s="11" t="s">
        <x:v>165</x:v>
      </x:c>
      <x:c r="P11" s="11" t="s">
        <x:v>166</x:v>
      </x:c>
      <x:c r="Q11" s="11" t="s">
        <x:v>167</x:v>
      </x:c>
      <x:c r="R11" s="11" t="s">
        <x:v>168</x:v>
      </x:c>
      <x:c r="S11" s="11" t="s">
        <x:v>46</x:v>
      </x:c>
      <x:c r="T11" s="11" t="s">
        <x:v>131</x:v>
      </x:c>
      <x:c r="U11" s="29" t="s">
        <x:v>169</x:v>
      </x:c>
    </x:row>
    <x:row r="12" ht="110.4000015258789" hidden="1">
      <x:c r="A12" s="11" t="s">
        <x:v>170</x:v>
      </x:c>
      <x:c r="B12" s="11" t="s">
        <x:v>56</x:v>
      </x:c>
      <x:c r="C12" s="11">
        <x:v>7</x:v>
      </x:c>
      <x:c r="D12" s="11" t="s">
        <x:v>89</x:v>
      </x:c>
      <x:c r="E12" s="11" t="s">
        <x:v>171</x:v>
      </x:c>
      <x:c r="F12" s="11" t="s">
        <x:v>172</x:v>
      </x:c>
      <x:c r="G12" s="11" t="s">
        <x:v>173</x:v>
      </x:c>
      <x:c r="H12" s="11" t="s">
        <x:v>123</x:v>
      </x:c>
      <x:c r="I12" s="16">
        <x:v>1</x:v>
      </x:c>
      <x:c r="J12" s="11" t="s">
        <x:v>124</x:v>
      </x:c>
      <x:c r="K12" s="11" t="s">
        <x:v>101</x:v>
      </x:c>
      <x:c r="L12" s="11" t="s">
        <x:v>174</x:v>
      </x:c>
      <x:c r="M12"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12" s="11" t="s">
        <x:v>176</x:v>
      </x:c>
      <x:c r="O12" s="11" t="s">
        <x:v>177</x:v>
      </x:c>
      <x:c r="P12" s="11" t="s">
        <x:v>178</x:v>
      </x:c>
      <x:c r="Q12" s="11" t="s">
        <x:v>119</x:v>
      </x:c>
      <x:c r="R12" s="11" t="s">
        <x:v>179</x:v>
      </x:c>
      <x:c r="S12" s="11" t="s">
        <x:v>46</x:v>
      </x:c>
      <x:c r="T12" s="11" t="s">
        <x:v>131</x:v>
      </x:c>
      <x:c r="U12" s="29" t="s">
        <x:v>180</x:v>
      </x:c>
    </x:row>
    <x:row r="13" ht="110.4000015258789" hidden="1">
      <x:c r="A13" s="11" t="s">
        <x:v>181</x:v>
      </x:c>
      <x:c r="B13" s="11" t="s">
        <x:v>56</x:v>
      </x:c>
      <x:c r="C13" s="11">
        <x:v>8</x:v>
      </x:c>
      <x:c r="D13" s="11" t="s">
        <x:v>89</x:v>
      </x:c>
      <x:c r="E13" s="11" t="s">
        <x:v>182</x:v>
      </x:c>
      <x:c r="F13" s="11" t="s">
        <x:v>183</x:v>
      </x:c>
      <x:c r="G13" s="11" t="s">
        <x:v>184</x:v>
      </x:c>
      <x:c r="H13" s="11" t="s">
        <x:v>123</x:v>
      </x:c>
      <x:c r="I13" s="16">
        <x:v>1</x:v>
      </x:c>
      <x:c r="J13" s="11" t="s">
        <x:v>161</x:v>
      </x:c>
      <x:c r="K13" s="11" t="s">
        <x:v>185</x:v>
      </x:c>
      <x:c r="L13" s="11" t="s">
        <x:v>186</x:v>
      </x:c>
      <x:c r="M13" s="11" t="s">
        <x:v>187</x:v>
      </x:c>
      <x:c r="N13" s="11" t="s">
        <x:v>188</x:v>
      </x:c>
      <x:c r="O13" s="11" t="s">
        <x:v>189</x:v>
      </x:c>
      <x:c r="P13" s="11" t="s">
        <x:v>166</x:v>
      </x:c>
      <x:c r="Q13" s="11" t="s">
        <x:v>144</x:v>
      </x:c>
      <x:c r="R13" s="11" t="s">
        <x:v>190</x:v>
      </x:c>
      <x:c r="S13" s="11" t="s">
        <x:v>46</x:v>
      </x:c>
      <x:c r="T13" s="11" t="s">
        <x:v>131</x:v>
      </x:c>
      <x:c r="U13" s="29" t="s">
        <x:v>191</x:v>
      </x:c>
    </x:row>
    <x:row r="14" ht="125.4000015258789" hidden="1">
      <x:c r="A14" s="11" t="s">
        <x:v>192</x:v>
      </x:c>
      <x:c r="B14" s="11" t="s">
        <x:v>56</x:v>
      </x:c>
      <x:c r="C14" s="11">
        <x:v>9</x:v>
      </x:c>
      <x:c r="D14" s="11" t="s">
        <x:v>89</x:v>
      </x:c>
      <x:c r="E14" s="11" t="s">
        <x:v>193</x:v>
      </x:c>
      <x:c r="F14" s="11" t="s">
        <x:v>194</x:v>
      </x:c>
      <x:c r="G14" s="11" t="s">
        <x:v>195</x:v>
      </x:c>
      <x:c r="H14" s="11" t="s">
        <x:v>123</x:v>
      </x:c>
      <x:c r="I14" s="16">
        <x:v>1.25</x:v>
      </x:c>
      <x:c r="J14" s="11" t="s">
        <x:v>196</x:v>
      </x:c>
      <x:c r="K14" s="11" t="s">
        <x:v>197</x:v>
      </x:c>
      <x:c r="L14" s="11" t="s">
        <x:v>198</x:v>
      </x:c>
      <x:c r="M14"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14" s="11" t="s">
        <x:v>200</x:v>
      </x:c>
      <x:c r="O14" s="11" t="s">
        <x:v>201</x:v>
      </x:c>
      <x:c r="P14" s="11" t="s">
        <x:v>202</x:v>
      </x:c>
      <x:c r="Q14" s="11" t="s">
        <x:v>119</x:v>
      </x:c>
      <x:c r="R14" s="11" t="s">
        <x:v>203</x:v>
      </x:c>
      <x:c r="S14" s="11" t="s">
        <x:v>46</x:v>
      </x:c>
      <x:c r="T14" s="11" t="s">
        <x:v>204</x:v>
      </x:c>
      <x:c r="U14" s="29" t="s">
        <x:v>205</x:v>
      </x:c>
    </x:row>
    <x:row r="15" ht="125.4000015258789" hidden="1">
      <x:c r="A15" s="11" t="s">
        <x:v>206</x:v>
      </x:c>
      <x:c r="B15" s="11" t="s">
        <x:v>56</x:v>
      </x:c>
      <x:c r="C15" s="11">
        <x:v>10</x:v>
      </x:c>
      <x:c r="D15" s="11" t="s">
        <x:v>89</x:v>
      </x:c>
      <x:c r="E15" s="11" t="s">
        <x:v>207</x:v>
      </x:c>
      <x:c r="F15" s="11" t="s">
        <x:v>208</x:v>
      </x:c>
      <x:c r="G15" s="11" t="s">
        <x:v>209</x:v>
      </x:c>
      <x:c r="H15" s="11" t="s">
        <x:v>123</x:v>
      </x:c>
      <x:c r="I15" s="16">
        <x:v>1.5</x:v>
      </x:c>
      <x:c r="J15" s="11" t="s">
        <x:v>196</x:v>
      </x:c>
      <x:c r="K15" s="11" t="s">
        <x:v>210</x:v>
      </x:c>
      <x:c r="L15" s="11" t="s">
        <x:v>211</x:v>
      </x:c>
      <x:c r="M15"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15" s="11" t="s">
        <x:v>213</x:v>
      </x:c>
      <x:c r="O15" s="11" t="s">
        <x:v>214</x:v>
      </x:c>
      <x:c r="P15" s="11" t="s">
        <x:v>215</x:v>
      </x:c>
      <x:c r="Q15" s="11" t="s">
        <x:v>192</x:v>
      </x:c>
      <x:c r="R15" s="11" t="s">
        <x:v>216</x:v>
      </x:c>
      <x:c r="S15" s="11" t="s">
        <x:v>46</x:v>
      </x:c>
      <x:c r="T15" s="11" t="s">
        <x:v>204</x:v>
      </x:c>
      <x:c r="U15" s="29" t="s">
        <x:v>217</x:v>
      </x:c>
    </x:row>
    <x:row r="16" ht="125.4000015258789" hidden="1">
      <x:c r="A16" s="11" t="s">
        <x:v>218</x:v>
      </x:c>
      <x:c r="B16" s="11" t="s">
        <x:v>56</x:v>
      </x:c>
      <x:c r="C16" s="11">
        <x:v>11</x:v>
      </x:c>
      <x:c r="D16" s="11" t="s">
        <x:v>89</x:v>
      </x:c>
      <x:c r="E16" s="11" t="s">
        <x:v>219</x:v>
      </x:c>
      <x:c r="F16" s="11" t="s">
        <x:v>220</x:v>
      </x:c>
      <x:c r="G16" s="11" t="s">
        <x:v>221</x:v>
      </x:c>
      <x:c r="H16" s="11" t="s">
        <x:v>123</x:v>
      </x:c>
      <x:c r="I16" s="16">
        <x:v>1</x:v>
      </x:c>
      <x:c r="J16" s="11" t="s">
        <x:v>196</x:v>
      </x:c>
      <x:c r="K16" s="11" t="s">
        <x:v>222</x:v>
      </x:c>
      <x:c r="L16" s="11" t="s">
        <x:v>223</x:v>
      </x:c>
      <x:c r="M16" s="11" t="s">
        <x:v>224</x:v>
      </x:c>
      <x:c r="N16" s="11" t="s">
        <x:v>225</x:v>
      </x:c>
      <x:c r="O16" s="11" t="s">
        <x:v>226</x:v>
      </x:c>
      <x:c r="P16" s="11" t="s">
        <x:v>227</x:v>
      </x:c>
      <x:c r="Q16" s="11" t="s">
        <x:v>206</x:v>
      </x:c>
      <x:c r="R16" s="11" t="s">
        <x:v>228</x:v>
      </x:c>
      <x:c r="S16" s="11" t="s">
        <x:v>46</x:v>
      </x:c>
      <x:c r="T16" s="11" t="s">
        <x:v>204</x:v>
      </x:c>
      <x:c r="U16" s="29" t="s">
        <x:v>229</x:v>
      </x:c>
    </x:row>
    <x:row r="17" ht="96.5999984741211" hidden="1">
      <x:c r="A17" s="11" t="s">
        <x:v>230</x:v>
      </x:c>
      <x:c r="B17" s="11" t="s">
        <x:v>56</x:v>
      </x:c>
      <x:c r="C17" s="11">
        <x:v>12</x:v>
      </x:c>
      <x:c r="D17" s="11" t="s">
        <x:v>89</x:v>
      </x:c>
      <x:c r="E17" s="11" t="s">
        <x:v>231</x:v>
      </x:c>
      <x:c r="F17" s="11" t="s">
        <x:v>232</x:v>
      </x:c>
      <x:c r="G17" s="11" t="s">
        <x:v>233</x:v>
      </x:c>
      <x:c r="H17" s="11" t="s">
        <x:v>93</x:v>
      </x:c>
      <x:c r="I17" s="16">
        <x:v>1</x:v>
      </x:c>
      <x:c r="J17" s="11" t="inlineStr">
        <x:is>
          <x:t xml:space="preserve">W1-REVIEW-001</x:t>
        </x:is>
      </x:c>
      <x:c r="K17" s="11" t="s">
        <x:v>234</x:v>
      </x:c>
      <x:c r="L17" s="11" t="s">
        <x:v>235</x:v>
      </x:c>
      <x:c r="M17"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17" s="11" t="s">
        <x:v>237</x:v>
      </x:c>
      <x:c r="O17" s="11" t="s">
        <x:v>238</x:v>
      </x:c>
      <x:c r="P17" s="11" t="s">
        <x:v>115</x:v>
      </x:c>
      <x:c r="Q17" s="11" t="s">
        <x:v>239</x:v>
      </x:c>
      <x:c r="R17" s="11" t="s">
        <x:v>240</x:v>
      </x:c>
      <x:c r="S17" s="11" t="s">
        <x:v>46</x:v>
      </x:c>
      <x:c r="T17" s="11" t="s">
        <x:v>241</x:v>
      </x:c>
      <x:c r="U17" s="29" t="s">
        <x:v>242</x:v>
      </x:c>
    </x:row>
    <x:row r="18" ht="69" hidden="1">
      <x:c r="A18" s="11" t="s">
        <x:v>243</x:v>
      </x:c>
      <x:c r="B18" s="11" t="s">
        <x:v>56</x:v>
      </x:c>
      <x:c r="C18" s="11">
        <x:v>13</x:v>
      </x:c>
      <x:c r="D18" s="11" t="s">
        <x:v>89</x:v>
      </x:c>
      <x:c r="E18" s="11" t="s">
        <x:v>244</x:v>
      </x:c>
      <x:c r="F18" s="11" t="s">
        <x:v>245</x:v>
      </x:c>
      <x:c r="G18" s="11" t="s">
        <x:v>246</x:v>
      </x:c>
      <x:c r="H18" s="11" t="s">
        <x:v>109</x:v>
      </x:c>
      <x:c r="I18" s="16">
        <x:v>1</x:v>
      </x:c>
      <x:c r="J18" s="11" t="s">
        <x:v>247</x:v>
      </x:c>
      <x:c r="K18" s="11" t="s">
        <x:v>101</x:v>
      </x:c>
      <x:c r="L18" s="11" t="s">
        <x:v>248</x:v>
      </x:c>
      <x:c r="M18" s="11" t="s">
        <x:v>2358</x:v>
      </x:c>
      <x:c r="N18" s="11" t="s">
        <x:v>250</x:v>
      </x:c>
      <x:c r="O18" s="11" t="s">
        <x:v>251</x:v>
      </x:c>
      <x:c r="P18" s="11" t="s">
        <x:v>252</x:v>
      </x:c>
      <x:c r="Q18" s="11" t="s">
        <x:v>230</x:v>
      </x:c>
      <x:c r="R18" s="11" t="s">
        <x:v>253</x:v>
      </x:c>
      <x:c r="S18" s="11" t="s">
        <x:v>46</x:v>
      </x:c>
      <x:c r="T18" s="11" t="s">
        <x:v>254</x:v>
      </x:c>
      <x:c r="U18" s="29" t="s">
        <x:v>255</x:v>
      </x:c>
    </x:row>
    <x:row r="19" ht="110.4000015258789">
      <x:c r="A19" s="11" t="s">
        <x:v>256</x:v>
      </x:c>
      <x:c r="B19" s="11" t="s">
        <x:v>37</x:v>
      </x:c>
      <x:c r="C19" s="11">
        <x:v>1</x:v>
      </x:c>
      <x:c r="D19" s="11" t="s">
        <x:v>89</x:v>
      </x:c>
      <x:c r="E19" s="11" t="s">
        <x:v>257</x:v>
      </x:c>
      <x:c r="F19" s="11" t="s">
        <x:v>258</x:v>
      </x:c>
      <x:c r="G19" s="11" t="s">
        <x:v>259</x:v>
      </x:c>
      <x:c r="H19" s="11" t="s">
        <x:v>123</x:v>
      </x:c>
      <x:c r="I19" s="16">
        <x:v>1</x:v>
      </x:c>
      <x:c r="J19" s="11" t="s">
        <x:v>260</x:v>
      </x:c>
      <x:c r="K19" s="11" t="s">
        <x:v>261</x:v>
      </x:c>
      <x:c r="L19" s="11" t="s">
        <x:v>262</x:v>
      </x:c>
      <x:c r="M19" s="11" t="s">
        <x:v>263</x:v>
      </x:c>
      <x:c r="N19" s="11" t="s">
        <x:v>264</x:v>
      </x:c>
      <x:c r="O19" s="11" t="s">
        <x:v>265</x:v>
      </x:c>
      <x:c r="P19" s="11" t="s">
        <x:v>154</x:v>
      </x:c>
      <x:c r="Q19" s="11" t="s">
        <x:v>243</x:v>
      </x:c>
      <x:c r="R19" s="11" t="s">
        <x:v>266</x:v>
      </x:c>
      <x:c r="S19" s="11" t="s">
        <x:v>46</x:v>
      </x:c>
      <x:c r="T19" s="11"/>
      <x:c r="U19" s="29" t="s">
        <x:v>267</x:v>
      </x:c>
    </x:row>
    <x:row r="20" ht="110.4000015258789">
      <x:c r="A20" s="11" t="s">
        <x:v>268</x:v>
      </x:c>
      <x:c r="B20" s="11" t="s">
        <x:v>37</x:v>
      </x:c>
      <x:c r="C20" s="11">
        <x:v>2</x:v>
      </x:c>
      <x:c r="D20" s="11" t="s">
        <x:v>89</x:v>
      </x:c>
      <x:c r="E20" s="11" t="s">
        <x:v>269</x:v>
      </x:c>
      <x:c r="F20" s="11" t="s">
        <x:v>270</x:v>
      </x:c>
      <x:c r="G20" s="11" t="s">
        <x:v>271</x:v>
      </x:c>
      <x:c r="H20" s="11" t="s">
        <x:v>123</x:v>
      </x:c>
      <x:c r="I20" s="16">
        <x:v>1.25</x:v>
      </x:c>
      <x:c r="J20" s="11" t="s">
        <x:v>260</x:v>
      </x:c>
      <x:c r="K20" s="11" t="s">
        <x:v>101</x:v>
      </x:c>
      <x:c r="L20" s="11" t="s">
        <x:v>272</x:v>
      </x:c>
      <x:c r="M20" s="11" t="s">
        <x:v>273</x:v>
      </x:c>
      <x:c r="N20" s="11" t="s">
        <x:v>274</x:v>
      </x:c>
      <x:c r="O20" s="11" t="s">
        <x:v>275</x:v>
      </x:c>
      <x:c r="P20" s="11" t="s">
        <x:v>276</x:v>
      </x:c>
      <x:c r="Q20" s="11" t="s">
        <x:v>256</x:v>
      </x:c>
      <x:c r="R20" s="11" t="s">
        <x:v>277</x:v>
      </x:c>
      <x:c r="S20" s="11" t="s">
        <x:v>46</x:v>
      </x:c>
      <x:c r="T20" s="11"/>
      <x:c r="U20" s="29" t="s">
        <x:v>278</x:v>
      </x:c>
    </x:row>
    <x:row r="21" ht="110.4000015258789">
      <x:c r="A21" s="11" t="s">
        <x:v>279</x:v>
      </x:c>
      <x:c r="B21" s="11" t="s">
        <x:v>37</x:v>
      </x:c>
      <x:c r="C21" s="11">
        <x:v>3</x:v>
      </x:c>
      <x:c r="D21" s="11" t="s">
        <x:v>89</x:v>
      </x:c>
      <x:c r="E21" s="11" t="s">
        <x:v>280</x:v>
      </x:c>
      <x:c r="F21" s="11" t="s">
        <x:v>281</x:v>
      </x:c>
      <x:c r="G21" s="11" t="s">
        <x:v>282</x:v>
      </x:c>
      <x:c r="H21" s="11" t="s">
        <x:v>123</x:v>
      </x:c>
      <x:c r="I21" s="16">
        <x:v>1</x:v>
      </x:c>
      <x:c r="J21" s="11" t="s">
        <x:v>260</x:v>
      </x:c>
      <x:c r="K21" s="11" t="s">
        <x:v>101</x:v>
      </x:c>
      <x:c r="L21" s="11" t="s">
        <x:v>283</x:v>
      </x:c>
      <x:c r="M21" s="11" t="inlineStr">
        <x:is>
          <x:t xml:space="preserve">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x:t>
        </x:is>
      </x:c>
      <x:c r="N21" s="11" t="s">
        <x:v>285</x:v>
      </x:c>
      <x:c r="O21" s="11" t="s">
        <x:v>286</x:v>
      </x:c>
      <x:c r="P21" s="11" t="s">
        <x:v>287</x:v>
      </x:c>
      <x:c r="Q21" s="11" t="s">
        <x:v>230</x:v>
      </x:c>
      <x:c r="R21" s="11" t="inlineStr">
        <x:is>
          <x:t xml:space="preserve">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x:t>
        </x:is>
      </x:c>
      <x:c r="S21" s="11" t="s">
        <x:v>46</x:v>
      </x:c>
      <x:c r="T21" s="11"/>
      <x:c r="U21" s="29" t="s">
        <x:v>289</x:v>
      </x:c>
    </x:row>
    <x:row r="22" ht="110.4000015258789">
      <x:c r="A22" s="11" t="s">
        <x:v>290</x:v>
      </x:c>
      <x:c r="B22" s="11" t="s">
        <x:v>37</x:v>
      </x:c>
      <x:c r="C22" s="11">
        <x:v>4</x:v>
      </x:c>
      <x:c r="D22" s="11" t="s">
        <x:v>89</x:v>
      </x:c>
      <x:c r="E22" s="11" t="s">
        <x:v>291</x:v>
      </x:c>
      <x:c r="F22" s="11" t="s">
        <x:v>292</x:v>
      </x:c>
      <x:c r="G22" s="11" t="s">
        <x:v>293</x:v>
      </x:c>
      <x:c r="H22" s="11" t="s">
        <x:v>123</x:v>
      </x:c>
      <x:c r="I22" s="16">
        <x:v>1.5</x:v>
      </x:c>
      <x:c r="J22" s="11" t="s">
        <x:v>260</x:v>
      </x:c>
      <x:c r="K22" s="11" t="s">
        <x:v>294</x:v>
      </x:c>
      <x:c r="L22" s="11" t="s">
        <x:v>295</x:v>
      </x:c>
      <x:c r="M22" s="11" t="inlineStr">
        <x:is>
          <x:t xml:space="preserve">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x:t>
        </x:is>
      </x:c>
      <x:c r="N22" s="11" t="s">
        <x:v>297</x:v>
      </x:c>
      <x:c r="O22" s="11" t="s">
        <x:v>298</x:v>
      </x:c>
      <x:c r="P22" s="11" t="s">
        <x:v>287</x:v>
      </x:c>
      <x:c r="Q22" s="11" t="s">
        <x:v>299</x:v>
      </x:c>
      <x:c r="R22" s="11" t="s">
        <x:v>300</x:v>
      </x:c>
      <x:c r="S22" s="11" t="s">
        <x:v>46</x:v>
      </x:c>
      <x:c r="T22" s="11"/>
      <x:c r="U22" s="29" t="s">
        <x:v>301</x:v>
      </x:c>
    </x:row>
    <x:row r="23" ht="110.4000015258789" hidden="1">
      <x:c r="A23" s="11" t="s">
        <x:v>302</x:v>
      </x:c>
      <x:c r="B23" s="11" t="s">
        <x:v>37</x:v>
      </x:c>
      <x:c r="C23" s="11">
        <x:v>5</x:v>
      </x:c>
      <x:c r="D23" s="11" t="s">
        <x:v>89</x:v>
      </x:c>
      <x:c r="E23" s="11" t="s">
        <x:v>303</x:v>
      </x:c>
      <x:c r="F23" s="11" t="s">
        <x:v>304</x:v>
      </x:c>
      <x:c r="G23" s="11" t="s">
        <x:v>305</x:v>
      </x:c>
      <x:c r="H23" s="11" t="s">
        <x:v>123</x:v>
      </x:c>
      <x:c r="I23" s="16">
        <x:v>1.25</x:v>
      </x:c>
      <x:c r="J23" s="11" t="s">
        <x:v>306</x:v>
      </x:c>
      <x:c r="K23" s="11" t="s">
        <x:v>307</x:v>
      </x:c>
      <x:c r="L23" s="11" t="s">
        <x:v>308</x:v>
      </x:c>
      <x:c r="M23" s="11" t="s">
        <x:v>309</x:v>
      </x:c>
      <x:c r="N23" s="11" t="s">
        <x:v>310</x:v>
      </x:c>
      <x:c r="O23" s="11" t="s">
        <x:v>311</x:v>
      </x:c>
      <x:c r="P23" s="11" t="s">
        <x:v>154</x:v>
      </x:c>
      <x:c r="Q23" s="11" t="s">
        <x:v>256</x:v>
      </x:c>
      <x:c r="R23" s="11" t="s">
        <x:v>312</x:v>
      </x:c>
      <x:c r="S23" s="11" t="s">
        <x:v>313</x:v>
      </x:c>
      <x:c r="T23" s="11"/>
      <x:c r="U23" s="29" t="s">
        <x:v>314</x:v>
      </x:c>
    </x:row>
    <x:row r="24" ht="110.4000015258789" hidden="1">
      <x:c r="A24" s="11" t="s">
        <x:v>315</x:v>
      </x:c>
      <x:c r="B24" s="11" t="s">
        <x:v>37</x:v>
      </x:c>
      <x:c r="C24" s="11">
        <x:v>6</x:v>
      </x:c>
      <x:c r="D24" s="11" t="s">
        <x:v>89</x:v>
      </x:c>
      <x:c r="E24" s="11" t="s">
        <x:v>316</x:v>
      </x:c>
      <x:c r="F24" s="11" t="s">
        <x:v>317</x:v>
      </x:c>
      <x:c r="G24" s="11" t="s">
        <x:v>318</x:v>
      </x:c>
      <x:c r="H24" s="11" t="s">
        <x:v>123</x:v>
      </x:c>
      <x:c r="I24" s="16">
        <x:v>1.5</x:v>
      </x:c>
      <x:c r="J24" s="11" t="s">
        <x:v>319</x:v>
      </x:c>
      <x:c r="K24" s="11" t="s">
        <x:v>320</x:v>
      </x:c>
      <x:c r="L24" s="11" t="s">
        <x:v>321</x:v>
      </x:c>
      <x:c r="M24" s="11" t="s">
        <x:v>322</x:v>
      </x:c>
      <x:c r="N24" s="11" t="s">
        <x:v>323</x:v>
      </x:c>
      <x:c r="O24" s="11" t="s">
        <x:v>324</x:v>
      </x:c>
      <x:c r="P24" s="11" t="s">
        <x:v>166</x:v>
      </x:c>
      <x:c r="Q24" s="11" t="s">
        <x:v>325</x:v>
      </x:c>
      <x:c r="R24" s="11" t="s">
        <x:v>326</x:v>
      </x:c>
      <x:c r="S24" s="11" t="s">
        <x:v>313</x:v>
      </x:c>
      <x:c r="T24" s="11"/>
      <x:c r="U24" s="29" t="s">
        <x:v>327</x:v>
      </x:c>
    </x:row>
    <x:row r="25" ht="96.5999984741211" hidden="1">
      <x:c r="A25" s="11" t="s">
        <x:v>328</x:v>
      </x:c>
      <x:c r="B25" s="11" t="s">
        <x:v>37</x:v>
      </x:c>
      <x:c r="C25" s="11">
        <x:v>7</x:v>
      </x:c>
      <x:c r="D25" s="11" t="s">
        <x:v>89</x:v>
      </x:c>
      <x:c r="E25" s="11" t="s">
        <x:v>329</x:v>
      </x:c>
      <x:c r="F25" s="11" t="s">
        <x:v>330</x:v>
      </x:c>
      <x:c r="G25" s="11" t="s">
        <x:v>331</x:v>
      </x:c>
      <x:c r="H25" s="11" t="s">
        <x:v>123</x:v>
      </x:c>
      <x:c r="I25" s="16">
        <x:v>1</x:v>
      </x:c>
      <x:c r="J25" s="11" t="s">
        <x:v>319</x:v>
      </x:c>
      <x:c r="K25" s="11" t="s">
        <x:v>332</x:v>
      </x:c>
      <x:c r="L25" s="11" t="s">
        <x:v>333</x:v>
      </x:c>
      <x:c r="M25" s="11" t="s">
        <x:v>334</x:v>
      </x:c>
      <x:c r="N25" s="11" t="s">
        <x:v>335</x:v>
      </x:c>
      <x:c r="O25" s="11" t="s">
        <x:v>336</x:v>
      </x:c>
      <x:c r="P25" s="11" t="s">
        <x:v>337</x:v>
      </x:c>
      <x:c r="Q25" s="11" t="s">
        <x:v>315</x:v>
      </x:c>
      <x:c r="R25" s="11" t="s">
        <x:v>338</x:v>
      </x:c>
      <x:c r="S25" s="11" t="s">
        <x:v>313</x:v>
      </x:c>
      <x:c r="T25" s="11"/>
      <x:c r="U25" s="29" t="s">
        <x:v>339</x:v>
      </x:c>
    </x:row>
    <x:row r="26" ht="110.4000015258789">
      <x:c r="A26" s="11" t="s">
        <x:v>340</x:v>
      </x:c>
      <x:c r="B26" s="11" t="s">
        <x:v>37</x:v>
      </x:c>
      <x:c r="C26" s="11">
        <x:v>8</x:v>
      </x:c>
      <x:c r="D26" s="11" t="s">
        <x:v>89</x:v>
      </x:c>
      <x:c r="E26" s="11" t="s">
        <x:v>341</x:v>
      </x:c>
      <x:c r="F26" s="11" t="s">
        <x:v>342</x:v>
      </x:c>
      <x:c r="G26" s="11" t="s">
        <x:v>343</x:v>
      </x:c>
      <x:c r="H26" s="11" t="s">
        <x:v>123</x:v>
      </x:c>
      <x:c r="I26" s="16">
        <x:v>1</x:v>
      </x:c>
      <x:c r="J26" s="11" t="s">
        <x:v>260</x:v>
      </x:c>
      <x:c r="K26" s="11" t="s">
        <x:v>344</x:v>
      </x:c>
      <x:c r="L26" s="11" t="s">
        <x:v>345</x:v>
      </x:c>
      <x:c r="M26" s="11" t="s">
        <x:v>346</x:v>
      </x:c>
      <x:c r="N26" s="11" t="s">
        <x:v>347</x:v>
      </x:c>
      <x:c r="O26" s="11" t="s">
        <x:v>348</x:v>
      </x:c>
      <x:c r="P26" s="11" t="s">
        <x:v>337</x:v>
      </x:c>
      <x:c r="Q26" s="11" t="s">
        <x:v>290</x:v>
      </x:c>
      <x:c r="R26" s="11" t="s">
        <x:v>349</x:v>
      </x:c>
      <x:c r="S26" s="11" t="s">
        <x:v>46</x:v>
      </x:c>
      <x:c r="T26" s="11"/>
      <x:c r="U26" s="29" t="s">
        <x:v>350</x:v>
      </x:c>
    </x:row>
    <x:row r="27" ht="110.4000015258789" hidden="1">
      <x:c r="A27" s="11" t="s">
        <x:v>351</x:v>
      </x:c>
      <x:c r="B27" s="11" t="s">
        <x:v>37</x:v>
      </x:c>
      <x:c r="C27" s="11">
        <x:v>9</x:v>
      </x:c>
      <x:c r="D27" s="11" t="s">
        <x:v>89</x:v>
      </x:c>
      <x:c r="E27" s="11" t="s">
        <x:v>352</x:v>
      </x:c>
      <x:c r="F27" s="11" t="s">
        <x:v>353</x:v>
      </x:c>
      <x:c r="G27" s="11" t="s">
        <x:v>354</x:v>
      </x:c>
      <x:c r="H27" s="11" t="s">
        <x:v>109</x:v>
      </x:c>
      <x:c r="I27" s="16">
        <x:v>1</x:v>
      </x:c>
      <x:c r="J27" s="11" t="s">
        <x:v>355</x:v>
      </x:c>
      <x:c r="K27" s="11" t="s">
        <x:v>356</x:v>
      </x:c>
      <x:c r="L27" s="11" t="s">
        <x:v>357</x:v>
      </x:c>
      <x:c r="M27"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27" s="11" t="s">
        <x:v>359</x:v>
      </x:c>
      <x:c r="O27" s="11" t="s">
        <x:v>360</x:v>
      </x:c>
      <x:c r="P27" s="11" t="s">
        <x:v>361</x:v>
      </x:c>
      <x:c r="Q27" s="11" t="s">
        <x:v>362</x:v>
      </x:c>
      <x:c r="R27" s="11" t="s">
        <x:v>363</x:v>
      </x:c>
      <x:c r="S27" s="11" t="s">
        <x:v>313</x:v>
      </x:c>
      <x:c r="T27" s="11"/>
      <x:c r="U27" s="29" t="s">
        <x:v>364</x:v>
      </x:c>
    </x:row>
    <x:row r="28" ht="110.4000015258789" hidden="1">
      <x:c r="A28" s="11" t="s">
        <x:v>365</x:v>
      </x:c>
      <x:c r="B28" s="11" t="s">
        <x:v>37</x:v>
      </x:c>
      <x:c r="C28" s="11">
        <x:v>10</x:v>
      </x:c>
      <x:c r="D28" s="11" t="s">
        <x:v>89</x:v>
      </x:c>
      <x:c r="E28" s="11" t="s">
        <x:v>207</x:v>
      </x:c>
      <x:c r="F28" s="11" t="s">
        <x:v>366</x:v>
      </x:c>
      <x:c r="G28" s="11" t="s">
        <x:v>367</x:v>
      </x:c>
      <x:c r="H28" s="11" t="s">
        <x:v>109</x:v>
      </x:c>
      <x:c r="I28" s="16">
        <x:v>1</x:v>
      </x:c>
      <x:c r="J28" s="11" t="s">
        <x:v>355</x:v>
      </x:c>
      <x:c r="K28" s="11" t="s">
        <x:v>368</x:v>
      </x:c>
      <x:c r="L28" s="11" t="s">
        <x:v>369</x:v>
      </x:c>
      <x:c r="M28"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28" s="11" t="s">
        <x:v>371</x:v>
      </x:c>
      <x:c r="O28" s="11" t="s">
        <x:v>372</x:v>
      </x:c>
      <x:c r="P28" s="11" t="s">
        <x:v>373</x:v>
      </x:c>
      <x:c r="Q28" s="11" t="s">
        <x:v>351</x:v>
      </x:c>
      <x:c r="R28" s="11" t="s">
        <x:v>374</x:v>
      </x:c>
      <x:c r="S28" s="11" t="s">
        <x:v>313</x:v>
      </x:c>
      <x:c r="T28" s="11"/>
      <x:c r="U28" s="29" t="s">
        <x:v>375</x:v>
      </x:c>
    </x:row>
    <x:row r="29" ht="110.4000015258789" hidden="1">
      <x:c r="A29" s="11" t="s">
        <x:v>376</x:v>
      </x:c>
      <x:c r="B29" s="11" t="s">
        <x:v>37</x:v>
      </x:c>
      <x:c r="C29" s="11">
        <x:v>11</x:v>
      </x:c>
      <x:c r="D29" s="11" t="s">
        <x:v>377</x:v>
      </x:c>
      <x:c r="E29" s="11" t="s">
        <x:v>378</x:v>
      </x:c>
      <x:c r="F29" s="11" t="s">
        <x:v>379</x:v>
      </x:c>
      <x:c r="G29" s="11" t="s">
        <x:v>380</x:v>
      </x:c>
      <x:c r="H29" s="11" t="s">
        <x:v>93</x:v>
      </x:c>
      <x:c r="I29" s="16">
        <x:v>0.75</x:v>
      </x:c>
      <x:c r="J29" s="11" t="s">
        <x:v>381</x:v>
      </x:c>
      <x:c r="K29" s="11" t="s">
        <x:v>101</x:v>
      </x:c>
      <x:c r="L29" s="11" t="s">
        <x:v>382</x:v>
      </x:c>
      <x:c r="M29" s="11" t="str">
        <x:v>Owner records the five-minute teach-back notes in docs/architecture/local-retrieval.md</x:v>
      </x:c>
      <x:c r="N29" s="11" t="s">
        <x:v>383</x:v>
      </x:c>
      <x:c r="O29" s="11" t="s">
        <x:v>384</x:v>
      </x:c>
      <x:c r="P29" s="11" t="s">
        <x:v>385</x:v>
      </x:c>
      <x:c r="Q29" s="11" t="s">
        <x:v>351</x:v>
      </x:c>
      <x:c r="R29" s="11" t="s">
        <x:v>386</x:v>
      </x:c>
      <x:c r="S29" s="11" t="s">
        <x:v>313</x:v>
      </x:c>
      <x:c r="T29" s="11"/>
      <x:c r="U29" s="29" t="s">
        <x:v>387</x:v>
      </x:c>
    </x:row>
    <x:row r="30" ht="96.5999984741211" hidden="1">
      <x:c r="A30" s="11" t="s">
        <x:v>388</x:v>
      </x:c>
      <x:c r="B30" s="11" t="s">
        <x:v>37</x:v>
      </x:c>
      <x:c r="C30" s="11">
        <x:v>12</x:v>
      </x:c>
      <x:c r="D30" s="11" t="s">
        <x:v>89</x:v>
      </x:c>
      <x:c r="E30" s="11" t="s">
        <x:v>231</x:v>
      </x:c>
      <x:c r="F30" s="11" t="s">
        <x:v>389</x:v>
      </x:c>
      <x:c r="G30" s="11" t="s">
        <x:v>390</x:v>
      </x:c>
      <x:c r="H30" s="11" t="s">
        <x:v>93</x:v>
      </x:c>
      <x:c r="I30" s="16">
        <x:v>0.75</x:v>
      </x:c>
      <x:c r="J30" s="11" t="inlineStr">
        <x:is>
          <x:t xml:space="preserve">W2-REVIEW-001</x:t>
        </x:is>
      </x:c>
      <x:c r="K30" s="11" t="s">
        <x:v>391</x:v>
      </x:c>
      <x:c r="L30" s="11" t="s">
        <x:v>392</x:v>
      </x:c>
      <x:c r="M30"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30" s="11" t="s">
        <x:v>394</x:v>
      </x:c>
      <x:c r="O30" s="11" t="s">
        <x:v>395</x:v>
      </x:c>
      <x:c r="P30" s="11" t="s">
        <x:v>115</x:v>
      </x:c>
      <x:c r="Q30" s="11" t="s">
        <x:v>396</x:v>
      </x:c>
      <x:c r="R30" s="11" t="s">
        <x:v>397</x:v>
      </x:c>
      <x:c r="S30" s="11" t="s">
        <x:v>313</x:v>
      </x:c>
      <x:c r="T30" s="11"/>
      <x:c r="U30" s="29" t="s">
        <x:v>398</x:v>
      </x:c>
    </x:row>
    <x:row r="31" ht="69" hidden="1">
      <x:c r="A31" s="11" t="s">
        <x:v>399</x:v>
      </x:c>
      <x:c r="B31" s="11" t="s">
        <x:v>37</x:v>
      </x:c>
      <x:c r="C31" s="11">
        <x:v>13</x:v>
      </x:c>
      <x:c r="D31" s="11" t="s">
        <x:v>89</x:v>
      </x:c>
      <x:c r="E31" s="11" t="s">
        <x:v>244</x:v>
      </x:c>
      <x:c r="F31" s="11" t="s">
        <x:v>400</x:v>
      </x:c>
      <x:c r="G31" s="11" t="s">
        <x:v>401</x:v>
      </x:c>
      <x:c r="H31" s="11" t="s">
        <x:v>109</x:v>
      </x:c>
      <x:c r="I31" s="16">
        <x:v>1</x:v>
      </x:c>
      <x:c r="J31" s="11" t="s">
        <x:v>247</x:v>
      </x:c>
      <x:c r="K31" s="11" t="s">
        <x:v>101</x:v>
      </x:c>
      <x:c r="L31" s="11" t="s">
        <x:v>402</x:v>
      </x:c>
      <x:c r="M31" s="11" t="s">
        <x:v>2359</x:v>
      </x:c>
      <x:c r="N31" s="11" t="s">
        <x:v>250</x:v>
      </x:c>
      <x:c r="O31" s="11" t="s">
        <x:v>403</x:v>
      </x:c>
      <x:c r="P31" s="11" t="s">
        <x:v>385</x:v>
      </x:c>
      <x:c r="Q31" s="11" t="s">
        <x:v>388</x:v>
      </x:c>
      <x:c r="R31" s="11" t="s">
        <x:v>253</x:v>
      </x:c>
      <x:c r="S31" s="11" t="s">
        <x:v>313</x:v>
      </x:c>
      <x:c r="T31" s="11" t="s">
        <x:v>404</x:v>
      </x:c>
      <x:c r="U31" s="29" t="s">
        <x:v>405</x:v>
      </x:c>
    </x:row>
    <x:row r="32" ht="110.4000015258789" hidden="1">
      <x:c r="A32" s="11" t="s">
        <x:v>406</x:v>
      </x:c>
      <x:c r="B32" s="11" t="s">
        <x:v>57</x:v>
      </x:c>
      <x:c r="C32" s="11">
        <x:v>1</x:v>
      </x:c>
      <x:c r="D32" s="11" t="s">
        <x:v>89</x:v>
      </x:c>
      <x:c r="E32" s="11" t="s">
        <x:v>407</x:v>
      </x:c>
      <x:c r="F32" s="11" t="s">
        <x:v>408</x:v>
      </x:c>
      <x:c r="G32" s="11" t="s">
        <x:v>409</x:v>
      </x:c>
      <x:c r="H32" s="11" t="s">
        <x:v>123</x:v>
      </x:c>
      <x:c r="I32" s="16">
        <x:v>1</x:v>
      </x:c>
      <x:c r="J32" s="11" t="s">
        <x:v>410</x:v>
      </x:c>
      <x:c r="K32" s="11" t="s">
        <x:v>411</x:v>
      </x:c>
      <x:c r="L32" s="11" t="s">
        <x:v>412</x:v>
      </x:c>
      <x:c r="M32" s="11" t="s">
        <x:v>413</x:v>
      </x:c>
      <x:c r="N32" s="11" t="s">
        <x:v>414</x:v>
      </x:c>
      <x:c r="O32" s="11" t="s">
        <x:v>415</x:v>
      </x:c>
      <x:c r="P32" s="11" t="s">
        <x:v>416</x:v>
      </x:c>
      <x:c r="Q32" s="11" t="s">
        <x:v>399</x:v>
      </x:c>
      <x:c r="R32" s="11" t="s">
        <x:v>417</x:v>
      </x:c>
      <x:c r="S32" s="11" t="s">
        <x:v>313</x:v>
      </x:c>
      <x:c r="T32" s="11"/>
      <x:c r="U32" s="29" t="s">
        <x:v>418</x:v>
      </x:c>
    </x:row>
    <x:row r="33" ht="110.4000015258789" hidden="1">
      <x:c r="A33" s="11" t="s">
        <x:v>419</x:v>
      </x:c>
      <x:c r="B33" s="11" t="s">
        <x:v>57</x:v>
      </x:c>
      <x:c r="C33" s="11">
        <x:v>2</x:v>
      </x:c>
      <x:c r="D33" s="11" t="s">
        <x:v>89</x:v>
      </x:c>
      <x:c r="E33" s="11" t="s">
        <x:v>420</x:v>
      </x:c>
      <x:c r="F33" s="11" t="s">
        <x:v>421</x:v>
      </x:c>
      <x:c r="G33" s="11" t="s">
        <x:v>422</x:v>
      </x:c>
      <x:c r="H33" s="11" t="s">
        <x:v>123</x:v>
      </x:c>
      <x:c r="I33" s="16">
        <x:v>1.25</x:v>
      </x:c>
      <x:c r="J33" s="11" t="s">
        <x:v>410</x:v>
      </x:c>
      <x:c r="K33" s="11" t="s">
        <x:v>423</x:v>
      </x:c>
      <x:c r="L33" s="11" t="s">
        <x:v>424</x:v>
      </x:c>
      <x:c r="M33" s="11" t="s">
        <x:v>425</x:v>
      </x:c>
      <x:c r="N33" s="11" t="s">
        <x:v>426</x:v>
      </x:c>
      <x:c r="O33" s="11" t="s">
        <x:v>427</x:v>
      </x:c>
      <x:c r="P33" s="11" t="s">
        <x:v>428</x:v>
      </x:c>
      <x:c r="Q33" s="11" t="s">
        <x:v>406</x:v>
      </x:c>
      <x:c r="R33" s="11" t="s">
        <x:v>429</x:v>
      </x:c>
      <x:c r="S33" s="11" t="s">
        <x:v>313</x:v>
      </x:c>
      <x:c r="T33" s="11"/>
      <x:c r="U33" s="29" t="s">
        <x:v>430</x:v>
      </x:c>
    </x:row>
    <x:row r="34" ht="96.5999984741211" hidden="1">
      <x:c r="A34" s="11" t="s">
        <x:v>431</x:v>
      </x:c>
      <x:c r="B34" s="11" t="s">
        <x:v>57</x:v>
      </x:c>
      <x:c r="C34" s="11">
        <x:v>3</x:v>
      </x:c>
      <x:c r="D34" s="11" t="s">
        <x:v>89</x:v>
      </x:c>
      <x:c r="E34" s="11" t="s">
        <x:v>432</x:v>
      </x:c>
      <x:c r="F34" s="11" t="s">
        <x:v>433</x:v>
      </x:c>
      <x:c r="G34" s="11" t="s">
        <x:v>434</x:v>
      </x:c>
      <x:c r="H34" s="11" t="s">
        <x:v>123</x:v>
      </x:c>
      <x:c r="I34" s="16">
        <x:v>0.75</x:v>
      </x:c>
      <x:c r="J34" s="11" t="s">
        <x:v>410</x:v>
      </x:c>
      <x:c r="K34" s="11" t="s">
        <x:v>101</x:v>
      </x:c>
      <x:c r="L34" s="11" t="s">
        <x:v>435</x:v>
      </x:c>
      <x:c r="M34" s="11" t="s">
        <x:v>436</x:v>
      </x:c>
      <x:c r="N34" s="11" t="s">
        <x:v>437</x:v>
      </x:c>
      <x:c r="O34" s="11" t="s">
        <x:v>438</x:v>
      </x:c>
      <x:c r="P34" s="11" t="s">
        <x:v>439</x:v>
      </x:c>
      <x:c r="Q34" s="11" t="s">
        <x:v>406</x:v>
      </x:c>
      <x:c r="R34" s="11" t="s">
        <x:v>440</x:v>
      </x:c>
      <x:c r="S34" s="11" t="s">
        <x:v>313</x:v>
      </x:c>
      <x:c r="T34" s="11"/>
      <x:c r="U34" s="29" t="s">
        <x:v>441</x:v>
      </x:c>
    </x:row>
    <x:row r="35" ht="110.4000015258789" hidden="1">
      <x:c r="A35" s="11" t="s">
        <x:v>442</x:v>
      </x:c>
      <x:c r="B35" s="11" t="s">
        <x:v>57</x:v>
      </x:c>
      <x:c r="C35" s="11">
        <x:v>4</x:v>
      </x:c>
      <x:c r="D35" s="11" t="s">
        <x:v>89</x:v>
      </x:c>
      <x:c r="E35" s="11" t="s">
        <x:v>443</x:v>
      </x:c>
      <x:c r="F35" s="11" t="s">
        <x:v>444</x:v>
      </x:c>
      <x:c r="G35" s="11" t="s">
        <x:v>445</x:v>
      </x:c>
      <x:c r="H35" s="11" t="s">
        <x:v>123</x:v>
      </x:c>
      <x:c r="I35" s="16">
        <x:v>1.5</x:v>
      </x:c>
      <x:c r="J35" s="11" t="s">
        <x:v>410</x:v>
      </x:c>
      <x:c r="K35" s="11" t="s">
        <x:v>446</x:v>
      </x:c>
      <x:c r="L35" s="11" t="s">
        <x:v>447</x:v>
      </x:c>
      <x:c r="M35" s="11" t="s">
        <x:v>448</x:v>
      </x:c>
      <x:c r="N35" s="11" t="s">
        <x:v>449</x:v>
      </x:c>
      <x:c r="O35" s="11" t="s">
        <x:v>450</x:v>
      </x:c>
      <x:c r="P35" s="11" t="s">
        <x:v>439</x:v>
      </x:c>
      <x:c r="Q35" s="11" t="s">
        <x:v>451</x:v>
      </x:c>
      <x:c r="R35" s="11" t="s">
        <x:v>452</x:v>
      </x:c>
      <x:c r="S35" s="11" t="s">
        <x:v>313</x:v>
      </x:c>
      <x:c r="T35" s="11"/>
      <x:c r="U35" s="29" t="s">
        <x:v>453</x:v>
      </x:c>
    </x:row>
    <x:row r="36" ht="110.4000015258789" hidden="1">
      <x:c r="A36" s="11" t="s">
        <x:v>454</x:v>
      </x:c>
      <x:c r="B36" s="11" t="s">
        <x:v>57</x:v>
      </x:c>
      <x:c r="C36" s="11">
        <x:v>5</x:v>
      </x:c>
      <x:c r="D36" s="11" t="s">
        <x:v>89</x:v>
      </x:c>
      <x:c r="E36" s="11" t="s">
        <x:v>455</x:v>
      </x:c>
      <x:c r="F36" s="11" t="s">
        <x:v>456</x:v>
      </x:c>
      <x:c r="G36" s="11" t="s">
        <x:v>457</x:v>
      </x:c>
      <x:c r="H36" s="11" t="s">
        <x:v>123</x:v>
      </x:c>
      <x:c r="I36" s="16">
        <x:v>1</x:v>
      </x:c>
      <x:c r="J36" s="11" t="s">
        <x:v>458</x:v>
      </x:c>
      <x:c r="K36" s="11" t="s">
        <x:v>459</x:v>
      </x:c>
      <x:c r="L36" s="11" t="s">
        <x:v>460</x:v>
      </x:c>
      <x:c r="M36" s="11" t="s">
        <x:v>461</x:v>
      </x:c>
      <x:c r="N36" s="11" t="s">
        <x:v>462</x:v>
      </x:c>
      <x:c r="O36" s="11" t="s">
        <x:v>463</x:v>
      </x:c>
      <x:c r="P36" s="11" t="s">
        <x:v>337</x:v>
      </x:c>
      <x:c r="Q36" s="11" t="s">
        <x:v>442</x:v>
      </x:c>
      <x:c r="R36" s="11" t="s">
        <x:v>464</x:v>
      </x:c>
      <x:c r="S36" s="11" t="s">
        <x:v>313</x:v>
      </x:c>
      <x:c r="T36" s="11"/>
      <x:c r="U36" s="29" t="s">
        <x:v>465</x:v>
      </x:c>
    </x:row>
    <x:row r="37" ht="110.4000015258789" hidden="1">
      <x:c r="A37" s="11" t="s">
        <x:v>466</x:v>
      </x:c>
      <x:c r="B37" s="11" t="s">
        <x:v>57</x:v>
      </x:c>
      <x:c r="C37" s="11">
        <x:v>6</x:v>
      </x:c>
      <x:c r="D37" s="11" t="s">
        <x:v>89</x:v>
      </x:c>
      <x:c r="E37" s="11" t="s">
        <x:v>467</x:v>
      </x:c>
      <x:c r="F37" s="11" t="s">
        <x:v>468</x:v>
      </x:c>
      <x:c r="G37" s="11" t="s">
        <x:v>469</x:v>
      </x:c>
      <x:c r="H37" s="11" t="s">
        <x:v>93</x:v>
      </x:c>
      <x:c r="I37" s="16">
        <x:v>1.25</x:v>
      </x:c>
      <x:c r="J37" s="11" t="s">
        <x:v>470</x:v>
      </x:c>
      <x:c r="K37" s="11" t="s">
        <x:v>471</x:v>
      </x:c>
      <x:c r="L37" s="11" t="s">
        <x:v>472</x:v>
      </x:c>
      <x:c r="M37" s="11" t="s">
        <x:v>473</x:v>
      </x:c>
      <x:c r="N37" s="11" t="s">
        <x:v>474</x:v>
      </x:c>
      <x:c r="O37" s="11" t="s">
        <x:v>475</x:v>
      </x:c>
      <x:c r="P37" s="11" t="s">
        <x:v>166</x:v>
      </x:c>
      <x:c r="Q37" s="11" t="s">
        <x:v>351</x:v>
      </x:c>
      <x:c r="R37" s="11" t="s">
        <x:v>476</x:v>
      </x:c>
      <x:c r="S37" s="11" t="s">
        <x:v>313</x:v>
      </x:c>
      <x:c r="T37" s="11"/>
      <x:c r="U37" s="29" t="s">
        <x:v>477</x:v>
      </x:c>
    </x:row>
    <x:row r="38" ht="110.4000015258789" hidden="1">
      <x:c r="A38" s="11" t="s">
        <x:v>478</x:v>
      </x:c>
      <x:c r="B38" s="11" t="s">
        <x:v>57</x:v>
      </x:c>
      <x:c r="C38" s="11">
        <x:v>7</x:v>
      </x:c>
      <x:c r="D38" s="11" t="s">
        <x:v>89</x:v>
      </x:c>
      <x:c r="E38" s="11" t="s">
        <x:v>479</x:v>
      </x:c>
      <x:c r="F38" s="11" t="s">
        <x:v>480</x:v>
      </x:c>
      <x:c r="G38" s="11" t="s">
        <x:v>481</x:v>
      </x:c>
      <x:c r="H38" s="11" t="s">
        <x:v>123</x:v>
      </x:c>
      <x:c r="I38" s="16">
        <x:v>1.5</x:v>
      </x:c>
      <x:c r="J38" s="11" t="s">
        <x:v>470</x:v>
      </x:c>
      <x:c r="K38" s="11" t="s">
        <x:v>482</x:v>
      </x:c>
      <x:c r="L38" s="11" t="s">
        <x:v>483</x:v>
      </x:c>
      <x:c r="M38" s="11" t="s">
        <x:v>2324</x:v>
      </x:c>
      <x:c r="N38" s="11" t="s">
        <x:v>485</x:v>
      </x:c>
      <x:c r="O38" s="11" t="s">
        <x:v>486</x:v>
      </x:c>
      <x:c r="P38" s="11" t="s">
        <x:v>166</x:v>
      </x:c>
      <x:c r="Q38" s="11" t="s">
        <x:v>487</x:v>
      </x:c>
      <x:c r="R38" s="11" t="s">
        <x:v>488</x:v>
      </x:c>
      <x:c r="S38" s="11" t="s">
        <x:v>313</x:v>
      </x:c>
      <x:c r="T38" s="11"/>
      <x:c r="U38" s="29" t="s">
        <x:v>489</x:v>
      </x:c>
    </x:row>
    <x:row r="39" ht="110.4000015258789" hidden="1">
      <x:c r="A39" s="11" t="s">
        <x:v>490</x:v>
      </x:c>
      <x:c r="B39" s="11" t="s">
        <x:v>57</x:v>
      </x:c>
      <x:c r="C39" s="11">
        <x:v>8</x:v>
      </x:c>
      <x:c r="D39" s="11" t="s">
        <x:v>89</x:v>
      </x:c>
      <x:c r="E39" s="11" t="s">
        <x:v>491</x:v>
      </x:c>
      <x:c r="F39" s="11" t="s">
        <x:v>492</x:v>
      </x:c>
      <x:c r="G39" s="11" t="s">
        <x:v>493</x:v>
      </x:c>
      <x:c r="H39" s="11" t="s">
        <x:v>123</x:v>
      </x:c>
      <x:c r="I39" s="16">
        <x:v>1</x:v>
      </x:c>
      <x:c r="J39" s="11" t="s">
        <x:v>458</x:v>
      </x:c>
      <x:c r="K39" s="11" t="s">
        <x:v>344</x:v>
      </x:c>
      <x:c r="L39" s="11" t="s">
        <x:v>494</x:v>
      </x:c>
      <x:c r="M39" s="11" t="s">
        <x:v>495</x:v>
      </x:c>
      <x:c r="N39" s="11" t="s">
        <x:v>496</x:v>
      </x:c>
      <x:c r="O39" s="11" t="s">
        <x:v>497</x:v>
      </x:c>
      <x:c r="P39" s="11" t="s">
        <x:v>337</x:v>
      </x:c>
      <x:c r="Q39" s="11" t="s">
        <x:v>454</x:v>
      </x:c>
      <x:c r="R39" s="11" t="s">
        <x:v>498</x:v>
      </x:c>
      <x:c r="S39" s="11" t="s">
        <x:v>313</x:v>
      </x:c>
      <x:c r="T39" s="11"/>
      <x:c r="U39" s="29" t="s">
        <x:v>499</x:v>
      </x:c>
    </x:row>
    <x:row r="40" ht="110.4000015258789" hidden="1">
      <x:c r="A40" s="11" t="s">
        <x:v>500</x:v>
      </x:c>
      <x:c r="B40" s="11" t="s">
        <x:v>57</x:v>
      </x:c>
      <x:c r="C40" s="11">
        <x:v>9</x:v>
      </x:c>
      <x:c r="D40" s="11" t="s">
        <x:v>89</x:v>
      </x:c>
      <x:c r="E40" s="11" t="s">
        <x:v>501</x:v>
      </x:c>
      <x:c r="F40" s="11" t="s">
        <x:v>502</x:v>
      </x:c>
      <x:c r="G40" s="11" t="s">
        <x:v>503</x:v>
      </x:c>
      <x:c r="H40" s="11" t="s">
        <x:v>123</x:v>
      </x:c>
      <x:c r="I40" s="16">
        <x:v>0.75</x:v>
      </x:c>
      <x:c r="J40" s="11" t="s">
        <x:v>504</x:v>
      </x:c>
      <x:c r="K40" s="11" t="s">
        <x:v>505</x:v>
      </x:c>
      <x:c r="L40" s="11" t="s">
        <x:v>506</x:v>
      </x:c>
      <x:c r="M40" s="11" t="s">
        <x:v>507</x:v>
      </x:c>
      <x:c r="N40" s="11" t="s">
        <x:v>508</x:v>
      </x:c>
      <x:c r="O40" s="11" t="s">
        <x:v>509</x:v>
      </x:c>
      <x:c r="P40" s="11" t="s">
        <x:v>510</x:v>
      </x:c>
      <x:c r="Q40" s="11" t="s">
        <x:v>442</x:v>
      </x:c>
      <x:c r="R40" s="11" t="s">
        <x:v>511</x:v>
      </x:c>
      <x:c r="S40" s="11" t="s">
        <x:v>313</x:v>
      </x:c>
      <x:c r="T40" s="11"/>
      <x:c r="U40" s="29" t="s">
        <x:v>512</x:v>
      </x:c>
    </x:row>
    <x:row r="41" ht="110.4000015258789" hidden="1">
      <x:c r="A41" s="11" t="s">
        <x:v>513</x:v>
      </x:c>
      <x:c r="B41" s="11" t="s">
        <x:v>57</x:v>
      </x:c>
      <x:c r="C41" s="11">
        <x:v>10</x:v>
      </x:c>
      <x:c r="D41" s="11" t="s">
        <x:v>89</x:v>
      </x:c>
      <x:c r="E41" s="11" t="s">
        <x:v>514</x:v>
      </x:c>
      <x:c r="F41" s="11" t="s">
        <x:v>515</x:v>
      </x:c>
      <x:c r="G41" s="11" t="s">
        <x:v>516</x:v>
      </x:c>
      <x:c r="H41" s="11" t="s">
        <x:v>109</x:v>
      </x:c>
      <x:c r="I41" s="16">
        <x:v>0.75</x:v>
      </x:c>
      <x:c r="J41" s="11" t="s">
        <x:v>470</x:v>
      </x:c>
      <x:c r="K41" s="11" t="s">
        <x:v>517</x:v>
      </x:c>
      <x:c r="L41" s="11" t="s">
        <x:v>518</x:v>
      </x:c>
      <x:c r="M41" s="11" t="s">
        <x:v>519</x:v>
      </x:c>
      <x:c r="N41" s="11" t="s">
        <x:v>520</x:v>
      </x:c>
      <x:c r="O41" s="11" t="s">
        <x:v>521</x:v>
      </x:c>
      <x:c r="P41" s="11" t="s">
        <x:v>166</x:v>
      </x:c>
      <x:c r="Q41" s="11" t="s">
        <x:v>478</x:v>
      </x:c>
      <x:c r="R41" s="11" t="s">
        <x:v>522</x:v>
      </x:c>
      <x:c r="S41" s="11" t="s">
        <x:v>313</x:v>
      </x:c>
      <x:c r="T41" s="11"/>
      <x:c r="U41" s="29" t="s">
        <x:v>523</x:v>
      </x:c>
    </x:row>
    <x:row r="42" ht="110.4000015258789" hidden="1">
      <x:c r="A42" s="11" t="s">
        <x:v>524</x:v>
      </x:c>
      <x:c r="B42" s="11" t="s">
        <x:v>57</x:v>
      </x:c>
      <x:c r="C42" s="11">
        <x:v>11</x:v>
      </x:c>
      <x:c r="D42" s="11" t="s">
        <x:v>89</x:v>
      </x:c>
      <x:c r="E42" s="11" t="s">
        <x:v>525</x:v>
      </x:c>
      <x:c r="F42" s="11" t="s">
        <x:v>526</x:v>
      </x:c>
      <x:c r="G42" s="11" t="s">
        <x:v>527</x:v>
      </x:c>
      <x:c r="H42" s="11" t="s">
        <x:v>109</x:v>
      </x:c>
      <x:c r="I42" s="16">
        <x:v>1</x:v>
      </x:c>
      <x:c r="J42" s="11" t="s">
        <x:v>528</x:v>
      </x:c>
      <x:c r="K42" s="11" t="s">
        <x:v>101</x:v>
      </x:c>
      <x:c r="L42" s="11" t="s">
        <x:v>529</x:v>
      </x:c>
      <x:c r="M42"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42" s="11" t="s">
        <x:v>531</x:v>
      </x:c>
      <x:c r="O42" s="11" t="s">
        <x:v>532</x:v>
      </x:c>
      <x:c r="P42" s="11" t="s">
        <x:v>533</x:v>
      </x:c>
      <x:c r="Q42" s="11" t="s">
        <x:v>513</x:v>
      </x:c>
      <x:c r="R42" s="11" t="s">
        <x:v>534</x:v>
      </x:c>
      <x:c r="S42" s="11" t="s">
        <x:v>313</x:v>
      </x:c>
      <x:c r="T42" s="11"/>
      <x:c r="U42" s="29" t="s">
        <x:v>535</x:v>
      </x:c>
    </x:row>
    <x:row r="43" ht="96.5999984741211" hidden="1">
      <x:c r="A43" s="11" t="s">
        <x:v>536</x:v>
      </x:c>
      <x:c r="B43" s="11" t="s">
        <x:v>57</x:v>
      </x:c>
      <x:c r="C43" s="11">
        <x:v>12</x:v>
      </x:c>
      <x:c r="D43" s="11" t="s">
        <x:v>89</x:v>
      </x:c>
      <x:c r="E43" s="11" t="s">
        <x:v>231</x:v>
      </x:c>
      <x:c r="F43" s="11" t="s">
        <x:v>537</x:v>
      </x:c>
      <x:c r="G43" s="11" t="s">
        <x:v>538</x:v>
      </x:c>
      <x:c r="H43" s="11" t="s">
        <x:v>93</x:v>
      </x:c>
      <x:c r="I43" s="16">
        <x:v>0.75</x:v>
      </x:c>
      <x:c r="J43" s="11" t="inlineStr">
        <x:is>
          <x:t xml:space="preserve">W3-REVIEW-001</x:t>
        </x:is>
      </x:c>
      <x:c r="K43" s="11" t="s">
        <x:v>539</x:v>
      </x:c>
      <x:c r="L43" s="11" t="s">
        <x:v>540</x:v>
      </x:c>
      <x:c r="M43"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43" s="11" t="s">
        <x:v>542</x:v>
      </x:c>
      <x:c r="O43" s="11" t="s">
        <x:v>543</x:v>
      </x:c>
      <x:c r="P43" s="11" t="s">
        <x:v>115</x:v>
      </x:c>
      <x:c r="Q43" s="11" t="s">
        <x:v>544</x:v>
      </x:c>
      <x:c r="R43" s="11" t="s">
        <x:v>545</x:v>
      </x:c>
      <x:c r="S43" s="11" t="s">
        <x:v>313</x:v>
      </x:c>
      <x:c r="T43" s="11"/>
      <x:c r="U43" s="29" t="s">
        <x:v>546</x:v>
      </x:c>
    </x:row>
    <x:row r="44" ht="69" hidden="1">
      <x:c r="A44" s="11" t="s">
        <x:v>547</x:v>
      </x:c>
      <x:c r="B44" s="11" t="s">
        <x:v>57</x:v>
      </x:c>
      <x:c r="C44" s="11">
        <x:v>13</x:v>
      </x:c>
      <x:c r="D44" s="11" t="s">
        <x:v>89</x:v>
      </x:c>
      <x:c r="E44" s="11" t="s">
        <x:v>244</x:v>
      </x:c>
      <x:c r="F44" s="11" t="s">
        <x:v>548</x:v>
      </x:c>
      <x:c r="G44" s="11" t="s">
        <x:v>549</x:v>
      </x:c>
      <x:c r="H44" s="11" t="s">
        <x:v>109</x:v>
      </x:c>
      <x:c r="I44" s="16">
        <x:v>1</x:v>
      </x:c>
      <x:c r="J44" s="11" t="s">
        <x:v>247</x:v>
      </x:c>
      <x:c r="K44" s="11" t="s">
        <x:v>101</x:v>
      </x:c>
      <x:c r="L44" s="11" t="s">
        <x:v>550</x:v>
      </x:c>
      <x:c r="M44" s="11" t="s">
        <x:v>2360</x:v>
      </x:c>
      <x:c r="N44" s="11" t="s">
        <x:v>250</x:v>
      </x:c>
      <x:c r="O44" s="11" t="s">
        <x:v>551</x:v>
      </x:c>
      <x:c r="P44" s="11" t="s">
        <x:v>552</x:v>
      </x:c>
      <x:c r="Q44" s="11" t="s">
        <x:v>536</x:v>
      </x:c>
      <x:c r="R44" s="11" t="s">
        <x:v>253</x:v>
      </x:c>
      <x:c r="S44" s="11" t="s">
        <x:v>313</x:v>
      </x:c>
      <x:c r="T44" s="11" t="s">
        <x:v>553</x:v>
      </x:c>
      <x:c r="U44" s="29" t="s">
        <x:v>554</x:v>
      </x:c>
    </x:row>
    <x:row r="45" ht="110.4000015258789" hidden="1">
      <x:c r="A45" s="11" t="s">
        <x:v>555</x:v>
      </x:c>
      <x:c r="B45" s="11" t="s">
        <x:v>58</x:v>
      </x:c>
      <x:c r="C45" s="11">
        <x:v>1</x:v>
      </x:c>
      <x:c r="D45" s="11" t="s">
        <x:v>89</x:v>
      </x:c>
      <x:c r="E45" s="11" t="s">
        <x:v>556</x:v>
      </x:c>
      <x:c r="F45" s="11" t="s">
        <x:v>557</x:v>
      </x:c>
      <x:c r="G45" s="11" t="s">
        <x:v>558</x:v>
      </x:c>
      <x:c r="H45" s="11" t="s">
        <x:v>123</x:v>
      </x:c>
      <x:c r="I45" s="16">
        <x:v>1.5</x:v>
      </x:c>
      <x:c r="J45" s="11" t="s">
        <x:v>559</x:v>
      </x:c>
      <x:c r="K45" s="11" t="s">
        <x:v>344</x:v>
      </x:c>
      <x:c r="L45" s="11" t="s">
        <x:v>560</x:v>
      </x:c>
      <x:c r="M45" s="11" t="s">
        <x:v>561</x:v>
      </x:c>
      <x:c r="N45" s="11" t="s">
        <x:v>562</x:v>
      </x:c>
      <x:c r="O45" s="11" t="s">
        <x:v>563</x:v>
      </x:c>
      <x:c r="P45" s="11" t="s">
        <x:v>564</x:v>
      </x:c>
      <x:c r="Q45" s="11" t="s">
        <x:v>547</x:v>
      </x:c>
      <x:c r="R45" s="11" t="s">
        <x:v>565</x:v>
      </x:c>
      <x:c r="S45" s="11" t="s">
        <x:v>313</x:v>
      </x:c>
      <x:c r="T45" s="11"/>
      <x:c r="U45" s="29" t="s">
        <x:v>566</x:v>
      </x:c>
    </x:row>
    <x:row r="46" ht="110.4000015258789" hidden="1">
      <x:c r="A46" s="11" t="s">
        <x:v>567</x:v>
      </x:c>
      <x:c r="B46" s="11" t="s">
        <x:v>58</x:v>
      </x:c>
      <x:c r="C46" s="11">
        <x:v>2</x:v>
      </x:c>
      <x:c r="D46" s="11" t="s">
        <x:v>89</x:v>
      </x:c>
      <x:c r="E46" s="11" t="s">
        <x:v>341</x:v>
      </x:c>
      <x:c r="F46" s="11" t="s">
        <x:v>568</x:v>
      </x:c>
      <x:c r="G46" s="11" t="s">
        <x:v>569</x:v>
      </x:c>
      <x:c r="H46" s="11" t="s">
        <x:v>123</x:v>
      </x:c>
      <x:c r="I46" s="16">
        <x:v>1</x:v>
      </x:c>
      <x:c r="J46" s="11" t="s">
        <x:v>559</x:v>
      </x:c>
      <x:c r="K46" s="11" t="s">
        <x:v>344</x:v>
      </x:c>
      <x:c r="L46" s="11" t="s">
        <x:v>570</x:v>
      </x:c>
      <x:c r="M46" s="11" t="s">
        <x:v>571</x:v>
      </x:c>
      <x:c r="N46" s="11" t="s">
        <x:v>572</x:v>
      </x:c>
      <x:c r="O46" s="11" t="s">
        <x:v>573</x:v>
      </x:c>
      <x:c r="P46" s="11" t="s">
        <x:v>337</x:v>
      </x:c>
      <x:c r="Q46" s="11" t="s">
        <x:v>555</x:v>
      </x:c>
      <x:c r="R46" s="11" t="s">
        <x:v>574</x:v>
      </x:c>
      <x:c r="S46" s="11" t="s">
        <x:v>313</x:v>
      </x:c>
      <x:c r="T46" s="11"/>
      <x:c r="U46" s="29" t="s">
        <x:v>575</x:v>
      </x:c>
    </x:row>
    <x:row r="47" ht="110.4000015258789" hidden="1">
      <x:c r="A47" s="11" t="s">
        <x:v>576</x:v>
      </x:c>
      <x:c r="B47" s="11" t="s">
        <x:v>58</x:v>
      </x:c>
      <x:c r="C47" s="11">
        <x:v>3</x:v>
      </x:c>
      <x:c r="D47" s="11" t="s">
        <x:v>89</x:v>
      </x:c>
      <x:c r="E47" s="11" t="s">
        <x:v>577</x:v>
      </x:c>
      <x:c r="F47" s="11" t="s">
        <x:v>578</x:v>
      </x:c>
      <x:c r="G47" s="11" t="s">
        <x:v>579</x:v>
      </x:c>
      <x:c r="H47" s="11" t="s">
        <x:v>123</x:v>
      </x:c>
      <x:c r="I47" s="16">
        <x:v>1.25</x:v>
      </x:c>
      <x:c r="J47" s="11" t="s">
        <x:v>580</x:v>
      </x:c>
      <x:c r="K47" s="11" t="s">
        <x:v>539</x:v>
      </x:c>
      <x:c r="L47" s="11" t="s">
        <x:v>581</x:v>
      </x:c>
      <x:c r="M47" s="11" t="s">
        <x:v>582</x:v>
      </x:c>
      <x:c r="N47" s="11" t="s">
        <x:v>583</x:v>
      </x:c>
      <x:c r="O47" s="11" t="s">
        <x:v>584</x:v>
      </x:c>
      <x:c r="P47" s="11" t="s">
        <x:v>585</x:v>
      </x:c>
      <x:c r="Q47" s="11" t="s">
        <x:v>567</x:v>
      </x:c>
      <x:c r="R47" s="11" t="s">
        <x:v>586</x:v>
      </x:c>
      <x:c r="S47" s="11" t="s">
        <x:v>313</x:v>
      </x:c>
      <x:c r="T47" s="11"/>
      <x:c r="U47" s="29" t="s">
        <x:v>587</x:v>
      </x:c>
    </x:row>
    <x:row r="48" ht="96.5999984741211" hidden="1">
      <x:c r="A48" s="11" t="s">
        <x:v>588</x:v>
      </x:c>
      <x:c r="B48" s="11" t="s">
        <x:v>58</x:v>
      </x:c>
      <x:c r="C48" s="11">
        <x:v>4</x:v>
      </x:c>
      <x:c r="D48" s="11" t="s">
        <x:v>89</x:v>
      </x:c>
      <x:c r="E48" s="11" t="s">
        <x:v>589</x:v>
      </x:c>
      <x:c r="F48" s="11" t="s">
        <x:v>590</x:v>
      </x:c>
      <x:c r="G48" s="11" t="s">
        <x:v>591</x:v>
      </x:c>
      <x:c r="H48" s="11" t="s">
        <x:v>123</x:v>
      </x:c>
      <x:c r="I48" s="16">
        <x:v>0.75</x:v>
      </x:c>
      <x:c r="J48" s="11" t="s">
        <x:v>580</x:v>
      </x:c>
      <x:c r="K48" s="11" t="s">
        <x:v>101</x:v>
      </x:c>
      <x:c r="L48" s="11" t="s">
        <x:v>592</x:v>
      </x:c>
      <x:c r="M48" s="11" t="s">
        <x:v>593</x:v>
      </x:c>
      <x:c r="N48" s="11" t="s">
        <x:v>594</x:v>
      </x:c>
      <x:c r="O48" s="11" t="s">
        <x:v>595</x:v>
      </x:c>
      <x:c r="P48" s="11" t="s">
        <x:v>585</x:v>
      </x:c>
      <x:c r="Q48" s="11" t="s">
        <x:v>576</x:v>
      </x:c>
      <x:c r="R48" s="11" t="s">
        <x:v>596</x:v>
      </x:c>
      <x:c r="S48" s="11" t="s">
        <x:v>313</x:v>
      </x:c>
      <x:c r="T48" s="11"/>
      <x:c r="U48" s="29" t="s">
        <x:v>597</x:v>
      </x:c>
    </x:row>
    <x:row r="49" ht="96.5999984741211" hidden="1">
      <x:c r="A49" s="11" t="s">
        <x:v>598</x:v>
      </x:c>
      <x:c r="B49" s="11" t="s">
        <x:v>58</x:v>
      </x:c>
      <x:c r="C49" s="11">
        <x:v>5</x:v>
      </x:c>
      <x:c r="D49" s="11" t="s">
        <x:v>89</x:v>
      </x:c>
      <x:c r="E49" s="11" t="s">
        <x:v>599</x:v>
      </x:c>
      <x:c r="F49" s="11" t="s">
        <x:v>600</x:v>
      </x:c>
      <x:c r="G49" s="11" t="s">
        <x:v>601</x:v>
      </x:c>
      <x:c r="H49" s="11" t="s">
        <x:v>123</x:v>
      </x:c>
      <x:c r="I49" s="16">
        <x:v>1.25</x:v>
      </x:c>
      <x:c r="J49" s="11" t="s">
        <x:v>580</x:v>
      </x:c>
      <x:c r="K49" s="11" t="s">
        <x:v>539</x:v>
      </x:c>
      <x:c r="L49" s="11" t="s">
        <x:v>602</x:v>
      </x:c>
      <x:c r="M49" s="11" t="s">
        <x:v>603</x:v>
      </x:c>
      <x:c r="N49" s="11" t="s">
        <x:v>604</x:v>
      </x:c>
      <x:c r="O49" s="11" t="s">
        <x:v>605</x:v>
      </x:c>
      <x:c r="P49" s="11" t="s">
        <x:v>606</x:v>
      </x:c>
      <x:c r="Q49" s="11" t="s">
        <x:v>607</x:v>
      </x:c>
      <x:c r="R49" s="11" t="s">
        <x:v>608</x:v>
      </x:c>
      <x:c r="S49" s="11" t="s">
        <x:v>313</x:v>
      </x:c>
      <x:c r="T49" s="11"/>
      <x:c r="U49" s="29" t="s">
        <x:v>609</x:v>
      </x:c>
    </x:row>
    <x:row r="50" ht="110.4000015258789" hidden="1">
      <x:c r="A50" s="11" t="s">
        <x:v>610</x:v>
      </x:c>
      <x:c r="B50" s="11" t="s">
        <x:v>58</x:v>
      </x:c>
      <x:c r="C50" s="11">
        <x:v>6</x:v>
      </x:c>
      <x:c r="D50" s="11" t="s">
        <x:v>89</x:v>
      </x:c>
      <x:c r="E50" s="11" t="s">
        <x:v>611</x:v>
      </x:c>
      <x:c r="F50" s="11" t="s">
        <x:v>612</x:v>
      </x:c>
      <x:c r="G50" s="11" t="s">
        <x:v>613</x:v>
      </x:c>
      <x:c r="H50" s="11" t="s">
        <x:v>123</x:v>
      </x:c>
      <x:c r="I50" s="16">
        <x:v>1</x:v>
      </x:c>
      <x:c r="J50" s="11" t="s">
        <x:v>580</x:v>
      </x:c>
      <x:c r="K50" s="11" t="s">
        <x:v>614</x:v>
      </x:c>
      <x:c r="L50" s="11" t="s">
        <x:v>615</x:v>
      </x:c>
      <x:c r="M50" s="11" t="s">
        <x:v>616</x:v>
      </x:c>
      <x:c r="N50" s="11" t="s">
        <x:v>617</x:v>
      </x:c>
      <x:c r="O50" s="11" t="s">
        <x:v>618</x:v>
      </x:c>
      <x:c r="P50" s="11" t="s">
        <x:v>585</x:v>
      </x:c>
      <x:c r="Q50" s="11" t="s">
        <x:v>576</x:v>
      </x:c>
      <x:c r="R50" s="11" t="s">
        <x:v>619</x:v>
      </x:c>
      <x:c r="S50" s="11" t="s">
        <x:v>313</x:v>
      </x:c>
      <x:c r="T50" s="11"/>
      <x:c r="U50" s="29" t="s">
        <x:v>620</x:v>
      </x:c>
    </x:row>
    <x:row r="51" ht="96.5999984741211" hidden="1">
      <x:c r="A51" s="11" t="s">
        <x:v>621</x:v>
      </x:c>
      <x:c r="B51" s="11" t="s">
        <x:v>58</x:v>
      </x:c>
      <x:c r="C51" s="11">
        <x:v>7</x:v>
      </x:c>
      <x:c r="D51" s="11" t="s">
        <x:v>89</x:v>
      </x:c>
      <x:c r="E51" s="11" t="s">
        <x:v>622</x:v>
      </x:c>
      <x:c r="F51" s="11" t="s">
        <x:v>623</x:v>
      </x:c>
      <x:c r="G51" s="11" t="s">
        <x:v>624</x:v>
      </x:c>
      <x:c r="H51" s="11" t="s">
        <x:v>123</x:v>
      </x:c>
      <x:c r="I51" s="16">
        <x:v>0.75</x:v>
      </x:c>
      <x:c r="J51" s="11" t="s">
        <x:v>580</x:v>
      </x:c>
      <x:c r="K51" s="11" t="s">
        <x:v>625</x:v>
      </x:c>
      <x:c r="L51" s="11" t="s">
        <x:v>626</x:v>
      </x:c>
      <x:c r="M51" s="11" t="s">
        <x:v>627</x:v>
      </x:c>
      <x:c r="N51" s="11" t="s">
        <x:v>628</x:v>
      </x:c>
      <x:c r="O51" s="11" t="s">
        <x:v>629</x:v>
      </x:c>
      <x:c r="P51" s="11" t="s">
        <x:v>337</x:v>
      </x:c>
      <x:c r="Q51" s="11" t="s">
        <x:v>598</x:v>
      </x:c>
      <x:c r="R51" s="11" t="s">
        <x:v>630</x:v>
      </x:c>
      <x:c r="S51" s="11" t="s">
        <x:v>313</x:v>
      </x:c>
      <x:c r="T51" s="11"/>
      <x:c r="U51" s="29" t="s">
        <x:v>631</x:v>
      </x:c>
    </x:row>
    <x:row r="52" ht="110.4000015258789" hidden="1">
      <x:c r="A52" s="11" t="s">
        <x:v>632</x:v>
      </x:c>
      <x:c r="B52" s="11" t="s">
        <x:v>58</x:v>
      </x:c>
      <x:c r="C52" s="11">
        <x:v>8</x:v>
      </x:c>
      <x:c r="D52" s="11" t="s">
        <x:v>89</x:v>
      </x:c>
      <x:c r="E52" s="11" t="s">
        <x:v>633</x:v>
      </x:c>
      <x:c r="F52" s="11" t="s">
        <x:v>634</x:v>
      </x:c>
      <x:c r="G52" s="11" t="s">
        <x:v>635</x:v>
      </x:c>
      <x:c r="H52" s="11" t="s">
        <x:v>123</x:v>
      </x:c>
      <x:c r="I52" s="16">
        <x:v>1</x:v>
      </x:c>
      <x:c r="J52" s="11" t="s">
        <x:v>504</x:v>
      </x:c>
      <x:c r="K52" s="11" t="s">
        <x:v>505</x:v>
      </x:c>
      <x:c r="L52" s="11" t="s">
        <x:v>636</x:v>
      </x:c>
      <x:c r="M52" s="11" t="s">
        <x:v>637</x:v>
      </x:c>
      <x:c r="N52" s="11" t="s">
        <x:v>638</x:v>
      </x:c>
      <x:c r="O52" s="11" t="s">
        <x:v>639</x:v>
      </x:c>
      <x:c r="P52" s="11" t="s">
        <x:v>510</x:v>
      </x:c>
      <x:c r="Q52" s="11" t="s">
        <x:v>640</x:v>
      </x:c>
      <x:c r="R52" s="11" t="s">
        <x:v>641</x:v>
      </x:c>
      <x:c r="S52" s="11" t="s">
        <x:v>313</x:v>
      </x:c>
      <x:c r="T52" s="11"/>
      <x:c r="U52" s="29" t="s">
        <x:v>642</x:v>
      </x:c>
    </x:row>
    <x:row r="53" ht="110.4000015258789" hidden="1">
      <x:c r="A53" s="11" t="s">
        <x:v>643</x:v>
      </x:c>
      <x:c r="B53" s="11" t="s">
        <x:v>58</x:v>
      </x:c>
      <x:c r="C53" s="11">
        <x:v>9</x:v>
      </x:c>
      <x:c r="D53" s="11" t="s">
        <x:v>89</x:v>
      </x:c>
      <x:c r="E53" s="11" t="s">
        <x:v>644</x:v>
      </x:c>
      <x:c r="F53" s="11" t="s">
        <x:v>645</x:v>
      </x:c>
      <x:c r="G53" s="11" t="s">
        <x:v>646</x:v>
      </x:c>
      <x:c r="H53" s="11" t="s">
        <x:v>123</x:v>
      </x:c>
      <x:c r="I53" s="16">
        <x:v>1</x:v>
      </x:c>
      <x:c r="J53" s="11" t="s">
        <x:v>580</x:v>
      </x:c>
      <x:c r="K53" s="11" t="s">
        <x:v>101</x:v>
      </x:c>
      <x:c r="L53" s="11" t="s">
        <x:v>647</x:v>
      </x:c>
      <x:c r="M53" s="11" t="s">
        <x:v>648</x:v>
      </x:c>
      <x:c r="N53" s="11" t="s">
        <x:v>649</x:v>
      </x:c>
      <x:c r="O53" s="11" t="s">
        <x:v>650</x:v>
      </x:c>
      <x:c r="P53" s="11" t="s">
        <x:v>651</x:v>
      </x:c>
      <x:c r="Q53" s="11" t="s">
        <x:v>652</x:v>
      </x:c>
      <x:c r="R53" s="11" t="s">
        <x:v>653</x:v>
      </x:c>
      <x:c r="S53" s="11" t="s">
        <x:v>313</x:v>
      </x:c>
      <x:c r="T53" s="11"/>
      <x:c r="U53" s="29" t="s">
        <x:v>654</x:v>
      </x:c>
    </x:row>
    <x:row r="54" ht="110.4000015258789" hidden="1">
      <x:c r="A54" s="11" t="s">
        <x:v>655</x:v>
      </x:c>
      <x:c r="B54" s="11" t="s">
        <x:v>58</x:v>
      </x:c>
      <x:c r="C54" s="11">
        <x:v>10</x:v>
      </x:c>
      <x:c r="D54" s="11" t="s">
        <x:v>377</x:v>
      </x:c>
      <x:c r="E54" s="11" t="s">
        <x:v>656</x:v>
      </x:c>
      <x:c r="F54" s="11" t="s">
        <x:v>657</x:v>
      </x:c>
      <x:c r="G54" s="11" t="s">
        <x:v>658</x:v>
      </x:c>
      <x:c r="H54" s="11" t="s">
        <x:v>123</x:v>
      </x:c>
      <x:c r="I54" s="16">
        <x:v>0.75</x:v>
      </x:c>
      <x:c r="J54" s="11" t="s">
        <x:v>559</x:v>
      </x:c>
      <x:c r="K54" s="11" t="s">
        <x:v>614</x:v>
      </x:c>
      <x:c r="L54" s="11" t="s">
        <x:v>659</x:v>
      </x:c>
      <x:c r="M54" s="11" t="s">
        <x:v>660</x:v>
      </x:c>
      <x:c r="N54" s="11" t="s">
        <x:v>661</x:v>
      </x:c>
      <x:c r="O54" s="11" t="s">
        <x:v>662</x:v>
      </x:c>
      <x:c r="P54" s="11" t="s">
        <x:v>663</x:v>
      </x:c>
      <x:c r="Q54" s="11" t="s">
        <x:v>664</x:v>
      </x:c>
      <x:c r="R54" s="11" t="s">
        <x:v>665</x:v>
      </x:c>
      <x:c r="S54" s="11" t="s">
        <x:v>313</x:v>
      </x:c>
      <x:c r="T54" s="11"/>
      <x:c r="U54" s="29" t="s">
        <x:v>666</x:v>
      </x:c>
    </x:row>
    <x:row r="55" ht="110.4000015258789" hidden="1">
      <x:c r="A55" s="11" t="s">
        <x:v>667</x:v>
      </x:c>
      <x:c r="B55" s="11" t="s">
        <x:v>58</x:v>
      </x:c>
      <x:c r="C55" s="11">
        <x:v>11</x:v>
      </x:c>
      <x:c r="D55" s="11" t="s">
        <x:v>89</x:v>
      </x:c>
      <x:c r="E55" s="11" t="s">
        <x:v>668</x:v>
      </x:c>
      <x:c r="F55" s="11" t="s">
        <x:v>669</x:v>
      </x:c>
      <x:c r="G55" s="11" t="s">
        <x:v>670</x:v>
      </x:c>
      <x:c r="H55" s="11" t="s">
        <x:v>109</x:v>
      </x:c>
      <x:c r="I55" s="16">
        <x:v>1</x:v>
      </x:c>
      <x:c r="J55" s="11" t="s">
        <x:v>671</x:v>
      </x:c>
      <x:c r="K55" s="11" t="s">
        <x:v>101</x:v>
      </x:c>
      <x:c r="L55" s="11" t="s">
        <x:v>672</x:v>
      </x:c>
      <x:c r="M55"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55" s="11" t="s">
        <x:v>674</x:v>
      </x:c>
      <x:c r="O55" s="11" t="s">
        <x:v>675</x:v>
      </x:c>
      <x:c r="P55" s="11" t="s">
        <x:v>533</x:v>
      </x:c>
      <x:c r="Q55" s="11" t="s">
        <x:v>676</x:v>
      </x:c>
      <x:c r="R55" s="11" t="s">
        <x:v>677</x:v>
      </x:c>
      <x:c r="S55" s="11" t="s">
        <x:v>313</x:v>
      </x:c>
      <x:c r="T55" s="11"/>
      <x:c r="U55" s="29" t="s">
        <x:v>678</x:v>
      </x:c>
    </x:row>
    <x:row r="56" ht="96.5999984741211" hidden="1">
      <x:c r="A56" s="11" t="s">
        <x:v>679</x:v>
      </x:c>
      <x:c r="B56" s="11" t="s">
        <x:v>58</x:v>
      </x:c>
      <x:c r="C56" s="11">
        <x:v>12</x:v>
      </x:c>
      <x:c r="D56" s="11" t="s">
        <x:v>89</x:v>
      </x:c>
      <x:c r="E56" s="11" t="s">
        <x:v>231</x:v>
      </x:c>
      <x:c r="F56" s="11" t="s">
        <x:v>680</x:v>
      </x:c>
      <x:c r="G56" s="11" t="s">
        <x:v>681</x:v>
      </x:c>
      <x:c r="H56" s="11" t="s">
        <x:v>93</x:v>
      </x:c>
      <x:c r="I56" s="16">
        <x:v>0.75</x:v>
      </x:c>
      <x:c r="J56" s="11" t="inlineStr">
        <x:is>
          <x:t xml:space="preserve">W4-REVIEW-001</x:t>
        </x:is>
      </x:c>
      <x:c r="K56" s="11" t="s">
        <x:v>682</x:v>
      </x:c>
      <x:c r="L56" s="11" t="s">
        <x:v>683</x:v>
      </x:c>
      <x:c r="M56"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56" s="11" t="s">
        <x:v>685</x:v>
      </x:c>
      <x:c r="O56" s="11" t="s">
        <x:v>686</x:v>
      </x:c>
      <x:c r="P56" s="11" t="s">
        <x:v>115</x:v>
      </x:c>
      <x:c r="Q56" s="11" t="s">
        <x:v>687</x:v>
      </x:c>
      <x:c r="R56" s="11" t="s">
        <x:v>688</x:v>
      </x:c>
      <x:c r="S56" s="11" t="s">
        <x:v>313</x:v>
      </x:c>
      <x:c r="T56" s="11"/>
      <x:c r="U56" s="29" t="s">
        <x:v>689</x:v>
      </x:c>
    </x:row>
    <x:row r="57" ht="69" hidden="1">
      <x:c r="A57" s="11" t="s">
        <x:v>690</x:v>
      </x:c>
      <x:c r="B57" s="11" t="s">
        <x:v>58</x:v>
      </x:c>
      <x:c r="C57" s="11">
        <x:v>13</x:v>
      </x:c>
      <x:c r="D57" s="11" t="s">
        <x:v>89</x:v>
      </x:c>
      <x:c r="E57" s="11" t="s">
        <x:v>244</x:v>
      </x:c>
      <x:c r="F57" s="11" t="s">
        <x:v>691</x:v>
      </x:c>
      <x:c r="G57" s="11" t="s">
        <x:v>692</x:v>
      </x:c>
      <x:c r="H57" s="11" t="s">
        <x:v>109</x:v>
      </x:c>
      <x:c r="I57" s="16">
        <x:v>1</x:v>
      </x:c>
      <x:c r="J57" s="11" t="s">
        <x:v>247</x:v>
      </x:c>
      <x:c r="K57" s="11" t="s">
        <x:v>101</x:v>
      </x:c>
      <x:c r="L57" s="11" t="s">
        <x:v>693</x:v>
      </x:c>
      <x:c r="M57" s="11" t="s">
        <x:v>2361</x:v>
      </x:c>
      <x:c r="N57" s="11" t="s">
        <x:v>250</x:v>
      </x:c>
      <x:c r="O57" s="11" t="s">
        <x:v>694</x:v>
      </x:c>
      <x:c r="P57" s="11" t="s">
        <x:v>695</x:v>
      </x:c>
      <x:c r="Q57" s="11" t="s">
        <x:v>679</x:v>
      </x:c>
      <x:c r="R57" s="11" t="s">
        <x:v>253</x:v>
      </x:c>
      <x:c r="S57" s="11" t="s">
        <x:v>313</x:v>
      </x:c>
      <x:c r="T57" s="11" t="s">
        <x:v>696</x:v>
      </x:c>
      <x:c r="U57" s="29" t="s">
        <x:v>697</x:v>
      </x:c>
    </x:row>
    <x:row r="58" ht="96.5999984741211" hidden="1">
      <x:c r="A58" s="11" t="s">
        <x:v>698</x:v>
      </x:c>
      <x:c r="B58" s="11" t="s">
        <x:v>59</x:v>
      </x:c>
      <x:c r="C58" s="11">
        <x:v>1</x:v>
      </x:c>
      <x:c r="D58" s="11" t="s">
        <x:v>89</x:v>
      </x:c>
      <x:c r="E58" s="11" t="s">
        <x:v>699</x:v>
      </x:c>
      <x:c r="F58" s="11" t="s">
        <x:v>700</x:v>
      </x:c>
      <x:c r="G58" s="11" t="s">
        <x:v>701</x:v>
      </x:c>
      <x:c r="H58" s="11" t="s">
        <x:v>93</x:v>
      </x:c>
      <x:c r="I58" s="16">
        <x:v>1</x:v>
      </x:c>
      <x:c r="J58" s="11" t="s">
        <x:v>702</x:v>
      </x:c>
      <x:c r="K58" s="11" t="s">
        <x:v>703</x:v>
      </x:c>
      <x:c r="L58" s="11" t="s">
        <x:v>704</x:v>
      </x:c>
      <x:c r="M58" s="11" t="s">
        <x:v>705</x:v>
      </x:c>
      <x:c r="N58" s="11" t="s">
        <x:v>706</x:v>
      </x:c>
      <x:c r="O58" s="11" t="s">
        <x:v>707</x:v>
      </x:c>
      <x:c r="P58" s="11" t="s">
        <x:v>178</x:v>
      </x:c>
      <x:c r="Q58" s="11" t="s">
        <x:v>690</x:v>
      </x:c>
      <x:c r="R58" s="11" t="s">
        <x:v>708</x:v>
      </x:c>
      <x:c r="S58" s="11" t="s">
        <x:v>313</x:v>
      </x:c>
      <x:c r="T58" s="11"/>
      <x:c r="U58" s="29" t="s">
        <x:v>709</x:v>
      </x:c>
    </x:row>
    <x:row r="59" ht="110.4000015258789" hidden="1">
      <x:c r="A59" s="11" t="s">
        <x:v>710</x:v>
      </x:c>
      <x:c r="B59" s="11" t="s">
        <x:v>59</x:v>
      </x:c>
      <x:c r="C59" s="11">
        <x:v>2</x:v>
      </x:c>
      <x:c r="D59" s="11" t="s">
        <x:v>89</x:v>
      </x:c>
      <x:c r="E59" s="11" t="s">
        <x:v>711</x:v>
      </x:c>
      <x:c r="F59" s="11" t="s">
        <x:v>712</x:v>
      </x:c>
      <x:c r="G59" s="11" t="s">
        <x:v>713</x:v>
      </x:c>
      <x:c r="H59" s="11" t="s">
        <x:v>123</x:v>
      </x:c>
      <x:c r="I59" s="16">
        <x:v>1.25</x:v>
      </x:c>
      <x:c r="J59" s="11" t="s">
        <x:v>714</x:v>
      </x:c>
      <x:c r="K59" s="11" t="s">
        <x:v>197</x:v>
      </x:c>
      <x:c r="L59" s="11" t="s">
        <x:v>715</x:v>
      </x:c>
      <x:c r="M59"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59" s="11" t="s">
        <x:v>717</x:v>
      </x:c>
      <x:c r="O59" s="11" t="s">
        <x:v>718</x:v>
      </x:c>
      <x:c r="P59" s="11" t="s">
        <x:v>202</x:v>
      </x:c>
      <x:c r="Q59" s="11" t="s">
        <x:v>698</x:v>
      </x:c>
      <x:c r="R59" s="11" t="s">
        <x:v>719</x:v>
      </x:c>
      <x:c r="S59" s="11" t="s">
        <x:v>313</x:v>
      </x:c>
      <x:c r="T59" s="11"/>
      <x:c r="U59" s="29" t="s">
        <x:v>720</x:v>
      </x:c>
    </x:row>
    <x:row r="60" ht="110.4000015258789" hidden="1">
      <x:c r="A60" s="11" t="s">
        <x:v>721</x:v>
      </x:c>
      <x:c r="B60" s="11" t="s">
        <x:v>59</x:v>
      </x:c>
      <x:c r="C60" s="11">
        <x:v>3</x:v>
      </x:c>
      <x:c r="D60" s="11" t="s">
        <x:v>89</x:v>
      </x:c>
      <x:c r="E60" s="11" t="s">
        <x:v>722</x:v>
      </x:c>
      <x:c r="F60" s="11" t="s">
        <x:v>723</x:v>
      </x:c>
      <x:c r="G60" s="11" t="s">
        <x:v>724</x:v>
      </x:c>
      <x:c r="H60" s="11" t="s">
        <x:v>123</x:v>
      </x:c>
      <x:c r="I60" s="16">
        <x:v>1.25</x:v>
      </x:c>
      <x:c r="J60" s="11" t="s">
        <x:v>714</x:v>
      </x:c>
      <x:c r="K60" s="11" t="s">
        <x:v>725</x:v>
      </x:c>
      <x:c r="L60" s="11" t="s">
        <x:v>726</x:v>
      </x:c>
      <x:c r="M60"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60" s="11" t="s">
        <x:v>728</x:v>
      </x:c>
      <x:c r="O60" s="11" t="s">
        <x:v>729</x:v>
      </x:c>
      <x:c r="P60" s="11" t="s">
        <x:v>730</x:v>
      </x:c>
      <x:c r="Q60" s="11" t="s">
        <x:v>731</x:v>
      </x:c>
      <x:c r="R60" s="11" t="s">
        <x:v>732</x:v>
      </x:c>
      <x:c r="S60" s="11" t="s">
        <x:v>313</x:v>
      </x:c>
      <x:c r="T60" s="11"/>
      <x:c r="U60" s="29" t="s">
        <x:v>733</x:v>
      </x:c>
    </x:row>
    <x:row r="61" ht="96.5999984741211" hidden="1">
      <x:c r="A61" s="11" t="s">
        <x:v>734</x:v>
      </x:c>
      <x:c r="B61" s="11" t="s">
        <x:v>59</x:v>
      </x:c>
      <x:c r="C61" s="11">
        <x:v>4</x:v>
      </x:c>
      <x:c r="D61" s="11" t="s">
        <x:v>89</x:v>
      </x:c>
      <x:c r="E61" s="11" t="s">
        <x:v>735</x:v>
      </x:c>
      <x:c r="F61" s="11" t="s">
        <x:v>736</x:v>
      </x:c>
      <x:c r="G61" s="11" t="s">
        <x:v>737</x:v>
      </x:c>
      <x:c r="H61" s="11" t="s">
        <x:v>123</x:v>
      </x:c>
      <x:c r="I61" s="16">
        <x:v>1.25</x:v>
      </x:c>
      <x:c r="J61" s="11" t="s">
        <x:v>714</x:v>
      </x:c>
      <x:c r="K61" s="11" t="s">
        <x:v>738</x:v>
      </x:c>
      <x:c r="L61" s="11" t="s">
        <x:v>739</x:v>
      </x:c>
      <x:c r="M61"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61" s="11" t="s">
        <x:v>741</x:v>
      </x:c>
      <x:c r="O61" s="11" t="s">
        <x:v>742</x:v>
      </x:c>
      <x:c r="P61" s="11" t="s">
        <x:v>743</x:v>
      </x:c>
      <x:c r="Q61" s="11" t="s">
        <x:v>698</x:v>
      </x:c>
      <x:c r="R61" s="11" t="s">
        <x:v>744</x:v>
      </x:c>
      <x:c r="S61" s="11" t="s">
        <x:v>313</x:v>
      </x:c>
      <x:c r="T61" s="11"/>
      <x:c r="U61" s="29" t="s">
        <x:v>745</x:v>
      </x:c>
    </x:row>
    <x:row r="62" ht="110.4000015258789" hidden="1">
      <x:c r="A62" s="11" t="s">
        <x:v>746</x:v>
      </x:c>
      <x:c r="B62" s="11" t="s">
        <x:v>59</x:v>
      </x:c>
      <x:c r="C62" s="11">
        <x:v>5</x:v>
      </x:c>
      <x:c r="D62" s="11" t="s">
        <x:v>89</x:v>
      </x:c>
      <x:c r="E62" s="11" t="s">
        <x:v>747</x:v>
      </x:c>
      <x:c r="F62" s="11" t="s">
        <x:v>748</x:v>
      </x:c>
      <x:c r="G62" s="11" t="s">
        <x:v>749</x:v>
      </x:c>
      <x:c r="H62" s="11" t="s">
        <x:v>123</x:v>
      </x:c>
      <x:c r="I62" s="16">
        <x:v>1.5</x:v>
      </x:c>
      <x:c r="J62" s="11" t="s">
        <x:v>714</x:v>
      </x:c>
      <x:c r="K62" s="11" t="s">
        <x:v>750</x:v>
      </x:c>
      <x:c r="L62" s="11" t="s">
        <x:v>751</x:v>
      </x:c>
      <x:c r="M62" s="11" t="s">
        <x:v>752</x:v>
      </x:c>
      <x:c r="N62" s="11" t="s">
        <x:v>753</x:v>
      </x:c>
      <x:c r="O62" s="11" t="s">
        <x:v>754</x:v>
      </x:c>
      <x:c r="P62" s="11" t="s">
        <x:v>755</x:v>
      </x:c>
      <x:c r="Q62" s="11" t="s">
        <x:v>756</x:v>
      </x:c>
      <x:c r="R62" s="11" t="s">
        <x:v>757</x:v>
      </x:c>
      <x:c r="S62" s="11" t="s">
        <x:v>313</x:v>
      </x:c>
      <x:c r="T62" s="11"/>
      <x:c r="U62" s="29" t="s">
        <x:v>758</x:v>
      </x:c>
    </x:row>
    <x:row r="63" ht="110.4000015258789" hidden="1">
      <x:c r="A63" s="11" t="s">
        <x:v>759</x:v>
      </x:c>
      <x:c r="B63" s="11" t="s">
        <x:v>59</x:v>
      </x:c>
      <x:c r="C63" s="11">
        <x:v>6</x:v>
      </x:c>
      <x:c r="D63" s="11" t="s">
        <x:v>89</x:v>
      </x:c>
      <x:c r="E63" s="11" t="s">
        <x:v>760</x:v>
      </x:c>
      <x:c r="F63" s="11" t="s">
        <x:v>761</x:v>
      </x:c>
      <x:c r="G63" s="11" t="s">
        <x:v>762</x:v>
      </x:c>
      <x:c r="H63" s="11" t="s">
        <x:v>123</x:v>
      </x:c>
      <x:c r="I63" s="16">
        <x:v>1</x:v>
      </x:c>
      <x:c r="J63" s="11" t="s">
        <x:v>763</x:v>
      </x:c>
      <x:c r="K63" s="11" t="s">
        <x:v>764</x:v>
      </x:c>
      <x:c r="L63" s="11" t="s">
        <x:v>765</x:v>
      </x:c>
      <x:c r="M63"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63" s="11" t="s">
        <x:v>767</x:v>
      </x:c>
      <x:c r="O63" s="11" t="s">
        <x:v>768</x:v>
      </x:c>
      <x:c r="P63" s="11" t="s">
        <x:v>769</x:v>
      </x:c>
      <x:c r="Q63" s="11" t="s">
        <x:v>770</x:v>
      </x:c>
      <x:c r="R63" s="11" t="s">
        <x:v>771</x:v>
      </x:c>
      <x:c r="S63" s="11" t="s">
        <x:v>313</x:v>
      </x:c>
      <x:c r="T63" s="11"/>
      <x:c r="U63" s="29" t="s">
        <x:v>772</x:v>
      </x:c>
    </x:row>
    <x:row r="64" ht="110.4000015258789" hidden="1">
      <x:c r="A64" s="11" t="s">
        <x:v>773</x:v>
      </x:c>
      <x:c r="B64" s="11" t="s">
        <x:v>59</x:v>
      </x:c>
      <x:c r="C64" s="11">
        <x:v>7</x:v>
      </x:c>
      <x:c r="D64" s="11" t="s">
        <x:v>89</x:v>
      </x:c>
      <x:c r="E64" s="11" t="s">
        <x:v>774</x:v>
      </x:c>
      <x:c r="F64" s="11" t="s">
        <x:v>775</x:v>
      </x:c>
      <x:c r="G64" s="11" t="s">
        <x:v>776</x:v>
      </x:c>
      <x:c r="H64" s="11" t="s">
        <x:v>123</x:v>
      </x:c>
      <x:c r="I64" s="16">
        <x:v>1.5</x:v>
      </x:c>
      <x:c r="J64" s="11" t="s">
        <x:v>777</x:v>
      </x:c>
      <x:c r="K64" s="11" t="s">
        <x:v>778</x:v>
      </x:c>
      <x:c r="L64" s="11" t="s">
        <x:v>779</x:v>
      </x:c>
      <x:c r="M64" s="11" t="s">
        <x:v>780</x:v>
      </x:c>
      <x:c r="N64" s="11" t="s">
        <x:v>781</x:v>
      </x:c>
      <x:c r="O64" s="11" t="s">
        <x:v>782</x:v>
      </x:c>
      <x:c r="P64" s="11" t="s">
        <x:v>178</x:v>
      </x:c>
      <x:c r="Q64" s="11" t="s">
        <x:v>783</x:v>
      </x:c>
      <x:c r="R64" s="11" t="s">
        <x:v>784</x:v>
      </x:c>
      <x:c r="S64" s="11" t="s">
        <x:v>313</x:v>
      </x:c>
      <x:c r="T64" s="11"/>
      <x:c r="U64" s="29" t="s">
        <x:v>785</x:v>
      </x:c>
    </x:row>
    <x:row r="65" ht="110.4000015258789" hidden="1">
      <x:c r="A65" s="11" t="s">
        <x:v>786</x:v>
      </x:c>
      <x:c r="B65" s="11" t="s">
        <x:v>59</x:v>
      </x:c>
      <x:c r="C65" s="11">
        <x:v>8</x:v>
      </x:c>
      <x:c r="D65" s="11" t="s">
        <x:v>89</x:v>
      </x:c>
      <x:c r="E65" s="11" t="s">
        <x:v>787</x:v>
      </x:c>
      <x:c r="F65" s="11" t="s">
        <x:v>788</x:v>
      </x:c>
      <x:c r="G65" s="11" t="s">
        <x:v>789</x:v>
      </x:c>
      <x:c r="H65" s="11" t="s">
        <x:v>123</x:v>
      </x:c>
      <x:c r="I65" s="16">
        <x:v>1</x:v>
      </x:c>
      <x:c r="J65" s="11" t="s">
        <x:v>777</x:v>
      </x:c>
      <x:c r="K65" s="11" t="s">
        <x:v>101</x:v>
      </x:c>
      <x:c r="L65" s="11" t="s">
        <x:v>790</x:v>
      </x:c>
      <x:c r="M65"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65" s="11" t="s">
        <x:v>792</x:v>
      </x:c>
      <x:c r="O65" s="11" t="s">
        <x:v>793</x:v>
      </x:c>
      <x:c r="P65" s="11" t="s">
        <x:v>166</x:v>
      </x:c>
      <x:c r="Q65" s="11" t="s">
        <x:v>773</x:v>
      </x:c>
      <x:c r="R65" s="11" t="s">
        <x:v>794</x:v>
      </x:c>
      <x:c r="S65" s="11" t="s">
        <x:v>313</x:v>
      </x:c>
      <x:c r="T65" s="11"/>
      <x:c r="U65" s="29" t="s">
        <x:v>795</x:v>
      </x:c>
    </x:row>
    <x:row r="66" ht="110.4000015258789" hidden="1">
      <x:c r="A66" s="11" t="s">
        <x:v>796</x:v>
      </x:c>
      <x:c r="B66" s="11" t="s">
        <x:v>59</x:v>
      </x:c>
      <x:c r="C66" s="11">
        <x:v>9</x:v>
      </x:c>
      <x:c r="D66" s="11" t="s">
        <x:v>89</x:v>
      </x:c>
      <x:c r="E66" s="11" t="s">
        <x:v>797</x:v>
      </x:c>
      <x:c r="F66" s="11" t="s">
        <x:v>798</x:v>
      </x:c>
      <x:c r="G66" s="11" t="s">
        <x:v>799</x:v>
      </x:c>
      <x:c r="H66" s="11" t="s">
        <x:v>109</x:v>
      </x:c>
      <x:c r="I66" s="16">
        <x:v>1</x:v>
      </x:c>
      <x:c r="J66" s="11" t="s">
        <x:v>800</x:v>
      </x:c>
      <x:c r="K66" s="11" t="s">
        <x:v>614</x:v>
      </x:c>
      <x:c r="L66" s="11" t="s">
        <x:v>801</x:v>
      </x:c>
      <x:c r="M66" s="11" t="s">
        <x:v>802</x:v>
      </x:c>
      <x:c r="N66" s="11" t="s">
        <x:v>803</x:v>
      </x:c>
      <x:c r="O66" s="11" t="s">
        <x:v>804</x:v>
      </x:c>
      <x:c r="P66" s="11" t="s">
        <x:v>178</x:v>
      </x:c>
      <x:c r="Q66" s="11" t="s">
        <x:v>805</x:v>
      </x:c>
      <x:c r="R66" s="11" t="s">
        <x:v>806</x:v>
      </x:c>
      <x:c r="S66" s="11" t="s">
        <x:v>313</x:v>
      </x:c>
      <x:c r="T66" s="11"/>
      <x:c r="U66" s="29" t="s">
        <x:v>807</x:v>
      </x:c>
    </x:row>
    <x:row r="67" ht="124.19999694824219" hidden="1">
      <x:c r="A67" s="11" t="s">
        <x:v>808</x:v>
      </x:c>
      <x:c r="B67" s="11" t="s">
        <x:v>59</x:v>
      </x:c>
      <x:c r="C67" s="11">
        <x:v>10</x:v>
      </x:c>
      <x:c r="D67" s="11" t="s">
        <x:v>89</x:v>
      </x:c>
      <x:c r="E67" s="11" t="s">
        <x:v>809</x:v>
      </x:c>
      <x:c r="F67" s="11" t="s">
        <x:v>810</x:v>
      </x:c>
      <x:c r="G67" s="11" t="s">
        <x:v>811</x:v>
      </x:c>
      <x:c r="H67" s="11" t="s">
        <x:v>93</x:v>
      </x:c>
      <x:c r="I67" s="16">
        <x:v>1.5</x:v>
      </x:c>
      <x:c r="J67" s="11" t="s">
        <x:v>800</x:v>
      </x:c>
      <x:c r="K67" s="11" t="s">
        <x:v>368</x:v>
      </x:c>
      <x:c r="L67" s="11" t="s">
        <x:v>812</x:v>
      </x:c>
      <x:c r="M67" s="11" t="s">
        <x:v>813</x:v>
      </x:c>
      <x:c r="N67" s="11" t="s">
        <x:v>814</x:v>
      </x:c>
      <x:c r="O67" s="11" t="s">
        <x:v>815</x:v>
      </x:c>
      <x:c r="P67" s="11" t="s">
        <x:v>533</x:v>
      </x:c>
      <x:c r="Q67" s="11" t="s">
        <x:v>796</x:v>
      </x:c>
      <x:c r="R67" s="11" t="s">
        <x:v>816</x:v>
      </x:c>
      <x:c r="S67" s="11" t="s">
        <x:v>313</x:v>
      </x:c>
      <x:c r="T67" s="11"/>
      <x:c r="U67" s="29" t="s">
        <x:v>817</x:v>
      </x:c>
    </x:row>
    <x:row r="68" ht="110.4000015258789" hidden="1">
      <x:c r="A68" s="11" t="s">
        <x:v>818</x:v>
      </x:c>
      <x:c r="B68" s="11" t="s">
        <x:v>59</x:v>
      </x:c>
      <x:c r="C68" s="11">
        <x:v>11</x:v>
      </x:c>
      <x:c r="D68" s="11" t="s">
        <x:v>89</x:v>
      </x:c>
      <x:c r="E68" s="11" t="s">
        <x:v>819</x:v>
      </x:c>
      <x:c r="F68" s="11" t="s">
        <x:v>820</x:v>
      </x:c>
      <x:c r="G68" s="11" t="s">
        <x:v>821</x:v>
      </x:c>
      <x:c r="H68" s="11" t="s">
        <x:v>109</x:v>
      </x:c>
      <x:c r="I68" s="16">
        <x:v>0.75</x:v>
      </x:c>
      <x:c r="J68" s="11" t="s">
        <x:v>800</x:v>
      </x:c>
      <x:c r="K68" s="11" t="s">
        <x:v>368</x:v>
      </x:c>
      <x:c r="L68" s="11" t="s">
        <x:v>822</x:v>
      </x:c>
      <x:c r="M68" s="11" t="s">
        <x:v>823</x:v>
      </x:c>
      <x:c r="N68" s="11" t="s">
        <x:v>824</x:v>
      </x:c>
      <x:c r="O68" s="11" t="s">
        <x:v>825</x:v>
      </x:c>
      <x:c r="P68" s="11" t="s">
        <x:v>826</x:v>
      </x:c>
      <x:c r="Q68" s="11" t="s">
        <x:v>808</x:v>
      </x:c>
      <x:c r="R68" s="11" t="s">
        <x:v>827</x:v>
      </x:c>
      <x:c r="S68" s="11" t="s">
        <x:v>313</x:v>
      </x:c>
      <x:c r="T68" s="11"/>
      <x:c r="U68" s="29" t="s">
        <x:v>828</x:v>
      </x:c>
    </x:row>
    <x:row r="69" ht="110.4000015258789" hidden="1">
      <x:c r="A69" s="11" t="s">
        <x:v>829</x:v>
      </x:c>
      <x:c r="B69" s="11" t="s">
        <x:v>59</x:v>
      </x:c>
      <x:c r="C69" s="11">
        <x:v>12</x:v>
      </x:c>
      <x:c r="D69" s="11" t="s">
        <x:v>89</x:v>
      </x:c>
      <x:c r="E69" s="11" t="s">
        <x:v>830</x:v>
      </x:c>
      <x:c r="F69" s="11" t="s">
        <x:v>831</x:v>
      </x:c>
      <x:c r="G69" s="11" t="s">
        <x:v>832</x:v>
      </x:c>
      <x:c r="H69" s="11" t="s">
        <x:v>109</x:v>
      </x:c>
      <x:c r="I69" s="16">
        <x:v>1</x:v>
      </x:c>
      <x:c r="J69" s="11" t="s">
        <x:v>800</x:v>
      </x:c>
      <x:c r="K69" s="11" t="s">
        <x:v>222</x:v>
      </x:c>
      <x:c r="L69" s="11" t="s">
        <x:v>833</x:v>
      </x:c>
      <x:c r="M69"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69" s="11" t="s">
        <x:v>835</x:v>
      </x:c>
      <x:c r="O69" s="11" t="s">
        <x:v>836</x:v>
      </x:c>
      <x:c r="P69" s="11" t="s">
        <x:v>227</x:v>
      </x:c>
      <x:c r="Q69" s="11" t="s">
        <x:v>818</x:v>
      </x:c>
      <x:c r="R69" s="11" t="s">
        <x:v>837</x:v>
      </x:c>
      <x:c r="S69" s="11" t="s">
        <x:v>313</x:v>
      </x:c>
      <x:c r="T69" s="11"/>
      <x:c r="U69" s="29" t="s">
        <x:v>838</x:v>
      </x:c>
    </x:row>
    <x:row r="70" ht="96.5999984741211" hidden="1">
      <x:c r="A70" s="11" t="s">
        <x:v>839</x:v>
      </x:c>
      <x:c r="B70" s="11" t="s">
        <x:v>59</x:v>
      </x:c>
      <x:c r="C70" s="11">
        <x:v>13</x:v>
      </x:c>
      <x:c r="D70" s="11" t="s">
        <x:v>89</x:v>
      </x:c>
      <x:c r="E70" s="11" t="s">
        <x:v>231</x:v>
      </x:c>
      <x:c r="F70" s="11" t="s">
        <x:v>840</x:v>
      </x:c>
      <x:c r="G70" s="11" t="s">
        <x:v>841</x:v>
      </x:c>
      <x:c r="H70" s="11" t="s">
        <x:v>93</x:v>
      </x:c>
      <x:c r="I70" s="16">
        <x:v>0.75</x:v>
      </x:c>
      <x:c r="J70" s="11" t="inlineStr">
        <x:is>
          <x:t xml:space="preserve">W5-REVIEW-001</x:t>
        </x:is>
      </x:c>
      <x:c r="K70" s="11" t="s">
        <x:v>842</x:v>
      </x:c>
      <x:c r="L70" s="11" t="s">
        <x:v>843</x:v>
      </x:c>
      <x:c r="M70" s="11" t="s">
        <x:v>844</x:v>
      </x:c>
      <x:c r="N70" s="11" t="s">
        <x:v>845</x:v>
      </x:c>
      <x:c r="O70" s="11" t="s">
        <x:v>846</x:v>
      </x:c>
      <x:c r="P70" s="11" t="s">
        <x:v>115</x:v>
      </x:c>
      <x:c r="Q70" s="11" t="s">
        <x:v>847</x:v>
      </x:c>
      <x:c r="R70" s="11" t="s">
        <x:v>848</x:v>
      </x:c>
      <x:c r="S70" s="11" t="s">
        <x:v>313</x:v>
      </x:c>
      <x:c r="T70" s="11"/>
      <x:c r="U70" s="29" t="s">
        <x:v>849</x:v>
      </x:c>
    </x:row>
    <x:row r="71" ht="69" hidden="1">
      <x:c r="A71" s="11" t="s">
        <x:v>850</x:v>
      </x:c>
      <x:c r="B71" s="11" t="s">
        <x:v>59</x:v>
      </x:c>
      <x:c r="C71" s="11">
        <x:v>14</x:v>
      </x:c>
      <x:c r="D71" s="11" t="s">
        <x:v>89</x:v>
      </x:c>
      <x:c r="E71" s="11" t="s">
        <x:v>244</x:v>
      </x:c>
      <x:c r="F71" s="11" t="s">
        <x:v>851</x:v>
      </x:c>
      <x:c r="G71" s="11" t="s">
        <x:v>852</x:v>
      </x:c>
      <x:c r="H71" s="11" t="s">
        <x:v>109</x:v>
      </x:c>
      <x:c r="I71" s="16">
        <x:v>1</x:v>
      </x:c>
      <x:c r="J71" s="11" t="s">
        <x:v>247</x:v>
      </x:c>
      <x:c r="K71" s="11" t="s">
        <x:v>101</x:v>
      </x:c>
      <x:c r="L71" s="11" t="s">
        <x:v>853</x:v>
      </x:c>
      <x:c r="M71" s="11" t="s">
        <x:v>2362</x:v>
      </x:c>
      <x:c r="N71" s="11" t="s">
        <x:v>250</x:v>
      </x:c>
      <x:c r="O71" s="11" t="s">
        <x:v>854</x:v>
      </x:c>
      <x:c r="P71" s="11" t="s">
        <x:v>855</x:v>
      </x:c>
      <x:c r="Q71" s="11" t="s">
        <x:v>839</x:v>
      </x:c>
      <x:c r="R71" s="11" t="s">
        <x:v>253</x:v>
      </x:c>
      <x:c r="S71" s="11" t="s">
        <x:v>313</x:v>
      </x:c>
      <x:c r="T71" s="11" t="s">
        <x:v>856</x:v>
      </x:c>
      <x:c r="U71" s="29" t="s">
        <x:v>857</x:v>
      </x:c>
    </x:row>
    <x:row r="72" ht="110.4000015258789" hidden="1">
      <x:c r="A72" s="11" t="s">
        <x:v>858</x:v>
      </x:c>
      <x:c r="B72" s="11" t="s">
        <x:v>60</x:v>
      </x:c>
      <x:c r="C72" s="11">
        <x:v>1</x:v>
      </x:c>
      <x:c r="D72" s="11" t="s">
        <x:v>89</x:v>
      </x:c>
      <x:c r="E72" s="11" t="s">
        <x:v>859</x:v>
      </x:c>
      <x:c r="F72" s="11" t="s">
        <x:v>860</x:v>
      </x:c>
      <x:c r="G72" s="11" t="s">
        <x:v>861</x:v>
      </x:c>
      <x:c r="H72" s="11" t="s">
        <x:v>109</x:v>
      </x:c>
      <x:c r="I72" s="16">
        <x:v>0.75</x:v>
      </x:c>
      <x:c r="J72" s="11" t="s">
        <x:v>777</x:v>
      </x:c>
      <x:c r="K72" s="11" t="s">
        <x:v>862</x:v>
      </x:c>
      <x:c r="L72" s="11" t="s">
        <x:v>863</x:v>
      </x:c>
      <x:c r="M72" s="11" t="s">
        <x:v>864</x:v>
      </x:c>
      <x:c r="N72" s="11" t="s">
        <x:v>865</x:v>
      </x:c>
      <x:c r="O72" s="11" t="s">
        <x:v>866</x:v>
      </x:c>
      <x:c r="P72" s="11" t="s">
        <x:v>867</x:v>
      </x:c>
      <x:c r="Q72" s="11" t="s">
        <x:v>850</x:v>
      </x:c>
      <x:c r="R72" s="11" t="s">
        <x:v>868</x:v>
      </x:c>
      <x:c r="S72" s="11" t="s">
        <x:v>313</x:v>
      </x:c>
      <x:c r="T72" s="11"/>
      <x:c r="U72" s="29" t="s">
        <x:v>869</x:v>
      </x:c>
    </x:row>
    <x:row r="73" ht="110.4000015258789" hidden="1">
      <x:c r="A73" s="11" t="s">
        <x:v>870</x:v>
      </x:c>
      <x:c r="B73" s="11" t="s">
        <x:v>60</x:v>
      </x:c>
      <x:c r="C73" s="11">
        <x:v>2</x:v>
      </x:c>
      <x:c r="D73" s="11" t="s">
        <x:v>89</x:v>
      </x:c>
      <x:c r="E73" s="11" t="s">
        <x:v>871</x:v>
      </x:c>
      <x:c r="F73" s="11" t="s">
        <x:v>872</x:v>
      </x:c>
      <x:c r="G73" s="11" t="s">
        <x:v>873</x:v>
      </x:c>
      <x:c r="H73" s="11" t="s">
        <x:v>123</x:v>
      </x:c>
      <x:c r="I73" s="16">
        <x:v>1.5</x:v>
      </x:c>
      <x:c r="J73" s="11" t="s">
        <x:v>874</x:v>
      </x:c>
      <x:c r="K73" s="11" t="s">
        <x:v>862</x:v>
      </x:c>
      <x:c r="L73" s="11" t="s">
        <x:v>875</x:v>
      </x:c>
      <x:c r="M73" s="11" t="s">
        <x:v>876</x:v>
      </x:c>
      <x:c r="N73" s="11" t="s">
        <x:v>877</x:v>
      </x:c>
      <x:c r="O73" s="11" t="s">
        <x:v>878</x:v>
      </x:c>
      <x:c r="P73" s="11" t="s">
        <x:v>879</x:v>
      </x:c>
      <x:c r="Q73" s="11" t="s">
        <x:v>858</x:v>
      </x:c>
      <x:c r="R73" s="11" t="s">
        <x:v>880</x:v>
      </x:c>
      <x:c r="S73" s="11" t="s">
        <x:v>313</x:v>
      </x:c>
      <x:c r="T73" s="11"/>
      <x:c r="U73" s="29" t="s">
        <x:v>881</x:v>
      </x:c>
    </x:row>
    <x:row r="74" ht="110.4000015258789" hidden="1">
      <x:c r="A74" s="11" t="s">
        <x:v>882</x:v>
      </x:c>
      <x:c r="B74" s="11" t="s">
        <x:v>60</x:v>
      </x:c>
      <x:c r="C74" s="11">
        <x:v>3</x:v>
      </x:c>
      <x:c r="D74" s="11" t="s">
        <x:v>89</x:v>
      </x:c>
      <x:c r="E74" s="11" t="s">
        <x:v>883</x:v>
      </x:c>
      <x:c r="F74" s="11" t="s">
        <x:v>884</x:v>
      </x:c>
      <x:c r="G74" s="11" t="s">
        <x:v>885</x:v>
      </x:c>
      <x:c r="H74" s="11" t="s">
        <x:v>123</x:v>
      </x:c>
      <x:c r="I74" s="16">
        <x:v>1</x:v>
      </x:c>
      <x:c r="J74" s="11" t="s">
        <x:v>874</x:v>
      </x:c>
      <x:c r="K74" s="11" t="s">
        <x:v>886</x:v>
      </x:c>
      <x:c r="L74" s="11" t="s">
        <x:v>887</x:v>
      </x:c>
      <x:c r="M74" s="11" t="s">
        <x:v>888</x:v>
      </x:c>
      <x:c r="N74" s="11" t="s">
        <x:v>889</x:v>
      </x:c>
      <x:c r="O74" s="11" t="s">
        <x:v>890</x:v>
      </x:c>
      <x:c r="P74" s="11" t="s">
        <x:v>337</x:v>
      </x:c>
      <x:c r="Q74" s="11" t="s">
        <x:v>891</x:v>
      </x:c>
      <x:c r="R74" s="11" t="s">
        <x:v>892</x:v>
      </x:c>
      <x:c r="S74" s="11" t="s">
        <x:v>313</x:v>
      </x:c>
      <x:c r="T74" s="11"/>
      <x:c r="U74" s="29" t="s">
        <x:v>893</x:v>
      </x:c>
    </x:row>
    <x:row r="75" ht="110.4000015258789" hidden="1">
      <x:c r="A75" s="11" t="s">
        <x:v>894</x:v>
      </x:c>
      <x:c r="B75" s="11" t="s">
        <x:v>60</x:v>
      </x:c>
      <x:c r="C75" s="11">
        <x:v>4</x:v>
      </x:c>
      <x:c r="D75" s="11" t="s">
        <x:v>89</x:v>
      </x:c>
      <x:c r="E75" s="11" t="s">
        <x:v>895</x:v>
      </x:c>
      <x:c r="F75" s="11" t="s">
        <x:v>896</x:v>
      </x:c>
      <x:c r="G75" s="11" t="s">
        <x:v>897</x:v>
      </x:c>
      <x:c r="H75" s="11" t="s">
        <x:v>123</x:v>
      </x:c>
      <x:c r="I75" s="16">
        <x:v>1</x:v>
      </x:c>
      <x:c r="J75" s="11" t="s">
        <x:v>874</x:v>
      </x:c>
      <x:c r="K75" s="11" t="s">
        <x:v>898</x:v>
      </x:c>
      <x:c r="L75" s="11" t="s">
        <x:v>899</x:v>
      </x:c>
      <x:c r="M75" s="11" t="s">
        <x:v>900</x:v>
      </x:c>
      <x:c r="N75" s="11" t="s">
        <x:v>901</x:v>
      </x:c>
      <x:c r="O75" s="11" t="s">
        <x:v>902</x:v>
      </x:c>
      <x:c r="P75" s="11" t="s">
        <x:v>903</x:v>
      </x:c>
      <x:c r="Q75" s="11" t="s">
        <x:v>882</x:v>
      </x:c>
      <x:c r="R75" s="11" t="s">
        <x:v>904</x:v>
      </x:c>
      <x:c r="S75" s="11" t="s">
        <x:v>313</x:v>
      </x:c>
      <x:c r="T75" s="11"/>
      <x:c r="U75" s="29" t="s">
        <x:v>905</x:v>
      </x:c>
    </x:row>
    <x:row r="76" ht="110.4000015258789" hidden="1">
      <x:c r="A76" s="11" t="s">
        <x:v>906</x:v>
      </x:c>
      <x:c r="B76" s="11" t="s">
        <x:v>60</x:v>
      </x:c>
      <x:c r="C76" s="11">
        <x:v>5</x:v>
      </x:c>
      <x:c r="D76" s="11" t="s">
        <x:v>89</x:v>
      </x:c>
      <x:c r="E76" s="11" t="s">
        <x:v>907</x:v>
      </x:c>
      <x:c r="F76" s="11" t="s">
        <x:v>908</x:v>
      </x:c>
      <x:c r="G76" s="11" t="s">
        <x:v>909</x:v>
      </x:c>
      <x:c r="H76" s="11" t="s">
        <x:v>123</x:v>
      </x:c>
      <x:c r="I76" s="16">
        <x:v>1</x:v>
      </x:c>
      <x:c r="J76" s="11" t="s">
        <x:v>874</x:v>
      </x:c>
      <x:c r="K76" s="11" t="s">
        <x:v>517</x:v>
      </x:c>
      <x:c r="L76" s="11" t="s">
        <x:v>910</x:v>
      </x:c>
      <x:c r="M76" s="11" t="s">
        <x:v>876</x:v>
      </x:c>
      <x:c r="N76" s="11" t="s">
        <x:v>911</x:v>
      </x:c>
      <x:c r="O76" s="11" t="s">
        <x:v>912</x:v>
      </x:c>
      <x:c r="P76" s="11" t="s">
        <x:v>879</x:v>
      </x:c>
      <x:c r="Q76" s="11" t="s">
        <x:v>870</x:v>
      </x:c>
      <x:c r="R76" s="11" t="s">
        <x:v>913</x:v>
      </x:c>
      <x:c r="S76" s="11" t="s">
        <x:v>313</x:v>
      </x:c>
      <x:c r="T76" s="11"/>
      <x:c r="U76" s="29" t="s">
        <x:v>914</x:v>
      </x:c>
    </x:row>
    <x:row r="77" ht="110.4000015258789" hidden="1">
      <x:c r="A77" s="11" t="s">
        <x:v>915</x:v>
      </x:c>
      <x:c r="B77" s="11" t="s">
        <x:v>60</x:v>
      </x:c>
      <x:c r="C77" s="11">
        <x:v>6</x:v>
      </x:c>
      <x:c r="D77" s="11" t="s">
        <x:v>89</x:v>
      </x:c>
      <x:c r="E77" s="11" t="s">
        <x:v>916</x:v>
      </x:c>
      <x:c r="F77" s="11" t="s">
        <x:v>917</x:v>
      </x:c>
      <x:c r="G77" s="11" t="s">
        <x:v>918</x:v>
      </x:c>
      <x:c r="H77" s="11" t="s">
        <x:v>123</x:v>
      </x:c>
      <x:c r="I77" s="16">
        <x:v>1.25</x:v>
      </x:c>
      <x:c r="J77" s="11" t="s">
        <x:v>919</x:v>
      </x:c>
      <x:c r="K77" s="11" t="s">
        <x:v>505</x:v>
      </x:c>
      <x:c r="L77" s="11" t="s">
        <x:v>920</x:v>
      </x:c>
      <x:c r="M77" s="11" t="s">
        <x:v>637</x:v>
      </x:c>
      <x:c r="N77" s="11" t="s">
        <x:v>921</x:v>
      </x:c>
      <x:c r="O77" s="11" t="s">
        <x:v>922</x:v>
      </x:c>
      <x:c r="P77" s="11" t="s">
        <x:v>510</x:v>
      </x:c>
      <x:c r="Q77" s="11" t="s">
        <x:v>923</x:v>
      </x:c>
      <x:c r="R77" s="11" t="s">
        <x:v>924</x:v>
      </x:c>
      <x:c r="S77" s="11" t="s">
        <x:v>313</x:v>
      </x:c>
      <x:c r="T77" s="11"/>
      <x:c r="U77" s="29" t="s">
        <x:v>925</x:v>
      </x:c>
    </x:row>
    <x:row r="78" ht="110.4000015258789" hidden="1">
      <x:c r="A78" s="11" t="s">
        <x:v>926</x:v>
      </x:c>
      <x:c r="B78" s="11" t="s">
        <x:v>60</x:v>
      </x:c>
      <x:c r="C78" s="11">
        <x:v>7</x:v>
      </x:c>
      <x:c r="D78" s="11" t="s">
        <x:v>89</x:v>
      </x:c>
      <x:c r="E78" s="11" t="s">
        <x:v>927</x:v>
      </x:c>
      <x:c r="F78" s="11" t="s">
        <x:v>928</x:v>
      </x:c>
      <x:c r="G78" s="11" t="s">
        <x:v>929</x:v>
      </x:c>
      <x:c r="H78" s="11" t="s">
        <x:v>109</x:v>
      </x:c>
      <x:c r="I78" s="16">
        <x:v>1</x:v>
      </x:c>
      <x:c r="J78" s="11" t="s">
        <x:v>919</x:v>
      </x:c>
      <x:c r="K78" s="11" t="s">
        <x:v>930</x:v>
      </x:c>
      <x:c r="L78" s="11" t="s">
        <x:v>931</x:v>
      </x:c>
      <x:c r="M78" s="11" t="s">
        <x:v>932</x:v>
      </x:c>
      <x:c r="N78" s="11" t="s">
        <x:v>933</x:v>
      </x:c>
      <x:c r="O78" s="11" t="s">
        <x:v>934</x:v>
      </x:c>
      <x:c r="P78" s="11" t="s">
        <x:v>166</x:v>
      </x:c>
      <x:c r="Q78" s="11" t="s">
        <x:v>915</x:v>
      </x:c>
      <x:c r="R78" s="11" t="s">
        <x:v>935</x:v>
      </x:c>
      <x:c r="S78" s="11" t="s">
        <x:v>313</x:v>
      </x:c>
      <x:c r="T78" s="11"/>
      <x:c r="U78" s="29" t="s">
        <x:v>936</x:v>
      </x:c>
    </x:row>
    <x:row r="79" ht="96.5999984741211" hidden="1">
      <x:c r="A79" s="11" t="s">
        <x:v>937</x:v>
      </x:c>
      <x:c r="B79" s="11" t="s">
        <x:v>60</x:v>
      </x:c>
      <x:c r="C79" s="11">
        <x:v>8</x:v>
      </x:c>
      <x:c r="D79" s="11" t="s">
        <x:v>89</x:v>
      </x:c>
      <x:c r="E79" s="11" t="s">
        <x:v>938</x:v>
      </x:c>
      <x:c r="F79" s="11" t="s">
        <x:v>939</x:v>
      </x:c>
      <x:c r="G79" s="11" t="s">
        <x:v>940</x:v>
      </x:c>
      <x:c r="H79" s="11" t="s">
        <x:v>941</x:v>
      </x:c>
      <x:c r="I79" s="16">
        <x:v>1</x:v>
      </x:c>
      <x:c r="J79" s="11" t="s">
        <x:v>919</x:v>
      </x:c>
      <x:c r="K79" s="11" t="s">
        <x:v>505</x:v>
      </x:c>
      <x:c r="L79" s="11" t="s">
        <x:v>942</x:v>
      </x:c>
      <x:c r="M79" s="11" t="s">
        <x:v>943</x:v>
      </x:c>
      <x:c r="N79" s="11" t="s">
        <x:v>944</x:v>
      </x:c>
      <x:c r="O79" s="11" t="s">
        <x:v>945</x:v>
      </x:c>
      <x:c r="P79" s="11" t="s">
        <x:v>946</x:v>
      </x:c>
      <x:c r="Q79" s="11" t="s">
        <x:v>947</x:v>
      </x:c>
      <x:c r="R79" s="11" t="s">
        <x:v>948</x:v>
      </x:c>
      <x:c r="S79" s="11" t="s">
        <x:v>313</x:v>
      </x:c>
      <x:c r="T79" s="11"/>
      <x:c r="U79" s="29" t="s">
        <x:v>949</x:v>
      </x:c>
    </x:row>
    <x:row r="80" ht="110.4000015258789" hidden="1">
      <x:c r="A80" t="s">
        <x:v>950</x:v>
      </x:c>
      <x:c r="B80" t="s">
        <x:v>60</x:v>
      </x:c>
      <x:c r="C80">
        <x:v>9</x:v>
      </x:c>
      <x:c r="D80" t="s">
        <x:v>89</x:v>
      </x:c>
      <x:c r="E80" t="s">
        <x:v>951</x:v>
      </x:c>
      <x:c r="F80" t="s">
        <x:v>952</x:v>
      </x:c>
      <x:c r="G80" t="s">
        <x:v>953</x:v>
      </x:c>
      <x:c r="H80" t="s">
        <x:v>109</x:v>
      </x:c>
      <x:c r="I80">
        <x:v>1</x:v>
      </x:c>
      <x:c r="J80" t="s">
        <x:v>919</x:v>
      </x:c>
      <x:c r="K80" t="s">
        <x:v>954</x:v>
      </x:c>
      <x:c r="L80" t="s">
        <x:v>955</x:v>
      </x:c>
      <x:c r="M80" t="s">
        <x:v>956</x:v>
      </x:c>
      <x:c r="N80" t="s">
        <x:v>957</x:v>
      </x:c>
      <x:c r="O80" t="s">
        <x:v>958</x:v>
      </x:c>
      <x:c r="P80" t="s">
        <x:v>166</x:v>
      </x:c>
      <x:c r="Q80" t="s">
        <x:v>959</x:v>
      </x:c>
      <x:c r="R80" t="s">
        <x:v>960</x:v>
      </x:c>
      <x:c r="S80" t="s">
        <x:v>313</x:v>
      </x:c>
      <x:c r="U80" s="29" t="s">
        <x:v>961</x:v>
      </x:c>
    </x:row>
    <x:row r="81" ht="110.4000015258789" hidden="1">
      <x:c r="A81" t="s">
        <x:v>962</x:v>
      </x:c>
      <x:c r="B81" t="s">
        <x:v>60</x:v>
      </x:c>
      <x:c r="C81">
        <x:v>10</x:v>
      </x:c>
      <x:c r="D81" t="s">
        <x:v>89</x:v>
      </x:c>
      <x:c r="E81" t="s">
        <x:v>963</x:v>
      </x:c>
      <x:c r="F81" t="s">
        <x:v>964</x:v>
      </x:c>
      <x:c r="G81" t="s">
        <x:v>965</x:v>
      </x:c>
      <x:c r="H81" t="s">
        <x:v>109</x:v>
      </x:c>
      <x:c r="I81">
        <x:v>1.25</x:v>
      </x:c>
      <x:c r="J81" t="s">
        <x:v>966</x:v>
      </x:c>
      <x:c r="K81" t="s">
        <x:v>482</x:v>
      </x:c>
      <x:c r="L81" t="s">
        <x:v>967</x:v>
      </x:c>
      <x:c r="M81" t="s">
        <x:v>968</x:v>
      </x:c>
      <x:c r="N81" t="s">
        <x:v>969</x:v>
      </x:c>
      <x:c r="O81" t="s">
        <x:v>970</x:v>
      </x:c>
      <x:c r="P81" t="s">
        <x:v>166</x:v>
      </x:c>
      <x:c r="Q81" t="s">
        <x:v>971</x:v>
      </x:c>
      <x:c r="R81" t="s">
        <x:v>972</x:v>
      </x:c>
      <x:c r="S81" t="s">
        <x:v>313</x:v>
      </x:c>
      <x:c r="U81" s="29" t="s">
        <x:v>973</x:v>
      </x:c>
    </x:row>
    <x:row r="82" ht="110.4000015258789" hidden="1">
      <x:c r="A82" t="s">
        <x:v>974</x:v>
      </x:c>
      <x:c r="B82" t="s">
        <x:v>60</x:v>
      </x:c>
      <x:c r="C82">
        <x:v>11</x:v>
      </x:c>
      <x:c r="D82" t="s">
        <x:v>89</x:v>
      </x:c>
      <x:c r="E82" t="s">
        <x:v>975</x:v>
      </x:c>
      <x:c r="F82" t="s">
        <x:v>976</x:v>
      </x:c>
      <x:c r="G82" t="s">
        <x:v>977</x:v>
      </x:c>
      <x:c r="H82" t="s">
        <x:v>93</x:v>
      </x:c>
      <x:c r="I82">
        <x:v>0.75</x:v>
      </x:c>
      <x:c r="J82" t="s">
        <x:v>966</x:v>
      </x:c>
      <x:c r="K82" t="s">
        <x:v>368</x:v>
      </x:c>
      <x:c r="L82" t="s">
        <x:v>978</x:v>
      </x:c>
      <x:c r="M82"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N82" t="s">
        <x:v>980</x:v>
      </x:c>
      <x:c r="O82" t="s">
        <x:v>981</x:v>
      </x:c>
      <x:c r="P82" t="s">
        <x:v>533</x:v>
      </x:c>
      <x:c r="Q82" t="s">
        <x:v>962</x:v>
      </x:c>
      <x:c r="R82" t="s">
        <x:v>982</x:v>
      </x:c>
      <x:c r="S82" t="s">
        <x:v>313</x:v>
      </x:c>
      <x:c r="U82" s="29" t="s">
        <x:v>983</x:v>
      </x:c>
    </x:row>
    <x:row r="83" ht="110.4000015258789" hidden="1">
      <x:c r="A83" t="s">
        <x:v>984</x:v>
      </x:c>
      <x:c r="B83" t="s">
        <x:v>60</x:v>
      </x:c>
      <x:c r="C83">
        <x:v>12</x:v>
      </x:c>
      <x:c r="D83" t="s">
        <x:v>89</x:v>
      </x:c>
      <x:c r="E83" t="s">
        <x:v>985</x:v>
      </x:c>
      <x:c r="F83" t="s">
        <x:v>986</x:v>
      </x:c>
      <x:c r="G83" t="s">
        <x:v>987</x:v>
      </x:c>
      <x:c r="H83" t="s">
        <x:v>93</x:v>
      </x:c>
      <x:c r="I83">
        <x:v>1.25</x:v>
      </x:c>
      <x:c r="J83" t="s">
        <x:v>800</x:v>
      </x:c>
      <x:c r="K83" t="s">
        <x:v>210</x:v>
      </x:c>
      <x:c r="L83" t="s">
        <x:v>988</x:v>
      </x:c>
      <x:c r="M83" t="s">
        <x:v>989</x:v>
      </x:c>
      <x:c r="N83" t="s">
        <x:v>990</x:v>
      </x:c>
      <x:c r="O83" t="s">
        <x:v>991</x:v>
      </x:c>
      <x:c r="P83" t="s">
        <x:v>992</x:v>
      </x:c>
      <x:c r="Q83" t="s">
        <x:v>974</x:v>
      </x:c>
      <x:c r="R83" t="s">
        <x:v>993</x:v>
      </x:c>
      <x:c r="S83" t="s">
        <x:v>313</x:v>
      </x:c>
      <x:c r="U83" s="29" t="s">
        <x:v>994</x:v>
      </x:c>
    </x:row>
    <x:row r="84" ht="110.4000015258789" hidden="1">
      <x:c r="A84" t="s">
        <x:v>995</x:v>
      </x:c>
      <x:c r="B84" t="s">
        <x:v>60</x:v>
      </x:c>
      <x:c r="C84">
        <x:v>13</x:v>
      </x:c>
      <x:c r="D84" t="s">
        <x:v>89</x:v>
      </x:c>
      <x:c r="E84" t="s">
        <x:v>996</x:v>
      </x:c>
      <x:c r="F84" t="s">
        <x:v>997</x:v>
      </x:c>
      <x:c r="G84" t="s">
        <x:v>998</x:v>
      </x:c>
      <x:c r="H84" t="s">
        <x:v>93</x:v>
      </x:c>
      <x:c r="I84">
        <x:v>1</x:v>
      </x:c>
      <x:c r="J84" t="s">
        <x:v>966</x:v>
      </x:c>
      <x:c r="K84" t="s">
        <x:v>101</x:v>
      </x:c>
      <x:c r="L84" t="s">
        <x:v>999</x:v>
      </x:c>
      <x:c r="M84" t="s">
        <x:v>1000</x:v>
      </x:c>
      <x:c r="N84" t="s">
        <x:v>1001</x:v>
      </x:c>
      <x:c r="O84" t="s">
        <x:v>1002</x:v>
      </x:c>
      <x:c r="P84" t="s">
        <x:v>115</x:v>
      </x:c>
      <x:c r="Q84" t="s">
        <x:v>1003</x:v>
      </x:c>
      <x:c r="R84" t="s">
        <x:v>1004</x:v>
      </x:c>
      <x:c r="S84" t="s">
        <x:v>313</x:v>
      </x:c>
      <x:c r="U84" s="29" t="s">
        <x:v>1005</x:v>
      </x:c>
    </x:row>
    <x:row r="85" ht="69" hidden="1">
      <x:c r="A85" t="s">
        <x:v>1006</x:v>
      </x:c>
      <x:c r="B85" t="s">
        <x:v>60</x:v>
      </x:c>
      <x:c r="C85">
        <x:v>14</x:v>
      </x:c>
      <x:c r="D85" t="s">
        <x:v>89</x:v>
      </x:c>
      <x:c r="E85" t="s">
        <x:v>244</x:v>
      </x:c>
      <x:c r="F85" t="s">
        <x:v>1007</x:v>
      </x:c>
      <x:c r="G85" t="s">
        <x:v>1008</x:v>
      </x:c>
      <x:c r="H85" t="s">
        <x:v>109</x:v>
      </x:c>
      <x:c r="I85">
        <x:v>1.5</x:v>
      </x:c>
      <x:c r="J85" t="s">
        <x:v>247</x:v>
      </x:c>
      <x:c r="K85" t="s">
        <x:v>101</x:v>
      </x:c>
      <x:c r="L85" t="s">
        <x:v>1009</x:v>
      </x:c>
      <x:c r="M85" t="s">
        <x:v>2363</x:v>
      </x:c>
      <x:c r="N85" t="s">
        <x:v>1010</x:v>
      </x:c>
      <x:c r="O85" t="s">
        <x:v>1011</x:v>
      </x:c>
      <x:c r="P85" t="s">
        <x:v>1012</x:v>
      </x:c>
      <x:c r="Q85" t="s">
        <x:v>995</x:v>
      </x:c>
      <x:c r="R85" t="s">
        <x:v>253</x:v>
      </x:c>
      <x:c r="S85" t="s">
        <x:v>313</x:v>
      </x:c>
      <x:c r="T85" t="s">
        <x:v>1013</x:v>
      </x:c>
      <x:c r="U85" s="29" t="s">
        <x:v>1014</x:v>
      </x:c>
    </x:row>
  </x:sheetData>
  <x:mergeCells>
    <x:mergeCell ref="A1:T1"/>
    <x:mergeCell ref="A2:T2"/>
  </x:mergeCells>
  <x:conditionalFormatting sqref="S6:S79">
    <x:cfRule type="containsText" dxfId="47" priority="1" operator="containsText" text="Done"/>
    <x:cfRule type="containsText" dxfId="46" priority="2" operator="containsText" text="Blocked"/>
    <x:cfRule type="containsText" dxfId="45" priority="3" operator="containsText" text="In Progress"/>
    <x:cfRule type="containsText" dxfId="44" priority="4" operator="containsText" text="Ready for Review"/>
  </x:conditionalFormatting>
  <x:dataValidations count="1">
    <x:dataValidation type="list" sqref="S6:S79">
      <x:formula1>"Not Started,In Progress,Blocked,Ready for Review,Done,Deferred"</x:formula1>
    </x:dataValidation>
  </x:dataValidations>
  <x:pageMargins left="0.7" right="0.7" top="0.75" bottom="0.75" header="0.3" footer="0.3"/>
  <x:tableParts count="1">
    <x:tablePart xmlns:r="http://schemas.openxmlformats.org/officeDocument/2006/relationships" r:id="R402ec53d3625470d"/>
  </x:tableParts>
</x:worksheet>
</file>

<file path=xl/worksheets/sheet4.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 min="16" max="16" width="52" customWidth="1"/>
  </x:cols>
  <x:sheetData>
    <x:row r="1" ht="31.950000762939453" customHeight="1">
      <x:c r="A1" s="56" t="s">
        <x:v>1015</x:v>
      </x:c>
      <x:c r="B1" s="56"/>
      <x:c r="C1" s="56"/>
      <x:c r="D1" s="56"/>
      <x:c r="E1" s="56"/>
      <x:c r="F1" s="56"/>
      <x:c r="G1" s="56"/>
      <x:c r="H1" s="56"/>
      <x:c r="I1" s="56"/>
      <x:c r="J1" s="56"/>
      <x:c r="K1" s="56"/>
      <x:c r="L1" s="56"/>
      <x:c r="M1" s="56"/>
      <x:c r="N1" s="56"/>
      <x:c r="O1" s="56"/>
    </x:row>
    <x:row r="2" ht="31.950000762939453" customHeight="1">
      <x:c r="A2" s="57" t="s">
        <x:v>1016</x:v>
      </x:c>
      <x:c r="B2" s="57"/>
      <x:c r="C2" s="57"/>
      <x:c r="D2" s="57"/>
      <x:c r="E2" s="57"/>
      <x:c r="F2" s="57"/>
      <x:c r="G2" s="57"/>
      <x:c r="H2" s="57"/>
      <x:c r="I2" s="57"/>
      <x:c r="J2" s="57"/>
      <x:c r="K2" s="57"/>
      <x:c r="L2" s="57"/>
      <x:c r="M2" s="57"/>
      <x:c r="N2" s="57"/>
      <x:c r="O2" s="57"/>
    </x:row>
    <x:row r="4" ht="28.049999237060547" customHeight="1">
      <x:c r="A4" s="58" t="s">
        <x:v>55</x:v>
      </x:c>
      <x:c r="B4" s="60"/>
      <x:c r="D4" s="58" t="s">
        <x:v>48</x:v>
      </x:c>
      <x:c r="E4" s="60"/>
      <x:c r="G4" s="58" t="s">
        <x:v>1017</x:v>
      </x:c>
      <x:c r="H4" s="59"/>
      <x:c r="I4" s="59"/>
      <x:c r="J4" s="59"/>
      <x:c r="K4" s="59"/>
      <x:c r="L4" s="59"/>
      <x:c r="M4" s="59"/>
      <x:c r="N4" s="59"/>
      <x:c r="O4" s="60"/>
    </x:row>
    <x:row r="5">
      <x:c r="A5" s="96" t="n">
        <x:f>IF(COUNTA(O10:O40)=0,0,COUNTIF(O10:O40,"Done")/COUNTA(A10:A40))</x:f>
        <x:v>0.5652173913043478</x:v>
      </x:c>
      <x:c r="B5" s="97"/>
      <x:c r="D5" s="100" t="n">
        <x:f>COUNTIF(O10:O40,"Blocked")</x:f>
        <x:v>0</x:v>
      </x:c>
      <x:c r="E5" s="101"/>
      <x:c r="G5" s="104" t="s">
        <x:v>1018</x:v>
      </x:c>
      <x:c r="H5" s="105"/>
      <x:c r="I5" s="105"/>
      <x:c r="J5" s="105"/>
      <x:c r="K5" s="105"/>
      <x:c r="L5" s="105"/>
      <x:c r="M5" s="105"/>
      <x:c r="N5" s="105"/>
      <x:c r="O5" s="106"/>
    </x:row>
    <x:row r="6">
      <x:c r="A6" s="98"/>
      <x:c r="B6" s="99"/>
      <x:c r="D6" s="102"/>
      <x:c r="E6" s="103"/>
      <x:c r="G6" s="107"/>
      <x:c r="H6" s="108"/>
      <x:c r="I6" s="108"/>
      <x:c r="J6" s="108"/>
      <x:c r="K6" s="108"/>
      <x:c r="L6" s="108"/>
      <x:c r="M6" s="108"/>
      <x:c r="N6" s="108"/>
      <x:c r="O6" s="109"/>
    </x:row>
    <x:row r="9" ht="28.049999237060547" customHeight="1">
      <x:c r="A9" s="1" t="s">
        <x:v>69</x:v>
      </x:c>
      <x:c r="B9" s="2" t="s">
        <x:v>70</x:v>
      </x:c>
      <x:c r="C9" s="2" t="s">
        <x:v>71</x:v>
      </x:c>
      <x:c r="D9" s="2" t="s">
        <x:v>72</x:v>
      </x:c>
      <x:c r="E9" s="2" t="s">
        <x:v>1019</x:v>
      </x:c>
      <x:c r="F9" s="2" t="s">
        <x:v>1020</x:v>
      </x:c>
      <x:c r="G9" s="2" t="s">
        <x:v>34</x:v>
      </x:c>
      <x:c r="H9" s="2" t="s">
        <x:v>1021</x:v>
      </x:c>
      <x:c r="I9" s="2" t="s">
        <x:v>1022</x:v>
      </x:c>
      <x:c r="J9" s="2" t="s">
        <x:v>1023</x:v>
      </x:c>
      <x:c r="K9" s="2" t="s">
        <x:v>1024</x:v>
      </x:c>
      <x:c r="L9" s="2" t="s">
        <x:v>1025</x:v>
      </x:c>
      <x:c r="M9" s="2" t="s">
        <x:v>1026</x:v>
      </x:c>
      <x:c r="N9" s="2" t="s">
        <x:v>1027</x:v>
      </x:c>
      <x:c r="O9" s="3" t="s">
        <x:v>85</x:v>
      </x:c>
      <x:c r="P9" s="29" t="s">
        <x:v>87</x:v>
      </x:c>
    </x:row>
    <x:row r="10" ht="96.5999984741211">
      <x:c r="A10" s="10" t="s">
        <x:v>88</x:v>
      </x:c>
      <x:c r="B10" s="10">
        <x:v>1</x:v>
      </x:c>
      <x:c r="C10" s="10" t="s">
        <x:v>89</x:v>
      </x:c>
      <x:c r="D10" s="10" t="s">
        <x:v>90</x:v>
      </x:c>
      <x:c r="E10" s="10" t="s">
        <x:v>91</x:v>
      </x:c>
      <x:c r="F10" s="10" t="s">
        <x:v>92</x:v>
      </x:c>
      <x:c r="G10" s="10" t="s">
        <x:v>93</x:v>
      </x:c>
      <x:c r="H10" s="15">
        <x:v>1</x:v>
      </x:c>
      <x:c r="I10" s="10" t="s">
        <x:v>94</x:v>
      </x:c>
      <x:c r="J10" s="10" t="s">
        <x:v>95</x:v>
      </x:c>
      <x:c r="K10" s="10" t="s">
        <x:v>96</x:v>
      </x:c>
      <x:c r="L10" s="10" t="s">
        <x:v>97</x:v>
      </x:c>
      <x:c r="M10" s="10" t="s">
        <x:v>99</x:v>
      </x:c>
      <x:c r="N10" s="10" t="s">
        <x:v>102</x:v>
      </x:c>
      <x:c r="O10" s="10" t="s">
        <x:v>46</x:v>
      </x:c>
      <x:c r="P10" s="29" t="s">
        <x:v>104</x:v>
      </x:c>
    </x:row>
    <x:row r="11" ht="96.5999984741211">
      <x:c r="A11" s="11" t="s">
        <x:v>105</x:v>
      </x:c>
      <x:c r="B11" s="11">
        <x:v>2</x:v>
      </x:c>
      <x:c r="C11" s="11" t="s">
        <x:v>89</x:v>
      </x:c>
      <x:c r="D11" s="11" t="s">
        <x:v>106</x:v>
      </x:c>
      <x:c r="E11" s="11" t="s">
        <x:v>107</x:v>
      </x:c>
      <x:c r="F11" s="11" t="s">
        <x:v>108</x:v>
      </x:c>
      <x:c r="G11" s="11" t="s">
        <x:v>109</x:v>
      </x:c>
      <x:c r="H11" s="16">
        <x:v>0.5</x:v>
      </x:c>
      <x:c r="I11" s="11" t="s">
        <x:v>110</x:v>
      </x:c>
      <x:c r="J11" s="11" t="s">
        <x:v>101</x:v>
      </x:c>
      <x:c r="K11" s="11" t="s">
        <x:v>111</x:v>
      </x:c>
      <x:c r="L11" s="11" t="s">
        <x:v>112</x:v>
      </x:c>
      <x:c r="M11" s="11" t="s">
        <x:v>114</x:v>
      </x:c>
      <x:c r="N11" s="11" t="s">
        <x:v>116</x:v>
      </x:c>
      <x:c r="O11" s="11" t="s">
        <x:v>46</x:v>
      </x:c>
      <x:c r="P11" s="29" t="s">
        <x:v>118</x:v>
      </x:c>
    </x:row>
    <x:row r="12" ht="110.4000015258789">
      <x:c r="A12" s="11" t="s">
        <x:v>119</x:v>
      </x:c>
      <x:c r="B12" s="11">
        <x:v>3</x:v>
      </x:c>
      <x:c r="C12" s="11" t="s">
        <x:v>89</x:v>
      </x:c>
      <x:c r="D12" s="11" t="s">
        <x:v>120</x:v>
      </x:c>
      <x:c r="E12" s="11" t="s">
        <x:v>121</x:v>
      </x:c>
      <x:c r="F12" s="11" t="s">
        <x:v>122</x:v>
      </x:c>
      <x:c r="G12" s="11" t="s">
        <x:v>123</x:v>
      </x:c>
      <x:c r="H12" s="16">
        <x:v>1.5</x:v>
      </x:c>
      <x:c r="I12" s="11" t="s">
        <x:v>124</x:v>
      </x:c>
      <x:c r="J12" s="11" t="s">
        <x:v>125</x:v>
      </x:c>
      <x:c r="K12" s="11" t="s">
        <x:v>126</x:v>
      </x:c>
      <x:c r="L12" s="11" t="s">
        <x:v>127</x:v>
      </x:c>
      <x:c r="M12" s="11" t="s">
        <x:v>129</x:v>
      </x:c>
      <x:c r="N12" s="11" t="s">
        <x:v>130</x:v>
      </x:c>
      <x:c r="O12" s="11" t="s">
        <x:v>46</x:v>
      </x:c>
      <x:c r="P12" s="29" t="s">
        <x:v>132</x:v>
      </x:c>
    </x:row>
    <x:row r="13" ht="110.4000015258789">
      <x:c r="A13" s="11" t="s">
        <x:v>133</x:v>
      </x:c>
      <x:c r="B13" s="11">
        <x:v>4</x:v>
      </x:c>
      <x:c r="C13" s="11" t="s">
        <x:v>89</x:v>
      </x:c>
      <x:c r="D13" s="11" t="s">
        <x:v>134</x:v>
      </x:c>
      <x:c r="E13" s="11" t="s">
        <x:v>135</x:v>
      </x:c>
      <x:c r="F13" s="11" t="s">
        <x:v>136</x:v>
      </x:c>
      <x:c r="G13" s="11" t="s">
        <x:v>123</x:v>
      </x:c>
      <x:c r="H13" s="16">
        <x:v>1</x:v>
      </x:c>
      <x:c r="I13" s="11" t="s">
        <x:v>124</x:v>
      </x:c>
      <x:c r="J13" s="11" t="s">
        <x:v>137</x:v>
      </x:c>
      <x:c r="K13" s="11" t="s">
        <x:v>138</x:v>
      </x:c>
      <x:c r="L13" s="11" t="s">
        <x:v>2323</x:v>
      </x:c>
      <x:c r="M13" s="11" t="s">
        <x:v>141</x:v>
      </x:c>
      <x:c r="N13" s="11" t="s">
        <x:v>142</x:v>
      </x:c>
      <x:c r="O13" s="11" t="s">
        <x:v>46</x:v>
      </x:c>
      <x:c r="P13" s="29" t="s">
        <x:v>143</x:v>
      </x:c>
    </x:row>
    <x:row r="14" ht="124.19999694824219">
      <x:c r="A14" s="11" t="s">
        <x:v>144</x:v>
      </x:c>
      <x:c r="B14" s="11">
        <x:v>5</x:v>
      </x:c>
      <x:c r="C14" s="11" t="s">
        <x:v>89</x:v>
      </x:c>
      <x:c r="D14" s="11" t="s">
        <x:v>145</x:v>
      </x:c>
      <x:c r="E14" s="11" t="s">
        <x:v>146</x:v>
      </x:c>
      <x:c r="F14" s="11" t="s">
        <x:v>147</x:v>
      </x:c>
      <x:c r="G14" s="11" t="s">
        <x:v>123</x:v>
      </x:c>
      <x:c r="H14" s="16">
        <x:v>1.5</x:v>
      </x:c>
      <x:c r="I14" s="11" t="s">
        <x:v>148</x:v>
      </x:c>
      <x:c r="J14" s="11" t="s">
        <x:v>149</x:v>
      </x:c>
      <x:c r="K14" s="11" t="s">
        <x:v>150</x:v>
      </x:c>
      <x:c r="L14"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4" s="11" t="s">
        <x:v>153</x:v>
      </x:c>
      <x:c r="N14" s="11" t="s">
        <x:v>155</x:v>
      </x:c>
      <x:c r="O14" s="11" t="s">
        <x:v>46</x:v>
      </x:c>
      <x:c r="P14" s="29" t="s">
        <x:v>156</x:v>
      </x:c>
    </x:row>
    <x:row r="15" ht="110.4000015258789">
      <x:c r="A15" s="11" t="s">
        <x:v>157</x:v>
      </x:c>
      <x:c r="B15" s="11">
        <x:v>6</x:v>
      </x:c>
      <x:c r="C15" s="11" t="s">
        <x:v>89</x:v>
      </x:c>
      <x:c r="D15" s="11" t="s">
        <x:v>158</x:v>
      </x:c>
      <x:c r="E15" s="11" t="s">
        <x:v>159</x:v>
      </x:c>
      <x:c r="F15" s="11" t="s">
        <x:v>160</x:v>
      </x:c>
      <x:c r="G15" s="11" t="s">
        <x:v>123</x:v>
      </x:c>
      <x:c r="H15" s="16">
        <x:v>1.25</x:v>
      </x:c>
      <x:c r="I15" s="11" t="s">
        <x:v>161</x:v>
      </x:c>
      <x:c r="J15" s="11" t="s">
        <x:v>101</x:v>
      </x:c>
      <x:c r="K15" s="11" t="s">
        <x:v>162</x:v>
      </x:c>
      <x:c r="L15" s="11" t="s">
        <x:v>163</x:v>
      </x:c>
      <x:c r="M15" s="11" t="s">
        <x:v>165</x:v>
      </x:c>
      <x:c r="N15" s="11" t="s">
        <x:v>168</x:v>
      </x:c>
      <x:c r="O15" s="11" t="s">
        <x:v>46</x:v>
      </x:c>
      <x:c r="P15" s="29" t="s">
        <x:v>169</x:v>
      </x:c>
    </x:row>
    <x:row r="16" ht="124.19999694824219">
      <x:c r="A16" s="11" t="s">
        <x:v>170</x:v>
      </x:c>
      <x:c r="B16" s="11">
        <x:v>7</x:v>
      </x:c>
      <x:c r="C16" s="11" t="s">
        <x:v>89</x:v>
      </x:c>
      <x:c r="D16" s="11" t="s">
        <x:v>171</x:v>
      </x:c>
      <x:c r="E16" s="11" t="s">
        <x:v>172</x:v>
      </x:c>
      <x:c r="F16" s="11" t="s">
        <x:v>173</x:v>
      </x:c>
      <x:c r="G16" s="11" t="s">
        <x:v>123</x:v>
      </x:c>
      <x:c r="H16" s="16">
        <x:v>1</x:v>
      </x:c>
      <x:c r="I16" s="11" t="s">
        <x:v>124</x:v>
      </x:c>
      <x:c r="J16" s="11" t="s">
        <x:v>101</x:v>
      </x:c>
      <x:c r="K16" s="11" t="s">
        <x:v>174</x:v>
      </x:c>
      <x:c r="L16"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6" s="11" t="s">
        <x:v>177</x:v>
      </x:c>
      <x:c r="N16" s="11" t="s">
        <x:v>179</x:v>
      </x:c>
      <x:c r="O16" s="11" t="s">
        <x:v>46</x:v>
      </x:c>
      <x:c r="P16" s="29" t="s">
        <x:v>180</x:v>
      </x:c>
    </x:row>
    <x:row r="17" ht="110.4000015258789">
      <x:c r="A17" s="11" t="s">
        <x:v>181</x:v>
      </x:c>
      <x:c r="B17" s="11">
        <x:v>8</x:v>
      </x:c>
      <x:c r="C17" s="11" t="s">
        <x:v>89</x:v>
      </x:c>
      <x:c r="D17" s="11" t="s">
        <x:v>182</x:v>
      </x:c>
      <x:c r="E17" s="11" t="s">
        <x:v>183</x:v>
      </x:c>
      <x:c r="F17" s="11" t="s">
        <x:v>184</x:v>
      </x:c>
      <x:c r="G17" s="11" t="s">
        <x:v>123</x:v>
      </x:c>
      <x:c r="H17" s="16">
        <x:v>1</x:v>
      </x:c>
      <x:c r="I17" s="11" t="s">
        <x:v>161</x:v>
      </x:c>
      <x:c r="J17" s="11" t="s">
        <x:v>185</x:v>
      </x:c>
      <x:c r="K17" s="11" t="s">
        <x:v>186</x:v>
      </x:c>
      <x:c r="L17" s="11" t="s">
        <x:v>187</x:v>
      </x:c>
      <x:c r="M17" s="11" t="s">
        <x:v>189</x:v>
      </x:c>
      <x:c r="N17" s="11" t="s">
        <x:v>190</x:v>
      </x:c>
      <x:c r="O17" s="11" t="s">
        <x:v>46</x:v>
      </x:c>
      <x:c r="P17" s="29" t="s">
        <x:v>191</x:v>
      </x:c>
    </x:row>
    <x:row r="18" ht="124.19999694824219">
      <x:c r="A18" s="11" t="s">
        <x:v>192</x:v>
      </x:c>
      <x:c r="B18" s="11">
        <x:v>9</x:v>
      </x:c>
      <x:c r="C18" s="11" t="s">
        <x:v>89</x:v>
      </x:c>
      <x:c r="D18" s="11" t="s">
        <x:v>193</x:v>
      </x:c>
      <x:c r="E18" s="11" t="s">
        <x:v>194</x:v>
      </x:c>
      <x:c r="F18" s="11" t="s">
        <x:v>195</x:v>
      </x:c>
      <x:c r="G18" s="11" t="s">
        <x:v>123</x:v>
      </x:c>
      <x:c r="H18" s="16">
        <x:v>1.25</x:v>
      </x:c>
      <x:c r="I18" s="11" t="s">
        <x:v>196</x:v>
      </x:c>
      <x:c r="J18" s="11" t="s">
        <x:v>197</x:v>
      </x:c>
      <x:c r="K18" s="11" t="s">
        <x:v>198</x:v>
      </x:c>
      <x:c r="L18"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8" s="11" t="s">
        <x:v>201</x:v>
      </x:c>
      <x:c r="N18" s="11" t="s">
        <x:v>203</x:v>
      </x:c>
      <x:c r="O18" s="11" t="s">
        <x:v>46</x:v>
      </x:c>
      <x:c r="P18" s="29" t="s">
        <x:v>205</x:v>
      </x:c>
    </x:row>
    <x:row r="19" ht="110.4000015258789">
      <x:c r="A19" s="11" t="s">
        <x:v>206</x:v>
      </x:c>
      <x:c r="B19" s="11">
        <x:v>10</x:v>
      </x:c>
      <x:c r="C19" s="11" t="s">
        <x:v>89</x:v>
      </x:c>
      <x:c r="D19" s="11" t="s">
        <x:v>207</x:v>
      </x:c>
      <x:c r="E19" s="11" t="s">
        <x:v>208</x:v>
      </x:c>
      <x:c r="F19" s="11" t="s">
        <x:v>209</x:v>
      </x:c>
      <x:c r="G19" s="11" t="s">
        <x:v>123</x:v>
      </x:c>
      <x:c r="H19" s="16">
        <x:v>1.5</x:v>
      </x:c>
      <x:c r="I19" s="11" t="s">
        <x:v>196</x:v>
      </x:c>
      <x:c r="J19" s="11" t="s">
        <x:v>210</x:v>
      </x:c>
      <x:c r="K19" s="11" t="s">
        <x:v>211</x:v>
      </x:c>
      <x:c r="L19"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9" s="11" t="s">
        <x:v>214</x:v>
      </x:c>
      <x:c r="N19" s="11" t="s">
        <x:v>216</x:v>
      </x:c>
      <x:c r="O19" s="11" t="s">
        <x:v>46</x:v>
      </x:c>
      <x:c r="P19" s="29" t="s">
        <x:v>217</x:v>
      </x:c>
    </x:row>
    <x:row r="20" ht="110.4000015258789">
      <x:c r="A20" s="11" t="s">
        <x:v>218</x:v>
      </x:c>
      <x:c r="B20" s="11">
        <x:v>11</x:v>
      </x:c>
      <x:c r="C20" s="11" t="s">
        <x:v>89</x:v>
      </x:c>
      <x:c r="D20" s="11" t="s">
        <x:v>219</x:v>
      </x:c>
      <x:c r="E20" s="11" t="s">
        <x:v>220</x:v>
      </x:c>
      <x:c r="F20" s="11" t="s">
        <x:v>221</x:v>
      </x:c>
      <x:c r="G20" s="11" t="s">
        <x:v>123</x:v>
      </x:c>
      <x:c r="H20" s="16">
        <x:v>1</x:v>
      </x:c>
      <x:c r="I20" s="11" t="s">
        <x:v>196</x:v>
      </x:c>
      <x:c r="J20" s="11" t="s">
        <x:v>222</x:v>
      </x:c>
      <x:c r="K20" s="11" t="s">
        <x:v>223</x:v>
      </x:c>
      <x:c r="L20" s="11" t="s">
        <x:v>224</x:v>
      </x:c>
      <x:c r="M20" s="11" t="s">
        <x:v>226</x:v>
      </x:c>
      <x:c r="N20" s="11" t="s">
        <x:v>228</x:v>
      </x:c>
      <x:c r="O20" s="11" t="s">
        <x:v>46</x:v>
      </x:c>
      <x:c r="P20" s="29" t="s">
        <x:v>229</x:v>
      </x:c>
    </x:row>
    <x:row r="21" ht="96.5999984741211">
      <x:c r="A21" s="11" t="s">
        <x:v>230</x:v>
      </x:c>
      <x:c r="B21" s="11">
        <x:v>12</x:v>
      </x:c>
      <x:c r="C21" s="11" t="s">
        <x:v>89</x:v>
      </x:c>
      <x:c r="D21" s="11" t="s">
        <x:v>231</x:v>
      </x:c>
      <x:c r="E21" s="11" t="s">
        <x:v>232</x:v>
      </x:c>
      <x:c r="F21" s="11" t="s">
        <x:v>233</x:v>
      </x:c>
      <x:c r="G21" s="11" t="s">
        <x:v>93</x:v>
      </x:c>
      <x:c r="H21" s="16">
        <x:v>1</x:v>
      </x:c>
      <x:c r="I21" s="11" t="inlineStr">
        <x:is>
          <x:t xml:space="preserve">W1-REVIEW-001</x:t>
        </x:is>
      </x:c>
      <x:c r="J21" s="11" t="s">
        <x:v>234</x:v>
      </x:c>
      <x:c r="K21" s="11" t="s">
        <x:v>235</x:v>
      </x:c>
      <x:c r="L21"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1" s="11" t="s">
        <x:v>238</x:v>
      </x:c>
      <x:c r="N21" s="11" t="s">
        <x:v>240</x:v>
      </x:c>
      <x:c r="O21" s="11" t="s">
        <x:v>46</x:v>
      </x:c>
      <x:c r="P21" s="29" t="s">
        <x:v>242</x:v>
      </x:c>
    </x:row>
    <x:row r="22" ht="82.80000305175781">
      <x:c r="A22" t="s">
        <x:v>243</x:v>
      </x:c>
      <x:c r="B22">
        <x:v>13</x:v>
      </x:c>
      <x:c r="C22" t="s">
        <x:v>89</x:v>
      </x:c>
      <x:c r="D22" t="s">
        <x:v>244</x:v>
      </x:c>
      <x:c r="E22" t="s">
        <x:v>245</x:v>
      </x:c>
      <x:c r="F22" t="s">
        <x:v>246</x:v>
      </x:c>
      <x:c r="G22" t="s">
        <x:v>109</x:v>
      </x:c>
      <x:c r="H22">
        <x:v>1</x:v>
      </x:c>
      <x:c r="I22" t="s">
        <x:v>247</x:v>
      </x:c>
      <x:c r="J22" t="s">
        <x:v>101</x:v>
      </x:c>
      <x:c r="K22" t="s">
        <x:v>248</x:v>
      </x:c>
      <x:c r="L22" t="s">
        <x:v>2358</x:v>
      </x:c>
      <x:c r="M22" t="s">
        <x:v>251</x:v>
      </x:c>
      <x:c r="N22" t="s">
        <x:v>253</x:v>
      </x:c>
      <x:c r="O22" s="11" t="s">
        <x:v>46</x:v>
      </x:c>
      <x:c r="P22" s="29" t="s">
        <x:v>255</x:v>
      </x:c>
    </x:row>
    <x:row r="23" ht="24" customHeight="1">
      <x:c r="A23" s="94"/>
      <x:c r="B23" s="94"/>
      <x:c r="C23" s="94"/>
      <x:c r="D23" s="94"/>
      <x:c r="E23" s="94"/>
      <x:c r="F23" s="94"/>
      <x:c r="G23" s="94"/>
      <x:c r="H23" s="95"/>
      <x:c r="I23" s="95"/>
      <x:c r="J23" s="95"/>
      <x:c r="K23" s="95"/>
      <x:c r="L23" s="95"/>
      <x:c r="M23" s="95"/>
      <x:c r="N23" s="95"/>
      <x:c r="O23" s="95"/>
    </x:row>
    <x:row r="24" ht="34.04999923706055" customHeight="1">
      <x:c r="A24" s="30" t="s">
        <x:v>1028</x:v>
      </x:c>
      <x:c r="B24" s="30"/>
      <x:c r="C24" s="30"/>
      <x:c r="D24" s="30"/>
      <x:c r="E24" s="30"/>
      <x:c r="F24" s="30"/>
      <x:c r="G24" s="30"/>
      <x:c r="H24" s="31"/>
      <x:c r="I24" s="31"/>
      <x:c r="J24" s="31"/>
      <x:c r="K24" s="31"/>
      <x:c r="L24" s="31"/>
      <x:c r="M24" s="31"/>
      <x:c r="N24" s="31"/>
      <x:c r="O24" s="31"/>
      <x:c r="P24" s="31"/>
    </x:row>
    <x:row r="25" ht="48" customHeight="1">
      <x:c r="A25" s="33" t="s">
        <x:v>1029</x:v>
      </x:c>
      <x:c r="B25" s="33" t="s">
        <x:v>76</x:v>
      </x:c>
      <x:c r="C25" s="33" t="s">
        <x:v>1030</x:v>
      </x:c>
      <x:c r="D25" s="33" t="s">
        <x:v>1031</x:v>
      </x:c>
      <x:c r="E25" s="33" t="s">
        <x:v>1032</x:v>
      </x:c>
      <x:c r="F25" s="33" t="s">
        <x:v>1033</x:v>
      </x:c>
      <x:c r="G25" s="33" t="s">
        <x:v>1034</x:v>
      </x:c>
    </x:row>
    <x:row r="26" ht="52.04999923706055" customHeight="1">
      <x:c r="A26" s="22">
        <x:v>1</x:v>
      </x:c>
      <x:c r="B26" s="22" t="s">
        <x:v>94</x:v>
      </x:c>
      <x:c r="C26" s="22" t="s">
        <x:v>1035</x:v>
      </x:c>
      <x:c r="D26" s="22" t="s">
        <x:v>1036</x:v>
      </x:c>
      <x:c r="E26" s="22" t="s">
        <x:v>1037</x:v>
      </x:c>
      <x:c r="F26" s="22" t="s">
        <x:v>1038</x:v>
      </x:c>
      <x:c r="G26" s="22" t="s">
        <x:v>1039</x:v>
      </x:c>
    </x:row>
    <x:row r="27" ht="52.04999923706055" customHeight="1">
      <x:c r="A27" s="34">
        <x:v>2</x:v>
      </x:c>
      <x:c r="B27" s="34" t="s">
        <x:v>110</x:v>
      </x:c>
      <x:c r="C27" s="34" t="s">
        <x:v>1040</x:v>
      </x:c>
      <x:c r="D27" s="34" t="s">
        <x:v>1041</x:v>
      </x:c>
      <x:c r="E27" s="34" t="s">
        <x:v>1042</x:v>
      </x:c>
      <x:c r="F27" s="34" t="s">
        <x:v>1043</x:v>
      </x:c>
      <x:c r="G27" s="34" t="s">
        <x:v>1039</x:v>
      </x:c>
    </x:row>
    <x:row r="28" ht="52.04999923706055" customHeight="1">
      <x:c r="A28" s="22">
        <x:v>3</x:v>
      </x:c>
      <x:c r="B28" s="22" t="s">
        <x:v>124</x:v>
      </x:c>
      <x:c r="C28" s="22" t="s">
        <x:v>1044</x:v>
      </x:c>
      <x:c r="D28" s="22" t="s">
        <x:v>1045</x:v>
      </x:c>
      <x:c r="E28" s="22" t="s">
        <x:v>1046</x:v>
      </x:c>
      <x:c r="F28" s="22" t="s">
        <x:v>1047</x:v>
      </x:c>
      <x:c r="G28" s="22" t="s">
        <x:v>1048</x:v>
      </x:c>
    </x:row>
    <x:row r="29" ht="52.04999923706055" customHeight="1">
      <x:c r="A29" s="34">
        <x:v>4</x:v>
      </x:c>
      <x:c r="B29" s="34" t="s">
        <x:v>148</x:v>
      </x:c>
      <x:c r="C29" s="34" t="s">
        <x:v>1049</x:v>
      </x:c>
      <x:c r="D29" s="34" t="s">
        <x:v>1050</x:v>
      </x:c>
      <x:c r="E29" s="34" t="s">
        <x:v>1051</x:v>
      </x:c>
      <x:c r="F29" s="34" t="s">
        <x:v>1052</x:v>
      </x:c>
      <x:c r="G29" s="34" t="s">
        <x:v>1048</x:v>
      </x:c>
    </x:row>
    <x:row r="30" ht="52.04999923706055" customHeight="1">
      <x:c r="A30" s="22">
        <x:v>5</x:v>
      </x:c>
      <x:c r="B30" s="22" t="s">
        <x:v>161</x:v>
      </x:c>
      <x:c r="C30" s="22" t="s">
        <x:v>1053</x:v>
      </x:c>
      <x:c r="D30" s="22" t="s">
        <x:v>1054</x:v>
      </x:c>
      <x:c r="E30" s="22" t="s">
        <x:v>1055</x:v>
      </x:c>
      <x:c r="F30" s="22" t="s">
        <x:v>1056</x:v>
      </x:c>
      <x:c r="G30" s="22" t="s">
        <x:v>1048</x:v>
      </x:c>
    </x:row>
    <x:row r="31" ht="52.04999923706055" customHeight="1">
      <x:c r="A31" s="34">
        <x:v>6</x:v>
      </x:c>
      <x:c r="B31" s="34" t="s">
        <x:v>196</x:v>
      </x:c>
      <x:c r="C31" s="34" t="s">
        <x:v>1057</x:v>
      </x:c>
      <x:c r="D31" s="34" t="s">
        <x:v>1058</x:v>
      </x:c>
      <x:c r="E31" s="34" t="s">
        <x:v>1059</x:v>
      </x:c>
      <x:c r="F31" s="34" t="s">
        <x:v>1060</x:v>
      </x:c>
      <x:c r="G31" s="34" t="s">
        <x:v>1048</x:v>
      </x:c>
    </x:row>
    <x:row r="32" ht="52.04999923706055" customHeight="1">
      <x:c r="A32" s="35">
        <x:v>7</x:v>
      </x:c>
      <x:c r="B32" s="35" t="inlineStr">
        <x:is>
          <x:t xml:space="preserve">W1-REVIEW-001</x:t>
        </x:is>
      </x:c>
      <x:c r="C32" s="35" t="s">
        <x:v>1061</x:v>
      </x:c>
      <x:c r="D32" s="35" t="s">
        <x:v>1062</x:v>
      </x:c>
      <x:c r="E32" s="35" t="inlineStr">
        <x:is>
          <x:t xml:space="preserve">Week 1 sheet, evidence register, ADRs, TODOs and owner-supplied results</x:t>
        </x:is>
      </x:c>
      <x:c r="F32" s="35" t="inlineStr">
        <x:is>
          <x:t xml:space="preserve">docs/deployment-records/W1-signoff.md</x:t>
        </x:is>
      </x:c>
      <x:c r="G32" s="35" t="s">
        <x:v>1039</x:v>
      </x:c>
    </x:row>
    <x:row r="33" ht="52.04999923706055" customHeight="1">
      <x:c r="A33" s="35">
        <x:v>8</x:v>
      </x:c>
      <x:c r="B33" s="35" t="s">
        <x:v>247</x:v>
      </x:c>
      <x:c r="C33" s="35" t="s">
        <x:v>1063</x:v>
      </x:c>
      <x:c r="D33" s="35" t="s">
        <x:v>1064</x:v>
      </x:c>
      <x:c r="E33" s="35" t="s">
        <x:v>1065</x:v>
      </x:c>
      <x:c r="F33" s="35" t="s">
        <x:v>1066</x:v>
      </x:c>
      <x:c r="G33" s="35" t="s">
        <x:v>1067</x:v>
      </x:c>
    </x:row>
  </x:sheetData>
  <x:mergeCells>
    <x:mergeCell ref="A23:O23"/>
    <x:mergeCell ref="A1:O1"/>
    <x:mergeCell ref="A2:O2"/>
    <x:mergeCell ref="A4:B4"/>
    <x:mergeCell ref="A5:B6"/>
    <x:mergeCell ref="D4:E4"/>
    <x:mergeCell ref="D5:E6"/>
    <x:mergeCell ref="G4:O4"/>
    <x:mergeCell ref="G5:O6"/>
  </x:mergeCells>
  <x:conditionalFormatting sqref="O10:O22">
    <x:cfRule type="containsText" dxfId="43" priority="1" operator="containsText" text="Done"/>
    <x:cfRule type="containsText" dxfId="42" priority="2" operator="containsText" text="Blocked"/>
    <x:cfRule type="containsText" dxfId="41" priority="3" operator="containsText" text="In Progress"/>
    <x:cfRule type="containsText" dxfId="40" priority="4" operator="containsText" text="Ready for Review"/>
  </x:conditionalFormatting>
  <x:dataValidations count="1">
    <x:dataValidation type="list" sqref="O10:O22">
      <x:formula1>"Not Started,In Progress,Blocked,Ready for Review,Done,Deferred"</x:formula1>
    </x:dataValidation>
  </x:dataValidations>
  <x:pageMargins left="0.7" right="0.7" top="0.75" bottom="0.75" header="0.3" footer="0.3"/>
  <x:tableParts count="1">
    <x:tablePart xmlns:r="http://schemas.openxmlformats.org/officeDocument/2006/relationships" r:id="R92daaaea82de44af"/>
  </x:tableParts>
</x:worksheet>
</file>

<file path=xl/worksheets/sheet5.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 min="16" max="16" width="52" customWidth="1"/>
  </x:cols>
  <x:sheetData>
    <x:row r="1" ht="31.950000762939453" customHeight="1">
      <x:c r="A1" s="56" t="s">
        <x:v>1068</x:v>
      </x:c>
      <x:c r="B1" s="56"/>
      <x:c r="C1" s="56"/>
      <x:c r="D1" s="56"/>
      <x:c r="E1" s="56"/>
      <x:c r="F1" s="56"/>
      <x:c r="G1" s="56"/>
      <x:c r="H1" s="56"/>
      <x:c r="I1" s="56"/>
      <x:c r="J1" s="56"/>
      <x:c r="K1" s="56"/>
      <x:c r="L1" s="56"/>
      <x:c r="M1" s="56"/>
      <x:c r="N1" s="56"/>
      <x:c r="O1" s="56"/>
    </x:row>
    <x:row r="2" ht="31.950000762939453" customHeight="1">
      <x:c r="A2" s="57" t="s">
        <x:v>1069</x:v>
      </x:c>
      <x:c r="B2" s="57"/>
      <x:c r="C2" s="57"/>
      <x:c r="D2" s="57"/>
      <x:c r="E2" s="57"/>
      <x:c r="F2" s="57"/>
      <x:c r="G2" s="57"/>
      <x:c r="H2" s="57"/>
      <x:c r="I2" s="57"/>
      <x:c r="J2" s="57"/>
      <x:c r="K2" s="57"/>
      <x:c r="L2" s="57"/>
      <x:c r="M2" s="57"/>
      <x:c r="N2" s="57"/>
      <x:c r="O2" s="57"/>
    </x:row>
    <x:row r="4" ht="28.049999237060547" customHeight="1">
      <x:c r="A4" s="58" t="s">
        <x:v>55</x:v>
      </x:c>
      <x:c r="B4" s="60"/>
      <x:c r="D4" s="58" t="s">
        <x:v>48</x:v>
      </x:c>
      <x:c r="E4" s="60"/>
      <x:c r="G4" s="58" t="s">
        <x:v>1017</x:v>
      </x:c>
      <x:c r="H4" s="59"/>
      <x:c r="I4" s="59"/>
      <x:c r="J4" s="59"/>
      <x:c r="K4" s="59"/>
      <x:c r="L4" s="59"/>
      <x:c r="M4" s="59"/>
      <x:c r="N4" s="59"/>
      <x:c r="O4" s="60"/>
    </x:row>
    <x:row r="5">
      <x:c r="A5" s="96" t="n">
        <x:f>IF(COUNTA(O10:O40)=0,0,COUNTIF(O10:O40,"Done")/COUNTA(A10:A40))</x:f>
        <x:v>0.22727272727272727</x:v>
      </x:c>
      <x:c r="B5" s="97"/>
      <x:c r="D5" s="100" t="n">
        <x:f>COUNTIF(O10:O40,"Blocked")</x:f>
        <x:v>0</x:v>
      </x:c>
      <x:c r="E5" s="101"/>
      <x:c r="G5" s="104" t="s">
        <x:v>1070</x:v>
      </x:c>
      <x:c r="H5" s="105"/>
      <x:c r="I5" s="105"/>
      <x:c r="J5" s="105"/>
      <x:c r="K5" s="105"/>
      <x:c r="L5" s="105"/>
      <x:c r="M5" s="105"/>
      <x:c r="N5" s="105"/>
      <x:c r="O5" s="106"/>
    </x:row>
    <x:row r="6">
      <x:c r="A6" s="98"/>
      <x:c r="B6" s="99"/>
      <x:c r="D6" s="102"/>
      <x:c r="E6" s="103"/>
      <x:c r="G6" s="107"/>
      <x:c r="H6" s="108"/>
      <x:c r="I6" s="108"/>
      <x:c r="J6" s="108"/>
      <x:c r="K6" s="108"/>
      <x:c r="L6" s="108"/>
      <x:c r="M6" s="108"/>
      <x:c r="N6" s="108"/>
      <x:c r="O6" s="109"/>
    </x:row>
    <x:row r="9" ht="28.049999237060547" customHeight="1">
      <x:c r="A9" s="1" t="s">
        <x:v>69</x:v>
      </x:c>
      <x:c r="B9" s="2" t="s">
        <x:v>70</x:v>
      </x:c>
      <x:c r="C9" s="2" t="s">
        <x:v>71</x:v>
      </x:c>
      <x:c r="D9" s="2" t="s">
        <x:v>72</x:v>
      </x:c>
      <x:c r="E9" s="2" t="s">
        <x:v>1019</x:v>
      </x:c>
      <x:c r="F9" s="2" t="s">
        <x:v>1020</x:v>
      </x:c>
      <x:c r="G9" s="2" t="s">
        <x:v>34</x:v>
      </x:c>
      <x:c r="H9" s="2" t="s">
        <x:v>1021</x:v>
      </x:c>
      <x:c r="I9" s="2" t="s">
        <x:v>1022</x:v>
      </x:c>
      <x:c r="J9" s="2" t="s">
        <x:v>1023</x:v>
      </x:c>
      <x:c r="K9" s="2" t="s">
        <x:v>1024</x:v>
      </x:c>
      <x:c r="L9" s="2" t="s">
        <x:v>1025</x:v>
      </x:c>
      <x:c r="M9" s="2" t="s">
        <x:v>1026</x:v>
      </x:c>
      <x:c r="N9" s="2" t="s">
        <x:v>1027</x:v>
      </x:c>
      <x:c r="O9" s="3" t="s">
        <x:v>85</x:v>
      </x:c>
      <x:c r="P9" s="29" t="s">
        <x:v>87</x:v>
      </x:c>
    </x:row>
    <x:row r="10" ht="110.4000015258789">
      <x:c r="A10" s="10" t="s">
        <x:v>256</x:v>
      </x:c>
      <x:c r="B10" s="10">
        <x:v>1</x:v>
      </x:c>
      <x:c r="C10" s="10" t="s">
        <x:v>89</x:v>
      </x:c>
      <x:c r="D10" s="10" t="s">
        <x:v>257</x:v>
      </x:c>
      <x:c r="E10" s="10" t="s">
        <x:v>258</x:v>
      </x:c>
      <x:c r="F10" s="10" t="s">
        <x:v>259</x:v>
      </x:c>
      <x:c r="G10" s="10" t="s">
        <x:v>123</x:v>
      </x:c>
      <x:c r="H10" s="15">
        <x:v>1</x:v>
      </x:c>
      <x:c r="I10" s="10" t="s">
        <x:v>260</x:v>
      </x:c>
      <x:c r="J10" s="10" t="s">
        <x:v>261</x:v>
      </x:c>
      <x:c r="K10" s="10" t="s">
        <x:v>262</x:v>
      </x:c>
      <x:c r="L10" s="10" t="s">
        <x:v>263</x:v>
      </x:c>
      <x:c r="M10" s="10" t="s">
        <x:v>265</x:v>
      </x:c>
      <x:c r="N10" s="10" t="s">
        <x:v>266</x:v>
      </x:c>
      <x:c r="O10" s="10" t="s">
        <x:v>46</x:v>
      </x:c>
      <x:c r="P10" s="29" t="s">
        <x:v>267</x:v>
      </x:c>
    </x:row>
    <x:row r="11" ht="124.19999694824219">
      <x:c r="A11" s="11" t="s">
        <x:v>268</x:v>
      </x:c>
      <x:c r="B11" s="11">
        <x:v>2</x:v>
      </x:c>
      <x:c r="C11" s="11" t="s">
        <x:v>89</x:v>
      </x:c>
      <x:c r="D11" s="11" t="s">
        <x:v>269</x:v>
      </x:c>
      <x:c r="E11" s="11" t="s">
        <x:v>270</x:v>
      </x:c>
      <x:c r="F11" s="11" t="s">
        <x:v>271</x:v>
      </x:c>
      <x:c r="G11" s="11" t="s">
        <x:v>123</x:v>
      </x:c>
      <x:c r="H11" s="16">
        <x:v>1.25</x:v>
      </x:c>
      <x:c r="I11" s="11" t="s">
        <x:v>260</x:v>
      </x:c>
      <x:c r="J11" s="11" t="s">
        <x:v>101</x:v>
      </x:c>
      <x:c r="K11" s="11" t="s">
        <x:v>272</x:v>
      </x:c>
      <x:c r="L11" s="11" t="s">
        <x:v>273</x:v>
      </x:c>
      <x:c r="M11" s="11" t="s">
        <x:v>275</x:v>
      </x:c>
      <x:c r="N11" s="11" t="s">
        <x:v>277</x:v>
      </x:c>
      <x:c r="O11" s="11" t="s">
        <x:v>46</x:v>
      </x:c>
      <x:c r="P11" s="29" t="s">
        <x:v>278</x:v>
      </x:c>
    </x:row>
    <x:row r="12" ht="110.4000015258789">
      <x:c r="A12" s="11" t="s">
        <x:v>279</x:v>
      </x:c>
      <x:c r="B12" s="11">
        <x:v>3</x:v>
      </x:c>
      <x:c r="C12" s="11" t="s">
        <x:v>89</x:v>
      </x:c>
      <x:c r="D12" s="11" t="s">
        <x:v>280</x:v>
      </x:c>
      <x:c r="E12" s="11" t="s">
        <x:v>281</x:v>
      </x:c>
      <x:c r="F12" s="11" t="s">
        <x:v>282</x:v>
      </x:c>
      <x:c r="G12" s="11" t="s">
        <x:v>123</x:v>
      </x:c>
      <x:c r="H12" s="16">
        <x:v>1</x:v>
      </x:c>
      <x:c r="I12" s="11" t="s">
        <x:v>260</x:v>
      </x:c>
      <x:c r="J12" s="11" t="s">
        <x:v>101</x:v>
      </x:c>
      <x:c r="K12" s="11" t="s">
        <x:v>283</x:v>
      </x:c>
      <x:c r="L12" s="11" t="inlineStr">
        <x:is>
          <x:t xml:space="preserve">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x:t>
        </x:is>
      </x:c>
      <x:c r="M12" s="11" t="s">
        <x:v>286</x:v>
      </x:c>
      <x:c r="N12" s="11" t="inlineStr">
        <x:is>
          <x:t xml:space="preserve">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x:t>
        </x:is>
      </x:c>
      <x:c r="O12" s="11" t="s">
        <x:v>46</x:v>
      </x:c>
      <x:c r="P12" s="29" t="s">
        <x:v>289</x:v>
      </x:c>
    </x:row>
    <x:row r="13" ht="110.4000015258789">
      <x:c r="A13" s="11" t="s">
        <x:v>290</x:v>
      </x:c>
      <x:c r="B13" s="11">
        <x:v>4</x:v>
      </x:c>
      <x:c r="C13" s="11" t="s">
        <x:v>89</x:v>
      </x:c>
      <x:c r="D13" s="11" t="s">
        <x:v>291</x:v>
      </x:c>
      <x:c r="E13" s="11" t="s">
        <x:v>292</x:v>
      </x:c>
      <x:c r="F13" s="11" t="s">
        <x:v>293</x:v>
      </x:c>
      <x:c r="G13" s="11" t="s">
        <x:v>123</x:v>
      </x:c>
      <x:c r="H13" s="16">
        <x:v>1.5</x:v>
      </x:c>
      <x:c r="I13" s="11" t="s">
        <x:v>260</x:v>
      </x:c>
      <x:c r="J13" s="11" t="s">
        <x:v>294</x:v>
      </x:c>
      <x:c r="K13" s="11" t="s">
        <x:v>295</x:v>
      </x:c>
      <x:c r="L13" s="11" t="inlineStr">
        <x:is>
          <x:t xml:space="preserve">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x:t>
        </x:is>
      </x:c>
      <x:c r="M13" s="11" t="s">
        <x:v>298</x:v>
      </x:c>
      <x:c r="N13" s="11" t="s">
        <x:v>300</x:v>
      </x:c>
      <x:c r="O13" s="11" t="s">
        <x:v>46</x:v>
      </x:c>
      <x:c r="P13" s="29" t="s">
        <x:v>301</x:v>
      </x:c>
    </x:row>
    <x:row r="14" ht="124.19999694824219" hidden="1">
      <x:c r="A14" s="11" t="s">
        <x:v>302</x:v>
      </x:c>
      <x:c r="B14" s="11">
        <x:v>5</x:v>
      </x:c>
      <x:c r="C14" s="11" t="s">
        <x:v>89</x:v>
      </x:c>
      <x:c r="D14" s="11" t="s">
        <x:v>303</x:v>
      </x:c>
      <x:c r="E14" s="11" t="s">
        <x:v>304</x:v>
      </x:c>
      <x:c r="F14" s="11" t="s">
        <x:v>305</x:v>
      </x:c>
      <x:c r="G14" s="11" t="s">
        <x:v>123</x:v>
      </x:c>
      <x:c r="H14" s="16">
        <x:v>1.25</x:v>
      </x:c>
      <x:c r="I14" s="11" t="s">
        <x:v>306</x:v>
      </x:c>
      <x:c r="J14" s="11" t="s">
        <x:v>307</x:v>
      </x:c>
      <x:c r="K14" s="11" t="s">
        <x:v>308</x:v>
      </x:c>
      <x:c r="L14" s="11" t="s">
        <x:v>309</x:v>
      </x:c>
      <x:c r="M14" s="11" t="s">
        <x:v>311</x:v>
      </x:c>
      <x:c r="N14" s="11" t="s">
        <x:v>312</x:v>
      </x:c>
      <x:c r="O14" s="11" t="s">
        <x:v>313</x:v>
      </x:c>
      <x:c r="P14" s="29" t="s">
        <x:v>314</x:v>
      </x:c>
    </x:row>
    <x:row r="15" ht="124.19999694824219" hidden="1">
      <x:c r="A15" s="11" t="s">
        <x:v>315</x:v>
      </x:c>
      <x:c r="B15" s="11">
        <x:v>6</x:v>
      </x:c>
      <x:c r="C15" s="11" t="s">
        <x:v>89</x:v>
      </x:c>
      <x:c r="D15" s="11" t="s">
        <x:v>316</x:v>
      </x:c>
      <x:c r="E15" s="11" t="s">
        <x:v>317</x:v>
      </x:c>
      <x:c r="F15" s="11" t="s">
        <x:v>318</x:v>
      </x:c>
      <x:c r="G15" s="11" t="s">
        <x:v>123</x:v>
      </x:c>
      <x:c r="H15" s="16">
        <x:v>1.5</x:v>
      </x:c>
      <x:c r="I15" s="11" t="s">
        <x:v>319</x:v>
      </x:c>
      <x:c r="J15" s="11" t="s">
        <x:v>320</x:v>
      </x:c>
      <x:c r="K15" s="11" t="s">
        <x:v>321</x:v>
      </x:c>
      <x:c r="L15" s="11" t="s">
        <x:v>322</x:v>
      </x:c>
      <x:c r="M15" s="11" t="s">
        <x:v>324</x:v>
      </x:c>
      <x:c r="N15" s="11" t="s">
        <x:v>326</x:v>
      </x:c>
      <x:c r="O15" s="11" t="s">
        <x:v>313</x:v>
      </x:c>
      <x:c r="P15" s="29" t="s">
        <x:v>327</x:v>
      </x:c>
    </x:row>
    <x:row r="16" ht="110.4000015258789" hidden="1">
      <x:c r="A16" s="11" t="s">
        <x:v>328</x:v>
      </x:c>
      <x:c r="B16" s="11">
        <x:v>7</x:v>
      </x:c>
      <x:c r="C16" s="11" t="s">
        <x:v>89</x:v>
      </x:c>
      <x:c r="D16" s="11" t="s">
        <x:v>329</x:v>
      </x:c>
      <x:c r="E16" s="11" t="s">
        <x:v>330</x:v>
      </x:c>
      <x:c r="F16" s="11" t="s">
        <x:v>331</x:v>
      </x:c>
      <x:c r="G16" s="11" t="s">
        <x:v>123</x:v>
      </x:c>
      <x:c r="H16" s="16">
        <x:v>1</x:v>
      </x:c>
      <x:c r="I16" s="11" t="s">
        <x:v>319</x:v>
      </x:c>
      <x:c r="J16" s="11" t="s">
        <x:v>332</x:v>
      </x:c>
      <x:c r="K16" s="11" t="s">
        <x:v>333</x:v>
      </x:c>
      <x:c r="L16" s="11" t="s">
        <x:v>334</x:v>
      </x:c>
      <x:c r="M16" s="11" t="s">
        <x:v>336</x:v>
      </x:c>
      <x:c r="N16" s="11" t="s">
        <x:v>338</x:v>
      </x:c>
      <x:c r="O16" s="11" t="s">
        <x:v>313</x:v>
      </x:c>
      <x:c r="P16" s="29" t="s">
        <x:v>339</x:v>
      </x:c>
    </x:row>
    <x:row r="17" ht="110.4000015258789">
      <x:c r="A17" s="11" t="s">
        <x:v>340</x:v>
      </x:c>
      <x:c r="B17" s="11">
        <x:v>8</x:v>
      </x:c>
      <x:c r="C17" s="11" t="s">
        <x:v>89</x:v>
      </x:c>
      <x:c r="D17" s="11" t="s">
        <x:v>341</x:v>
      </x:c>
      <x:c r="E17" s="11" t="s">
        <x:v>342</x:v>
      </x:c>
      <x:c r="F17" s="11" t="s">
        <x:v>343</x:v>
      </x:c>
      <x:c r="G17" s="11" t="s">
        <x:v>123</x:v>
      </x:c>
      <x:c r="H17" s="16">
        <x:v>1</x:v>
      </x:c>
      <x:c r="I17" s="11" t="s">
        <x:v>260</x:v>
      </x:c>
      <x:c r="J17" s="11" t="s">
        <x:v>344</x:v>
      </x:c>
      <x:c r="K17" s="11" t="s">
        <x:v>345</x:v>
      </x:c>
      <x:c r="L17" s="11" t="s">
        <x:v>346</x:v>
      </x:c>
      <x:c r="M17" s="11" t="s">
        <x:v>348</x:v>
      </x:c>
      <x:c r="N17" s="11" t="s">
        <x:v>349</x:v>
      </x:c>
      <x:c r="O17" s="11" t="s">
        <x:v>46</x:v>
      </x:c>
      <x:c r="P17" s="29" t="s">
        <x:v>350</x:v>
      </x:c>
    </x:row>
    <x:row r="18" ht="110.4000015258789" hidden="1">
      <x:c r="A18" s="11" t="s">
        <x:v>351</x:v>
      </x:c>
      <x:c r="B18" s="11">
        <x:v>9</x:v>
      </x:c>
      <x:c r="C18" s="11" t="s">
        <x:v>89</x:v>
      </x:c>
      <x:c r="D18" s="11" t="s">
        <x:v>352</x:v>
      </x:c>
      <x:c r="E18" s="11" t="s">
        <x:v>353</x:v>
      </x:c>
      <x:c r="F18" s="11" t="s">
        <x:v>354</x:v>
      </x:c>
      <x:c r="G18" s="11" t="s">
        <x:v>109</x:v>
      </x:c>
      <x:c r="H18" s="16">
        <x:v>1</x:v>
      </x:c>
      <x:c r="I18" s="11" t="s">
        <x:v>355</x:v>
      </x:c>
      <x:c r="J18" s="11" t="s">
        <x:v>356</x:v>
      </x:c>
      <x:c r="K18" s="11" t="s">
        <x:v>357</x:v>
      </x:c>
      <x:c r="L18"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8" s="11" t="s">
        <x:v>360</x:v>
      </x:c>
      <x:c r="N18" s="11" t="s">
        <x:v>363</x:v>
      </x:c>
      <x:c r="O18" s="11" t="s">
        <x:v>313</x:v>
      </x:c>
      <x:c r="P18" s="29" t="s">
        <x:v>364</x:v>
      </x:c>
    </x:row>
    <x:row r="19" ht="110.4000015258789" hidden="1">
      <x:c r="A19" s="11" t="s">
        <x:v>365</x:v>
      </x:c>
      <x:c r="B19" s="11">
        <x:v>10</x:v>
      </x:c>
      <x:c r="C19" s="11" t="s">
        <x:v>89</x:v>
      </x:c>
      <x:c r="D19" s="11" t="s">
        <x:v>207</x:v>
      </x:c>
      <x:c r="E19" s="11" t="s">
        <x:v>366</x:v>
      </x:c>
      <x:c r="F19" s="11" t="s">
        <x:v>367</x:v>
      </x:c>
      <x:c r="G19" s="11" t="s">
        <x:v>109</x:v>
      </x:c>
      <x:c r="H19" s="16">
        <x:v>1</x:v>
      </x:c>
      <x:c r="I19" s="11" t="s">
        <x:v>355</x:v>
      </x:c>
      <x:c r="J19" s="11" t="s">
        <x:v>368</x:v>
      </x:c>
      <x:c r="K19" s="11" t="s">
        <x:v>369</x:v>
      </x:c>
      <x:c r="L19"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9" s="11" t="s">
        <x:v>372</x:v>
      </x:c>
      <x:c r="N19" s="11" t="s">
        <x:v>374</x:v>
      </x:c>
      <x:c r="O19" s="11" t="s">
        <x:v>313</x:v>
      </x:c>
      <x:c r="P19" s="29" t="s">
        <x:v>375</x:v>
      </x:c>
    </x:row>
    <x:row r="20" ht="124.19999694824219" hidden="1">
      <x:c r="A20" s="11" t="s">
        <x:v>376</x:v>
      </x:c>
      <x:c r="B20" s="11">
        <x:v>11</x:v>
      </x:c>
      <x:c r="C20" s="11" t="s">
        <x:v>377</x:v>
      </x:c>
      <x:c r="D20" s="11" t="s">
        <x:v>378</x:v>
      </x:c>
      <x:c r="E20" s="11" t="s">
        <x:v>379</x:v>
      </x:c>
      <x:c r="F20" s="11" t="s">
        <x:v>380</x:v>
      </x:c>
      <x:c r="G20" s="11" t="s">
        <x:v>93</x:v>
      </x:c>
      <x:c r="H20" s="16">
        <x:v>0.75</x:v>
      </x:c>
      <x:c r="I20" s="11" t="s">
        <x:v>381</x:v>
      </x:c>
      <x:c r="J20" s="11" t="s">
        <x:v>101</x:v>
      </x:c>
      <x:c r="K20" s="11" t="s">
        <x:v>382</x:v>
      </x:c>
      <x:c r="L20" s="11" t="str">
        <x:v>Owner records the five-minute teach-back notes in docs/architecture/local-retrieval.md</x:v>
      </x:c>
      <x:c r="M20" s="11" t="s">
        <x:v>384</x:v>
      </x:c>
      <x:c r="N20" s="11" t="s">
        <x:v>386</x:v>
      </x:c>
      <x:c r="O20" s="11" t="s">
        <x:v>313</x:v>
      </x:c>
      <x:c r="P20" s="29" t="s">
        <x:v>387</x:v>
      </x:c>
    </x:row>
    <x:row r="21" ht="96.5999984741211" hidden="1">
      <x:c r="A21" s="11" t="s">
        <x:v>388</x:v>
      </x:c>
      <x:c r="B21" s="11">
        <x:v>12</x:v>
      </x:c>
      <x:c r="C21" s="11" t="s">
        <x:v>89</x:v>
      </x:c>
      <x:c r="D21" s="11" t="s">
        <x:v>231</x:v>
      </x:c>
      <x:c r="E21" s="11" t="s">
        <x:v>389</x:v>
      </x:c>
      <x:c r="F21" s="11" t="s">
        <x:v>390</x:v>
      </x:c>
      <x:c r="G21" s="11" t="s">
        <x:v>93</x:v>
      </x:c>
      <x:c r="H21" s="16">
        <x:v>0.75</x:v>
      </x:c>
      <x:c r="I21" s="11" t="inlineStr">
        <x:is>
          <x:t xml:space="preserve">W2-REVIEW-001</x:t>
        </x:is>
      </x:c>
      <x:c r="J21" s="11" t="s">
        <x:v>391</x:v>
      </x:c>
      <x:c r="K21" s="11" t="s">
        <x:v>392</x:v>
      </x:c>
      <x:c r="L21"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1" s="11" t="s">
        <x:v>395</x:v>
      </x:c>
      <x:c r="N21" s="11" t="s">
        <x:v>397</x:v>
      </x:c>
      <x:c r="O21" s="11" t="s">
        <x:v>313</x:v>
      </x:c>
      <x:c r="P21" s="29" t="s">
        <x:v>398</x:v>
      </x:c>
    </x:row>
    <x:row r="22" ht="82.80000305175781" hidden="1">
      <x:c r="A22" t="s">
        <x:v>399</x:v>
      </x:c>
      <x:c r="B22">
        <x:v>13</x:v>
      </x:c>
      <x:c r="C22" t="s">
        <x:v>89</x:v>
      </x:c>
      <x:c r="D22" t="s">
        <x:v>244</x:v>
      </x:c>
      <x:c r="E22" t="s">
        <x:v>400</x:v>
      </x:c>
      <x:c r="F22" t="s">
        <x:v>401</x:v>
      </x:c>
      <x:c r="G22" t="s">
        <x:v>109</x:v>
      </x:c>
      <x:c r="H22">
        <x:v>1</x:v>
      </x:c>
      <x:c r="I22" t="s">
        <x:v>247</x:v>
      </x:c>
      <x:c r="J22" t="s">
        <x:v>101</x:v>
      </x:c>
      <x:c r="K22" t="s">
        <x:v>402</x:v>
      </x:c>
      <x:c r="L22" t="s">
        <x:v>2359</x:v>
      </x:c>
      <x:c r="M22" t="s">
        <x:v>403</x:v>
      </x:c>
      <x:c r="N22" t="s">
        <x:v>253</x:v>
      </x:c>
      <x:c r="O22" t="s">
        <x:v>313</x:v>
      </x:c>
      <x:c r="P22" s="29" t="s">
        <x:v>405</x:v>
      </x:c>
    </x:row>
    <x:row r="23" ht="24" customHeight="1">
      <x:c r="A23" s="94"/>
      <x:c r="B23" s="94"/>
      <x:c r="C23" s="94"/>
      <x:c r="D23" s="94"/>
      <x:c r="E23" s="94"/>
      <x:c r="F23" s="94"/>
      <x:c r="G23" s="94"/>
      <x:c r="H23" s="95"/>
      <x:c r="I23" s="95"/>
      <x:c r="J23" s="95"/>
      <x:c r="K23" s="95"/>
      <x:c r="L23" s="95"/>
      <x:c r="M23" s="95"/>
      <x:c r="N23" s="95"/>
      <x:c r="O23" s="95"/>
    </x:row>
    <x:row r="24" ht="34.04999923706055" customHeight="1">
      <x:c r="A24" s="30" t="s">
        <x:v>1028</x:v>
      </x:c>
      <x:c r="B24" s="30"/>
      <x:c r="C24" s="30"/>
      <x:c r="D24" s="30"/>
      <x:c r="E24" s="30"/>
      <x:c r="F24" s="30"/>
      <x:c r="G24" s="30"/>
      <x:c r="H24" s="31"/>
      <x:c r="I24" s="31"/>
      <x:c r="J24" s="31"/>
      <x:c r="K24" s="31"/>
      <x:c r="L24" s="31"/>
      <x:c r="M24" s="31"/>
      <x:c r="N24" s="31"/>
      <x:c r="O24" s="31"/>
      <x:c r="P24" s="31"/>
    </x:row>
    <x:row r="25" ht="48" customHeight="1">
      <x:c r="A25" s="33" t="s">
        <x:v>1029</x:v>
      </x:c>
      <x:c r="B25" s="33" t="s">
        <x:v>76</x:v>
      </x:c>
      <x:c r="C25" s="33" t="s">
        <x:v>1030</x:v>
      </x:c>
      <x:c r="D25" s="33" t="s">
        <x:v>1031</x:v>
      </x:c>
      <x:c r="E25" s="33" t="s">
        <x:v>1032</x:v>
      </x:c>
      <x:c r="F25" s="33" t="s">
        <x:v>1033</x:v>
      </x:c>
      <x:c r="G25" s="33" t="s">
        <x:v>1034</x:v>
      </x:c>
    </x:row>
    <x:row r="26" ht="52.04999923706055" customHeight="1">
      <x:c r="A26" s="22">
        <x:v>1</x:v>
      </x:c>
      <x:c r="B26" s="22" t="s">
        <x:v>260</x:v>
      </x:c>
      <x:c r="C26" s="22" t="s">
        <x:v>1071</x:v>
      </x:c>
      <x:c r="D26" s="22" t="s">
        <x:v>1072</x:v>
      </x:c>
      <x:c r="E26" s="22" t="s">
        <x:v>1073</x:v>
      </x:c>
      <x:c r="F26" s="22" t="s">
        <x:v>1074</x:v>
      </x:c>
      <x:c r="G26" s="22" t="s">
        <x:v>1048</x:v>
      </x:c>
    </x:row>
    <x:row r="27" ht="52.04999923706055" customHeight="1">
      <x:c r="A27" s="34">
        <x:v>2</x:v>
      </x:c>
      <x:c r="B27" s="34" t="s">
        <x:v>306</x:v>
      </x:c>
      <x:c r="C27" s="34" t="s">
        <x:v>1075</x:v>
      </x:c>
      <x:c r="D27" s="34" t="s">
        <x:v>1076</x:v>
      </x:c>
      <x:c r="E27" s="34" t="s">
        <x:v>1077</x:v>
      </x:c>
      <x:c r="F27" s="34" t="s">
        <x:v>1078</x:v>
      </x:c>
      <x:c r="G27" s="34" t="s">
        <x:v>1048</x:v>
      </x:c>
    </x:row>
    <x:row r="28" ht="52.04999923706055" customHeight="1">
      <x:c r="A28" s="22">
        <x:v>3</x:v>
      </x:c>
      <x:c r="B28" s="22" t="s">
        <x:v>319</x:v>
      </x:c>
      <x:c r="C28" s="22" t="s">
        <x:v>1079</x:v>
      </x:c>
      <x:c r="D28" s="22" t="s">
        <x:v>1080</x:v>
      </x:c>
      <x:c r="E28" s="22" t="s">
        <x:v>1081</x:v>
      </x:c>
      <x:c r="F28" s="22" t="s">
        <x:v>1082</x:v>
      </x:c>
      <x:c r="G28" s="22" t="s">
        <x:v>1048</x:v>
      </x:c>
    </x:row>
    <x:row r="29" ht="52.04999923706055" customHeight="1">
      <x:c r="A29" s="34">
        <x:v>4</x:v>
      </x:c>
      <x:c r="B29" s="34" t="s">
        <x:v>355</x:v>
      </x:c>
      <x:c r="C29" s="34" t="s">
        <x:v>1083</x:v>
      </x:c>
      <x:c r="D29" s="34" t="s">
        <x:v>1084</x:v>
      </x:c>
      <x:c r="E29" s="34" t="s">
        <x:v>1085</x:v>
      </x:c>
      <x:c r="F29" s="34" t="s">
        <x:v>1086</x:v>
      </x:c>
      <x:c r="G29" s="34" t="s">
        <x:v>1048</x:v>
      </x:c>
    </x:row>
    <x:row r="30" ht="52.04999923706055" customHeight="1">
      <x:c r="A30" s="22">
        <x:v>5</x:v>
      </x:c>
      <x:c r="B30" s="22" t="s">
        <x:v>381</x:v>
      </x:c>
      <x:c r="C30" s="22" t="s">
        <x:v>1087</x:v>
      </x:c>
      <x:c r="D30" s="22" t="s">
        <x:v>1088</x:v>
      </x:c>
      <x:c r="E30" s="22" t="s">
        <x:v>1089</x:v>
      </x:c>
      <x:c r="F30" s="22" t="str">
        <x:v>Owner-written evidence: docs/architecture/local-retrieval.md</x:v>
      </x:c>
      <x:c r="G30" s="22" t="s">
        <x:v>1090</x:v>
      </x:c>
    </x:row>
    <x:row r="31" ht="52.04999923706055" customHeight="1">
      <x:c r="A31" s="35">
        <x:v>6</x:v>
      </x:c>
      <x:c r="B31" s="35" t="inlineStr">
        <x:is>
          <x:t xml:space="preserve">W2-REVIEW-001</x:t>
        </x:is>
      </x:c>
      <x:c r="C31" s="35" t="s">
        <x:v>1061</x:v>
      </x:c>
      <x:c r="D31" s="35" t="s">
        <x:v>1062</x:v>
      </x:c>
      <x:c r="E31" s="35" t="inlineStr">
        <x:is>
          <x:t xml:space="preserve">Week 2 sheet, evidence register, ADRs, TODOs and owner-supplied results</x:t>
        </x:is>
      </x:c>
      <x:c r="F31" s="35" t="inlineStr">
        <x:is>
          <x:t xml:space="preserve">docs/deployment-records/W2-signoff.md</x:t>
        </x:is>
      </x:c>
      <x:c r="G31" s="35" t="s">
        <x:v>1039</x:v>
      </x:c>
    </x:row>
    <x:row r="32" ht="52.04999923706055" customHeight="1">
      <x:c r="A32" s="35">
        <x:v>7</x:v>
      </x:c>
      <x:c r="B32" s="35" t="s">
        <x:v>247</x:v>
      </x:c>
      <x:c r="C32" s="35" t="s">
        <x:v>1091</x:v>
      </x:c>
      <x:c r="D32" s="35" t="s">
        <x:v>1064</x:v>
      </x:c>
      <x:c r="E32" s="35" t="s">
        <x:v>1065</x:v>
      </x:c>
      <x:c r="F32" s="35" t="s">
        <x:v>1092</x:v>
      </x:c>
      <x:c r="G32" s="35" t="s">
        <x:v>1067</x:v>
      </x:c>
    </x:row>
  </x:sheetData>
  <x:mergeCells>
    <x:mergeCell ref="A23:O23"/>
    <x:mergeCell ref="A1:O1"/>
    <x:mergeCell ref="A2:O2"/>
    <x:mergeCell ref="A4:B4"/>
    <x:mergeCell ref="A5:B6"/>
    <x:mergeCell ref="D4:E4"/>
    <x:mergeCell ref="D5:E6"/>
    <x:mergeCell ref="G4:O4"/>
    <x:mergeCell ref="G5:O6"/>
  </x:mergeCells>
  <x:conditionalFormatting sqref="O10:O21">
    <x:cfRule type="containsText" dxfId="39" priority="1" operator="containsText" text="Done"/>
    <x:cfRule type="containsText" dxfId="38" priority="2" operator="containsText" text="Blocked"/>
    <x:cfRule type="containsText" dxfId="37" priority="3" operator="containsText" text="In Progress"/>
    <x:cfRule type="containsText" dxfId="36" priority="4" operator="containsText" text="Ready for Review"/>
  </x:conditionalFormatting>
  <x:dataValidations count="1">
    <x:dataValidation type="list" sqref="O10:O21">
      <x:formula1>"Not Started,In Progress,Blocked,Ready for Review,Done,Deferred"</x:formula1>
    </x:dataValidation>
  </x:dataValidations>
  <x:pageMargins left="0.7" right="0.7" top="0.75" bottom="0.75" header="0.3" footer="0.3"/>
  <x:tableParts count="1">
    <x:tablePart xmlns:r="http://schemas.openxmlformats.org/officeDocument/2006/relationships" r:id="R8344346a3fbf4ce9"/>
  </x:tableParts>
</x:worksheet>
</file>

<file path=xl/worksheets/sheet6.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 min="16" max="16" width="52" customWidth="1"/>
  </x:cols>
  <x:sheetData>
    <x:row r="1" ht="31.950000762939453" customHeight="1">
      <x:c r="A1" s="56" t="s">
        <x:v>1093</x:v>
      </x:c>
      <x:c r="B1" s="56"/>
      <x:c r="C1" s="56"/>
      <x:c r="D1" s="56"/>
      <x:c r="E1" s="56"/>
      <x:c r="F1" s="56"/>
      <x:c r="G1" s="56"/>
      <x:c r="H1" s="56"/>
      <x:c r="I1" s="56"/>
      <x:c r="J1" s="56"/>
      <x:c r="K1" s="56"/>
      <x:c r="L1" s="56"/>
      <x:c r="M1" s="56"/>
      <x:c r="N1" s="56"/>
      <x:c r="O1" s="56"/>
    </x:row>
    <x:row r="2" ht="31.950000762939453" customHeight="1">
      <x:c r="A2" s="57" t="s">
        <x:v>1094</x:v>
      </x:c>
      <x:c r="B2" s="57"/>
      <x:c r="C2" s="57"/>
      <x:c r="D2" s="57"/>
      <x:c r="E2" s="57"/>
      <x:c r="F2" s="57"/>
      <x:c r="G2" s="57"/>
      <x:c r="H2" s="57"/>
      <x:c r="I2" s="57"/>
      <x:c r="J2" s="57"/>
      <x:c r="K2" s="57"/>
      <x:c r="L2" s="57"/>
      <x:c r="M2" s="57"/>
      <x:c r="N2" s="57"/>
      <x:c r="O2" s="57"/>
    </x:row>
    <x:row r="4" ht="28.049999237060547" customHeight="1">
      <x:c r="A4" s="58" t="s">
        <x:v>55</x:v>
      </x:c>
      <x:c r="B4" s="60"/>
      <x:c r="D4" s="58" t="s">
        <x:v>48</x:v>
      </x:c>
      <x:c r="E4" s="60"/>
      <x:c r="G4" s="58" t="s">
        <x:v>1017</x:v>
      </x:c>
      <x:c r="H4" s="59"/>
      <x:c r="I4" s="59"/>
      <x:c r="J4" s="59"/>
      <x:c r="K4" s="59"/>
      <x:c r="L4" s="59"/>
      <x:c r="M4" s="59"/>
      <x:c r="N4" s="59"/>
      <x:c r="O4" s="60"/>
    </x:row>
    <x:row r="5">
      <x:c r="A5" s="96" t="n">
        <x:f>IF(COUNTA(O10:O40)=0,0,COUNTIF(O10:O40,"Done")/COUNTA(A10:A40))</x:f>
        <x:v>0</x:v>
      </x:c>
      <x:c r="B5" s="97"/>
      <x:c r="D5" s="100" t="n">
        <x:f>COUNTIF(O10:O40,"Blocked")</x:f>
        <x:v>0</x:v>
      </x:c>
      <x:c r="E5" s="101"/>
      <x:c r="G5" s="104" t="s">
        <x:v>1095</x:v>
      </x:c>
      <x:c r="H5" s="105"/>
      <x:c r="I5" s="105"/>
      <x:c r="J5" s="105"/>
      <x:c r="K5" s="105"/>
      <x:c r="L5" s="105"/>
      <x:c r="M5" s="105"/>
      <x:c r="N5" s="105"/>
      <x:c r="O5" s="106"/>
    </x:row>
    <x:row r="6">
      <x:c r="A6" s="98"/>
      <x:c r="B6" s="99"/>
      <x:c r="D6" s="102"/>
      <x:c r="E6" s="103"/>
      <x:c r="G6" s="107"/>
      <x:c r="H6" s="108"/>
      <x:c r="I6" s="108"/>
      <x:c r="J6" s="108"/>
      <x:c r="K6" s="108"/>
      <x:c r="L6" s="108"/>
      <x:c r="M6" s="108"/>
      <x:c r="N6" s="108"/>
      <x:c r="O6" s="109"/>
    </x:row>
    <x:row r="9" ht="28.049999237060547" customHeight="1">
      <x:c r="A9" s="1" t="s">
        <x:v>69</x:v>
      </x:c>
      <x:c r="B9" s="2" t="s">
        <x:v>70</x:v>
      </x:c>
      <x:c r="C9" s="2" t="s">
        <x:v>71</x:v>
      </x:c>
      <x:c r="D9" s="2" t="s">
        <x:v>72</x:v>
      </x:c>
      <x:c r="E9" s="2" t="s">
        <x:v>1019</x:v>
      </x:c>
      <x:c r="F9" s="2" t="s">
        <x:v>1020</x:v>
      </x:c>
      <x:c r="G9" s="2" t="s">
        <x:v>34</x:v>
      </x:c>
      <x:c r="H9" s="2" t="s">
        <x:v>1021</x:v>
      </x:c>
      <x:c r="I9" s="2" t="s">
        <x:v>1022</x:v>
      </x:c>
      <x:c r="J9" s="2" t="s">
        <x:v>1023</x:v>
      </x:c>
      <x:c r="K9" s="2" t="s">
        <x:v>1024</x:v>
      </x:c>
      <x:c r="L9" s="2" t="s">
        <x:v>1025</x:v>
      </x:c>
      <x:c r="M9" s="2" t="s">
        <x:v>1026</x:v>
      </x:c>
      <x:c r="N9" s="2" t="s">
        <x:v>1027</x:v>
      </x:c>
      <x:c r="O9" s="3" t="s">
        <x:v>85</x:v>
      </x:c>
      <x:c r="P9" s="29" t="s">
        <x:v>87</x:v>
      </x:c>
    </x:row>
    <x:row r="10" ht="110.4000015258789">
      <x:c r="A10" s="10" t="s">
        <x:v>406</x:v>
      </x:c>
      <x:c r="B10" s="10">
        <x:v>1</x:v>
      </x:c>
      <x:c r="C10" s="10" t="s">
        <x:v>89</x:v>
      </x:c>
      <x:c r="D10" s="10" t="s">
        <x:v>407</x:v>
      </x:c>
      <x:c r="E10" s="10" t="s">
        <x:v>408</x:v>
      </x:c>
      <x:c r="F10" s="10" t="s">
        <x:v>409</x:v>
      </x:c>
      <x:c r="G10" s="10" t="s">
        <x:v>123</x:v>
      </x:c>
      <x:c r="H10" s="15">
        <x:v>1</x:v>
      </x:c>
      <x:c r="I10" s="10" t="s">
        <x:v>410</x:v>
      </x:c>
      <x:c r="J10" s="10" t="s">
        <x:v>411</x:v>
      </x:c>
      <x:c r="K10" s="10" t="s">
        <x:v>412</x:v>
      </x:c>
      <x:c r="L10" s="10" t="s">
        <x:v>413</x:v>
      </x:c>
      <x:c r="M10" s="10" t="s">
        <x:v>415</x:v>
      </x:c>
      <x:c r="N10" s="10" t="s">
        <x:v>417</x:v>
      </x:c>
      <x:c r="O10" s="10" t="s">
        <x:v>313</x:v>
      </x:c>
      <x:c r="P10" s="29" t="s">
        <x:v>418</x:v>
      </x:c>
    </x:row>
    <x:row r="11" ht="110.4000015258789">
      <x:c r="A11" s="11" t="s">
        <x:v>419</x:v>
      </x:c>
      <x:c r="B11" s="11">
        <x:v>2</x:v>
      </x:c>
      <x:c r="C11" s="11" t="s">
        <x:v>89</x:v>
      </x:c>
      <x:c r="D11" s="11" t="s">
        <x:v>420</x:v>
      </x:c>
      <x:c r="E11" s="11" t="s">
        <x:v>421</x:v>
      </x:c>
      <x:c r="F11" s="11" t="s">
        <x:v>422</x:v>
      </x:c>
      <x:c r="G11" s="11" t="s">
        <x:v>123</x:v>
      </x:c>
      <x:c r="H11" s="16">
        <x:v>1.25</x:v>
      </x:c>
      <x:c r="I11" s="11" t="s">
        <x:v>410</x:v>
      </x:c>
      <x:c r="J11" s="11" t="s">
        <x:v>423</x:v>
      </x:c>
      <x:c r="K11" s="11" t="s">
        <x:v>424</x:v>
      </x:c>
      <x:c r="L11" s="11" t="s">
        <x:v>425</x:v>
      </x:c>
      <x:c r="M11" s="11" t="s">
        <x:v>427</x:v>
      </x:c>
      <x:c r="N11" s="11" t="s">
        <x:v>429</x:v>
      </x:c>
      <x:c r="O11" s="11" t="s">
        <x:v>313</x:v>
      </x:c>
      <x:c r="P11" s="29" t="s">
        <x:v>430</x:v>
      </x:c>
    </x:row>
    <x:row r="12" ht="110.4000015258789">
      <x:c r="A12" s="11" t="s">
        <x:v>431</x:v>
      </x:c>
      <x:c r="B12" s="11">
        <x:v>3</x:v>
      </x:c>
      <x:c r="C12" s="11" t="s">
        <x:v>89</x:v>
      </x:c>
      <x:c r="D12" s="11" t="s">
        <x:v>432</x:v>
      </x:c>
      <x:c r="E12" s="11" t="s">
        <x:v>433</x:v>
      </x:c>
      <x:c r="F12" s="11" t="s">
        <x:v>434</x:v>
      </x:c>
      <x:c r="G12" s="11" t="s">
        <x:v>123</x:v>
      </x:c>
      <x:c r="H12" s="16">
        <x:v>0.75</x:v>
      </x:c>
      <x:c r="I12" s="11" t="s">
        <x:v>410</x:v>
      </x:c>
      <x:c r="J12" s="11" t="s">
        <x:v>101</x:v>
      </x:c>
      <x:c r="K12" s="11" t="s">
        <x:v>435</x:v>
      </x:c>
      <x:c r="L12" s="11" t="s">
        <x:v>436</x:v>
      </x:c>
      <x:c r="M12" s="11" t="s">
        <x:v>438</x:v>
      </x:c>
      <x:c r="N12" s="11" t="s">
        <x:v>440</x:v>
      </x:c>
      <x:c r="O12" s="11" t="s">
        <x:v>313</x:v>
      </x:c>
      <x:c r="P12" s="29" t="s">
        <x:v>441</x:v>
      </x:c>
    </x:row>
    <x:row r="13" ht="110.4000015258789">
      <x:c r="A13" s="11" t="s">
        <x:v>442</x:v>
      </x:c>
      <x:c r="B13" s="11">
        <x:v>4</x:v>
      </x:c>
      <x:c r="C13" s="11" t="s">
        <x:v>89</x:v>
      </x:c>
      <x:c r="D13" s="11" t="s">
        <x:v>443</x:v>
      </x:c>
      <x:c r="E13" s="11" t="s">
        <x:v>444</x:v>
      </x:c>
      <x:c r="F13" s="11" t="s">
        <x:v>445</x:v>
      </x:c>
      <x:c r="G13" s="11" t="s">
        <x:v>123</x:v>
      </x:c>
      <x:c r="H13" s="16">
        <x:v>1.5</x:v>
      </x:c>
      <x:c r="I13" s="11" t="s">
        <x:v>410</x:v>
      </x:c>
      <x:c r="J13" s="11" t="s">
        <x:v>446</x:v>
      </x:c>
      <x:c r="K13" s="11" t="s">
        <x:v>447</x:v>
      </x:c>
      <x:c r="L13" s="11" t="s">
        <x:v>448</x:v>
      </x:c>
      <x:c r="M13" s="11" t="s">
        <x:v>450</x:v>
      </x:c>
      <x:c r="N13" s="11" t="s">
        <x:v>452</x:v>
      </x:c>
      <x:c r="O13" s="11" t="s">
        <x:v>313</x:v>
      </x:c>
      <x:c r="P13" s="29" t="s">
        <x:v>453</x:v>
      </x:c>
    </x:row>
    <x:row r="14" ht="110.4000015258789">
      <x:c r="A14" s="11" t="s">
        <x:v>454</x:v>
      </x:c>
      <x:c r="B14" s="11">
        <x:v>5</x:v>
      </x:c>
      <x:c r="C14" s="11" t="s">
        <x:v>89</x:v>
      </x:c>
      <x:c r="D14" s="11" t="s">
        <x:v>455</x:v>
      </x:c>
      <x:c r="E14" s="11" t="s">
        <x:v>456</x:v>
      </x:c>
      <x:c r="F14" s="11" t="s">
        <x:v>457</x:v>
      </x:c>
      <x:c r="G14" s="11" t="s">
        <x:v>123</x:v>
      </x:c>
      <x:c r="H14" s="16">
        <x:v>1</x:v>
      </x:c>
      <x:c r="I14" s="11" t="s">
        <x:v>458</x:v>
      </x:c>
      <x:c r="J14" s="11" t="s">
        <x:v>459</x:v>
      </x:c>
      <x:c r="K14" s="11" t="s">
        <x:v>460</x:v>
      </x:c>
      <x:c r="L14" s="11" t="s">
        <x:v>461</x:v>
      </x:c>
      <x:c r="M14" s="11" t="s">
        <x:v>463</x:v>
      </x:c>
      <x:c r="N14" s="11" t="s">
        <x:v>464</x:v>
      </x:c>
      <x:c r="O14" s="11" t="s">
        <x:v>313</x:v>
      </x:c>
      <x:c r="P14" s="29" t="s">
        <x:v>465</x:v>
      </x:c>
    </x:row>
    <x:row r="15" ht="110.4000015258789">
      <x:c r="A15" s="11" t="s">
        <x:v>466</x:v>
      </x:c>
      <x:c r="B15" s="11">
        <x:v>6</x:v>
      </x:c>
      <x:c r="C15" s="11" t="s">
        <x:v>89</x:v>
      </x:c>
      <x:c r="D15" s="11" t="s">
        <x:v>467</x:v>
      </x:c>
      <x:c r="E15" s="11" t="s">
        <x:v>468</x:v>
      </x:c>
      <x:c r="F15" s="11" t="s">
        <x:v>469</x:v>
      </x:c>
      <x:c r="G15" s="11" t="s">
        <x:v>93</x:v>
      </x:c>
      <x:c r="H15" s="16">
        <x:v>1.25</x:v>
      </x:c>
      <x:c r="I15" s="11" t="s">
        <x:v>470</x:v>
      </x:c>
      <x:c r="J15" s="11" t="s">
        <x:v>471</x:v>
      </x:c>
      <x:c r="K15" s="11" t="s">
        <x:v>472</x:v>
      </x:c>
      <x:c r="L15" s="11" t="s">
        <x:v>473</x:v>
      </x:c>
      <x:c r="M15" s="11" t="s">
        <x:v>475</x:v>
      </x:c>
      <x:c r="N15" s="11" t="s">
        <x:v>476</x:v>
      </x:c>
      <x:c r="O15" s="11" t="s">
        <x:v>313</x:v>
      </x:c>
      <x:c r="P15" s="29" t="s">
        <x:v>477</x:v>
      </x:c>
    </x:row>
    <x:row r="16" ht="110.4000015258789">
      <x:c r="A16" s="11" t="s">
        <x:v>478</x:v>
      </x:c>
      <x:c r="B16" s="11">
        <x:v>7</x:v>
      </x:c>
      <x:c r="C16" s="11" t="s">
        <x:v>89</x:v>
      </x:c>
      <x:c r="D16" s="11" t="s">
        <x:v>479</x:v>
      </x:c>
      <x:c r="E16" s="11" t="s">
        <x:v>480</x:v>
      </x:c>
      <x:c r="F16" s="11" t="s">
        <x:v>481</x:v>
      </x:c>
      <x:c r="G16" s="11" t="s">
        <x:v>123</x:v>
      </x:c>
      <x:c r="H16" s="16">
        <x:v>1.5</x:v>
      </x:c>
      <x:c r="I16" s="11" t="s">
        <x:v>470</x:v>
      </x:c>
      <x:c r="J16" s="11" t="s">
        <x:v>482</x:v>
      </x:c>
      <x:c r="K16" s="11" t="s">
        <x:v>483</x:v>
      </x:c>
      <x:c r="L16" s="11" t="s">
        <x:v>2324</x:v>
      </x:c>
      <x:c r="M16" s="11" t="s">
        <x:v>486</x:v>
      </x:c>
      <x:c r="N16" s="11" t="s">
        <x:v>488</x:v>
      </x:c>
      <x:c r="O16" s="11" t="s">
        <x:v>313</x:v>
      </x:c>
      <x:c r="P16" s="29" t="s">
        <x:v>489</x:v>
      </x:c>
    </x:row>
    <x:row r="17" ht="110.4000015258789">
      <x:c r="A17" s="11" t="s">
        <x:v>490</x:v>
      </x:c>
      <x:c r="B17" s="11">
        <x:v>8</x:v>
      </x:c>
      <x:c r="C17" s="11" t="s">
        <x:v>89</x:v>
      </x:c>
      <x:c r="D17" s="11" t="s">
        <x:v>491</x:v>
      </x:c>
      <x:c r="E17" s="11" t="s">
        <x:v>492</x:v>
      </x:c>
      <x:c r="F17" s="11" t="s">
        <x:v>493</x:v>
      </x:c>
      <x:c r="G17" s="11" t="s">
        <x:v>123</x:v>
      </x:c>
      <x:c r="H17" s="16">
        <x:v>1</x:v>
      </x:c>
      <x:c r="I17" s="11" t="s">
        <x:v>458</x:v>
      </x:c>
      <x:c r="J17" s="11" t="s">
        <x:v>344</x:v>
      </x:c>
      <x:c r="K17" s="11" t="s">
        <x:v>494</x:v>
      </x:c>
      <x:c r="L17" s="11" t="s">
        <x:v>495</x:v>
      </x:c>
      <x:c r="M17" s="11" t="s">
        <x:v>497</x:v>
      </x:c>
      <x:c r="N17" s="11" t="s">
        <x:v>498</x:v>
      </x:c>
      <x:c r="O17" s="11" t="s">
        <x:v>313</x:v>
      </x:c>
      <x:c r="P17" s="29" t="s">
        <x:v>499</x:v>
      </x:c>
    </x:row>
    <x:row r="18" ht="110.4000015258789">
      <x:c r="A18" s="11" t="s">
        <x:v>500</x:v>
      </x:c>
      <x:c r="B18" s="11">
        <x:v>9</x:v>
      </x:c>
      <x:c r="C18" s="11" t="s">
        <x:v>89</x:v>
      </x:c>
      <x:c r="D18" s="11" t="s">
        <x:v>501</x:v>
      </x:c>
      <x:c r="E18" s="11" t="s">
        <x:v>502</x:v>
      </x:c>
      <x:c r="F18" s="11" t="s">
        <x:v>503</x:v>
      </x:c>
      <x:c r="G18" s="11" t="s">
        <x:v>123</x:v>
      </x:c>
      <x:c r="H18" s="16">
        <x:v>0.75</x:v>
      </x:c>
      <x:c r="I18" s="11" t="s">
        <x:v>504</x:v>
      </x:c>
      <x:c r="J18" s="11" t="s">
        <x:v>505</x:v>
      </x:c>
      <x:c r="K18" s="11" t="s">
        <x:v>506</x:v>
      </x:c>
      <x:c r="L18" s="11" t="s">
        <x:v>507</x:v>
      </x:c>
      <x:c r="M18" s="11" t="s">
        <x:v>509</x:v>
      </x:c>
      <x:c r="N18" s="11" t="s">
        <x:v>511</x:v>
      </x:c>
      <x:c r="O18" s="11" t="s">
        <x:v>313</x:v>
      </x:c>
      <x:c r="P18" s="29" t="s">
        <x:v>512</x:v>
      </x:c>
    </x:row>
    <x:row r="19" ht="110.4000015258789">
      <x:c r="A19" s="11" t="s">
        <x:v>513</x:v>
      </x:c>
      <x:c r="B19" s="11">
        <x:v>10</x:v>
      </x:c>
      <x:c r="C19" s="11" t="s">
        <x:v>89</x:v>
      </x:c>
      <x:c r="D19" s="11" t="s">
        <x:v>514</x:v>
      </x:c>
      <x:c r="E19" s="11" t="s">
        <x:v>515</x:v>
      </x:c>
      <x:c r="F19" s="11" t="s">
        <x:v>516</x:v>
      </x:c>
      <x:c r="G19" s="11" t="s">
        <x:v>109</x:v>
      </x:c>
      <x:c r="H19" s="16">
        <x:v>0.75</x:v>
      </x:c>
      <x:c r="I19" s="11" t="s">
        <x:v>470</x:v>
      </x:c>
      <x:c r="J19" s="11" t="s">
        <x:v>517</x:v>
      </x:c>
      <x:c r="K19" s="11" t="s">
        <x:v>518</x:v>
      </x:c>
      <x:c r="L19" s="11" t="s">
        <x:v>519</x:v>
      </x:c>
      <x:c r="M19" s="11" t="s">
        <x:v>521</x:v>
      </x:c>
      <x:c r="N19" s="11" t="s">
        <x:v>522</x:v>
      </x:c>
      <x:c r="O19" s="11" t="s">
        <x:v>313</x:v>
      </x:c>
      <x:c r="P19" s="29" t="s">
        <x:v>523</x:v>
      </x:c>
    </x:row>
    <x:row r="20" ht="110.4000015258789">
      <x:c r="A20" s="11" t="s">
        <x:v>524</x:v>
      </x:c>
      <x:c r="B20" s="11">
        <x:v>11</x:v>
      </x:c>
      <x:c r="C20" s="11" t="s">
        <x:v>89</x:v>
      </x:c>
      <x:c r="D20" s="11" t="s">
        <x:v>525</x:v>
      </x:c>
      <x:c r="E20" s="11" t="s">
        <x:v>526</x:v>
      </x:c>
      <x:c r="F20" s="11" t="s">
        <x:v>527</x:v>
      </x:c>
      <x:c r="G20" s="11" t="s">
        <x:v>109</x:v>
      </x:c>
      <x:c r="H20" s="16">
        <x:v>1</x:v>
      </x:c>
      <x:c r="I20" s="11" t="s">
        <x:v>528</x:v>
      </x:c>
      <x:c r="J20" s="11" t="s">
        <x:v>101</x:v>
      </x:c>
      <x:c r="K20" s="11" t="s">
        <x:v>529</x:v>
      </x:c>
      <x:c r="L20"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0" s="11" t="s">
        <x:v>532</x:v>
      </x:c>
      <x:c r="N20" s="11" t="s">
        <x:v>534</x:v>
      </x:c>
      <x:c r="O20" s="11" t="s">
        <x:v>313</x:v>
      </x:c>
      <x:c r="P20" s="29" t="s">
        <x:v>535</x:v>
      </x:c>
    </x:row>
    <x:row r="21" ht="96.5999984741211">
      <x:c r="A21" s="11" t="s">
        <x:v>536</x:v>
      </x:c>
      <x:c r="B21" s="11">
        <x:v>12</x:v>
      </x:c>
      <x:c r="C21" s="11" t="s">
        <x:v>89</x:v>
      </x:c>
      <x:c r="D21" s="11" t="s">
        <x:v>231</x:v>
      </x:c>
      <x:c r="E21" s="11" t="s">
        <x:v>537</x:v>
      </x:c>
      <x:c r="F21" s="11" t="s">
        <x:v>538</x:v>
      </x:c>
      <x:c r="G21" s="11" t="s">
        <x:v>93</x:v>
      </x:c>
      <x:c r="H21" s="16">
        <x:v>0.75</x:v>
      </x:c>
      <x:c r="I21" s="11" t="inlineStr">
        <x:is>
          <x:t xml:space="preserve">W3-REVIEW-001</x:t>
        </x:is>
      </x:c>
      <x:c r="J21" s="11" t="s">
        <x:v>539</x:v>
      </x:c>
      <x:c r="K21" s="11" t="s">
        <x:v>540</x:v>
      </x:c>
      <x:c r="L21"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1" s="11" t="s">
        <x:v>543</x:v>
      </x:c>
      <x:c r="N21" s="11" t="s">
        <x:v>545</x:v>
      </x:c>
      <x:c r="O21" s="11" t="s">
        <x:v>313</x:v>
      </x:c>
      <x:c r="P21" s="29" t="s">
        <x:v>546</x:v>
      </x:c>
    </x:row>
    <x:row r="22" ht="82.80000305175781">
      <x:c r="A22" t="s">
        <x:v>547</x:v>
      </x:c>
      <x:c r="B22">
        <x:v>13</x:v>
      </x:c>
      <x:c r="C22" t="s">
        <x:v>89</x:v>
      </x:c>
      <x:c r="D22" t="s">
        <x:v>244</x:v>
      </x:c>
      <x:c r="E22" t="s">
        <x:v>548</x:v>
      </x:c>
      <x:c r="F22" t="s">
        <x:v>549</x:v>
      </x:c>
      <x:c r="G22" t="s">
        <x:v>109</x:v>
      </x:c>
      <x:c r="H22">
        <x:v>1</x:v>
      </x:c>
      <x:c r="I22" t="s">
        <x:v>247</x:v>
      </x:c>
      <x:c r="J22" t="s">
        <x:v>101</x:v>
      </x:c>
      <x:c r="K22" t="s">
        <x:v>550</x:v>
      </x:c>
      <x:c r="L22" t="s">
        <x:v>2360</x:v>
      </x:c>
      <x:c r="M22" t="s">
        <x:v>551</x:v>
      </x:c>
      <x:c r="N22" t="s">
        <x:v>253</x:v>
      </x:c>
      <x:c r="O22" t="s">
        <x:v>313</x:v>
      </x:c>
      <x:c r="P22" s="29" t="s">
        <x:v>554</x:v>
      </x:c>
    </x:row>
    <x:row r="23" ht="24" customHeight="1">
      <x:c r="A23" s="94"/>
      <x:c r="B23" s="94"/>
      <x:c r="C23" s="94"/>
      <x:c r="D23" s="94"/>
      <x:c r="E23" s="94"/>
      <x:c r="F23" s="94"/>
      <x:c r="G23" s="94"/>
      <x:c r="H23" s="95"/>
      <x:c r="I23" s="95"/>
      <x:c r="J23" s="95"/>
      <x:c r="K23" s="95"/>
      <x:c r="L23" s="95"/>
      <x:c r="M23" s="95"/>
      <x:c r="N23" s="95"/>
      <x:c r="O23" s="95"/>
    </x:row>
    <x:row r="24" ht="34.04999923706055" customHeight="1">
      <x:c r="A24" s="30" t="s">
        <x:v>1028</x:v>
      </x:c>
      <x:c r="B24" s="30"/>
      <x:c r="C24" s="30"/>
      <x:c r="D24" s="30"/>
      <x:c r="E24" s="30"/>
      <x:c r="F24" s="30"/>
      <x:c r="G24" s="30"/>
      <x:c r="H24" s="31"/>
      <x:c r="I24" s="31"/>
      <x:c r="J24" s="31"/>
      <x:c r="K24" s="31"/>
      <x:c r="L24" s="31"/>
      <x:c r="M24" s="31"/>
      <x:c r="N24" s="31"/>
      <x:c r="O24" s="31"/>
      <x:c r="P24" s="31"/>
    </x:row>
    <x:row r="25" ht="48" customHeight="1">
      <x:c r="A25" s="33" t="s">
        <x:v>1029</x:v>
      </x:c>
      <x:c r="B25" s="33" t="s">
        <x:v>76</x:v>
      </x:c>
      <x:c r="C25" s="33" t="s">
        <x:v>1030</x:v>
      </x:c>
      <x:c r="D25" s="33" t="s">
        <x:v>1031</x:v>
      </x:c>
      <x:c r="E25" s="33" t="s">
        <x:v>1032</x:v>
      </x:c>
      <x:c r="F25" s="33" t="s">
        <x:v>1033</x:v>
      </x:c>
      <x:c r="G25" s="33" t="s">
        <x:v>1034</x:v>
      </x:c>
    </x:row>
    <x:row r="26" ht="52.04999923706055" customHeight="1">
      <x:c r="A26" s="22">
        <x:v>1</x:v>
      </x:c>
      <x:c r="B26" s="22" t="s">
        <x:v>410</x:v>
      </x:c>
      <x:c r="C26" s="22" t="s">
        <x:v>1096</x:v>
      </x:c>
      <x:c r="D26" s="22" t="s">
        <x:v>1097</x:v>
      </x:c>
      <x:c r="E26" s="22" t="s">
        <x:v>1098</x:v>
      </x:c>
      <x:c r="F26" s="22" t="s">
        <x:v>1099</x:v>
      </x:c>
      <x:c r="G26" s="22" t="s">
        <x:v>1048</x:v>
      </x:c>
    </x:row>
    <x:row r="27" ht="52.04999923706055" customHeight="1">
      <x:c r="A27" s="34">
        <x:v>2</x:v>
      </x:c>
      <x:c r="B27" s="34" t="s">
        <x:v>470</x:v>
      </x:c>
      <x:c r="C27" s="34" t="s">
        <x:v>1100</x:v>
      </x:c>
      <x:c r="D27" s="34" t="s">
        <x:v>1101</x:v>
      </x:c>
      <x:c r="E27" s="34" t="s">
        <x:v>1102</x:v>
      </x:c>
      <x:c r="F27" s="34" t="s">
        <x:v>1103</x:v>
      </x:c>
      <x:c r="G27" s="34" t="s">
        <x:v>1048</x:v>
      </x:c>
    </x:row>
    <x:row r="28" ht="52.04999923706055" customHeight="1">
      <x:c r="A28" s="22">
        <x:v>3</x:v>
      </x:c>
      <x:c r="B28" s="22" t="s">
        <x:v>458</x:v>
      </x:c>
      <x:c r="C28" s="22" t="s">
        <x:v>1104</x:v>
      </x:c>
      <x:c r="D28" s="22" t="s">
        <x:v>1105</x:v>
      </x:c>
      <x:c r="E28" s="22" t="s">
        <x:v>1106</x:v>
      </x:c>
      <x:c r="F28" s="22" t="s">
        <x:v>1107</x:v>
      </x:c>
      <x:c r="G28" s="22" t="s">
        <x:v>1048</x:v>
      </x:c>
    </x:row>
    <x:row r="29" ht="52.04999923706055" customHeight="1">
      <x:c r="A29" s="34">
        <x:v>4</x:v>
      </x:c>
      <x:c r="B29" s="34" t="s">
        <x:v>528</x:v>
      </x:c>
      <x:c r="C29" s="34" t="s">
        <x:v>1108</x:v>
      </x:c>
      <x:c r="D29" s="34" t="s">
        <x:v>1109</x:v>
      </x:c>
      <x:c r="E29" s="34" t="s">
        <x:v>1110</x:v>
      </x:c>
      <x:c r="F29" s="34" t="s">
        <x:v>1111</x:v>
      </x:c>
      <x:c r="G29" s="34" t="s">
        <x:v>1048</x:v>
      </x:c>
    </x:row>
    <x:row r="30" ht="52.04999923706055" customHeight="1">
      <x:c r="A30" s="35">
        <x:v>5</x:v>
      </x:c>
      <x:c r="B30" s="35" t="inlineStr">
        <x:is>
          <x:t xml:space="preserve">W3-REVIEW-001</x:t>
        </x:is>
      </x:c>
      <x:c r="C30" s="35" t="s">
        <x:v>1061</x:v>
      </x:c>
      <x:c r="D30" s="35" t="s">
        <x:v>1062</x:v>
      </x:c>
      <x:c r="E30" s="35" t="inlineStr">
        <x:is>
          <x:t xml:space="preserve">Week 3 sheet, evidence register, ADRs, TODOs and owner-supplied results</x:t>
        </x:is>
      </x:c>
      <x:c r="F30" s="35" t="inlineStr">
        <x:is>
          <x:t xml:space="preserve">docs/deployment-records/W3-signoff.md</x:t>
        </x:is>
      </x:c>
      <x:c r="G30" s="35" t="s">
        <x:v>1039</x:v>
      </x:c>
    </x:row>
    <x:row r="31" ht="52.04999923706055" customHeight="1">
      <x:c r="A31" s="35">
        <x:v>6</x:v>
      </x:c>
      <x:c r="B31" s="35" t="s">
        <x:v>247</x:v>
      </x:c>
      <x:c r="C31" s="35" t="s">
        <x:v>1112</x:v>
      </x:c>
      <x:c r="D31" s="35" t="s">
        <x:v>1064</x:v>
      </x:c>
      <x:c r="E31" s="35" t="s">
        <x:v>1065</x:v>
      </x:c>
      <x:c r="F31" s="35" t="s">
        <x:v>1113</x:v>
      </x:c>
      <x:c r="G31" s="35" t="s">
        <x:v>1067</x:v>
      </x:c>
    </x:row>
  </x:sheetData>
  <x:mergeCells>
    <x:mergeCell ref="A23:O23"/>
    <x:mergeCell ref="A1:O1"/>
    <x:mergeCell ref="A2:O2"/>
    <x:mergeCell ref="A4:B4"/>
    <x:mergeCell ref="A5:B6"/>
    <x:mergeCell ref="D4:E4"/>
    <x:mergeCell ref="D5:E6"/>
    <x:mergeCell ref="G4:O4"/>
    <x:mergeCell ref="G5:O6"/>
  </x:mergeCells>
  <x:conditionalFormatting sqref="O10:O21">
    <x:cfRule type="containsText" dxfId="35" priority="1" operator="containsText" text="Done"/>
    <x:cfRule type="containsText" dxfId="34" priority="2" operator="containsText" text="Blocked"/>
    <x:cfRule type="containsText" dxfId="33" priority="3" operator="containsText" text="In Progress"/>
    <x:cfRule type="containsText" dxfId="32" priority="4" operator="containsText" text="Ready for Review"/>
  </x:conditionalFormatting>
  <x:dataValidations count="1">
    <x:dataValidation type="list" sqref="O10:O21">
      <x:formula1>"Not Started,In Progress,Blocked,Ready for Review,Done,Deferred"</x:formula1>
    </x:dataValidation>
  </x:dataValidations>
  <x:pageMargins left="0.7" right="0.7" top="0.75" bottom="0.75" header="0.3" footer="0.3"/>
  <x:tableParts count="1">
    <x:tablePart xmlns:r="http://schemas.openxmlformats.org/officeDocument/2006/relationships" r:id="R54586b6397fa4d28"/>
  </x:tableParts>
</x:worksheet>
</file>

<file path=xl/worksheets/sheet7.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 min="16" max="16" width="52" customWidth="1"/>
  </x:cols>
  <x:sheetData>
    <x:row r="1" ht="31.950000762939453" customHeight="1">
      <x:c r="A1" s="56" t="s">
        <x:v>1114</x:v>
      </x:c>
      <x:c r="B1" s="56"/>
      <x:c r="C1" s="56"/>
      <x:c r="D1" s="56"/>
      <x:c r="E1" s="56"/>
      <x:c r="F1" s="56"/>
      <x:c r="G1" s="56"/>
      <x:c r="H1" s="56"/>
      <x:c r="I1" s="56"/>
      <x:c r="J1" s="56"/>
      <x:c r="K1" s="56"/>
      <x:c r="L1" s="56"/>
      <x:c r="M1" s="56"/>
      <x:c r="N1" s="56"/>
      <x:c r="O1" s="56"/>
    </x:row>
    <x:row r="2" ht="31.950000762939453" customHeight="1">
      <x:c r="A2" s="57" t="s">
        <x:v>1115</x:v>
      </x:c>
      <x:c r="B2" s="57"/>
      <x:c r="C2" s="57"/>
      <x:c r="D2" s="57"/>
      <x:c r="E2" s="57"/>
      <x:c r="F2" s="57"/>
      <x:c r="G2" s="57"/>
      <x:c r="H2" s="57"/>
      <x:c r="I2" s="57"/>
      <x:c r="J2" s="57"/>
      <x:c r="K2" s="57"/>
      <x:c r="L2" s="57"/>
      <x:c r="M2" s="57"/>
      <x:c r="N2" s="57"/>
      <x:c r="O2" s="57"/>
    </x:row>
    <x:row r="4" ht="28.049999237060547" customHeight="1">
      <x:c r="A4" s="58" t="s">
        <x:v>55</x:v>
      </x:c>
      <x:c r="B4" s="60"/>
      <x:c r="D4" s="58" t="s">
        <x:v>48</x:v>
      </x:c>
      <x:c r="E4" s="60"/>
      <x:c r="G4" s="58" t="s">
        <x:v>1017</x:v>
      </x:c>
      <x:c r="H4" s="59"/>
      <x:c r="I4" s="59"/>
      <x:c r="J4" s="59"/>
      <x:c r="K4" s="59"/>
      <x:c r="L4" s="59"/>
      <x:c r="M4" s="59"/>
      <x:c r="N4" s="59"/>
      <x:c r="O4" s="60"/>
    </x:row>
    <x:row r="5">
      <x:c r="A5" s="96" t="n">
        <x:f>IF(COUNTA(O10:O40)=0,0,COUNTIF(O10:O40,"Done")/COUNTA(A10:A40))</x:f>
        <x:v>0</x:v>
      </x:c>
      <x:c r="B5" s="97"/>
      <x:c r="D5" s="100" t="n">
        <x:f>COUNTIF(O10:O40,"Blocked")</x:f>
        <x:v>0</x:v>
      </x:c>
      <x:c r="E5" s="101"/>
      <x:c r="G5" s="104" t="s">
        <x:v>1116</x:v>
      </x:c>
      <x:c r="H5" s="105"/>
      <x:c r="I5" s="105"/>
      <x:c r="J5" s="105"/>
      <x:c r="K5" s="105"/>
      <x:c r="L5" s="105"/>
      <x:c r="M5" s="105"/>
      <x:c r="N5" s="105"/>
      <x:c r="O5" s="106"/>
    </x:row>
    <x:row r="6">
      <x:c r="A6" s="98"/>
      <x:c r="B6" s="99"/>
      <x:c r="D6" s="102"/>
      <x:c r="E6" s="103"/>
      <x:c r="G6" s="107"/>
      <x:c r="H6" s="108"/>
      <x:c r="I6" s="108"/>
      <x:c r="J6" s="108"/>
      <x:c r="K6" s="108"/>
      <x:c r="L6" s="108"/>
      <x:c r="M6" s="108"/>
      <x:c r="N6" s="108"/>
      <x:c r="O6" s="109"/>
    </x:row>
    <x:row r="9" ht="28.049999237060547" customHeight="1">
      <x:c r="A9" s="1" t="s">
        <x:v>69</x:v>
      </x:c>
      <x:c r="B9" s="2" t="s">
        <x:v>70</x:v>
      </x:c>
      <x:c r="C9" s="2" t="s">
        <x:v>71</x:v>
      </x:c>
      <x:c r="D9" s="2" t="s">
        <x:v>72</x:v>
      </x:c>
      <x:c r="E9" s="2" t="s">
        <x:v>1019</x:v>
      </x:c>
      <x:c r="F9" s="2" t="s">
        <x:v>1020</x:v>
      </x:c>
      <x:c r="G9" s="2" t="s">
        <x:v>34</x:v>
      </x:c>
      <x:c r="H9" s="2" t="s">
        <x:v>1021</x:v>
      </x:c>
      <x:c r="I9" s="2" t="s">
        <x:v>1022</x:v>
      </x:c>
      <x:c r="J9" s="2" t="s">
        <x:v>1023</x:v>
      </x:c>
      <x:c r="K9" s="2" t="s">
        <x:v>1024</x:v>
      </x:c>
      <x:c r="L9" s="2" t="s">
        <x:v>1025</x:v>
      </x:c>
      <x:c r="M9" s="2" t="s">
        <x:v>1026</x:v>
      </x:c>
      <x:c r="N9" s="2" t="s">
        <x:v>1027</x:v>
      </x:c>
      <x:c r="O9" s="3" t="s">
        <x:v>85</x:v>
      </x:c>
      <x:c r="P9" s="29" t="s">
        <x:v>87</x:v>
      </x:c>
    </x:row>
    <x:row r="10" ht="110.4000015258789">
      <x:c r="A10" s="10" t="s">
        <x:v>555</x:v>
      </x:c>
      <x:c r="B10" s="10">
        <x:v>1</x:v>
      </x:c>
      <x:c r="C10" s="10" t="s">
        <x:v>89</x:v>
      </x:c>
      <x:c r="D10" s="10" t="s">
        <x:v>556</x:v>
      </x:c>
      <x:c r="E10" s="10" t="s">
        <x:v>557</x:v>
      </x:c>
      <x:c r="F10" s="10" t="s">
        <x:v>558</x:v>
      </x:c>
      <x:c r="G10" s="10" t="s">
        <x:v>123</x:v>
      </x:c>
      <x:c r="H10" s="15">
        <x:v>1.5</x:v>
      </x:c>
      <x:c r="I10" s="10" t="s">
        <x:v>559</x:v>
      </x:c>
      <x:c r="J10" s="10" t="s">
        <x:v>344</x:v>
      </x:c>
      <x:c r="K10" s="10" t="s">
        <x:v>560</x:v>
      </x:c>
      <x:c r="L10" s="10" t="s">
        <x:v>561</x:v>
      </x:c>
      <x:c r="M10" s="10" t="s">
        <x:v>563</x:v>
      </x:c>
      <x:c r="N10" s="10" t="s">
        <x:v>565</x:v>
      </x:c>
      <x:c r="O10" s="10" t="s">
        <x:v>313</x:v>
      </x:c>
      <x:c r="P10" s="29" t="s">
        <x:v>566</x:v>
      </x:c>
    </x:row>
    <x:row r="11" ht="110.4000015258789">
      <x:c r="A11" s="11" t="s">
        <x:v>567</x:v>
      </x:c>
      <x:c r="B11" s="11">
        <x:v>2</x:v>
      </x:c>
      <x:c r="C11" s="11" t="s">
        <x:v>89</x:v>
      </x:c>
      <x:c r="D11" s="11" t="s">
        <x:v>341</x:v>
      </x:c>
      <x:c r="E11" s="11" t="s">
        <x:v>568</x:v>
      </x:c>
      <x:c r="F11" s="11" t="s">
        <x:v>569</x:v>
      </x:c>
      <x:c r="G11" s="11" t="s">
        <x:v>123</x:v>
      </x:c>
      <x:c r="H11" s="16">
        <x:v>1</x:v>
      </x:c>
      <x:c r="I11" s="11" t="s">
        <x:v>559</x:v>
      </x:c>
      <x:c r="J11" s="11" t="s">
        <x:v>344</x:v>
      </x:c>
      <x:c r="K11" s="11" t="s">
        <x:v>570</x:v>
      </x:c>
      <x:c r="L11" s="11" t="s">
        <x:v>571</x:v>
      </x:c>
      <x:c r="M11" s="11" t="s">
        <x:v>573</x:v>
      </x:c>
      <x:c r="N11" s="11" t="s">
        <x:v>574</x:v>
      </x:c>
      <x:c r="O11" s="11" t="s">
        <x:v>313</x:v>
      </x:c>
      <x:c r="P11" s="29" t="s">
        <x:v>575</x:v>
      </x:c>
    </x:row>
    <x:row r="12" ht="110.4000015258789">
      <x:c r="A12" s="11" t="s">
        <x:v>576</x:v>
      </x:c>
      <x:c r="B12" s="11">
        <x:v>3</x:v>
      </x:c>
      <x:c r="C12" s="11" t="s">
        <x:v>89</x:v>
      </x:c>
      <x:c r="D12" s="11" t="s">
        <x:v>577</x:v>
      </x:c>
      <x:c r="E12" s="11" t="s">
        <x:v>578</x:v>
      </x:c>
      <x:c r="F12" s="11" t="s">
        <x:v>579</x:v>
      </x:c>
      <x:c r="G12" s="11" t="s">
        <x:v>123</x:v>
      </x:c>
      <x:c r="H12" s="16">
        <x:v>1.25</x:v>
      </x:c>
      <x:c r="I12" s="11" t="s">
        <x:v>580</x:v>
      </x:c>
      <x:c r="J12" s="11" t="s">
        <x:v>539</x:v>
      </x:c>
      <x:c r="K12" s="11" t="s">
        <x:v>581</x:v>
      </x:c>
      <x:c r="L12" s="11" t="s">
        <x:v>582</x:v>
      </x:c>
      <x:c r="M12" s="11" t="s">
        <x:v>584</x:v>
      </x:c>
      <x:c r="N12" s="11" t="s">
        <x:v>586</x:v>
      </x:c>
      <x:c r="O12" s="11" t="s">
        <x:v>313</x:v>
      </x:c>
      <x:c r="P12" s="29" t="s">
        <x:v>587</x:v>
      </x:c>
    </x:row>
    <x:row r="13" ht="110.4000015258789">
      <x:c r="A13" s="11" t="s">
        <x:v>588</x:v>
      </x:c>
      <x:c r="B13" s="11">
        <x:v>4</x:v>
      </x:c>
      <x:c r="C13" s="11" t="s">
        <x:v>89</x:v>
      </x:c>
      <x:c r="D13" s="11" t="s">
        <x:v>589</x:v>
      </x:c>
      <x:c r="E13" s="11" t="s">
        <x:v>590</x:v>
      </x:c>
      <x:c r="F13" s="11" t="s">
        <x:v>591</x:v>
      </x:c>
      <x:c r="G13" s="11" t="s">
        <x:v>123</x:v>
      </x:c>
      <x:c r="H13" s="16">
        <x:v>0.75</x:v>
      </x:c>
      <x:c r="I13" s="11" t="s">
        <x:v>580</x:v>
      </x:c>
      <x:c r="J13" s="11" t="s">
        <x:v>101</x:v>
      </x:c>
      <x:c r="K13" s="11" t="s">
        <x:v>592</x:v>
      </x:c>
      <x:c r="L13" s="11" t="s">
        <x:v>593</x:v>
      </x:c>
      <x:c r="M13" s="11" t="s">
        <x:v>595</x:v>
      </x:c>
      <x:c r="N13" s="11" t="s">
        <x:v>596</x:v>
      </x:c>
      <x:c r="O13" s="11" t="s">
        <x:v>313</x:v>
      </x:c>
      <x:c r="P13" s="29" t="s">
        <x:v>597</x:v>
      </x:c>
    </x:row>
    <x:row r="14" ht="110.4000015258789">
      <x:c r="A14" s="11" t="s">
        <x:v>598</x:v>
      </x:c>
      <x:c r="B14" s="11">
        <x:v>5</x:v>
      </x:c>
      <x:c r="C14" s="11" t="s">
        <x:v>89</x:v>
      </x:c>
      <x:c r="D14" s="11" t="s">
        <x:v>599</x:v>
      </x:c>
      <x:c r="E14" s="11" t="s">
        <x:v>600</x:v>
      </x:c>
      <x:c r="F14" s="11" t="s">
        <x:v>601</x:v>
      </x:c>
      <x:c r="G14" s="11" t="s">
        <x:v>123</x:v>
      </x:c>
      <x:c r="H14" s="16">
        <x:v>1.25</x:v>
      </x:c>
      <x:c r="I14" s="11" t="s">
        <x:v>580</x:v>
      </x:c>
      <x:c r="J14" s="11" t="s">
        <x:v>539</x:v>
      </x:c>
      <x:c r="K14" s="11" t="s">
        <x:v>602</x:v>
      </x:c>
      <x:c r="L14" s="11" t="s">
        <x:v>603</x:v>
      </x:c>
      <x:c r="M14" s="11" t="s">
        <x:v>605</x:v>
      </x:c>
      <x:c r="N14" s="11" t="s">
        <x:v>608</x:v>
      </x:c>
      <x:c r="O14" s="11" t="s">
        <x:v>313</x:v>
      </x:c>
      <x:c r="P14" s="29" t="s">
        <x:v>609</x:v>
      </x:c>
    </x:row>
    <x:row r="15" ht="110.4000015258789">
      <x:c r="A15" s="11" t="s">
        <x:v>610</x:v>
      </x:c>
      <x:c r="B15" s="11">
        <x:v>6</x:v>
      </x:c>
      <x:c r="C15" s="11" t="s">
        <x:v>89</x:v>
      </x:c>
      <x:c r="D15" s="11" t="s">
        <x:v>611</x:v>
      </x:c>
      <x:c r="E15" s="11" t="s">
        <x:v>612</x:v>
      </x:c>
      <x:c r="F15" s="11" t="s">
        <x:v>613</x:v>
      </x:c>
      <x:c r="G15" s="11" t="s">
        <x:v>123</x:v>
      </x:c>
      <x:c r="H15" s="16">
        <x:v>1</x:v>
      </x:c>
      <x:c r="I15" s="11" t="s">
        <x:v>580</x:v>
      </x:c>
      <x:c r="J15" s="11" t="s">
        <x:v>614</x:v>
      </x:c>
      <x:c r="K15" s="11" t="s">
        <x:v>615</x:v>
      </x:c>
      <x:c r="L15" s="11" t="s">
        <x:v>616</x:v>
      </x:c>
      <x:c r="M15" s="11" t="s">
        <x:v>618</x:v>
      </x:c>
      <x:c r="N15" s="11" t="s">
        <x:v>619</x:v>
      </x:c>
      <x:c r="O15" s="11" t="s">
        <x:v>313</x:v>
      </x:c>
      <x:c r="P15" s="29" t="s">
        <x:v>620</x:v>
      </x:c>
    </x:row>
    <x:row r="16" ht="110.4000015258789">
      <x:c r="A16" s="11" t="s">
        <x:v>621</x:v>
      </x:c>
      <x:c r="B16" s="11">
        <x:v>7</x:v>
      </x:c>
      <x:c r="C16" s="11" t="s">
        <x:v>89</x:v>
      </x:c>
      <x:c r="D16" s="11" t="s">
        <x:v>622</x:v>
      </x:c>
      <x:c r="E16" s="11" t="s">
        <x:v>623</x:v>
      </x:c>
      <x:c r="F16" s="11" t="s">
        <x:v>624</x:v>
      </x:c>
      <x:c r="G16" s="11" t="s">
        <x:v>123</x:v>
      </x:c>
      <x:c r="H16" s="16">
        <x:v>0.75</x:v>
      </x:c>
      <x:c r="I16" s="11" t="s">
        <x:v>580</x:v>
      </x:c>
      <x:c r="J16" s="11" t="s">
        <x:v>625</x:v>
      </x:c>
      <x:c r="K16" s="11" t="s">
        <x:v>626</x:v>
      </x:c>
      <x:c r="L16" s="11" t="s">
        <x:v>627</x:v>
      </x:c>
      <x:c r="M16" s="11" t="s">
        <x:v>629</x:v>
      </x:c>
      <x:c r="N16" s="11" t="s">
        <x:v>630</x:v>
      </x:c>
      <x:c r="O16" s="11" t="s">
        <x:v>313</x:v>
      </x:c>
      <x:c r="P16" s="29" t="s">
        <x:v>631</x:v>
      </x:c>
    </x:row>
    <x:row r="17" ht="110.4000015258789">
      <x:c r="A17" s="11" t="s">
        <x:v>632</x:v>
      </x:c>
      <x:c r="B17" s="11">
        <x:v>8</x:v>
      </x:c>
      <x:c r="C17" s="11" t="s">
        <x:v>89</x:v>
      </x:c>
      <x:c r="D17" s="11" t="s">
        <x:v>633</x:v>
      </x:c>
      <x:c r="E17" s="11" t="s">
        <x:v>634</x:v>
      </x:c>
      <x:c r="F17" s="11" t="s">
        <x:v>635</x:v>
      </x:c>
      <x:c r="G17" s="11" t="s">
        <x:v>123</x:v>
      </x:c>
      <x:c r="H17" s="16">
        <x:v>1</x:v>
      </x:c>
      <x:c r="I17" s="11" t="s">
        <x:v>504</x:v>
      </x:c>
      <x:c r="J17" s="11" t="s">
        <x:v>505</x:v>
      </x:c>
      <x:c r="K17" s="11" t="s">
        <x:v>636</x:v>
      </x:c>
      <x:c r="L17" s="11" t="s">
        <x:v>637</x:v>
      </x:c>
      <x:c r="M17" s="11" t="s">
        <x:v>639</x:v>
      </x:c>
      <x:c r="N17" s="11" t="s">
        <x:v>641</x:v>
      </x:c>
      <x:c r="O17" s="11" t="s">
        <x:v>313</x:v>
      </x:c>
      <x:c r="P17" s="29" t="s">
        <x:v>642</x:v>
      </x:c>
    </x:row>
    <x:row r="18" ht="110.4000015258789">
      <x:c r="A18" s="11" t="s">
        <x:v>643</x:v>
      </x:c>
      <x:c r="B18" s="11">
        <x:v>9</x:v>
      </x:c>
      <x:c r="C18" s="11" t="s">
        <x:v>89</x:v>
      </x:c>
      <x:c r="D18" s="11" t="s">
        <x:v>644</x:v>
      </x:c>
      <x:c r="E18" s="11" t="s">
        <x:v>645</x:v>
      </x:c>
      <x:c r="F18" s="11" t="s">
        <x:v>646</x:v>
      </x:c>
      <x:c r="G18" s="11" t="s">
        <x:v>123</x:v>
      </x:c>
      <x:c r="H18" s="16">
        <x:v>1</x:v>
      </x:c>
      <x:c r="I18" s="11" t="s">
        <x:v>580</x:v>
      </x:c>
      <x:c r="J18" s="11" t="s">
        <x:v>101</x:v>
      </x:c>
      <x:c r="K18" s="11" t="s">
        <x:v>647</x:v>
      </x:c>
      <x:c r="L18" s="11" t="s">
        <x:v>648</x:v>
      </x:c>
      <x:c r="M18" s="11" t="s">
        <x:v>650</x:v>
      </x:c>
      <x:c r="N18" s="11" t="s">
        <x:v>653</x:v>
      </x:c>
      <x:c r="O18" s="11" t="s">
        <x:v>313</x:v>
      </x:c>
      <x:c r="P18" s="29" t="s">
        <x:v>654</x:v>
      </x:c>
    </x:row>
    <x:row r="19" ht="110.4000015258789">
      <x:c r="A19" s="11" t="s">
        <x:v>655</x:v>
      </x:c>
      <x:c r="B19" s="11">
        <x:v>10</x:v>
      </x:c>
      <x:c r="C19" s="11" t="s">
        <x:v>377</x:v>
      </x:c>
      <x:c r="D19" s="11" t="s">
        <x:v>656</x:v>
      </x:c>
      <x:c r="E19" s="11" t="s">
        <x:v>657</x:v>
      </x:c>
      <x:c r="F19" s="11" t="s">
        <x:v>658</x:v>
      </x:c>
      <x:c r="G19" s="11" t="s">
        <x:v>123</x:v>
      </x:c>
      <x:c r="H19" s="16">
        <x:v>0.75</x:v>
      </x:c>
      <x:c r="I19" s="11" t="s">
        <x:v>559</x:v>
      </x:c>
      <x:c r="J19" s="11" t="s">
        <x:v>614</x:v>
      </x:c>
      <x:c r="K19" s="11" t="s">
        <x:v>659</x:v>
      </x:c>
      <x:c r="L19" s="11" t="s">
        <x:v>660</x:v>
      </x:c>
      <x:c r="M19" s="11" t="s">
        <x:v>662</x:v>
      </x:c>
      <x:c r="N19" s="11" t="s">
        <x:v>665</x:v>
      </x:c>
      <x:c r="O19" s="11" t="s">
        <x:v>313</x:v>
      </x:c>
      <x:c r="P19" s="29" t="s">
        <x:v>666</x:v>
      </x:c>
    </x:row>
    <x:row r="20" ht="110.4000015258789">
      <x:c r="A20" s="11" t="s">
        <x:v>667</x:v>
      </x:c>
      <x:c r="B20" s="11">
        <x:v>11</x:v>
      </x:c>
      <x:c r="C20" s="11" t="s">
        <x:v>89</x:v>
      </x:c>
      <x:c r="D20" s="11" t="s">
        <x:v>668</x:v>
      </x:c>
      <x:c r="E20" s="11" t="s">
        <x:v>669</x:v>
      </x:c>
      <x:c r="F20" s="11" t="s">
        <x:v>670</x:v>
      </x:c>
      <x:c r="G20" s="11" t="s">
        <x:v>109</x:v>
      </x:c>
      <x:c r="H20" s="16">
        <x:v>1</x:v>
      </x:c>
      <x:c r="I20" s="11" t="s">
        <x:v>671</x:v>
      </x:c>
      <x:c r="J20" s="11" t="s">
        <x:v>101</x:v>
      </x:c>
      <x:c r="K20" s="11" t="s">
        <x:v>672</x:v>
      </x:c>
      <x:c r="L20"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0" s="11" t="s">
        <x:v>675</x:v>
      </x:c>
      <x:c r="N20" s="11" t="s">
        <x:v>677</x:v>
      </x:c>
      <x:c r="O20" s="11" t="s">
        <x:v>313</x:v>
      </x:c>
      <x:c r="P20" s="29" t="s">
        <x:v>678</x:v>
      </x:c>
    </x:row>
    <x:row r="21" ht="96.5999984741211">
      <x:c r="A21" s="11" t="s">
        <x:v>679</x:v>
      </x:c>
      <x:c r="B21" s="11">
        <x:v>12</x:v>
      </x:c>
      <x:c r="C21" s="11" t="s">
        <x:v>89</x:v>
      </x:c>
      <x:c r="D21" s="11" t="s">
        <x:v>231</x:v>
      </x:c>
      <x:c r="E21" s="11" t="s">
        <x:v>680</x:v>
      </x:c>
      <x:c r="F21" s="11" t="s">
        <x:v>681</x:v>
      </x:c>
      <x:c r="G21" s="11" t="s">
        <x:v>93</x:v>
      </x:c>
      <x:c r="H21" s="16">
        <x:v>0.75</x:v>
      </x:c>
      <x:c r="I21" s="11" t="inlineStr">
        <x:is>
          <x:t xml:space="preserve">W4-REVIEW-001</x:t>
        </x:is>
      </x:c>
      <x:c r="J21" s="11" t="s">
        <x:v>682</x:v>
      </x:c>
      <x:c r="K21" s="11" t="s">
        <x:v>683</x:v>
      </x:c>
      <x:c r="L21"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1" s="11" t="s">
        <x:v>686</x:v>
      </x:c>
      <x:c r="N21" s="11" t="s">
        <x:v>688</x:v>
      </x:c>
      <x:c r="O21" s="11" t="s">
        <x:v>313</x:v>
      </x:c>
      <x:c r="P21" s="29" t="s">
        <x:v>689</x:v>
      </x:c>
    </x:row>
    <x:row r="22" ht="82.80000305175781">
      <x:c r="A22" t="s">
        <x:v>690</x:v>
      </x:c>
      <x:c r="B22">
        <x:v>13</x:v>
      </x:c>
      <x:c r="C22" t="s">
        <x:v>89</x:v>
      </x:c>
      <x:c r="D22" t="s">
        <x:v>244</x:v>
      </x:c>
      <x:c r="E22" t="s">
        <x:v>691</x:v>
      </x:c>
      <x:c r="F22" t="s">
        <x:v>692</x:v>
      </x:c>
      <x:c r="G22" t="s">
        <x:v>109</x:v>
      </x:c>
      <x:c r="H22">
        <x:v>1</x:v>
      </x:c>
      <x:c r="I22" t="s">
        <x:v>247</x:v>
      </x:c>
      <x:c r="J22" t="s">
        <x:v>101</x:v>
      </x:c>
      <x:c r="K22" t="s">
        <x:v>693</x:v>
      </x:c>
      <x:c r="L22" t="s">
        <x:v>2361</x:v>
      </x:c>
      <x:c r="M22" t="s">
        <x:v>694</x:v>
      </x:c>
      <x:c r="N22" t="s">
        <x:v>253</x:v>
      </x:c>
      <x:c r="O22" t="s">
        <x:v>313</x:v>
      </x:c>
      <x:c r="P22" s="29" t="s">
        <x:v>697</x:v>
      </x:c>
    </x:row>
    <x:row r="23" ht="24" customHeight="1">
      <x:c r="A23" s="94"/>
      <x:c r="B23" s="94"/>
      <x:c r="C23" s="94"/>
      <x:c r="D23" s="94"/>
      <x:c r="E23" s="94"/>
      <x:c r="F23" s="94"/>
      <x:c r="G23" s="94"/>
      <x:c r="H23" s="95"/>
      <x:c r="I23" s="95"/>
      <x:c r="J23" s="95"/>
      <x:c r="K23" s="95"/>
      <x:c r="L23" s="95"/>
      <x:c r="M23" s="95"/>
      <x:c r="N23" s="95"/>
      <x:c r="O23" s="95"/>
    </x:row>
    <x:row r="24" ht="34.04999923706055" customHeight="1">
      <x:c r="A24" s="30" t="s">
        <x:v>1028</x:v>
      </x:c>
      <x:c r="B24" s="30"/>
      <x:c r="C24" s="30"/>
      <x:c r="D24" s="30"/>
      <x:c r="E24" s="30"/>
      <x:c r="F24" s="30"/>
      <x:c r="G24" s="30"/>
      <x:c r="H24" s="31"/>
      <x:c r="I24" s="31"/>
      <x:c r="J24" s="31"/>
      <x:c r="K24" s="31"/>
      <x:c r="L24" s="31"/>
      <x:c r="M24" s="31"/>
      <x:c r="N24" s="31"/>
      <x:c r="O24" s="31"/>
      <x:c r="P24" s="31"/>
    </x:row>
    <x:row r="25" ht="48" customHeight="1">
      <x:c r="A25" s="33" t="s">
        <x:v>1029</x:v>
      </x:c>
      <x:c r="B25" s="33" t="s">
        <x:v>76</x:v>
      </x:c>
      <x:c r="C25" s="33" t="s">
        <x:v>1030</x:v>
      </x:c>
      <x:c r="D25" s="33" t="s">
        <x:v>1031</x:v>
      </x:c>
      <x:c r="E25" s="33" t="s">
        <x:v>1032</x:v>
      </x:c>
      <x:c r="F25" s="33" t="s">
        <x:v>1033</x:v>
      </x:c>
      <x:c r="G25" s="33" t="s">
        <x:v>1034</x:v>
      </x:c>
    </x:row>
    <x:row r="26" ht="52.04999923706055" customHeight="1">
      <x:c r="A26" s="22">
        <x:v>1</x:v>
      </x:c>
      <x:c r="B26" s="22" t="s">
        <x:v>559</x:v>
      </x:c>
      <x:c r="C26" s="22" t="s">
        <x:v>1117</x:v>
      </x:c>
      <x:c r="D26" s="22" t="s">
        <x:v>1118</x:v>
      </x:c>
      <x:c r="E26" s="22" t="s">
        <x:v>1119</x:v>
      </x:c>
      <x:c r="F26" s="22" t="s">
        <x:v>1120</x:v>
      </x:c>
      <x:c r="G26" s="22" t="s">
        <x:v>1048</x:v>
      </x:c>
    </x:row>
    <x:row r="27" ht="52.04999923706055" customHeight="1">
      <x:c r="A27" s="34">
        <x:v>2</x:v>
      </x:c>
      <x:c r="B27" s="34" t="s">
        <x:v>580</x:v>
      </x:c>
      <x:c r="C27" s="34" t="s">
        <x:v>1121</x:v>
      </x:c>
      <x:c r="D27" s="34" t="s">
        <x:v>1122</x:v>
      </x:c>
      <x:c r="E27" s="34" t="s">
        <x:v>1123</x:v>
      </x:c>
      <x:c r="F27" s="34" t="s">
        <x:v>1124</x:v>
      </x:c>
      <x:c r="G27" s="34" t="s">
        <x:v>1048</x:v>
      </x:c>
    </x:row>
    <x:row r="28" ht="52.04999923706055" customHeight="1">
      <x:c r="A28" s="22">
        <x:v>3</x:v>
      </x:c>
      <x:c r="B28" s="22" t="s">
        <x:v>504</x:v>
      </x:c>
      <x:c r="C28" s="22" t="s">
        <x:v>1125</x:v>
      </x:c>
      <x:c r="D28" s="22" t="s">
        <x:v>1126</x:v>
      </x:c>
      <x:c r="E28" s="22" t="s">
        <x:v>1127</x:v>
      </x:c>
      <x:c r="F28" s="22" t="s">
        <x:v>1128</x:v>
      </x:c>
      <x:c r="G28" s="22" t="s">
        <x:v>1048</x:v>
      </x:c>
    </x:row>
    <x:row r="29" ht="52.04999923706055" customHeight="1">
      <x:c r="A29" s="34">
        <x:v>4</x:v>
      </x:c>
      <x:c r="B29" s="34" t="s">
        <x:v>671</x:v>
      </x:c>
      <x:c r="C29" s="34" t="s">
        <x:v>1129</x:v>
      </x:c>
      <x:c r="D29" s="34" t="s">
        <x:v>1130</x:v>
      </x:c>
      <x:c r="E29" s="34" t="s">
        <x:v>1131</x:v>
      </x:c>
      <x:c r="F29" s="34" t="s">
        <x:v>1132</x:v>
      </x:c>
      <x:c r="G29" s="34" t="s">
        <x:v>1048</x:v>
      </x:c>
    </x:row>
    <x:row r="30" ht="52.04999923706055" customHeight="1">
      <x:c r="A30" s="35">
        <x:v>5</x:v>
      </x:c>
      <x:c r="B30" s="35" t="inlineStr">
        <x:is>
          <x:t xml:space="preserve">W4-REVIEW-001</x:t>
        </x:is>
      </x:c>
      <x:c r="C30" s="35" t="s">
        <x:v>1061</x:v>
      </x:c>
      <x:c r="D30" s="35" t="s">
        <x:v>1062</x:v>
      </x:c>
      <x:c r="E30" s="35" t="inlineStr">
        <x:is>
          <x:t xml:space="preserve">Week 4 sheet, evidence register, ADRs, TODOs and owner-supplied results</x:t>
        </x:is>
      </x:c>
      <x:c r="F30" s="35" t="inlineStr">
        <x:is>
          <x:t xml:space="preserve">docs/deployment-records/W4-signoff.md</x:t>
        </x:is>
      </x:c>
      <x:c r="G30" s="35" t="s">
        <x:v>1039</x:v>
      </x:c>
    </x:row>
    <x:row r="31" ht="52.04999923706055" customHeight="1">
      <x:c r="A31" s="35">
        <x:v>6</x:v>
      </x:c>
      <x:c r="B31" s="35" t="s">
        <x:v>247</x:v>
      </x:c>
      <x:c r="C31" s="35" t="s">
        <x:v>1133</x:v>
      </x:c>
      <x:c r="D31" s="35" t="s">
        <x:v>1064</x:v>
      </x:c>
      <x:c r="E31" s="35" t="s">
        <x:v>1065</x:v>
      </x:c>
      <x:c r="F31" s="35" t="s">
        <x:v>1134</x:v>
      </x:c>
      <x:c r="G31" s="35" t="s">
        <x:v>1067</x:v>
      </x:c>
    </x:row>
  </x:sheetData>
  <x:mergeCells>
    <x:mergeCell ref="A23:O23"/>
    <x:mergeCell ref="A1:O1"/>
    <x:mergeCell ref="A2:O2"/>
    <x:mergeCell ref="A4:B4"/>
    <x:mergeCell ref="A5:B6"/>
    <x:mergeCell ref="D4:E4"/>
    <x:mergeCell ref="D5:E6"/>
    <x:mergeCell ref="G4:O4"/>
    <x:mergeCell ref="G5:O6"/>
  </x:mergeCells>
  <x:conditionalFormatting sqref="O10:O21">
    <x:cfRule type="containsText" dxfId="31" priority="1" operator="containsText" text="Done"/>
    <x:cfRule type="containsText" dxfId="30" priority="2" operator="containsText" text="Blocked"/>
    <x:cfRule type="containsText" dxfId="29" priority="3" operator="containsText" text="In Progress"/>
    <x:cfRule type="containsText" dxfId="28" priority="4" operator="containsText" text="Ready for Review"/>
  </x:conditionalFormatting>
  <x:dataValidations count="1">
    <x:dataValidation type="list" sqref="O10:O21">
      <x:formula1>"Not Started,In Progress,Blocked,Ready for Review,Done,Deferred"</x:formula1>
    </x:dataValidation>
  </x:dataValidations>
  <x:pageMargins left="0.7" right="0.7" top="0.75" bottom="0.75" header="0.3" footer="0.3"/>
  <x:tableParts count="1">
    <x:tablePart xmlns:r="http://schemas.openxmlformats.org/officeDocument/2006/relationships" r:id="Rb5f3c92b6f3e41da"/>
  </x:tableParts>
</x:worksheet>
</file>

<file path=xl/worksheets/sheet8.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 min="16" max="16" width="52" customWidth="1"/>
  </x:cols>
  <x:sheetData>
    <x:row r="1" ht="31.950000762939453" customHeight="1">
      <x:c r="A1" s="56" t="s">
        <x:v>1135</x:v>
      </x:c>
      <x:c r="B1" s="56"/>
      <x:c r="C1" s="56"/>
      <x:c r="D1" s="56"/>
      <x:c r="E1" s="56"/>
      <x:c r="F1" s="56"/>
      <x:c r="G1" s="56"/>
      <x:c r="H1" s="56"/>
      <x:c r="I1" s="56"/>
      <x:c r="J1" s="56"/>
      <x:c r="K1" s="56"/>
      <x:c r="L1" s="56"/>
      <x:c r="M1" s="56"/>
      <x:c r="N1" s="56"/>
      <x:c r="O1" s="56"/>
    </x:row>
    <x:row r="2" ht="31.950000762939453" customHeight="1">
      <x:c r="A2" s="57" t="s">
        <x:v>1136</x:v>
      </x:c>
      <x:c r="B2" s="57"/>
      <x:c r="C2" s="57"/>
      <x:c r="D2" s="57"/>
      <x:c r="E2" s="57"/>
      <x:c r="F2" s="57"/>
      <x:c r="G2" s="57"/>
      <x:c r="H2" s="57"/>
      <x:c r="I2" s="57"/>
      <x:c r="J2" s="57"/>
      <x:c r="K2" s="57"/>
      <x:c r="L2" s="57"/>
      <x:c r="M2" s="57"/>
      <x:c r="N2" s="57"/>
      <x:c r="O2" s="57"/>
    </x:row>
    <x:row r="4" ht="28.049999237060547" customHeight="1">
      <x:c r="A4" s="58" t="s">
        <x:v>55</x:v>
      </x:c>
      <x:c r="B4" s="60"/>
      <x:c r="D4" s="58" t="s">
        <x:v>48</x:v>
      </x:c>
      <x:c r="E4" s="60"/>
      <x:c r="G4" s="58" t="s">
        <x:v>1017</x:v>
      </x:c>
      <x:c r="H4" s="59"/>
      <x:c r="I4" s="59"/>
      <x:c r="J4" s="59"/>
      <x:c r="K4" s="59"/>
      <x:c r="L4" s="59"/>
      <x:c r="M4" s="59"/>
      <x:c r="N4" s="59"/>
      <x:c r="O4" s="60"/>
    </x:row>
    <x:row r="5">
      <x:c r="A5" s="96" t="n">
        <x:f>IF(COUNTA(O10:O40)=0,0,COUNTIF(O10:O40,"Done")/COUNTA(A10:A40))</x:f>
        <x:v>0</x:v>
      </x:c>
      <x:c r="B5" s="97"/>
      <x:c r="D5" s="100" t="n">
        <x:f>COUNTIF(O10:O40,"Blocked")</x:f>
        <x:v>0</x:v>
      </x:c>
      <x:c r="E5" s="101"/>
      <x:c r="G5" s="104" t="s">
        <x:v>1137</x:v>
      </x:c>
      <x:c r="H5" s="105"/>
      <x:c r="I5" s="105"/>
      <x:c r="J5" s="105"/>
      <x:c r="K5" s="105"/>
      <x:c r="L5" s="105"/>
      <x:c r="M5" s="105"/>
      <x:c r="N5" s="105"/>
      <x:c r="O5" s="106"/>
    </x:row>
    <x:row r="6">
      <x:c r="A6" s="98"/>
      <x:c r="B6" s="99"/>
      <x:c r="D6" s="102"/>
      <x:c r="E6" s="103"/>
      <x:c r="G6" s="107"/>
      <x:c r="H6" s="108"/>
      <x:c r="I6" s="108"/>
      <x:c r="J6" s="108"/>
      <x:c r="K6" s="108"/>
      <x:c r="L6" s="108"/>
      <x:c r="M6" s="108"/>
      <x:c r="N6" s="108"/>
      <x:c r="O6" s="109"/>
    </x:row>
    <x:row r="9" ht="28.049999237060547" customHeight="1">
      <x:c r="A9" s="1" t="s">
        <x:v>69</x:v>
      </x:c>
      <x:c r="B9" s="2" t="s">
        <x:v>70</x:v>
      </x:c>
      <x:c r="C9" s="2" t="s">
        <x:v>71</x:v>
      </x:c>
      <x:c r="D9" s="2" t="s">
        <x:v>72</x:v>
      </x:c>
      <x:c r="E9" s="2" t="s">
        <x:v>1019</x:v>
      </x:c>
      <x:c r="F9" s="2" t="s">
        <x:v>1020</x:v>
      </x:c>
      <x:c r="G9" s="2" t="s">
        <x:v>34</x:v>
      </x:c>
      <x:c r="H9" s="2" t="s">
        <x:v>1021</x:v>
      </x:c>
      <x:c r="I9" s="2" t="s">
        <x:v>1022</x:v>
      </x:c>
      <x:c r="J9" s="2" t="s">
        <x:v>1023</x:v>
      </x:c>
      <x:c r="K9" s="2" t="s">
        <x:v>1024</x:v>
      </x:c>
      <x:c r="L9" s="2" t="s">
        <x:v>1025</x:v>
      </x:c>
      <x:c r="M9" s="2" t="s">
        <x:v>1026</x:v>
      </x:c>
      <x:c r="N9" s="2" t="s">
        <x:v>1027</x:v>
      </x:c>
      <x:c r="O9" s="3" t="s">
        <x:v>85</x:v>
      </x:c>
      <x:c r="P9" s="29" t="s">
        <x:v>87</x:v>
      </x:c>
    </x:row>
    <x:row r="10" ht="96.5999984741211">
      <x:c r="A10" s="10" t="s">
        <x:v>698</x:v>
      </x:c>
      <x:c r="B10" s="10">
        <x:v>1</x:v>
      </x:c>
      <x:c r="C10" s="10" t="s">
        <x:v>89</x:v>
      </x:c>
      <x:c r="D10" s="10" t="s">
        <x:v>699</x:v>
      </x:c>
      <x:c r="E10" s="10" t="s">
        <x:v>700</x:v>
      </x:c>
      <x:c r="F10" s="10" t="s">
        <x:v>701</x:v>
      </x:c>
      <x:c r="G10" s="10" t="s">
        <x:v>93</x:v>
      </x:c>
      <x:c r="H10" s="15">
        <x:v>1</x:v>
      </x:c>
      <x:c r="I10" s="10" t="s">
        <x:v>702</x:v>
      </x:c>
      <x:c r="J10" s="10" t="s">
        <x:v>703</x:v>
      </x:c>
      <x:c r="K10" s="10" t="s">
        <x:v>704</x:v>
      </x:c>
      <x:c r="L10" s="10" t="s">
        <x:v>705</x:v>
      </x:c>
      <x:c r="M10" s="10" t="s">
        <x:v>707</x:v>
      </x:c>
      <x:c r="N10" s="10" t="s">
        <x:v>708</x:v>
      </x:c>
      <x:c r="O10" s="10" t="s">
        <x:v>313</x:v>
      </x:c>
      <x:c r="P10" s="29" t="s">
        <x:v>709</x:v>
      </x:c>
    </x:row>
    <x:row r="11" ht="124.19999694824219">
      <x:c r="A11" s="11" t="s">
        <x:v>710</x:v>
      </x:c>
      <x:c r="B11" s="11">
        <x:v>2</x:v>
      </x:c>
      <x:c r="C11" s="11" t="s">
        <x:v>89</x:v>
      </x:c>
      <x:c r="D11" s="11" t="s">
        <x:v>711</x:v>
      </x:c>
      <x:c r="E11" s="11" t="s">
        <x:v>712</x:v>
      </x:c>
      <x:c r="F11" s="11" t="s">
        <x:v>713</x:v>
      </x:c>
      <x:c r="G11" s="11" t="s">
        <x:v>123</x:v>
      </x:c>
      <x:c r="H11" s="16">
        <x:v>1.25</x:v>
      </x:c>
      <x:c r="I11" s="11" t="s">
        <x:v>714</x:v>
      </x:c>
      <x:c r="J11" s="11" t="s">
        <x:v>197</x:v>
      </x:c>
      <x:c r="K11" s="11" t="s">
        <x:v>715</x:v>
      </x:c>
      <x:c r="L11"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1" s="11" t="s">
        <x:v>718</x:v>
      </x:c>
      <x:c r="N11" s="11" t="s">
        <x:v>719</x:v>
      </x:c>
      <x:c r="O11" s="11" t="s">
        <x:v>313</x:v>
      </x:c>
      <x:c r="P11" s="29" t="s">
        <x:v>720</x:v>
      </x:c>
    </x:row>
    <x:row r="12" ht="110.4000015258789">
      <x:c r="A12" s="11" t="s">
        <x:v>721</x:v>
      </x:c>
      <x:c r="B12" s="11">
        <x:v>3</x:v>
      </x:c>
      <x:c r="C12" s="11" t="s">
        <x:v>89</x:v>
      </x:c>
      <x:c r="D12" s="11" t="s">
        <x:v>722</x:v>
      </x:c>
      <x:c r="E12" s="11" t="s">
        <x:v>723</x:v>
      </x:c>
      <x:c r="F12" s="11" t="s">
        <x:v>724</x:v>
      </x:c>
      <x:c r="G12" s="11" t="s">
        <x:v>123</x:v>
      </x:c>
      <x:c r="H12" s="16">
        <x:v>1.25</x:v>
      </x:c>
      <x:c r="I12" s="11" t="s">
        <x:v>714</x:v>
      </x:c>
      <x:c r="J12" s="11" t="s">
        <x:v>725</x:v>
      </x:c>
      <x:c r="K12" s="11" t="s">
        <x:v>726</x:v>
      </x:c>
      <x:c r="L12"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2" s="11" t="s">
        <x:v>729</x:v>
      </x:c>
      <x:c r="N12" s="11" t="s">
        <x:v>732</x:v>
      </x:c>
      <x:c r="O12" s="11" t="s">
        <x:v>313</x:v>
      </x:c>
      <x:c r="P12" s="29" t="s">
        <x:v>733</x:v>
      </x:c>
    </x:row>
    <x:row r="13" ht="110.4000015258789">
      <x:c r="A13" s="11" t="s">
        <x:v>734</x:v>
      </x:c>
      <x:c r="B13" s="11">
        <x:v>4</x:v>
      </x:c>
      <x:c r="C13" s="11" t="s">
        <x:v>89</x:v>
      </x:c>
      <x:c r="D13" s="11" t="s">
        <x:v>735</x:v>
      </x:c>
      <x:c r="E13" s="11" t="s">
        <x:v>736</x:v>
      </x:c>
      <x:c r="F13" s="11" t="s">
        <x:v>737</x:v>
      </x:c>
      <x:c r="G13" s="11" t="s">
        <x:v>123</x:v>
      </x:c>
      <x:c r="H13" s="16">
        <x:v>1.25</x:v>
      </x:c>
      <x:c r="I13" s="11" t="s">
        <x:v>714</x:v>
      </x:c>
      <x:c r="J13" s="11" t="s">
        <x:v>738</x:v>
      </x:c>
      <x:c r="K13" s="11" t="s">
        <x:v>739</x:v>
      </x:c>
      <x:c r="L13"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3" s="11" t="s">
        <x:v>742</x:v>
      </x:c>
      <x:c r="N13" s="11" t="s">
        <x:v>744</x:v>
      </x:c>
      <x:c r="O13" s="11" t="s">
        <x:v>313</x:v>
      </x:c>
      <x:c r="P13" s="29" t="s">
        <x:v>745</x:v>
      </x:c>
    </x:row>
    <x:row r="14" ht="110.4000015258789">
      <x:c r="A14" s="11" t="s">
        <x:v>746</x:v>
      </x:c>
      <x:c r="B14" s="11">
        <x:v>5</x:v>
      </x:c>
      <x:c r="C14" s="11" t="s">
        <x:v>89</x:v>
      </x:c>
      <x:c r="D14" s="11" t="s">
        <x:v>747</x:v>
      </x:c>
      <x:c r="E14" s="11" t="s">
        <x:v>748</x:v>
      </x:c>
      <x:c r="F14" s="11" t="s">
        <x:v>749</x:v>
      </x:c>
      <x:c r="G14" s="11" t="s">
        <x:v>123</x:v>
      </x:c>
      <x:c r="H14" s="16">
        <x:v>1.5</x:v>
      </x:c>
      <x:c r="I14" s="11" t="s">
        <x:v>714</x:v>
      </x:c>
      <x:c r="J14" s="11" t="s">
        <x:v>750</x:v>
      </x:c>
      <x:c r="K14" s="11" t="s">
        <x:v>751</x:v>
      </x:c>
      <x:c r="L14" s="11" t="s">
        <x:v>752</x:v>
      </x:c>
      <x:c r="M14" s="11" t="s">
        <x:v>754</x:v>
      </x:c>
      <x:c r="N14" s="11" t="s">
        <x:v>757</x:v>
      </x:c>
      <x:c r="O14" s="11" t="s">
        <x:v>313</x:v>
      </x:c>
      <x:c r="P14" s="29" t="s">
        <x:v>758</x:v>
      </x:c>
    </x:row>
    <x:row r="15" ht="110.4000015258789">
      <x:c r="A15" s="11" t="s">
        <x:v>759</x:v>
      </x:c>
      <x:c r="B15" s="11">
        <x:v>6</x:v>
      </x:c>
      <x:c r="C15" s="11" t="s">
        <x:v>89</x:v>
      </x:c>
      <x:c r="D15" s="11" t="s">
        <x:v>760</x:v>
      </x:c>
      <x:c r="E15" s="11" t="s">
        <x:v>761</x:v>
      </x:c>
      <x:c r="F15" s="11" t="s">
        <x:v>762</x:v>
      </x:c>
      <x:c r="G15" s="11" t="s">
        <x:v>123</x:v>
      </x:c>
      <x:c r="H15" s="16">
        <x:v>1</x:v>
      </x:c>
      <x:c r="I15" s="11" t="s">
        <x:v>763</x:v>
      </x:c>
      <x:c r="J15" s="11" t="s">
        <x:v>764</x:v>
      </x:c>
      <x:c r="K15" s="11" t="s">
        <x:v>765</x:v>
      </x:c>
      <x:c r="L15"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5" s="11" t="s">
        <x:v>768</x:v>
      </x:c>
      <x:c r="N15" s="11" t="s">
        <x:v>771</x:v>
      </x:c>
      <x:c r="O15" s="11" t="s">
        <x:v>313</x:v>
      </x:c>
      <x:c r="P15" s="29" t="s">
        <x:v>772</x:v>
      </x:c>
    </x:row>
    <x:row r="16" ht="124.19999694824219">
      <x:c r="A16" s="11" t="s">
        <x:v>773</x:v>
      </x:c>
      <x:c r="B16" s="11">
        <x:v>7</x:v>
      </x:c>
      <x:c r="C16" s="11" t="s">
        <x:v>89</x:v>
      </x:c>
      <x:c r="D16" s="11" t="s">
        <x:v>774</x:v>
      </x:c>
      <x:c r="E16" s="11" t="s">
        <x:v>775</x:v>
      </x:c>
      <x:c r="F16" s="11" t="s">
        <x:v>776</x:v>
      </x:c>
      <x:c r="G16" s="11" t="s">
        <x:v>123</x:v>
      </x:c>
      <x:c r="H16" s="16">
        <x:v>1.5</x:v>
      </x:c>
      <x:c r="I16" s="11" t="s">
        <x:v>777</x:v>
      </x:c>
      <x:c r="J16" s="11" t="s">
        <x:v>778</x:v>
      </x:c>
      <x:c r="K16" s="11" t="s">
        <x:v>779</x:v>
      </x:c>
      <x:c r="L16" s="11" t="s">
        <x:v>780</x:v>
      </x:c>
      <x:c r="M16" s="11" t="s">
        <x:v>782</x:v>
      </x:c>
      <x:c r="N16" s="11" t="s">
        <x:v>784</x:v>
      </x:c>
      <x:c r="O16" s="11" t="s">
        <x:v>313</x:v>
      </x:c>
      <x:c r="P16" s="29" t="s">
        <x:v>785</x:v>
      </x:c>
    </x:row>
    <x:row r="17" ht="110.4000015258789">
      <x:c r="A17" s="11" t="s">
        <x:v>786</x:v>
      </x:c>
      <x:c r="B17" s="11">
        <x:v>8</x:v>
      </x:c>
      <x:c r="C17" s="11" t="s">
        <x:v>89</x:v>
      </x:c>
      <x:c r="D17" s="11" t="s">
        <x:v>787</x:v>
      </x:c>
      <x:c r="E17" s="11" t="s">
        <x:v>788</x:v>
      </x:c>
      <x:c r="F17" s="11" t="s">
        <x:v>789</x:v>
      </x:c>
      <x:c r="G17" s="11" t="s">
        <x:v>123</x:v>
      </x:c>
      <x:c r="H17" s="16">
        <x:v>1</x:v>
      </x:c>
      <x:c r="I17" s="11" t="s">
        <x:v>777</x:v>
      </x:c>
      <x:c r="J17" s="11" t="s">
        <x:v>101</x:v>
      </x:c>
      <x:c r="K17" s="11" t="s">
        <x:v>790</x:v>
      </x:c>
      <x:c r="L17"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17" s="11" t="s">
        <x:v>793</x:v>
      </x:c>
      <x:c r="N17" s="11" t="s">
        <x:v>794</x:v>
      </x:c>
      <x:c r="O17" s="11" t="s">
        <x:v>313</x:v>
      </x:c>
      <x:c r="P17" s="29" t="s">
        <x:v>795</x:v>
      </x:c>
    </x:row>
    <x:row r="18" ht="110.4000015258789">
      <x:c r="A18" s="11" t="s">
        <x:v>796</x:v>
      </x:c>
      <x:c r="B18" s="11">
        <x:v>9</x:v>
      </x:c>
      <x:c r="C18" s="11" t="s">
        <x:v>89</x:v>
      </x:c>
      <x:c r="D18" s="11" t="s">
        <x:v>797</x:v>
      </x:c>
      <x:c r="E18" s="11" t="s">
        <x:v>798</x:v>
      </x:c>
      <x:c r="F18" s="11" t="s">
        <x:v>799</x:v>
      </x:c>
      <x:c r="G18" s="11" t="s">
        <x:v>109</x:v>
      </x:c>
      <x:c r="H18" s="16">
        <x:v>1</x:v>
      </x:c>
      <x:c r="I18" s="11" t="s">
        <x:v>800</x:v>
      </x:c>
      <x:c r="J18" s="11" t="s">
        <x:v>614</x:v>
      </x:c>
      <x:c r="K18" s="11" t="s">
        <x:v>801</x:v>
      </x:c>
      <x:c r="L18" s="11" t="s">
        <x:v>802</x:v>
      </x:c>
      <x:c r="M18" s="11" t="s">
        <x:v>804</x:v>
      </x:c>
      <x:c r="N18" s="11" t="s">
        <x:v>806</x:v>
      </x:c>
      <x:c r="O18" s="11" t="s">
        <x:v>313</x:v>
      </x:c>
      <x:c r="P18" s="29" t="s">
        <x:v>807</x:v>
      </x:c>
    </x:row>
    <x:row r="19" ht="124.19999694824219">
      <x:c r="A19" s="11" t="s">
        <x:v>808</x:v>
      </x:c>
      <x:c r="B19" s="11">
        <x:v>10</x:v>
      </x:c>
      <x:c r="C19" s="11" t="s">
        <x:v>89</x:v>
      </x:c>
      <x:c r="D19" s="11" t="s">
        <x:v>809</x:v>
      </x:c>
      <x:c r="E19" s="11" t="s">
        <x:v>810</x:v>
      </x:c>
      <x:c r="F19" s="11" t="s">
        <x:v>811</x:v>
      </x:c>
      <x:c r="G19" s="11" t="s">
        <x:v>93</x:v>
      </x:c>
      <x:c r="H19" s="16">
        <x:v>1.5</x:v>
      </x:c>
      <x:c r="I19" s="11" t="s">
        <x:v>800</x:v>
      </x:c>
      <x:c r="J19" s="11" t="s">
        <x:v>368</x:v>
      </x:c>
      <x:c r="K19" s="11" t="s">
        <x:v>812</x:v>
      </x:c>
      <x:c r="L19" s="11" t="s">
        <x:v>813</x:v>
      </x:c>
      <x:c r="M19" s="11" t="s">
        <x:v>815</x:v>
      </x:c>
      <x:c r="N19" s="11" t="s">
        <x:v>816</x:v>
      </x:c>
      <x:c r="O19" s="11" t="s">
        <x:v>313</x:v>
      </x:c>
      <x:c r="P19" s="29" t="s">
        <x:v>817</x:v>
      </x:c>
    </x:row>
    <x:row r="20" ht="110.4000015258789">
      <x:c r="A20" s="11" t="s">
        <x:v>818</x:v>
      </x:c>
      <x:c r="B20" s="11">
        <x:v>11</x:v>
      </x:c>
      <x:c r="C20" s="11" t="s">
        <x:v>89</x:v>
      </x:c>
      <x:c r="D20" s="11" t="s">
        <x:v>819</x:v>
      </x:c>
      <x:c r="E20" s="11" t="s">
        <x:v>820</x:v>
      </x:c>
      <x:c r="F20" s="11" t="s">
        <x:v>821</x:v>
      </x:c>
      <x:c r="G20" s="11" t="s">
        <x:v>109</x:v>
      </x:c>
      <x:c r="H20" s="16">
        <x:v>0.75</x:v>
      </x:c>
      <x:c r="I20" s="11" t="s">
        <x:v>800</x:v>
      </x:c>
      <x:c r="J20" s="11" t="s">
        <x:v>368</x:v>
      </x:c>
      <x:c r="K20" s="11" t="s">
        <x:v>822</x:v>
      </x:c>
      <x:c r="L20" s="11" t="s">
        <x:v>823</x:v>
      </x:c>
      <x:c r="M20" s="11" t="s">
        <x:v>825</x:v>
      </x:c>
      <x:c r="N20" s="11" t="s">
        <x:v>827</x:v>
      </x:c>
      <x:c r="O20" s="11" t="s">
        <x:v>313</x:v>
      </x:c>
      <x:c r="P20" s="29" t="s">
        <x:v>828</x:v>
      </x:c>
    </x:row>
    <x:row r="21" ht="124.19999694824219">
      <x:c r="A21" s="11" t="s">
        <x:v>829</x:v>
      </x:c>
      <x:c r="B21" s="11">
        <x:v>12</x:v>
      </x:c>
      <x:c r="C21" s="11" t="s">
        <x:v>89</x:v>
      </x:c>
      <x:c r="D21" s="11" t="s">
        <x:v>830</x:v>
      </x:c>
      <x:c r="E21" s="11" t="s">
        <x:v>831</x:v>
      </x:c>
      <x:c r="F21" s="11" t="s">
        <x:v>832</x:v>
      </x:c>
      <x:c r="G21" s="11" t="s">
        <x:v>109</x:v>
      </x:c>
      <x:c r="H21" s="16">
        <x:v>1</x:v>
      </x:c>
      <x:c r="I21" s="11" t="s">
        <x:v>800</x:v>
      </x:c>
      <x:c r="J21" s="11" t="s">
        <x:v>222</x:v>
      </x:c>
      <x:c r="K21" s="11" t="s">
        <x:v>833</x:v>
      </x:c>
      <x:c r="L21"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1" s="11" t="s">
        <x:v>836</x:v>
      </x:c>
      <x:c r="N21" s="11" t="s">
        <x:v>837</x:v>
      </x:c>
      <x:c r="O21" s="11" t="s">
        <x:v>313</x:v>
      </x:c>
      <x:c r="P21" s="29" t="s">
        <x:v>838</x:v>
      </x:c>
    </x:row>
    <x:row r="22" ht="110.4000015258789">
      <x:c r="A22" s="11" t="s">
        <x:v>839</x:v>
      </x:c>
      <x:c r="B22" s="11">
        <x:v>13</x:v>
      </x:c>
      <x:c r="C22" s="11" t="s">
        <x:v>89</x:v>
      </x:c>
      <x:c r="D22" s="11" t="s">
        <x:v>231</x:v>
      </x:c>
      <x:c r="E22" s="11" t="s">
        <x:v>840</x:v>
      </x:c>
      <x:c r="F22" s="11" t="s">
        <x:v>841</x:v>
      </x:c>
      <x:c r="G22" s="11" t="s">
        <x:v>93</x:v>
      </x:c>
      <x:c r="H22" s="16">
        <x:v>0.75</x:v>
      </x:c>
      <x:c r="I22" s="11" t="inlineStr">
        <x:is>
          <x:t xml:space="preserve">W5-REVIEW-001</x:t>
        </x:is>
      </x:c>
      <x:c r="J22" s="11" t="s">
        <x:v>842</x:v>
      </x:c>
      <x:c r="K22" s="11" t="s">
        <x:v>843</x:v>
      </x:c>
      <x:c r="L22" s="11" t="s">
        <x:v>844</x:v>
      </x:c>
      <x:c r="M22" s="11" t="s">
        <x:v>846</x:v>
      </x:c>
      <x:c r="N22" s="11" t="s">
        <x:v>848</x:v>
      </x:c>
      <x:c r="O22" s="11" t="s">
        <x:v>313</x:v>
      </x:c>
      <x:c r="P22" s="29" t="s">
        <x:v>849</x:v>
      </x:c>
    </x:row>
    <x:row r="23" ht="24" customHeight="1">
      <x:c r="A23" s="24" t="s">
        <x:v>850</x:v>
      </x:c>
      <x:c r="B23" s="24">
        <x:v>14</x:v>
      </x:c>
      <x:c r="C23" s="24" t="s">
        <x:v>89</x:v>
      </x:c>
      <x:c r="D23" s="24" t="s">
        <x:v>244</x:v>
      </x:c>
      <x:c r="E23" s="24" t="s">
        <x:v>851</x:v>
      </x:c>
      <x:c r="F23" s="24" t="s">
        <x:v>852</x:v>
      </x:c>
      <x:c r="G23" s="24" t="s">
        <x:v>109</x:v>
      </x:c>
      <x:c r="H23">
        <x:v>1</x:v>
      </x:c>
      <x:c r="I23" t="s">
        <x:v>247</x:v>
      </x:c>
      <x:c r="J23" t="s">
        <x:v>101</x:v>
      </x:c>
      <x:c r="K23" t="s">
        <x:v>853</x:v>
      </x:c>
      <x:c r="L23" t="s">
        <x:v>2362</x:v>
      </x:c>
      <x:c r="M23" t="s">
        <x:v>854</x:v>
      </x:c>
      <x:c r="N23" t="s">
        <x:v>253</x:v>
      </x:c>
      <x:c r="O23" t="s">
        <x:v>313</x:v>
      </x:c>
      <x:c r="P23" s="29" t="s">
        <x:v>857</x:v>
      </x:c>
    </x:row>
    <x:row r="24" ht="34.04999923706055" customHeight="1">
      <x:c r="A24" s="110"/>
      <x:c r="B24" s="110"/>
      <x:c r="C24" s="110"/>
      <x:c r="D24" s="110"/>
      <x:c r="E24" s="110"/>
      <x:c r="F24" s="110"/>
      <x:c r="G24" s="110"/>
      <x:c r="H24" s="95"/>
      <x:c r="I24" s="95"/>
      <x:c r="J24" s="95"/>
      <x:c r="K24" s="95"/>
      <x:c r="L24" s="95"/>
      <x:c r="M24" s="95"/>
      <x:c r="N24" s="95"/>
      <x:c r="O24" s="95"/>
    </x:row>
    <x:row r="25" ht="48" customHeight="1">
      <x:c r="A25" s="32" t="s">
        <x:v>1028</x:v>
      </x:c>
      <x:c r="B25" s="32"/>
      <x:c r="C25" s="32"/>
      <x:c r="D25" s="32"/>
      <x:c r="E25" s="32"/>
      <x:c r="F25" s="32"/>
      <x:c r="G25" s="32"/>
      <x:c r="H25" s="31"/>
      <x:c r="I25" s="31"/>
      <x:c r="J25" s="31"/>
      <x:c r="K25" s="31"/>
      <x:c r="L25" s="31"/>
      <x:c r="M25" s="31"/>
      <x:c r="N25" s="31"/>
      <x:c r="O25" s="31"/>
      <x:c r="P25" s="31"/>
    </x:row>
    <x:row r="26" ht="48" customHeight="1">
      <x:c r="A26" s="33" t="s">
        <x:v>1029</x:v>
      </x:c>
      <x:c r="B26" s="33" t="s">
        <x:v>76</x:v>
      </x:c>
      <x:c r="C26" s="33" t="s">
        <x:v>1030</x:v>
      </x:c>
      <x:c r="D26" s="33" t="s">
        <x:v>1031</x:v>
      </x:c>
      <x:c r="E26" s="33" t="s">
        <x:v>1032</x:v>
      </x:c>
      <x:c r="F26" s="33" t="s">
        <x:v>1033</x:v>
      </x:c>
      <x:c r="G26" s="33" t="s">
        <x:v>1034</x:v>
      </x:c>
    </x:row>
    <x:row r="27" ht="52.04999923706055" customHeight="1">
      <x:c r="A27" s="34">
        <x:v>1</x:v>
      </x:c>
      <x:c r="B27" s="34" t="s">
        <x:v>702</x:v>
      </x:c>
      <x:c r="C27" s="34" t="s">
        <x:v>1138</x:v>
      </x:c>
      <x:c r="D27" s="34" t="s">
        <x:v>1139</x:v>
      </x:c>
      <x:c r="E27" s="34" t="s">
        <x:v>1140</x:v>
      </x:c>
      <x:c r="F27" s="34" t="s">
        <x:v>1141</x:v>
      </x:c>
      <x:c r="G27" s="34" t="s">
        <x:v>1039</x:v>
      </x:c>
    </x:row>
    <x:row r="28" ht="52.04999923706055" customHeight="1">
      <x:c r="A28" s="22">
        <x:v>2</x:v>
      </x:c>
      <x:c r="B28" s="22" t="s">
        <x:v>714</x:v>
      </x:c>
      <x:c r="C28" s="22" t="s">
        <x:v>1142</x:v>
      </x:c>
      <x:c r="D28" s="22" t="s">
        <x:v>1143</x:v>
      </x:c>
      <x:c r="E28" s="22" t="s">
        <x:v>1144</x:v>
      </x:c>
      <x:c r="F28" s="22" t="s">
        <x:v>1145</x:v>
      </x:c>
      <x:c r="G28" s="22" t="s">
        <x:v>1048</x:v>
      </x:c>
    </x:row>
    <x:row r="29" ht="52.04999923706055" customHeight="1">
      <x:c r="A29" s="34">
        <x:v>3</x:v>
      </x:c>
      <x:c r="B29" s="34" t="s">
        <x:v>777</x:v>
      </x:c>
      <x:c r="C29" s="34" t="s">
        <x:v>1146</x:v>
      </x:c>
      <x:c r="D29" s="34" t="s">
        <x:v>1147</x:v>
      </x:c>
      <x:c r="E29" s="34" t="s">
        <x:v>1148</x:v>
      </x:c>
      <x:c r="F29" s="34" t="s">
        <x:v>1149</x:v>
      </x:c>
      <x:c r="G29" s="34" t="s">
        <x:v>1048</x:v>
      </x:c>
    </x:row>
    <x:row r="30" ht="52.04999923706055" customHeight="1">
      <x:c r="A30" s="22">
        <x:v>4</x:v>
      </x:c>
      <x:c r="B30" s="22" t="s">
        <x:v>763</x:v>
      </x:c>
      <x:c r="C30" s="22" t="s">
        <x:v>1150</x:v>
      </x:c>
      <x:c r="D30" s="22" t="s">
        <x:v>1151</x:v>
      </x:c>
      <x:c r="E30" s="22" t="s">
        <x:v>1152</x:v>
      </x:c>
      <x:c r="F30" s="22" t="s">
        <x:v>1153</x:v>
      </x:c>
      <x:c r="G30" s="22" t="s">
        <x:v>1048</x:v>
      </x:c>
    </x:row>
    <x:row r="31" ht="52.04999923706055" customHeight="1">
      <x:c r="A31" s="35">
        <x:v>5</x:v>
      </x:c>
      <x:c r="B31" s="35" t="s">
        <x:v>800</x:v>
      </x:c>
      <x:c r="C31" s="35" t="s">
        <x:v>1154</x:v>
      </x:c>
      <x:c r="D31" s="35" t="s">
        <x:v>1155</x:v>
      </x:c>
      <x:c r="E31" s="35" t="s">
        <x:v>1156</x:v>
      </x:c>
      <x:c r="F31" s="35" t="s">
        <x:v>1157</x:v>
      </x:c>
      <x:c r="G31" s="35" t="s">
        <x:v>1048</x:v>
      </x:c>
    </x:row>
    <x:row r="32" ht="52.04999923706055" customHeight="1">
      <x:c r="A32" s="35">
        <x:v>6</x:v>
      </x:c>
      <x:c r="B32" s="35" t="inlineStr">
        <x:is>
          <x:t xml:space="preserve">W5-REVIEW-001</x:t>
        </x:is>
      </x:c>
      <x:c r="C32" s="35" t="s">
        <x:v>1061</x:v>
      </x:c>
      <x:c r="D32" s="35" t="s">
        <x:v>1062</x:v>
      </x:c>
      <x:c r="E32" s="35" t="inlineStr">
        <x:is>
          <x:t xml:space="preserve">Week 5 sheet, evidence register, ADRs, TODOs and owner-supplied results</x:t>
        </x:is>
      </x:c>
      <x:c r="F32" s="35" t="inlineStr">
        <x:is>
          <x:t xml:space="preserve">docs/deployment-records/W5-signoff.md</x:t>
        </x:is>
      </x:c>
      <x:c r="G32" s="35" t="s">
        <x:v>1039</x:v>
      </x:c>
    </x:row>
    <x:row r="33" ht="52.04999923706055" customHeight="1">
      <x:c r="A33" s="35">
        <x:v>7</x:v>
      </x:c>
      <x:c r="B33" s="35" t="s">
        <x:v>247</x:v>
      </x:c>
      <x:c r="C33" s="35" t="s">
        <x:v>1158</x:v>
      </x:c>
      <x:c r="D33" s="35" t="s">
        <x:v>1064</x:v>
      </x:c>
      <x:c r="E33" s="35" t="s">
        <x:v>1065</x:v>
      </x:c>
      <x:c r="F33" s="35" t="s">
        <x:v>1159</x:v>
      </x:c>
      <x:c r="G33" s="35" t="s">
        <x:v>1067</x:v>
      </x:c>
    </x:row>
  </x:sheetData>
  <x:mergeCells>
    <x:mergeCell ref="A24:O24"/>
    <x:mergeCell ref="A1:O1"/>
    <x:mergeCell ref="A2:O2"/>
    <x:mergeCell ref="A4:B4"/>
    <x:mergeCell ref="A5:B6"/>
    <x:mergeCell ref="D4:E4"/>
    <x:mergeCell ref="D5:E6"/>
    <x:mergeCell ref="G4:O4"/>
    <x:mergeCell ref="G5:O6"/>
  </x:mergeCells>
  <x:conditionalFormatting sqref="O10:O22">
    <x:cfRule type="containsText" dxfId="27" priority="1" operator="containsText" text="Done"/>
    <x:cfRule type="containsText" dxfId="26" priority="2" operator="containsText" text="Blocked"/>
    <x:cfRule type="containsText" dxfId="25" priority="3" operator="containsText" text="In Progress"/>
    <x:cfRule type="containsText" dxfId="24" priority="4" operator="containsText" text="Ready for Review"/>
  </x:conditionalFormatting>
  <x:dataValidations count="1">
    <x:dataValidation type="list" sqref="O10:O22">
      <x:formula1>"Not Started,In Progress,Blocked,Ready for Review,Done,Deferred"</x:formula1>
    </x:dataValidation>
  </x:dataValidations>
  <x:pageMargins left="0.7" right="0.7" top="0.75" bottom="0.75" header="0.3" footer="0.3"/>
  <x:tableParts count="1">
    <x:tablePart xmlns:r="http://schemas.openxmlformats.org/officeDocument/2006/relationships" r:id="Rf9c94477c0d74c60"/>
  </x:tableParts>
</x:worksheet>
</file>

<file path=xl/worksheets/sheet9.xml><?xml version="1.0" encoding="utf-8"?>
<x:worksheet xmlns:x="http://schemas.openxmlformats.org/spreadsheetml/2006/main">
  <x:sheetViews>
    <x:sheetView showGridLines="0" workbookViewId="0"/>
  </x:sheetViews>
  <x:sheetFormatPr defaultRowHeight="13.800000190734863"/>
  <x:cols>
    <x:col min="1" max="1" width="9" customWidth="1"/>
    <x:col min="2" max="2" width="22" customWidth="1"/>
    <x:col min="3" max="3" width="31" customWidth="1"/>
    <x:col min="4" max="4" width="42" customWidth="1"/>
    <x:col min="5" max="5" width="38" customWidth="1"/>
    <x:col min="6" max="6" width="42" customWidth="1"/>
    <x:col min="7" max="7" width="45" customWidth="1"/>
    <x:col min="8" max="8" width="8" customWidth="1"/>
    <x:col min="9" max="9" width="13" customWidth="1"/>
    <x:col min="10" max="10" width="18" customWidth="1"/>
    <x:col min="11" max="11" width="36" customWidth="1"/>
    <x:col min="12" max="12" width="38" customWidth="1"/>
    <x:col min="13" max="13" width="28" customWidth="1"/>
    <x:col min="14" max="14" width="36" customWidth="1"/>
    <x:col min="15" max="15" width="16" customWidth="1"/>
    <x:col min="16" max="16" width="52" customWidth="1"/>
  </x:cols>
  <x:sheetData>
    <x:row r="1" ht="31.950000762939453" customHeight="1">
      <x:c r="A1" s="56" t="s">
        <x:v>1160</x:v>
      </x:c>
      <x:c r="B1" s="56"/>
      <x:c r="C1" s="56"/>
      <x:c r="D1" s="56"/>
      <x:c r="E1" s="56"/>
      <x:c r="F1" s="56"/>
      <x:c r="G1" s="56"/>
      <x:c r="H1" s="56"/>
      <x:c r="I1" s="56"/>
      <x:c r="J1" s="56"/>
      <x:c r="K1" s="56"/>
      <x:c r="L1" s="56"/>
      <x:c r="M1" s="56"/>
      <x:c r="N1" s="56"/>
      <x:c r="O1" s="56"/>
    </x:row>
    <x:row r="2" ht="31.950000762939453" customHeight="1">
      <x:c r="A2" s="57" t="s">
        <x:v>1161</x:v>
      </x:c>
      <x:c r="B2" s="57"/>
      <x:c r="C2" s="57"/>
      <x:c r="D2" s="57"/>
      <x:c r="E2" s="57"/>
      <x:c r="F2" s="57"/>
      <x:c r="G2" s="57"/>
      <x:c r="H2" s="57"/>
      <x:c r="I2" s="57"/>
      <x:c r="J2" s="57"/>
      <x:c r="K2" s="57"/>
      <x:c r="L2" s="57"/>
      <x:c r="M2" s="57"/>
      <x:c r="N2" s="57"/>
      <x:c r="O2" s="57"/>
    </x:row>
    <x:row r="4" ht="28.049999237060547" customHeight="1">
      <x:c r="A4" s="58" t="s">
        <x:v>55</x:v>
      </x:c>
      <x:c r="B4" s="60"/>
      <x:c r="D4" s="58" t="s">
        <x:v>48</x:v>
      </x:c>
      <x:c r="E4" s="60"/>
      <x:c r="G4" s="58" t="s">
        <x:v>1017</x:v>
      </x:c>
      <x:c r="H4" s="59"/>
      <x:c r="I4" s="59"/>
      <x:c r="J4" s="59"/>
      <x:c r="K4" s="59"/>
      <x:c r="L4" s="59"/>
      <x:c r="M4" s="59"/>
      <x:c r="N4" s="59"/>
      <x:c r="O4" s="60"/>
    </x:row>
    <x:row r="5">
      <x:c r="A5" s="96" t="n">
        <x:f>IF(COUNTA(O10:O40)=0,0,COUNTIF(O10:O40,"Done")/COUNTA(A10:A40))</x:f>
        <x:v>0</x:v>
      </x:c>
      <x:c r="B5" s="97"/>
      <x:c r="D5" s="100" t="n">
        <x:f>COUNTIF(O10:O40,"Blocked")</x:f>
        <x:v>0</x:v>
      </x:c>
      <x:c r="E5" s="101"/>
      <x:c r="G5" s="104" t="s">
        <x:v>1162</x:v>
      </x:c>
      <x:c r="H5" s="105"/>
      <x:c r="I5" s="105"/>
      <x:c r="J5" s="105"/>
      <x:c r="K5" s="105"/>
      <x:c r="L5" s="105"/>
      <x:c r="M5" s="105"/>
      <x:c r="N5" s="105"/>
      <x:c r="O5" s="106"/>
    </x:row>
    <x:row r="6">
      <x:c r="A6" s="98"/>
      <x:c r="B6" s="99"/>
      <x:c r="D6" s="102"/>
      <x:c r="E6" s="103"/>
      <x:c r="G6" s="107"/>
      <x:c r="H6" s="108"/>
      <x:c r="I6" s="108"/>
      <x:c r="J6" s="108"/>
      <x:c r="K6" s="108"/>
      <x:c r="L6" s="108"/>
      <x:c r="M6" s="108"/>
      <x:c r="N6" s="108"/>
      <x:c r="O6" s="109"/>
    </x:row>
    <x:row r="9" ht="28.049999237060547" customHeight="1">
      <x:c r="A9" s="1" t="s">
        <x:v>69</x:v>
      </x:c>
      <x:c r="B9" s="2" t="s">
        <x:v>70</x:v>
      </x:c>
      <x:c r="C9" s="2" t="s">
        <x:v>71</x:v>
      </x:c>
      <x:c r="D9" s="2" t="s">
        <x:v>72</x:v>
      </x:c>
      <x:c r="E9" s="2" t="s">
        <x:v>1019</x:v>
      </x:c>
      <x:c r="F9" s="2" t="s">
        <x:v>1020</x:v>
      </x:c>
      <x:c r="G9" s="2" t="s">
        <x:v>34</x:v>
      </x:c>
      <x:c r="H9" s="2" t="s">
        <x:v>1021</x:v>
      </x:c>
      <x:c r="I9" s="2" t="s">
        <x:v>1022</x:v>
      </x:c>
      <x:c r="J9" s="2" t="s">
        <x:v>1023</x:v>
      </x:c>
      <x:c r="K9" s="2" t="s">
        <x:v>1024</x:v>
      </x:c>
      <x:c r="L9" s="2" t="s">
        <x:v>1025</x:v>
      </x:c>
      <x:c r="M9" s="2" t="s">
        <x:v>1026</x:v>
      </x:c>
      <x:c r="N9" s="2" t="s">
        <x:v>1027</x:v>
      </x:c>
      <x:c r="O9" s="3" t="s">
        <x:v>85</x:v>
      </x:c>
      <x:c r="P9" s="29" t="s">
        <x:v>87</x:v>
      </x:c>
    </x:row>
    <x:row r="10" ht="110.4000015258789">
      <x:c r="A10" s="10" t="s">
        <x:v>858</x:v>
      </x:c>
      <x:c r="B10" s="10">
        <x:v>1</x:v>
      </x:c>
      <x:c r="C10" s="10" t="s">
        <x:v>89</x:v>
      </x:c>
      <x:c r="D10" s="10" t="s">
        <x:v>859</x:v>
      </x:c>
      <x:c r="E10" s="10" t="s">
        <x:v>860</x:v>
      </x:c>
      <x:c r="F10" s="10" t="s">
        <x:v>861</x:v>
      </x:c>
      <x:c r="G10" s="10" t="s">
        <x:v>109</x:v>
      </x:c>
      <x:c r="H10" s="15">
        <x:v>0.75</x:v>
      </x:c>
      <x:c r="I10" s="10" t="s">
        <x:v>777</x:v>
      </x:c>
      <x:c r="J10" s="10" t="s">
        <x:v>862</x:v>
      </x:c>
      <x:c r="K10" s="10" t="s">
        <x:v>863</x:v>
      </x:c>
      <x:c r="L10" s="10" t="s">
        <x:v>864</x:v>
      </x:c>
      <x:c r="M10" s="10" t="s">
        <x:v>866</x:v>
      </x:c>
      <x:c r="N10" s="10" t="s">
        <x:v>868</x:v>
      </x:c>
      <x:c r="O10" s="10" t="s">
        <x:v>313</x:v>
      </x:c>
      <x:c r="P10" s="29" t="s">
        <x:v>869</x:v>
      </x:c>
    </x:row>
    <x:row r="11" ht="124.19999694824219">
      <x:c r="A11" s="11" t="s">
        <x:v>870</x:v>
      </x:c>
      <x:c r="B11" s="11">
        <x:v>2</x:v>
      </x:c>
      <x:c r="C11" s="11" t="s">
        <x:v>89</x:v>
      </x:c>
      <x:c r="D11" s="11" t="s">
        <x:v>871</x:v>
      </x:c>
      <x:c r="E11" s="11" t="s">
        <x:v>872</x:v>
      </x:c>
      <x:c r="F11" s="11" t="s">
        <x:v>873</x:v>
      </x:c>
      <x:c r="G11" s="11" t="s">
        <x:v>123</x:v>
      </x:c>
      <x:c r="H11" s="16">
        <x:v>1.5</x:v>
      </x:c>
      <x:c r="I11" s="11" t="s">
        <x:v>874</x:v>
      </x:c>
      <x:c r="J11" s="11" t="s">
        <x:v>862</x:v>
      </x:c>
      <x:c r="K11" s="11" t="s">
        <x:v>875</x:v>
      </x:c>
      <x:c r="L11" s="11" t="s">
        <x:v>876</x:v>
      </x:c>
      <x:c r="M11" s="11" t="s">
        <x:v>878</x:v>
      </x:c>
      <x:c r="N11" s="11" t="s">
        <x:v>880</x:v>
      </x:c>
      <x:c r="O11" s="11" t="s">
        <x:v>313</x:v>
      </x:c>
      <x:c r="P11" s="29" t="s">
        <x:v>881</x:v>
      </x:c>
    </x:row>
    <x:row r="12" ht="110.4000015258789">
      <x:c r="A12" s="11" t="s">
        <x:v>882</x:v>
      </x:c>
      <x:c r="B12" s="11">
        <x:v>3</x:v>
      </x:c>
      <x:c r="C12" s="11" t="s">
        <x:v>89</x:v>
      </x:c>
      <x:c r="D12" s="11" t="s">
        <x:v>883</x:v>
      </x:c>
      <x:c r="E12" s="11" t="s">
        <x:v>884</x:v>
      </x:c>
      <x:c r="F12" s="11" t="s">
        <x:v>885</x:v>
      </x:c>
      <x:c r="G12" s="11" t="s">
        <x:v>123</x:v>
      </x:c>
      <x:c r="H12" s="16">
        <x:v>1</x:v>
      </x:c>
      <x:c r="I12" s="11" t="s">
        <x:v>874</x:v>
      </x:c>
      <x:c r="J12" s="11" t="s">
        <x:v>886</x:v>
      </x:c>
      <x:c r="K12" s="11" t="s">
        <x:v>887</x:v>
      </x:c>
      <x:c r="L12" s="11" t="s">
        <x:v>888</x:v>
      </x:c>
      <x:c r="M12" s="11" t="s">
        <x:v>890</x:v>
      </x:c>
      <x:c r="N12" s="11" t="s">
        <x:v>892</x:v>
      </x:c>
      <x:c r="O12" s="11" t="s">
        <x:v>313</x:v>
      </x:c>
      <x:c r="P12" s="29" t="s">
        <x:v>893</x:v>
      </x:c>
    </x:row>
    <x:row r="13" ht="110.4000015258789">
      <x:c r="A13" s="11" t="s">
        <x:v>894</x:v>
      </x:c>
      <x:c r="B13" s="11">
        <x:v>4</x:v>
      </x:c>
      <x:c r="C13" s="11" t="s">
        <x:v>89</x:v>
      </x:c>
      <x:c r="D13" s="11" t="s">
        <x:v>895</x:v>
      </x:c>
      <x:c r="E13" s="11" t="s">
        <x:v>896</x:v>
      </x:c>
      <x:c r="F13" s="11" t="s">
        <x:v>897</x:v>
      </x:c>
      <x:c r="G13" s="11" t="s">
        <x:v>123</x:v>
      </x:c>
      <x:c r="H13" s="16">
        <x:v>1</x:v>
      </x:c>
      <x:c r="I13" s="11" t="s">
        <x:v>874</x:v>
      </x:c>
      <x:c r="J13" s="11" t="s">
        <x:v>898</x:v>
      </x:c>
      <x:c r="K13" s="11" t="s">
        <x:v>899</x:v>
      </x:c>
      <x:c r="L13" s="11" t="s">
        <x:v>900</x:v>
      </x:c>
      <x:c r="M13" s="11" t="s">
        <x:v>902</x:v>
      </x:c>
      <x:c r="N13" s="11" t="s">
        <x:v>904</x:v>
      </x:c>
      <x:c r="O13" s="11" t="s">
        <x:v>313</x:v>
      </x:c>
      <x:c r="P13" s="29" t="s">
        <x:v>905</x:v>
      </x:c>
    </x:row>
    <x:row r="14" ht="110.4000015258789">
      <x:c r="A14" s="11" t="s">
        <x:v>906</x:v>
      </x:c>
      <x:c r="B14" s="11">
        <x:v>5</x:v>
      </x:c>
      <x:c r="C14" s="11" t="s">
        <x:v>89</x:v>
      </x:c>
      <x:c r="D14" s="11" t="s">
        <x:v>907</x:v>
      </x:c>
      <x:c r="E14" s="11" t="s">
        <x:v>908</x:v>
      </x:c>
      <x:c r="F14" s="11" t="s">
        <x:v>909</x:v>
      </x:c>
      <x:c r="G14" s="11" t="s">
        <x:v>123</x:v>
      </x:c>
      <x:c r="H14" s="16">
        <x:v>1</x:v>
      </x:c>
      <x:c r="I14" s="11" t="s">
        <x:v>874</x:v>
      </x:c>
      <x:c r="J14" s="11" t="s">
        <x:v>517</x:v>
      </x:c>
      <x:c r="K14" s="11" t="s">
        <x:v>910</x:v>
      </x:c>
      <x:c r="L14" s="11" t="s">
        <x:v>876</x:v>
      </x:c>
      <x:c r="M14" s="11" t="s">
        <x:v>912</x:v>
      </x:c>
      <x:c r="N14" s="11" t="s">
        <x:v>913</x:v>
      </x:c>
      <x:c r="O14" s="11" t="s">
        <x:v>313</x:v>
      </x:c>
      <x:c r="P14" s="29" t="s">
        <x:v>914</x:v>
      </x:c>
    </x:row>
    <x:row r="15" ht="124.19999694824219">
      <x:c r="A15" s="11" t="s">
        <x:v>915</x:v>
      </x:c>
      <x:c r="B15" s="11">
        <x:v>6</x:v>
      </x:c>
      <x:c r="C15" s="11" t="s">
        <x:v>89</x:v>
      </x:c>
      <x:c r="D15" s="11" t="s">
        <x:v>916</x:v>
      </x:c>
      <x:c r="E15" s="11" t="s">
        <x:v>917</x:v>
      </x:c>
      <x:c r="F15" s="11" t="s">
        <x:v>918</x:v>
      </x:c>
      <x:c r="G15" s="11" t="s">
        <x:v>123</x:v>
      </x:c>
      <x:c r="H15" s="16">
        <x:v>1.25</x:v>
      </x:c>
      <x:c r="I15" s="11" t="s">
        <x:v>919</x:v>
      </x:c>
      <x:c r="J15" s="11" t="s">
        <x:v>505</x:v>
      </x:c>
      <x:c r="K15" s="11" t="s">
        <x:v>920</x:v>
      </x:c>
      <x:c r="L15" s="11" t="s">
        <x:v>637</x:v>
      </x:c>
      <x:c r="M15" s="11" t="s">
        <x:v>922</x:v>
      </x:c>
      <x:c r="N15" s="11" t="s">
        <x:v>924</x:v>
      </x:c>
      <x:c r="O15" s="11" t="s">
        <x:v>313</x:v>
      </x:c>
      <x:c r="P15" s="29" t="s">
        <x:v>925</x:v>
      </x:c>
    </x:row>
    <x:row r="16" ht="110.4000015258789">
      <x:c r="A16" s="11" t="s">
        <x:v>926</x:v>
      </x:c>
      <x:c r="B16" s="11">
        <x:v>7</x:v>
      </x:c>
      <x:c r="C16" s="11" t="s">
        <x:v>89</x:v>
      </x:c>
      <x:c r="D16" s="11" t="s">
        <x:v>927</x:v>
      </x:c>
      <x:c r="E16" s="11" t="s">
        <x:v>928</x:v>
      </x:c>
      <x:c r="F16" s="11" t="s">
        <x:v>929</x:v>
      </x:c>
      <x:c r="G16" s="11" t="s">
        <x:v>109</x:v>
      </x:c>
      <x:c r="H16" s="16">
        <x:v>1</x:v>
      </x:c>
      <x:c r="I16" s="11" t="s">
        <x:v>919</x:v>
      </x:c>
      <x:c r="J16" s="11" t="s">
        <x:v>930</x:v>
      </x:c>
      <x:c r="K16" s="11" t="s">
        <x:v>931</x:v>
      </x:c>
      <x:c r="L16" s="11" t="s">
        <x:v>932</x:v>
      </x:c>
      <x:c r="M16" s="11" t="s">
        <x:v>934</x:v>
      </x:c>
      <x:c r="N16" s="11" t="s">
        <x:v>935</x:v>
      </x:c>
      <x:c r="O16" s="11" t="s">
        <x:v>313</x:v>
      </x:c>
      <x:c r="P16" s="29" t="s">
        <x:v>936</x:v>
      </x:c>
    </x:row>
    <x:row r="17" ht="110.4000015258789">
      <x:c r="A17" s="11" t="s">
        <x:v>937</x:v>
      </x:c>
      <x:c r="B17" s="11">
        <x:v>8</x:v>
      </x:c>
      <x:c r="C17" s="11" t="s">
        <x:v>89</x:v>
      </x:c>
      <x:c r="D17" s="11" t="s">
        <x:v>938</x:v>
      </x:c>
      <x:c r="E17" s="11" t="s">
        <x:v>939</x:v>
      </x:c>
      <x:c r="F17" s="11" t="s">
        <x:v>940</x:v>
      </x:c>
      <x:c r="G17" s="11" t="s">
        <x:v>941</x:v>
      </x:c>
      <x:c r="H17" s="16">
        <x:v>1</x:v>
      </x:c>
      <x:c r="I17" s="11" t="s">
        <x:v>919</x:v>
      </x:c>
      <x:c r="J17" s="11" t="s">
        <x:v>505</x:v>
      </x:c>
      <x:c r="K17" s="11" t="s">
        <x:v>942</x:v>
      </x:c>
      <x:c r="L17" s="11" t="s">
        <x:v>943</x:v>
      </x:c>
      <x:c r="M17" s="11" t="s">
        <x:v>945</x:v>
      </x:c>
      <x:c r="N17" s="11" t="s">
        <x:v>948</x:v>
      </x:c>
      <x:c r="O17" s="11" t="s">
        <x:v>313</x:v>
      </x:c>
      <x:c r="P17" s="29" t="s">
        <x:v>949</x:v>
      </x:c>
    </x:row>
    <x:row r="18" ht="110.4000015258789">
      <x:c r="A18" s="11" t="s">
        <x:v>950</x:v>
      </x:c>
      <x:c r="B18" s="11">
        <x:v>9</x:v>
      </x:c>
      <x:c r="C18" s="11" t="s">
        <x:v>89</x:v>
      </x:c>
      <x:c r="D18" s="11" t="s">
        <x:v>951</x:v>
      </x:c>
      <x:c r="E18" s="11" t="s">
        <x:v>952</x:v>
      </x:c>
      <x:c r="F18" s="11" t="s">
        <x:v>953</x:v>
      </x:c>
      <x:c r="G18" s="11" t="s">
        <x:v>109</x:v>
      </x:c>
      <x:c r="H18" s="16">
        <x:v>1</x:v>
      </x:c>
      <x:c r="I18" s="11" t="s">
        <x:v>919</x:v>
      </x:c>
      <x:c r="J18" s="11" t="s">
        <x:v>954</x:v>
      </x:c>
      <x:c r="K18" s="11" t="s">
        <x:v>955</x:v>
      </x:c>
      <x:c r="L18" s="11" t="s">
        <x:v>956</x:v>
      </x:c>
      <x:c r="M18" s="11" t="s">
        <x:v>958</x:v>
      </x:c>
      <x:c r="N18" s="11" t="s">
        <x:v>960</x:v>
      </x:c>
      <x:c r="O18" s="11" t="s">
        <x:v>313</x:v>
      </x:c>
      <x:c r="P18" s="29" t="s">
        <x:v>961</x:v>
      </x:c>
    </x:row>
    <x:row r="19" ht="124.19999694824219">
      <x:c r="A19" s="11" t="s">
        <x:v>962</x:v>
      </x:c>
      <x:c r="B19" s="11">
        <x:v>10</x:v>
      </x:c>
      <x:c r="C19" s="11" t="s">
        <x:v>89</x:v>
      </x:c>
      <x:c r="D19" s="11" t="s">
        <x:v>963</x:v>
      </x:c>
      <x:c r="E19" s="11" t="s">
        <x:v>964</x:v>
      </x:c>
      <x:c r="F19" s="11" t="s">
        <x:v>965</x:v>
      </x:c>
      <x:c r="G19" s="11" t="s">
        <x:v>109</x:v>
      </x:c>
      <x:c r="H19" s="16">
        <x:v>1.25</x:v>
      </x:c>
      <x:c r="I19" s="11" t="s">
        <x:v>966</x:v>
      </x:c>
      <x:c r="J19" s="11" t="s">
        <x:v>482</x:v>
      </x:c>
      <x:c r="K19" s="11" t="s">
        <x:v>967</x:v>
      </x:c>
      <x:c r="L19" s="11" t="s">
        <x:v>968</x:v>
      </x:c>
      <x:c r="M19" s="11" t="s">
        <x:v>970</x:v>
      </x:c>
      <x:c r="N19" s="11" t="s">
        <x:v>972</x:v>
      </x:c>
      <x:c r="O19" s="11" t="s">
        <x:v>313</x:v>
      </x:c>
      <x:c r="P19" s="29" t="s">
        <x:v>973</x:v>
      </x:c>
    </x:row>
    <x:row r="20" ht="124.19999694824219">
      <x:c r="A20" s="11" t="s">
        <x:v>974</x:v>
      </x:c>
      <x:c r="B20" s="11">
        <x:v>11</x:v>
      </x:c>
      <x:c r="C20" s="11" t="s">
        <x:v>89</x:v>
      </x:c>
      <x:c r="D20" s="11" t="s">
        <x:v>975</x:v>
      </x:c>
      <x:c r="E20" s="11" t="s">
        <x:v>976</x:v>
      </x:c>
      <x:c r="F20" s="11" t="s">
        <x:v>977</x:v>
      </x:c>
      <x:c r="G20" s="11" t="s">
        <x:v>93</x:v>
      </x:c>
      <x:c r="H20" s="16">
        <x:v>0.75</x:v>
      </x:c>
      <x:c r="I20" s="11" t="s">
        <x:v>966</x:v>
      </x:c>
      <x:c r="J20" s="11" t="s">
        <x:v>368</x:v>
      </x:c>
      <x:c r="K20" s="11" t="s">
        <x:v>978</x:v>
      </x:c>
      <x:c r="L20"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M20" s="11" t="s">
        <x:v>981</x:v>
      </x:c>
      <x:c r="N20" s="11" t="s">
        <x:v>982</x:v>
      </x:c>
      <x:c r="O20" s="11" t="s">
        <x:v>313</x:v>
      </x:c>
      <x:c r="P20" s="29" t="s">
        <x:v>983</x:v>
      </x:c>
    </x:row>
    <x:row r="21" ht="110.4000015258789">
      <x:c r="A21" s="11" t="s">
        <x:v>984</x:v>
      </x:c>
      <x:c r="B21" s="11">
        <x:v>12</x:v>
      </x:c>
      <x:c r="C21" s="11" t="s">
        <x:v>89</x:v>
      </x:c>
      <x:c r="D21" s="11" t="s">
        <x:v>985</x:v>
      </x:c>
      <x:c r="E21" s="11" t="s">
        <x:v>986</x:v>
      </x:c>
      <x:c r="F21" s="11" t="s">
        <x:v>987</x:v>
      </x:c>
      <x:c r="G21" s="11" t="s">
        <x:v>93</x:v>
      </x:c>
      <x:c r="H21" s="16">
        <x:v>1.25</x:v>
      </x:c>
      <x:c r="I21" s="11" t="s">
        <x:v>800</x:v>
      </x:c>
      <x:c r="J21" s="11" t="s">
        <x:v>210</x:v>
      </x:c>
      <x:c r="K21" s="11" t="s">
        <x:v>988</x:v>
      </x:c>
      <x:c r="L21" s="11" t="s">
        <x:v>989</x:v>
      </x:c>
      <x:c r="M21" s="11" t="s">
        <x:v>991</x:v>
      </x:c>
      <x:c r="N21" s="11" t="s">
        <x:v>993</x:v>
      </x:c>
      <x:c r="O21" s="11" t="s">
        <x:v>313</x:v>
      </x:c>
      <x:c r="P21" s="29" t="s">
        <x:v>994</x:v>
      </x:c>
    </x:row>
    <x:row r="22" ht="124.19999694824219">
      <x:c r="A22" s="11" t="s">
        <x:v>995</x:v>
      </x:c>
      <x:c r="B22" s="11">
        <x:v>13</x:v>
      </x:c>
      <x:c r="C22" s="11" t="s">
        <x:v>89</x:v>
      </x:c>
      <x:c r="D22" s="11" t="s">
        <x:v>996</x:v>
      </x:c>
      <x:c r="E22" s="11" t="s">
        <x:v>997</x:v>
      </x:c>
      <x:c r="F22" s="11" t="s">
        <x:v>998</x:v>
      </x:c>
      <x:c r="G22" s="11" t="s">
        <x:v>93</x:v>
      </x:c>
      <x:c r="H22" s="16">
        <x:v>1</x:v>
      </x:c>
      <x:c r="I22" s="11" t="s">
        <x:v>966</x:v>
      </x:c>
      <x:c r="J22" s="11" t="s">
        <x:v>101</x:v>
      </x:c>
      <x:c r="K22" s="11" t="s">
        <x:v>999</x:v>
      </x:c>
      <x:c r="L22" s="11" t="s">
        <x:v>1000</x:v>
      </x:c>
      <x:c r="M22" s="11" t="s">
        <x:v>1002</x:v>
      </x:c>
      <x:c r="N22" s="11" t="s">
        <x:v>1004</x:v>
      </x:c>
      <x:c r="O22" s="11" t="s">
        <x:v>313</x:v>
      </x:c>
      <x:c r="P22" s="29" t="s">
        <x:v>1005</x:v>
      </x:c>
    </x:row>
    <x:row r="23" ht="24" customHeight="1">
      <x:c r="A23" s="24" t="s">
        <x:v>1006</x:v>
      </x:c>
      <x:c r="B23" s="24">
        <x:v>14</x:v>
      </x:c>
      <x:c r="C23" s="24" t="s">
        <x:v>89</x:v>
      </x:c>
      <x:c r="D23" s="24" t="s">
        <x:v>244</x:v>
      </x:c>
      <x:c r="E23" s="24" t="s">
        <x:v>1007</x:v>
      </x:c>
      <x:c r="F23" s="24" t="s">
        <x:v>1008</x:v>
      </x:c>
      <x:c r="G23" s="24" t="s">
        <x:v>109</x:v>
      </x:c>
      <x:c r="H23">
        <x:v>1.5</x:v>
      </x:c>
      <x:c r="I23" t="s">
        <x:v>247</x:v>
      </x:c>
      <x:c r="J23" t="s">
        <x:v>101</x:v>
      </x:c>
      <x:c r="K23" t="s">
        <x:v>1009</x:v>
      </x:c>
      <x:c r="L23" t="s">
        <x:v>2363</x:v>
      </x:c>
      <x:c r="M23" t="s">
        <x:v>1011</x:v>
      </x:c>
      <x:c r="N23" t="s">
        <x:v>253</x:v>
      </x:c>
      <x:c r="O23" t="s">
        <x:v>313</x:v>
      </x:c>
      <x:c r="P23" s="29" t="s">
        <x:v>1014</x:v>
      </x:c>
    </x:row>
    <x:row r="24" ht="34.04999923706055" customHeight="1">
      <x:c r="A24" s="110"/>
      <x:c r="B24" s="110"/>
      <x:c r="C24" s="110"/>
      <x:c r="D24" s="110"/>
      <x:c r="E24" s="110"/>
      <x:c r="F24" s="110"/>
      <x:c r="G24" s="110"/>
      <x:c r="H24" s="95"/>
      <x:c r="I24" s="95"/>
      <x:c r="J24" s="95"/>
      <x:c r="K24" s="95"/>
      <x:c r="L24" s="95"/>
      <x:c r="M24" s="95"/>
      <x:c r="N24" s="95"/>
      <x:c r="O24" s="95"/>
    </x:row>
    <x:row r="25" ht="48" customHeight="1">
      <x:c r="A25" s="32" t="s">
        <x:v>1028</x:v>
      </x:c>
      <x:c r="B25" s="32"/>
      <x:c r="C25" s="32"/>
      <x:c r="D25" s="32"/>
      <x:c r="E25" s="32"/>
      <x:c r="F25" s="32"/>
      <x:c r="G25" s="32"/>
      <x:c r="H25" s="31"/>
      <x:c r="I25" s="31"/>
      <x:c r="J25" s="31"/>
      <x:c r="K25" s="31"/>
      <x:c r="L25" s="31"/>
      <x:c r="M25" s="31"/>
      <x:c r="N25" s="31"/>
      <x:c r="O25" s="31"/>
      <x:c r="P25" s="31"/>
    </x:row>
    <x:row r="26" ht="48" customHeight="1">
      <x:c r="A26" s="33" t="s">
        <x:v>1029</x:v>
      </x:c>
      <x:c r="B26" s="33" t="s">
        <x:v>76</x:v>
      </x:c>
      <x:c r="C26" s="33" t="s">
        <x:v>1030</x:v>
      </x:c>
      <x:c r="D26" s="33" t="s">
        <x:v>1031</x:v>
      </x:c>
      <x:c r="E26" s="33" t="s">
        <x:v>1032</x:v>
      </x:c>
      <x:c r="F26" s="33" t="s">
        <x:v>1033</x:v>
      </x:c>
      <x:c r="G26" s="33" t="s">
        <x:v>1034</x:v>
      </x:c>
    </x:row>
    <x:row r="27" ht="52.04999923706055" customHeight="1">
      <x:c r="A27" s="34">
        <x:v>1</x:v>
      </x:c>
      <x:c r="B27" s="34" t="s">
        <x:v>874</x:v>
      </x:c>
      <x:c r="C27" s="34" t="s">
        <x:v>1163</x:v>
      </x:c>
      <x:c r="D27" s="34" t="s">
        <x:v>1164</x:v>
      </x:c>
      <x:c r="E27" s="34" t="s">
        <x:v>1165</x:v>
      </x:c>
      <x:c r="F27" s="34" t="s">
        <x:v>1166</x:v>
      </x:c>
      <x:c r="G27" s="34" t="s">
        <x:v>1048</x:v>
      </x:c>
    </x:row>
    <x:row r="28" ht="52.04999923706055" customHeight="1">
      <x:c r="A28" s="35">
        <x:v>2</x:v>
      </x:c>
      <x:c r="B28" s="35" t="s">
        <x:v>919</x:v>
      </x:c>
      <x:c r="C28" s="35" t="s">
        <x:v>1167</x:v>
      </x:c>
      <x:c r="D28" s="35" t="s">
        <x:v>1168</x:v>
      </x:c>
      <x:c r="E28" s="35" t="s">
        <x:v>1169</x:v>
      </x:c>
      <x:c r="F28" s="35" t="s">
        <x:v>1170</x:v>
      </x:c>
      <x:c r="G28" s="35" t="s">
        <x:v>1048</x:v>
      </x:c>
    </x:row>
    <x:row r="29" ht="52.04999923706055" customHeight="1">
      <x:c r="A29" s="35">
        <x:v>3</x:v>
      </x:c>
      <x:c r="B29" s="35" t="s">
        <x:v>966</x:v>
      </x:c>
      <x:c r="C29" s="35" t="s">
        <x:v>1171</x:v>
      </x:c>
      <x:c r="D29" s="35" t="s">
        <x:v>1172</x:v>
      </x:c>
      <x:c r="E29" s="35" t="s">
        <x:v>1173</x:v>
      </x:c>
      <x:c r="F29" s="35" t="s">
        <x:v>1174</x:v>
      </x:c>
      <x:c r="G29" s="35" t="s">
        <x:v>1048</x:v>
      </x:c>
    </x:row>
    <x:row r="30" ht="52.04999923706055" customHeight="1">
      <x:c r="A30" s="35">
        <x:v>4</x:v>
      </x:c>
      <x:c r="B30" s="35" t="s">
        <x:v>247</x:v>
      </x:c>
      <x:c r="C30" s="35" t="s">
        <x:v>1175</x:v>
      </x:c>
      <x:c r="D30" s="35" t="s">
        <x:v>1064</x:v>
      </x:c>
      <x:c r="E30" s="35" t="s">
        <x:v>1065</x:v>
      </x:c>
      <x:c r="F30" s="35" t="s">
        <x:v>1176</x:v>
      </x:c>
      <x:c r="G30" s="35" t="s">
        <x:v>1067</x:v>
      </x:c>
    </x:row>
  </x:sheetData>
  <x:mergeCells>
    <x:mergeCell ref="A24:O24"/>
    <x:mergeCell ref="A1:O1"/>
    <x:mergeCell ref="A2:O2"/>
    <x:mergeCell ref="A4:B4"/>
    <x:mergeCell ref="A5:B6"/>
    <x:mergeCell ref="D4:E4"/>
    <x:mergeCell ref="D5:E6"/>
    <x:mergeCell ref="G4:O4"/>
    <x:mergeCell ref="G5:O6"/>
  </x:mergeCells>
  <x:conditionalFormatting sqref="O10:O22">
    <x:cfRule type="containsText" dxfId="23" priority="1" operator="containsText" text="Done"/>
    <x:cfRule type="containsText" dxfId="22" priority="2" operator="containsText" text="Blocked"/>
    <x:cfRule type="containsText" dxfId="21" priority="3" operator="containsText" text="In Progress"/>
    <x:cfRule type="containsText" dxfId="20" priority="4" operator="containsText" text="Ready for Review"/>
  </x:conditionalFormatting>
  <x:dataValidations count="1">
    <x:dataValidation type="list" sqref="O10:O22">
      <x:formula1>"Not Started,In Progress,Blocked,Ready for Review,Done,Deferred"</x:formula1>
    </x:dataValidation>
  </x:dataValidations>
  <x:pageMargins left="0.7" right="0.7" top="0.75" bottom="0.75" header="0.3" footer="0.3"/>
  <x:tableParts count="1">
    <x:tablePart xmlns:r="http://schemas.openxmlformats.org/officeDocument/2006/relationships" r:id="R3af4df68c32d4525"/>
  </x:tableParts>
</x:worksheet>
</file>

<file path=xl/worksheets/sheet10.xml><?xml version="1.0" encoding="utf-8"?>
<x:worksheet xmlns:x="http://schemas.openxmlformats.org/spreadsheetml/2006/main">
  <x:sheetViews>
    <x:sheetView showGridLines="0" workbookViewId="0"/>
  </x:sheetViews>
  <x:sheetFormatPr defaultRowHeight="13.800000190734863"/>
  <x:cols>
    <x:col min="1" max="1" width="18" customWidth="1"/>
    <x:col min="2" max="2" width="25" customWidth="1"/>
    <x:col min="3" max="3" width="42" customWidth="1"/>
    <x:col min="4" max="4" width="32" customWidth="1"/>
    <x:col min="5" max="5" width="16" customWidth="1"/>
    <x:col min="6" max="6" width="23" customWidth="1"/>
    <x:col min="7" max="7" width="42" customWidth="1"/>
    <x:col min="8" max="8" width="34" customWidth="1"/>
  </x:cols>
  <x:sheetData>
    <x:row r="1" ht="31.950000762939453" customHeight="1">
      <x:c r="A1" s="56" t="s">
        <x:v>1177</x:v>
      </x:c>
      <x:c r="B1" s="56"/>
      <x:c r="C1" s="56"/>
      <x:c r="D1" s="56"/>
      <x:c r="E1" s="56"/>
      <x:c r="F1" s="56"/>
      <x:c r="G1" s="56"/>
      <x:c r="H1" s="56"/>
    </x:row>
    <x:row r="2" ht="31.950000762939453" customHeight="1">
      <x:c r="A2" s="57" t="s">
        <x:v>1178</x:v>
      </x:c>
      <x:c r="B2" s="57"/>
      <x:c r="C2" s="57"/>
      <x:c r="D2" s="57"/>
      <x:c r="E2" s="57"/>
      <x:c r="F2" s="57"/>
      <x:c r="G2" s="57"/>
      <x:c r="H2" s="57"/>
    </x:row>
    <x:row r="4" ht="46.04999923706055" customHeight="1">
      <x:c r="A4" s="111" t="s">
        <x:v>1179</x:v>
      </x:c>
      <x:c r="B4" s="112"/>
      <x:c r="C4" s="112"/>
      <x:c r="D4" s="112"/>
      <x:c r="E4" s="112"/>
      <x:c r="F4" s="112"/>
      <x:c r="G4" s="112"/>
      <x:c r="H4" s="113"/>
    </x:row>
    <x:row r="6" ht="28.049999237060547" customHeight="1">
      <x:c r="A6" s="1" t="s">
        <x:v>1180</x:v>
      </x:c>
      <x:c r="B6" s="2" t="s">
        <x:v>1181</x:v>
      </x:c>
      <x:c r="C6" s="2" t="s">
        <x:v>1182</x:v>
      </x:c>
      <x:c r="D6" s="2" t="s">
        <x:v>1183</x:v>
      </x:c>
      <x:c r="E6" s="2" t="s">
        <x:v>1184</x:v>
      </x:c>
      <x:c r="F6" s="2" t="s">
        <x:v>1185</x:v>
      </x:c>
      <x:c r="G6" s="2" t="s">
        <x:v>1186</x:v>
      </x:c>
      <x:c r="H6" s="3" t="s">
        <x:v>1187</x:v>
      </x:c>
    </x:row>
    <x:row r="7">
      <x:c r="A7" s="10" t="s">
        <x:v>1188</x:v>
      </x:c>
      <x:c r="B7" s="10" t="s">
        <x:v>1189</x:v>
      </x:c>
      <x:c r="C7" s="10" t="s">
        <x:v>1190</x:v>
      </x:c>
      <x:c r="D7" s="10" t="s">
        <x:v>1191</x:v>
      </x:c>
      <x:c r="E7" s="10" t="s">
        <x:v>1192</x:v>
      </x:c>
      <x:c r="F7" s="10" t="s">
        <x:v>1193</x:v>
      </x:c>
      <x:c r="G7" s="10" t="s">
        <x:v>1194</x:v>
      </x:c>
      <x:c r="H7" s="10" t="s">
        <x:v>1195</x:v>
      </x:c>
    </x:row>
    <x:row r="8" ht="22.799999237060547">
      <x:c r="A8" s="11" t="s">
        <x:v>1188</x:v>
      </x:c>
      <x:c r="B8" s="11" t="s">
        <x:v>1196</x:v>
      </x:c>
      <x:c r="C8" s="11" t="s">
        <x:v>1197</x:v>
      </x:c>
      <x:c r="D8" s="11" t="s">
        <x:v>1198</x:v>
      </x:c>
      <x:c r="E8" s="11" t="s">
        <x:v>37</x:v>
      </x:c>
      <x:c r="F8" s="11" t="s">
        <x:v>439</x:v>
      </x:c>
      <x:c r="G8" s="11" t="s">
        <x:v>1199</x:v>
      </x:c>
      <x:c r="H8" s="11" t="s">
        <x:v>1200</x:v>
      </x:c>
    </x:row>
    <x:row r="9">
      <x:c r="A9" s="11" t="s">
        <x:v>1188</x:v>
      </x:c>
      <x:c r="B9" s="11" t="s">
        <x:v>1201</x:v>
      </x:c>
      <x:c r="C9" s="11" t="s">
        <x:v>1202</x:v>
      </x:c>
      <x:c r="D9" s="11" t="s">
        <x:v>1203</x:v>
      </x:c>
      <x:c r="E9" s="11" t="s">
        <x:v>37</x:v>
      </x:c>
      <x:c r="F9" s="11" t="s">
        <x:v>154</x:v>
      </x:c>
      <x:c r="G9" s="11" t="s">
        <x:v>1204</x:v>
      </x:c>
      <x:c r="H9" s="11" t="s">
        <x:v>1205</x:v>
      </x:c>
    </x:row>
    <x:row r="10" ht="22.799999237060547">
      <x:c r="A10" s="11" t="s">
        <x:v>1188</x:v>
      </x:c>
      <x:c r="B10" s="11" t="s">
        <x:v>1206</x:v>
      </x:c>
      <x:c r="C10" s="11" t="s">
        <x:v>1207</x:v>
      </x:c>
      <x:c r="D10" s="11" t="s">
        <x:v>1208</x:v>
      </x:c>
      <x:c r="E10" s="11" t="s">
        <x:v>37</x:v>
      </x:c>
      <x:c r="F10" s="11" t="s">
        <x:v>287</x:v>
      </x:c>
      <x:c r="G10" s="11" t="s">
        <x:v>1209</x:v>
      </x:c>
      <x:c r="H10" s="11" t="s">
        <x:v>1210</x:v>
      </x:c>
    </x:row>
    <x:row r="11">
      <x:c r="A11" s="11" t="s">
        <x:v>1188</x:v>
      </x:c>
      <x:c r="B11" s="11" t="s">
        <x:v>1211</x:v>
      </x:c>
      <x:c r="C11" s="11" t="s">
        <x:v>1212</x:v>
      </x:c>
      <x:c r="D11" s="11" t="s">
        <x:v>1213</x:v>
      </x:c>
      <x:c r="E11" s="11" t="s">
        <x:v>59</x:v>
      </x:c>
      <x:c r="F11" s="11" t="s">
        <x:v>287</x:v>
      </x:c>
      <x:c r="G11" s="11" t="s">
        <x:v>1214</x:v>
      </x:c>
      <x:c r="H11" s="11" t="s">
        <x:v>1215</x:v>
      </x:c>
    </x:row>
    <x:row r="12">
      <x:c r="A12" s="11" t="s">
        <x:v>1216</x:v>
      </x:c>
      <x:c r="B12" s="11" t="s">
        <x:v>1217</x:v>
      </x:c>
      <x:c r="C12" s="11" t="s">
        <x:v>1218</x:v>
      </x:c>
      <x:c r="D12" s="11" t="s">
        <x:v>1219</x:v>
      </x:c>
      <x:c r="E12" s="11" t="s">
        <x:v>58</x:v>
      </x:c>
      <x:c r="F12" s="11" t="s">
        <x:v>564</x:v>
      </x:c>
      <x:c r="G12" s="11" t="s">
        <x:v>1220</x:v>
      </x:c>
      <x:c r="H12" s="11" t="s">
        <x:v>1221</x:v>
      </x:c>
    </x:row>
    <x:row r="13">
      <x:c r="A13" s="11" t="s">
        <x:v>1216</x:v>
      </x:c>
      <x:c r="B13" s="11" t="s">
        <x:v>1222</x:v>
      </x:c>
      <x:c r="C13" s="11" t="s">
        <x:v>1223</x:v>
      </x:c>
      <x:c r="D13" s="11" t="s">
        <x:v>1224</x:v>
      </x:c>
      <x:c r="E13" s="11" t="s">
        <x:v>1225</x:v>
      </x:c>
      <x:c r="F13" s="11" t="s">
        <x:v>337</x:v>
      </x:c>
      <x:c r="G13" s="11" t="s">
        <x:v>1226</x:v>
      </x:c>
      <x:c r="H13" s="11" t="s">
        <x:v>1227</x:v>
      </x:c>
    </x:row>
    <x:row r="14" ht="22.799999237060547">
      <x:c r="A14" s="11" t="s">
        <x:v>1216</x:v>
      </x:c>
      <x:c r="B14" s="11" t="s">
        <x:v>1228</x:v>
      </x:c>
      <x:c r="C14" s="11" t="s">
        <x:v>1229</x:v>
      </x:c>
      <x:c r="D14" s="11" t="s">
        <x:v>1230</x:v>
      </x:c>
      <x:c r="E14" s="11" t="s">
        <x:v>1231</x:v>
      </x:c>
      <x:c r="F14" s="11" t="s">
        <x:v>276</x:v>
      </x:c>
      <x:c r="G14" s="11" t="s">
        <x:v>1232</x:v>
      </x:c>
      <x:c r="H14" s="11" t="s">
        <x:v>1233</x:v>
      </x:c>
    </x:row>
    <x:row r="15">
      <x:c r="A15" s="11" t="s">
        <x:v>1216</x:v>
      </x:c>
      <x:c r="B15" s="11" t="s">
        <x:v>1234</x:v>
      </x:c>
      <x:c r="C15" s="11" t="s">
        <x:v>1235</x:v>
      </x:c>
      <x:c r="D15" s="11" t="s">
        <x:v>1236</x:v>
      </x:c>
      <x:c r="E15" s="11" t="s">
        <x:v>57</x:v>
      </x:c>
      <x:c r="F15" s="11" t="s">
        <x:v>428</x:v>
      </x:c>
      <x:c r="G15" s="11" t="s">
        <x:v>1237</x:v>
      </x:c>
      <x:c r="H15" s="11" t="s">
        <x:v>1238</x:v>
      </x:c>
    </x:row>
    <x:row r="16" ht="22.799999237060547">
      <x:c r="A16" s="11" t="s">
        <x:v>1216</x:v>
      </x:c>
      <x:c r="B16" s="11" t="s">
        <x:v>1239</x:v>
      </x:c>
      <x:c r="C16" s="11" t="s">
        <x:v>1240</x:v>
      </x:c>
      <x:c r="D16" s="11" t="s">
        <x:v>1241</x:v>
      </x:c>
      <x:c r="E16" s="11" t="s">
        <x:v>57</x:v>
      </x:c>
      <x:c r="F16" s="11" t="s">
        <x:v>439</x:v>
      </x:c>
      <x:c r="G16" s="11" t="s">
        <x:v>1242</x:v>
      </x:c>
      <x:c r="H16" s="11" t="s">
        <x:v>1243</x:v>
      </x:c>
    </x:row>
    <x:row r="17">
      <x:c r="A17" s="11" t="s">
        <x:v>1244</x:v>
      </x:c>
      <x:c r="B17" s="11" t="s">
        <x:v>1245</x:v>
      </x:c>
      <x:c r="C17" s="11" t="s">
        <x:v>1246</x:v>
      </x:c>
      <x:c r="D17" s="11" t="s">
        <x:v>1247</x:v>
      </x:c>
      <x:c r="E17" s="11" t="s">
        <x:v>58</x:v>
      </x:c>
      <x:c r="F17" s="11" t="s">
        <x:v>585</x:v>
      </x:c>
      <x:c r="G17" s="11" t="s">
        <x:v>1248</x:v>
      </x:c>
      <x:c r="H17" s="11" t="s">
        <x:v>1249</x:v>
      </x:c>
    </x:row>
    <x:row r="18">
      <x:c r="A18" s="11" t="s">
        <x:v>1244</x:v>
      </x:c>
      <x:c r="B18" s="11" t="s">
        <x:v>1250</x:v>
      </x:c>
      <x:c r="C18" s="11" t="s">
        <x:v>1251</x:v>
      </x:c>
      <x:c r="D18" s="11" t="s">
        <x:v>1252</x:v>
      </x:c>
      <x:c r="E18" s="11" t="s">
        <x:v>58</x:v>
      </x:c>
      <x:c r="F18" s="11" t="s">
        <x:v>606</x:v>
      </x:c>
      <x:c r="G18" s="11" t="s">
        <x:v>1253</x:v>
      </x:c>
      <x:c r="H18" s="11" t="s">
        <x:v>1254</x:v>
      </x:c>
    </x:row>
    <x:row r="19">
      <x:c r="A19" s="11" t="s">
        <x:v>1255</x:v>
      </x:c>
      <x:c r="B19" s="11" t="s">
        <x:v>1256</x:v>
      </x:c>
      <x:c r="C19" s="11" t="s">
        <x:v>1257</x:v>
      </x:c>
      <x:c r="D19" s="11" t="s">
        <x:v>1258</x:v>
      </x:c>
      <x:c r="E19" s="11" t="s">
        <x:v>60</x:v>
      </x:c>
      <x:c r="F19" s="11" t="s">
        <x:v>879</x:v>
      </x:c>
      <x:c r="G19" s="11" t="s">
        <x:v>1259</x:v>
      </x:c>
      <x:c r="H19" s="11" t="s">
        <x:v>1260</x:v>
      </x:c>
    </x:row>
    <x:row r="20">
      <x:c r="A20" s="11" t="s">
        <x:v>1261</x:v>
      </x:c>
      <x:c r="B20" s="11" t="s">
        <x:v>1262</x:v>
      </x:c>
      <x:c r="C20" s="11" t="s">
        <x:v>1263</x:v>
      </x:c>
      <x:c r="D20" s="11" t="s">
        <x:v>1264</x:v>
      </x:c>
      <x:c r="E20" s="11" t="s">
        <x:v>1265</x:v>
      </x:c>
      <x:c r="F20" s="11" t="s">
        <x:v>1193</x:v>
      </x:c>
      <x:c r="G20" s="11" t="s">
        <x:v>1266</x:v>
      </x:c>
      <x:c r="H20" s="11" t="s">
        <x:v>1267</x:v>
      </x:c>
    </x:row>
    <x:row r="21" ht="22.799999237060547">
      <x:c r="A21" s="11" t="s">
        <x:v>1268</x:v>
      </x:c>
      <x:c r="B21" s="11" t="s">
        <x:v>1269</x:v>
      </x:c>
      <x:c r="C21" s="11" t="s">
        <x:v>1270</x:v>
      </x:c>
      <x:c r="D21" s="11" t="s">
        <x:v>1271</x:v>
      </x:c>
      <x:c r="E21" s="11" t="s">
        <x:v>1272</x:v>
      </x:c>
      <x:c r="F21" s="11" t="s">
        <x:v>1273</x:v>
      </x:c>
      <x:c r="G21" s="11" t="s">
        <x:v>1274</x:v>
      </x:c>
      <x:c r="H21" s="11" t="s">
        <x:v>1275</x:v>
      </x:c>
    </x:row>
    <x:row r="22">
      <x:c r="A22" s="11" t="s">
        <x:v>1276</x:v>
      </x:c>
      <x:c r="B22" s="11" t="s">
        <x:v>1277</x:v>
      </x:c>
      <x:c r="C22" s="11" t="s">
        <x:v>1278</x:v>
      </x:c>
      <x:c r="D22" s="11" t="s">
        <x:v>1279</x:v>
      </x:c>
      <x:c r="E22" s="11" t="s">
        <x:v>1280</x:v>
      </x:c>
      <x:c r="F22" s="11" t="s">
        <x:v>510</x:v>
      </x:c>
      <x:c r="G22" s="11" t="s">
        <x:v>1281</x:v>
      </x:c>
      <x:c r="H22" s="11" t="s">
        <x:v>1282</x:v>
      </x:c>
    </x:row>
    <x:row r="23" ht="22.799999237060547">
      <x:c r="A23" s="11" t="s">
        <x:v>1276</x:v>
      </x:c>
      <x:c r="B23" s="11" t="s">
        <x:v>1283</x:v>
      </x:c>
      <x:c r="C23" s="11" t="s">
        <x:v>1284</x:v>
      </x:c>
      <x:c r="D23" s="11" t="s">
        <x:v>1285</x:v>
      </x:c>
      <x:c r="E23" s="11" t="s">
        <x:v>60</x:v>
      </x:c>
      <x:c r="F23" s="11" t="s">
        <x:v>1286</x:v>
      </x:c>
      <x:c r="G23" s="11" t="s">
        <x:v>1287</x:v>
      </x:c>
      <x:c r="H23" s="11" t="s">
        <x:v>1288</x:v>
      </x:c>
    </x:row>
    <x:row r="24">
      <x:c r="A24" s="11" t="s">
        <x:v>1289</x:v>
      </x:c>
      <x:c r="B24" s="11" t="s">
        <x:v>1290</x:v>
      </x:c>
      <x:c r="C24" s="11" t="s">
        <x:v>1291</x:v>
      </x:c>
      <x:c r="D24" s="11" t="s">
        <x:v>1292</x:v>
      </x:c>
      <x:c r="E24" s="11" t="s">
        <x:v>1293</x:v>
      </x:c>
      <x:c r="F24" s="11" t="s">
        <x:v>1294</x:v>
      </x:c>
      <x:c r="G24" s="11" t="s">
        <x:v>1295</x:v>
      </x:c>
      <x:c r="H24" s="11" t="s">
        <x:v>1296</x:v>
      </x:c>
    </x:row>
  </x:sheetData>
  <x:mergeCells>
    <x:mergeCell ref="A1:H1"/>
    <x:mergeCell ref="A2:H2"/>
    <x:mergeCell ref="A4:H4"/>
  </x:mergeCells>
  <x:pageMargins left="0.7" right="0.7" top="0.75" bottom="0.75" header="0.3" footer="0.3"/>
  <x:tableParts count="1">
    <x:tablePart xmlns:r="http://schemas.openxmlformats.org/officeDocument/2006/relationships" r:id="R3e9025ff210740f4"/>
  </x:tableParts>
</x:worksheet>
</file>

<file path=xl/worksheets/sheet11.xml><?xml version="1.0" encoding="utf-8"?>
<x:worksheet xmlns:x="http://schemas.openxmlformats.org/spreadsheetml/2006/main">
  <x:sheetViews>
    <x:sheetView showGridLines="0" workbookViewId="0"/>
  </x:sheetViews>
  <x:sheetFormatPr defaultRowHeight="13.800000190734863"/>
  <x:cols>
    <x:col min="1" max="1" width="16.19921875" style="27" customWidth="1"/>
    <x:col min="2" max="2" width="7.796875" style="27" customWidth="1"/>
    <x:col min="3" max="3" width="29.69921875" style="27" customWidth="1"/>
    <x:col min="4" max="4" width="37.69921875" style="27" customWidth="1"/>
    <x:col min="5" max="5" width="37.8984375" style="27" customWidth="1"/>
    <x:col min="6" max="6" width="41.8984375" style="27" customWidth="1"/>
    <x:col min="7" max="7" width="92" style="27" customWidth="1"/>
    <x:col min="8" max="8" width="33.8984375" style="27" customWidth="1"/>
    <x:col min="9" max="9" width="41.796875" style="27" customWidth="1"/>
    <x:col min="10" max="10" width="20.796875" style="27" customWidth="1"/>
    <x:col min="11" max="11" width="26.69921875" style="27" customWidth="1"/>
    <x:col min="12" max="12" width="70" style="27" customWidth="1"/>
    <x:col min="13" max="13" width="71.8984375" style="27" customWidth="1"/>
    <x:col min="14" max="14" width="71.8984375" style="28" customWidth="1"/>
    <x:col min="15" max="16384" width="8.796875" style="27" customWidth="0"/>
  </x:cols>
  <x:sheetData>
    <x:row r="1" ht="22.799999237060547">
      <x:c r="A1" s="114" t="s">
        <x:v>1297</x:v>
      </x:c>
      <x:c r="B1" s="114"/>
      <x:c r="C1" s="114"/>
      <x:c r="D1" s="114"/>
      <x:c r="E1" s="114"/>
      <x:c r="F1" s="114"/>
      <x:c r="G1" s="114"/>
      <x:c r="H1" s="114"/>
      <x:c r="I1" s="114"/>
      <x:c r="J1" s="114"/>
      <x:c r="K1" s="51"/>
      <x:c r="L1" s="51"/>
      <x:c r="M1" s="54"/>
      <x:c r="N1" s="54"/>
    </x:row>
    <x:row r="2">
      <x:c r="A2" s="115" t="s">
        <x:v>1298</x:v>
      </x:c>
      <x:c r="B2" s="115"/>
      <x:c r="C2" s="115"/>
      <x:c r="D2" s="115"/>
      <x:c r="E2" s="115"/>
      <x:c r="F2" s="115"/>
      <x:c r="G2" s="115"/>
      <x:c r="H2" s="115"/>
      <x:c r="I2" s="115"/>
      <x:c r="J2" s="115"/>
      <x:c r="K2" s="52"/>
      <x:c r="L2" s="52"/>
      <x:c r="M2" s="55"/>
      <x:c r="N2" s="55"/>
    </x:row>
    <x:row r="3">
      <x:c r="M3" s="22"/>
      <x:c r="N3" s="22"/>
    </x:row>
    <x:row r="5">
      <x:c r="A5" s="53" t="s">
        <x:v>76</x:v>
      </x:c>
      <x:c r="B5" s="53" t="s">
        <x:v>53</x:v>
      </x:c>
      <x:c r="C5" s="53" t="s">
        <x:v>1030</x:v>
      </x:c>
      <x:c r="D5" s="53" t="s">
        <x:v>1031</x:v>
      </x:c>
      <x:c r="E5" s="53" t="s">
        <x:v>1032</x:v>
      </x:c>
      <x:c r="F5" s="53" t="s">
        <x:v>1033</x:v>
      </x:c>
      <x:c r="G5" s="53" t="s">
        <x:v>1299</x:v>
      </x:c>
      <x:c r="H5" s="53" t="s">
        <x:v>1300</x:v>
      </x:c>
      <x:c r="I5" s="53" t="s">
        <x:v>1301</x:v>
      </x:c>
      <x:c r="J5" s="53" t="s">
        <x:v>1302</x:v>
      </x:c>
      <x:c r="K5" s="53" t="s">
        <x:v>1303</x:v>
      </x:c>
      <x:c r="L5" s="53" t="s">
        <x:v>1304</x:v>
      </x:c>
      <x:c r="M5" s="53" t="s">
        <x:v>1305</x:v>
      </x:c>
      <x:c r="N5" s="53" t="s">
        <x:v>1306</x:v>
      </x:c>
    </x:row>
    <x:row r="6" ht="125.4000015258789">
      <x:c r="A6" s="23" t="inlineStr">
        <x:is>
          <x:t xml:space="preserve">CTX-001</x:t>
        </x:is>
      </x:c>
      <x:c r="B6" s="23" t="inlineStr">
        <x:is>
          <x:t xml:space="preserve">All</x:t>
        </x:is>
      </x:c>
      <x:c r="C6" s="23" t="inlineStr">
        <x:is>
          <x:t xml:space="preserve">Project context</x:t>
        </x:is>
      </x:c>
      <x:c r="D6" s="23" t="inlineStr">
        <x:is>
          <x:t xml:space="preserve">Set the owner-learning and code-only operating model.</x:t>
        </x:is>
      </x:c>
      <x:c r="E6" s="23" t="inlineStr">
        <x:is>
          <x:t xml:space="preserve">Source of Truth, Coaching Blueprint, tracker and owner decisions</x:t>
        </x:is>
      </x:c>
      <x:c r="F6" s="23" t="inlineStr">
        <x:is>
          <x:t xml:space="preserve">Context acknowledgement only</x:t>
        </x:is>
      </x:c>
      <x:c r="G6" s="23" t="inlineStr">
        <x:is>
          <x:t xml:space="preserve">PROJECT CONTEXT — ENTERPRISE AI ARCHITECTURE OWNER-LED LEARNING PROJECT / TRACKER v1.3.4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x:t>
        </x:is>
      </x:c>
      <x:c r="H6" s="23" t="inlineStr">
        <x:is>
          <x:t xml:space="preserve">Control prompt; paste before task prompts</x:t>
        </x:is>
      </x:c>
      <x:c r="I6" s="23" t="inlineStr">
        <x:is>
          <x:t xml:space="preserve">Stop at the control prompt's exact boundary</x:t>
        </x:is>
      </x:c>
      <x:c r="J6" s="23" t="inlineStr">
        <x:is>
          <x:t xml:space="preserve">Owner retains all execution and approval authority</x:t>
        </x:is>
      </x:c>
      <x:c r="K6" s="23" t="inlineStr">
        <x:is>
          <x:t xml:space="preserve">All</x:t>
        </x:is>
      </x:c>
      <x:c r="L6" s="23" t="inlineStr">
        <x:is>
          <x:t xml:space="preserve">N/A — CONTROL PROMPT</x:t>
        </x:is>
      </x:c>
      <x:c r="M6" s="23" t="inlineStr">
        <x:is>
          <x:t xml:space="preserve">N/A — CONTROL PROMPT</x:t>
        </x:is>
      </x:c>
      <x:c r="N6" s="22" t="inlineStr">
        <x:is>
          <x:t xml:space="preserve">N/A — CONTROL PROMPT</x:t>
        </x:is>
      </x:c>
    </x:row>
    <x:row r="7" ht="262.20001220703125">
      <x:c r="A7" s="22" t="inlineStr">
        <x:is>
          <x:t xml:space="preserve">CTRL-001</x:t>
        </x:is>
      </x:c>
      <x:c r="B7" s="22" t="inlineStr">
        <x:is>
          <x:t xml:space="preserve">All</x:t>
        </x:is>
      </x:c>
      <x:c r="C7" s="22" t="inlineStr">
        <x:is>
          <x:t xml:space="preserve">Mandatory control preamble</x:t>
        </x:is>
      </x:c>
      <x:c r="D7" s="22" t="inlineStr">
        <x:is>
          <x:t xml:space="preserve">Enforce the Main → Code → Owner Test → Documents → Final Approval workflow.</x:t>
        </x:is>
      </x:c>
      <x:c r="E7" s="22" t="inlineStr">
        <x:is>
          <x:t xml:space="preserve">Exact tracker rows, Task Context, owner decisions and approved boundaries</x:t>
        </x:is>
      </x:c>
      <x:c r="F7" s="22" t="inlineStr">
        <x:is>
          <x:t xml:space="preserve">Read-only plan, code-only edit, owner runbook, documentation gate and learning summary</x:t>
        </x:is>
      </x:c>
      <x:c r="G7" s="22" t="inlineStr">
        <x:is>
          <x:t xml:space="preserve">CTRL-001 — OWNER-LED COMPLETE-IMPACT DEVELOPMENT CONTROL v1.3.4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x:t>
        </x:is>
      </x:c>
      <x:c r="H7" s="22" t="inlineStr">
        <x:is>
          <x:t xml:space="preserve">Control prompt; paste before task prompts</x:t>
        </x:is>
      </x:c>
      <x:c r="I7" s="22" t="inlineStr">
        <x:is>
          <x:t xml:space="preserve">Stop at the control prompt's exact boundary</x:t>
        </x:is>
      </x:c>
      <x:c r="J7" s="22" t="inlineStr">
        <x:is>
          <x:t xml:space="preserve">Owner retains all execution and approval authority</x:t>
        </x:is>
      </x:c>
      <x:c r="K7" s="22" t="inlineStr">
        <x:is>
          <x:t xml:space="preserve">All implementation groups</x:t>
        </x:is>
      </x:c>
      <x:c r="L7" s="22" t="inlineStr">
        <x:is>
          <x:t xml:space="preserve">N/A — CONTROL PROMPT</x:t>
        </x:is>
      </x:c>
      <x:c r="M7" s="22" t="inlineStr">
        <x:is>
          <x:t xml:space="preserve">N/A — CONTROL PROMPT</x:t>
        </x:is>
      </x:c>
      <x:c r="N7" s="55" t="inlineStr">
        <x:is>
          <x:t xml:space="preserve">N/A — CONTROL PROMPT</x:t>
        </x:is>
      </x:c>
    </x:row>
    <x:row r="8" ht="228">
      <x:c r="A8" s="23" t="inlineStr">
        <x:is>
          <x:t xml:space="preserve">TEST-001</x:t>
        </x:is>
      </x:c>
      <x:c r="B8" s="23" t="inlineStr">
        <x:is>
          <x:t xml:space="preserve">All</x:t>
        </x:is>
      </x:c>
      <x:c r="C8" s="23" t="inlineStr">
        <x:is>
          <x:t xml:space="preserve">Owner-led test, deployment and remediation guide</x:t>
        </x:is>
      </x:c>
      <x:c r="D8" s="23" t="inlineStr">
        <x:is>
          <x:t xml:space="preserve">Guide the owner through every validation and lifecycle command without executing anything.</x:t>
        </x:is>
      </x:c>
      <x:c r="E8" s="23" t="inlineStr">
        <x:is>
          <x:t xml:space="preserve">Prompt ID, code diff, acceptance criteria, environment/access boundary</x:t>
        </x:is>
      </x:c>
      <x:c r="F8" s="23" t="inlineStr">
        <x:is>
          <x:t xml:space="preserve">One-command-at-a-time owner runbook and validated PASS/BLOCKED summary</x:t>
        </x:is>
      </x:c>
      <x:c r="G8" s="23" t="inlineStr">
        <x:is>
          <x:t xml:space="preserve">TEST-001 — OWNER EXECUTION, FAILURE AND CLEANLINESS CONTROL v1.3.4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x:t>
        </x:is>
      </x:c>
      <x:c r="H8" s="23" t="inlineStr">
        <x:is>
          <x:t xml:space="preserve">Control prompt; paste before task prompts</x:t>
        </x:is>
      </x:c>
      <x:c r="I8" s="23" t="inlineStr">
        <x:is>
          <x:t xml:space="preserve">Stop at the control prompt's exact boundary</x:t>
        </x:is>
      </x:c>
      <x:c r="J8" s="23" t="inlineStr">
        <x:is>
          <x:t xml:space="preserve">Owner retains all execution and approval authority</x:t>
        </x:is>
      </x:c>
      <x:c r="K8" s="23" t="inlineStr">
        <x:is>
          <x:t xml:space="preserve">All</x:t>
        </x:is>
      </x:c>
      <x:c r="L8" s="23" t="inlineStr">
        <x:is>
          <x:t xml:space="preserve">N/A — CONTROL PROMPT</x:t>
        </x:is>
      </x:c>
      <x:c r="M8" s="23" t="inlineStr">
        <x:is>
          <x:t xml:space="preserve">N/A — CONTROL PROMPT</x:t>
        </x:is>
      </x:c>
      <x:c r="N8" s="22" t="inlineStr">
        <x:is>
          <x:t xml:space="preserve">N/A — CONTROL PROMPT</x:t>
        </x:is>
      </x:c>
    </x:row>
    <x:row r="9" ht="409.6000061035156">
      <x:c r="A9" s="22" t="inlineStr">
        <x:is>
          <x:t xml:space="preserve">W1-MVP-001</x:t>
        </x:is>
      </x:c>
      <x:c r="B9" s="22" t="inlineStr">
        <x:is>
          <x:t xml:space="preserve">Week 1</x:t>
        </x:is>
      </x:c>
      <x:c r="C9" s="22" t="inlineStr">
        <x:is>
          <x:t xml:space="preserve">MVP scope and approval record</x:t>
        </x:is>
      </x:c>
      <x:c r="D9" s="22" t="inlineStr">
        <x:is>
          <x:t xml:space="preserve">Create the missing one-page MVP-001 source-of-truth artifact before repository implementation.</x:t>
        </x:is>
      </x:c>
      <x:c r="E9" s="22" t="inlineStr">
        <x:is>
          <x:t xml:space="preserve">USE-001, DATA-001 and five starter EVAL-001 questions; no credentials</x:t>
        </x:is>
      </x:c>
      <x:c r="F9" s="22" t="inlineStr">
        <x:is>
          <x:t xml:space="preserve">Approved business-first documentation/decision record only; no code or command execution</x:t>
        </x:is>
      </x:c>
      <x:c r="G9" s="22" t="inlineStr">
        <x:is>
          <x:t xml:space="preserve">FOUR APPROVAL GATES PLUS OWNER TESTING AND WEEKLY LEARNING — TRACKER v1.3.4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x:t>
        </x:is>
      </x:c>
      <x:c r="H9" s="22" t="inlineStr">
        <x:is>
          <x:t xml:space="preserve">Gate 1 Main Prompt → Gate 2 exact Content Edit → owner content review → Gate 3 Column M manifest → Gate 4 Column N complete closure → owner tracker update</x:t>
        </x:is>
      </x:c>
      <x:c r="I9" s="22" t="inlineStr">
        <x:is>
          <x:t xml:space="preserve">READY FOR PRE-EDIT REVIEW — W1-MVP-001</x:t>
        </x:is>
      </x:c>
      <x:c r="J9" s="22" t="inlineStr">
        <x:is>
          <x:t xml:space="preserve">Owner approval required after complete read-only impact review</x:t>
        </x:is>
      </x:c>
      <x:c r="K9" s="22" t="inlineStr">
        <x:is>
          <x:t xml:space="preserve">W1-01</x:t>
        </x:is>
      </x:c>
      <x:c r="L9" s="22" t="inlineStr">
        <x:is>
          <x:t xml:space="preserve">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x:t>
        </x:is>
      </x:c>
      <x:c r="M9" s="22" t="inlineStr">
        <x:is>
          <x: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x:t>
        </x:is>
      </x:c>
      <x:c r="N9" s="55" t="inlineStr">
        <x:is>
          <x: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x:t>
        </x:is>
      </x:c>
    </x:row>
    <x:row r="10" ht="409.6000061035156">
      <x:c r="A10" s="23" t="inlineStr">
        <x:is>
          <x:t xml:space="preserve">W1-GOV-001</x:t>
        </x:is>
      </x:c>
      <x:c r="B10" s="23" t="inlineStr">
        <x:is>
          <x:t xml:space="preserve">Week 1</x:t>
        </x:is>
      </x:c>
      <x:c r="C10" s="23" t="inlineStr">
        <x:is>
          <x:t xml:space="preserve">Source precedence ADR</x:t>
        </x:is>
      </x:c>
      <x:c r="D10" s="23" t="inlineStr">
        <x:is>
          <x:t xml:space="preserve">Create the missing governance decision without creating unrelated Codex context files.</x:t>
        </x:is>
      </x:c>
      <x:c r="E10" s="23" t="inlineStr">
        <x:is>
          <x:t xml:space="preserve">Source of Truth v1.1 and Coaching Blueprint as read-only references; no credentials</x:t>
        </x:is>
      </x:c>
      <x:c r="F10" s="23" t="inlineStr">
        <x:is>
          <x:t xml:space="preserve">Approved business-first documentation/decision record only; no code or command execution</x:t>
        </x:is>
      </x:c>
      <x:c r="G10" s="23" t="inlineStr">
        <x:is>
          <x:t xml:space="preserve">FOUR APPROVAL GATES PLUS OWNER TESTING AND WEEKLY LEARNING — TRACKER v1.3.4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x:t>
        </x:is>
      </x:c>
      <x:c r="H10" s="23" t="inlineStr">
        <x:is>
          <x:t xml:space="preserve">Gate 1 Main Prompt → Gate 2 exact Content Edit → owner content review → Gate 3 Column M manifest → Gate 4 Column N complete closure → owner tracker update</x:t>
        </x:is>
      </x:c>
      <x:c r="I10" s="23" t="inlineStr">
        <x:is>
          <x:t xml:space="preserve">READY FOR PRE-EDIT REVIEW — W1-GOV-001</x:t>
        </x:is>
      </x:c>
      <x:c r="J10" s="23" t="inlineStr">
        <x:is>
          <x:t xml:space="preserve">Owner approval required after complete read-only impact review</x:t>
        </x:is>
      </x:c>
      <x:c r="K10" s="23" t="inlineStr">
        <x:is>
          <x:t xml:space="preserve">W1-02</x:t>
        </x:is>
      </x:c>
      <x:c r="L10" s="23" t="inlineStr">
        <x:is>
          <x:t xml:space="preserve">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x:t>
        </x:is>
      </x:c>
      <x:c r="M10" s="23" t="inlineStr">
        <x:is>
          <x: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x:t>
        </x:is>
      </x:c>
      <x:c r="N10" s="22" t="inlineStr">
        <x:is>
          <x: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x:t>
        </x:is>
      </x:c>
    </x:row>
    <x:row r="11" ht="409.6000061035156">
      <x:c r="A11" s="22" t="inlineStr">
        <x:is>
          <x:t xml:space="preserve">W1-001</x:t>
        </x:is>
      </x:c>
      <x:c r="B11" s="22" t="inlineStr">
        <x:is>
          <x:t xml:space="preserve">Week 1</x:t>
        </x:is>
      </x:c>
      <x:c r="C11" s="22" t="inlineStr">
        <x:is>
          <x:t xml:space="preserve">Repository and feature-control foundation</x:t>
        </x:is>
      </x:c>
      <x:c r="D11" s="22" t="inlineStr">
        <x:is>
          <x:t xml:space="preserve">Create the traceability and evidence structure before feature code.</x:t>
        </x:is>
      </x:c>
      <x:c r="E11" s="22" t="inlineStr">
        <x:is>
          <x:t xml:space="preserve">TODO_REPOSITORY, TODO_USER_OR_TEAM, TODO_COST_CENTER</x:t>
        </x:is>
      </x:c>
      <x:c r="F11" s="22" t="inlineStr">
        <x:is>
          <x:t xml:space="preserve">Approved code/configuration/test-code changes; owner test/deployment/remediation guide; business/technical/layman/interview summary</x:t>
        </x:is>
      </x:c>
      <x:c r="G11" s="22" t="inlineStr">
        <x:is>
          <x:t xml:space="preserve">FOUR APPROVAL GATES PLUS OWNER TESTING AND WEEKLY LEARNING — TRACKER v1.3.4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x:t>
        </x:is>
      </x:c>
      <x:c r="H11" s="22" t="inlineStr">
        <x:is>
          <x:t xml:space="preserve">Gate 1 Main Prompt → Gate 2 exact Code Edit → owner TEST-001 → Gate 3 Column M manifest → Gate 4 Column N complete closure → owner tracker update</x:t>
        </x:is>
      </x:c>
      <x:c r="I11" s="22" t="inlineStr">
        <x:is>
          <x:t xml:space="preserve">READY FOR PRE-EDIT REVIEW — W1-001</x:t>
        </x:is>
      </x:c>
      <x:c r="J11" s="22" t="inlineStr">
        <x:is>
          <x:t xml:space="preserve">Owner approval required after complete read-only impact review</x:t>
        </x:is>
      </x:c>
      <x:c r="K11" s="22" t="inlineStr">
        <x:is>
          <x:t xml:space="preserve">W1-03, W1-04, W1-07</x:t>
        </x:is>
      </x:c>
      <x:c r="L11" s="22" t="inlineStr">
        <x:is>
          <x:t xml:space="preserve">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x:t>
        </x:is>
      </x:c>
      <x:c r="M11" s="22" t="s">
        <x:v>2328</x:v>
      </x:c>
      <x:c r="N11" s="55" t="inlineStr">
        <x:is>
          <x: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x:t>
        </x:is>
      </x:c>
    </x:row>
    <x:row r="12" ht="409.6000061035156">
      <x:c r="A12" s="23" t="inlineStr">
        <x:is>
          <x:t xml:space="preserve">W1-002</x:t>
        </x:is>
      </x:c>
      <x:c r="B12" s="23" t="inlineStr">
        <x:is>
          <x:t xml:space="preserve">Week 1</x:t>
        </x:is>
      </x:c>
      <x:c r="C12" s="23" t="inlineStr">
        <x:is>
          <x:t xml:space="preserve">Dependency and configuration foundation</x:t>
        </x:is>
      </x:c>
      <x:c r="D12" s="23" t="inlineStr">
        <x:is>
          <x:t xml:space="preserve">Make installation reproducible and configuration explicit.</x:t>
        </x:is>
      </x:c>
      <x:c r="E12" s="23" t="inlineStr">
        <x:is>
          <x:t xml:space="preserve">Python 3.11; no cloud credentials</x:t>
        </x:is>
      </x:c>
      <x:c r="F12" s="23" t="inlineStr">
        <x:is>
          <x:t xml:space="preserve">Approved code/configuration/test-code changes; owner test/deployment/remediation guide; business/technical/layman/interview summary</x:t>
        </x:is>
      </x:c>
      <x:c r="G12" s="23" t="inlineStr">
        <x:is>
          <x:t xml:space="preserve">FOUR APPROVAL GATES PLUS OWNER TESTING AND WEEKLY LEARNING — TRACKER v1.3.4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x:t>
        </x:is>
      </x:c>
      <x:c r="H12" s="23" t="inlineStr">
        <x:is>
          <x:t xml:space="preserve">Gate 1 Main Prompt → Gate 2 exact Code Edit → owner TEST-001 → Gate 3 Column M manifest → Gate 4 Column N complete closure → owner tracker update</x:t>
        </x:is>
      </x:c>
      <x:c r="I12" s="23" t="inlineStr">
        <x:is>
          <x:t xml:space="preserve">READY FOR PRE-EDIT REVIEW — W1-002</x:t>
        </x:is>
      </x:c>
      <x:c r="J12" s="23" t="inlineStr">
        <x:is>
          <x:t xml:space="preserve">Owner approval required after complete read-only impact review</x:t>
        </x:is>
      </x:c>
      <x:c r="K12" s="23" t="inlineStr">
        <x:is>
          <x:t xml:space="preserve">W1-05</x:t>
        </x:is>
      </x:c>
      <x:c r="L12" s="23" t="inlineStr">
        <x:is>
          <x:t xml:space="preserve">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x:t>
        </x:is>
      </x:c>
      <x:c r="M12" s="23" t="s">
        <x:v>2329</x:v>
      </x:c>
      <x:c r="N12" s="22" t="inlineStr">
        <x:is>
          <x: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x:t>
        </x:is>
      </x:c>
    </x:row>
    <x:row r="13" ht="409.6000061035156">
      <x:c r="A13" s="22" t="inlineStr">
        <x:is>
          <x:t xml:space="preserve">W1-003</x:t>
        </x:is>
      </x:c>
      <x:c r="B13" s="22" t="inlineStr">
        <x:is>
          <x:t xml:space="preserve">Week 1</x:t>
        </x:is>
      </x:c>
      <x:c r="C13" s="22" t="inlineStr">
        <x:is>
          <x:t xml:space="preserve">Test and evidence framework</x:t>
        </x:is>
      </x:c>
      <x:c r="D13" s="22" t="inlineStr">
        <x:is>
          <x:t xml:space="preserve">Make every acceptance criterion executable and auditable.</x:t>
        </x:is>
      </x:c>
      <x:c r="E13" s="22" t="inlineStr">
        <x:is>
          <x:t xml:space="preserve">Feature template and repo skeleton</x:t>
        </x:is>
      </x:c>
      <x:c r="F13" s="22" t="inlineStr">
        <x:is>
          <x:t xml:space="preserve">Approved code/configuration/test-code changes; owner test/deployment/remediation guide; business/technical/layman/interview summary</x:t>
        </x:is>
      </x:c>
      <x:c r="G13" s="22" t="inlineStr">
        <x:is>
          <x:t xml:space="preserve">FOUR APPROVAL GATES PLUS OWNER TESTING AND WEEKLY LEARNING — TRACKER v1.3.4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x:t>
        </x:is>
      </x:c>
      <x:c r="H13" s="22" t="inlineStr">
        <x:is>
          <x:t xml:space="preserve">Gate 1 Main Prompt → Gate 2 exact Code Edit → owner TEST-001 → Gate 3 Column M manifest → Gate 4 Column N complete closure → owner tracker update</x:t>
        </x:is>
      </x:c>
      <x:c r="I13" s="22" t="inlineStr">
        <x:is>
          <x:t xml:space="preserve">READY FOR PRE-EDIT REVIEW — W1-003</x:t>
        </x:is>
      </x:c>
      <x:c r="J13" s="22" t="inlineStr">
        <x:is>
          <x:t xml:space="preserve">Owner approval required after complete read-only impact review</x:t>
        </x:is>
      </x:c>
      <x:c r="K13" s="22" t="inlineStr">
        <x:is>
          <x:t xml:space="preserve">W1-06, W1-08</x:t>
        </x:is>
      </x:c>
      <x:c r="L13" s="22" t="inlineStr">
        <x:is>
          <x:t xml:space="preserve">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x:t>
        </x:is>
      </x:c>
      <x:c r="M13" s="22" t="s">
        <x:v>2330</x:v>
      </x:c>
      <x:c r="N13" s="55" t="inlineStr">
        <x:is>
          <x: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x:t>
        </x:is>
      </x:c>
    </x:row>
    <x:row r="14" ht="409.6000061035156">
      <x:c r="A14" s="23" t="inlineStr">
        <x:is>
          <x:t xml:space="preserve">W1-004</x:t>
        </x:is>
      </x:c>
      <x:c r="B14" s="23" t="inlineStr">
        <x:is>
          <x:t xml:space="preserve">Week 1</x:t>
        </x:is>
      </x:c>
      <x:c r="C14" s="23" t="inlineStr">
        <x:is>
          <x:t xml:space="preserve">Lifecycle controller and cleanup-verifier skeleton</x:t>
        </x:is>
      </x:c>
      <x:c r="D14" s="23" t="inlineStr">
        <x:is>
          <x:t xml:space="preserve">Treat deployability and reversibility as platform features.</x:t>
        </x:is>
      </x:c>
      <x:c r="E14" s="23" t="inlineStr">
        <x:is>
          <x:t xml:space="preserve">Required tag schema; sandbox-only scope</x:t>
        </x:is>
      </x:c>
      <x:c r="F14" s="23" t="inlineStr">
        <x:is>
          <x:t xml:space="preserve">Approved code/configuration/test-code changes; owner test/deployment/remediation guide; business/technical/layman/interview summary</x:t>
        </x:is>
      </x:c>
      <x:c r="G14" s="23" t="inlineStr">
        <x:is>
          <x:t xml:space="preserve">FOUR APPROVAL GATES PLUS OWNER TESTING AND WEEKLY LEARNING — TRACKER v1.3.4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x:t>
        </x:is>
      </x:c>
      <x:c r="H14" s="23" t="inlineStr">
        <x:is>
          <x:t xml:space="preserve">Gate 1 Main Prompt → Gate 2 exact Code Edit → owner TEST-001 → Gate 3 Column M manifest → Gate 4 Column N complete closure → owner tracker update</x:t>
        </x:is>
      </x:c>
      <x:c r="I14" s="23" t="inlineStr">
        <x:is>
          <x:t xml:space="preserve">READY FOR PRE-EDIT REVIEW — W1-004</x:t>
        </x:is>
      </x:c>
      <x:c r="J14" s="23" t="inlineStr">
        <x:is>
          <x:t xml:space="preserve">Owner approval required after complete read-only impact review</x:t>
        </x:is>
      </x:c>
      <x:c r="K14" s="23" t="inlineStr">
        <x:is>
          <x:t xml:space="preserve">W1-09, W1-10, W1-11</x:t>
        </x:is>
      </x:c>
      <x:c r="L14" s="23" t="inlineStr">
        <x:is>
          <x:t xml:space="preserve">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x:t>
        </x:is>
      </x:c>
      <x:c r="M14" s="23" t="s">
        <x:v>2331</x:v>
      </x:c>
      <x:c r="N14" s="22" t="inlineStr">
        <x:is>
          <x: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x:t>
        </x:is>
      </x:c>
    </x:row>
    <x:row r="15" ht="409.6000061035156">
      <x:c r="A15" s="22" t="inlineStr">
        <x:is>
          <x:t xml:space="preserve">W2-001</x:t>
        </x:is>
      </x:c>
      <x:c r="B15" s="22" t="inlineStr">
        <x:is>
          <x:t xml:space="preserve">Week 2</x:t>
        </x:is>
      </x:c>
      <x:c r="C15" s="22" t="inlineStr">
        <x:is>
          <x:t xml:space="preserve">Local Qdrant foundation, domain models and pluggable vector adapters</x:t>
        </x:is>
      </x:c>
      <x:c r="D15" s="22" t="inlineStr">
        <x:is>
          <x:t xml:space="preserve">Establish the pinned local prerequisite and prevent vendor/security leakage into retrieval logic.</x:t>
        </x:is>
      </x:c>
      <x:c r="E15" s="22" t="inlineStr">
        <x:is>
          <x:t xml:space="preserve">W1 sign-off; DATA-002, DATA-003, EMB-001, SEC-001; Docker 24+; approved Qdrant digests</x:t>
        </x:is>
      </x:c>
      <x:c r="F15" s="22" t="inlineStr">
        <x:is>
          <x:t xml:space="preserve">Approved code/configuration/test-code changes; owner test/deployment/remediation guide; business/technical/layman/interview summary</x:t>
        </x:is>
      </x:c>
      <x:c r="G15" s="22" t="inlineStr">
        <x:is>
          <x:t xml:space="preserve">FOUR APPROVAL GATES PLUS OWNER TESTING AND WEEKLY LEARNING — TRACKER v1.3.4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x:t>
        </x:is>
      </x:c>
      <x:c r="H15" s="22" t="inlineStr">
        <x:is>
          <x:t xml:space="preserve">Gate 1 Main Prompt → Gate 2 exact Code Edit → owner TEST-001 → Gate 3 Column M manifest → Gate 4 Column N complete closure → owner tracker update</x:t>
        </x:is>
      </x:c>
      <x:c r="I15" s="22" t="inlineStr">
        <x:is>
          <x:t xml:space="preserve">READY FOR PRE-EDIT REVIEW — W2-001</x:t>
        </x:is>
      </x:c>
      <x:c r="J15" s="22" t="inlineStr">
        <x:is>
          <x:t xml:space="preserve">Owner approval required after complete read-only impact review</x:t>
        </x:is>
      </x:c>
      <x:c r="K15" s="22" t="inlineStr">
        <x:is>
          <x:t xml:space="preserve">W2-03, W2-01, W2-02, W2-04, W2-08</x:t>
        </x:is>
      </x:c>
      <x:c r="L15" s="22" t="inlineStr">
        <x:is>
          <x:t xml:space="preserve">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x:t>
        </x:is>
      </x:c>
      <x:c r="M15" s="22" t="inlineStr">
        <x:is>
          <x: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x:t>
        </x:is>
      </x:c>
      <x:c r="N15" s="55" t="inlineStr">
        <x:is>
          <x: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x:t>
        </x:is>
      </x:c>
    </x:row>
    <x:row r="16" ht="409.6000061035156">
      <x:c r="A16" s="23" t="inlineStr">
        <x:is>
          <x:t xml:space="preserve">W2-002</x:t>
        </x:is>
      </x:c>
      <x:c r="B16" s="23" t="inlineStr">
        <x:is>
          <x:t xml:space="preserve">Week 2</x:t>
        </x:is>
      </x:c>
      <x:c r="C16" s="23" t="inlineStr">
        <x:is>
          <x:t xml:space="preserve">Embedder contract and local adapter</x:t>
        </x:is>
      </x:c>
      <x:c r="D16" s="23" t="inlineStr">
        <x:is>
          <x:t xml:space="preserve">Support local and future provider embeddings through one boundary.</x:t>
        </x:is>
      </x:c>
      <x:c r="E16" s="23" t="inlineStr">
        <x:is>
          <x:t xml:space="preserve">EMBEDDING_MODEL_ID</x:t>
        </x:is>
      </x:c>
      <x:c r="F16" s="23" t="inlineStr">
        <x:is>
          <x:t xml:space="preserve">Approved code/configuration/test-code changes; owner test/deployment/remediation guide; business/technical/layman/interview summary</x:t>
        </x:is>
      </x:c>
      <x:c r="G16" s="23" t="inlineStr">
        <x:is>
          <x:t xml:space="preserve">FOUR APPROVAL GATES PLUS OWNER TESTING AND WEEKLY LEARNING — TRACKER v1.3.4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x:t>
        </x:is>
      </x:c>
      <x:c r="H16" s="23" t="inlineStr">
        <x:is>
          <x:t xml:space="preserve">Gate 1 Main Prompt → Gate 2 exact Code Edit → owner TEST-001 → Gate 3 Column M manifest → Gate 4 Column N complete closure → owner tracker update</x:t>
        </x:is>
      </x:c>
      <x:c r="I16" s="23" t="inlineStr">
        <x:is>
          <x:t xml:space="preserve">READY FOR PRE-EDIT REVIEW — W2-002</x:t>
        </x:is>
      </x:c>
      <x:c r="J16" s="23" t="inlineStr">
        <x:is>
          <x:t xml:space="preserve">Owner approval required after complete read-only impact review</x:t>
        </x:is>
      </x:c>
      <x:c r="K16" s="23" t="inlineStr">
        <x:is>
          <x:t xml:space="preserve">W2-05</x:t>
        </x:is>
      </x:c>
      <x:c r="L16" s="23" t="inlineStr">
        <x:is>
          <x:t xml:space="preserve">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x:t>
        </x:is>
      </x:c>
      <x:c r="M16" s="23" t="inlineStr">
        <x:is>
          <x: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x:t>
        </x:is>
      </x:c>
      <x:c r="N16" s="22" t="inlineStr">
        <x:is>
          <x: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x:t>
        </x:is>
      </x:c>
    </x:row>
    <x:row r="17" ht="409.6000061035156">
      <x:c r="A17" s="22" t="inlineStr">
        <x:is>
          <x:t xml:space="preserve">W2-003</x:t>
        </x:is>
      </x:c>
      <x:c r="B17" s="22" t="inlineStr">
        <x:is>
          <x:t xml:space="preserve">Week 2</x:t>
        </x:is>
      </x:c>
      <x:c r="C17" s="22" t="inlineStr">
        <x:is>
          <x:t xml:space="preserve">Secure ingestion pipeline</x:t>
        </x:is>
      </x:c>
      <x:c r="D17" s="22" t="inlineStr">
        <x:is>
          <x:t xml:space="preserve">Turn approved files into versioned, authorized chunks.</x:t>
        </x:is>
      </x:c>
      <x:c r="E17" s="22" t="inlineStr">
        <x:is>
          <x:t xml:space="preserve">Approved local sample path; tenant/classification rules</x:t>
        </x:is>
      </x:c>
      <x:c r="F17" s="22" t="inlineStr">
        <x:is>
          <x:t xml:space="preserve">Approved code/configuration/test-code changes; owner test/deployment/remediation guide; business/technical/layman/interview summary</x:t>
        </x:is>
      </x:c>
      <x:c r="G17" s="22" t="inlineStr">
        <x:is>
          <x:t xml:space="preserve">FOUR APPROVAL GATES PLUS OWNER TESTING AND WEEKLY LEARNING — TRACKER v1.3.4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v1.3.4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x:t>
        </x:is>
      </x:c>
      <x:c r="H17" s="22" t="inlineStr">
        <x:is>
          <x:t xml:space="preserve">Gate 1 Main Prompt → Gate 2 exact Code Edit → owner TEST-001 → Gate 3 Column M manifest → Gate 4 Column N complete closure → owner tracker update</x:t>
        </x:is>
      </x:c>
      <x:c r="I17" s="22" t="inlineStr">
        <x:is>
          <x:t xml:space="preserve">READY FOR PRE-EDIT REVIEW — W2-003</x:t>
        </x:is>
      </x:c>
      <x:c r="J17" s="22" t="inlineStr">
        <x:is>
          <x:t xml:space="preserve">Owner approval required after complete read-only impact review</x:t>
        </x:is>
      </x:c>
      <x:c r="K17" s="22" t="inlineStr">
        <x:is>
          <x:t xml:space="preserve">W2-06, W2-07</x:t>
        </x:is>
      </x:c>
      <x:c r="L17" s="22" t="inlineStr">
        <x:is>
          <x:t xml:space="preserve">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x:t>
        </x:is>
      </x:c>
      <x:c r="M17" s="22" t="inlineStr">
        <x:is>
          <x: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x:t>
        </x:is>
      </x:c>
      <x:c r="N17" s="55" t="inlineStr">
        <x:is>
          <x: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x:t>
        </x:is>
      </x:c>
    </x:row>
    <x:row r="18" ht="409.6000061035156">
      <x:c r="A18" s="23" t="inlineStr">
        <x:is>
          <x:t xml:space="preserve">W2-004</x:t>
        </x:is>
      </x:c>
      <x:c r="B18" s="23" t="inlineStr">
        <x:is>
          <x:t xml:space="preserve">Week 2</x:t>
        </x:is>
      </x:c>
      <x:c r="C18" s="23" t="inlineStr">
        <x:is>
          <x:t xml:space="preserve">Local retrieval proof, rollback and complete-removal drill</x:t>
        </x:is>
      </x:c>
      <x:c r="D18" s="23" t="inlineStr">
        <x:is>
          <x:t xml:space="preserve">Prove approved retrieval end-to-end using the existing W2-001 Qdrant foundation, then restore and remove it cleanly.</x:t>
        </x:is>
      </x:c>
      <x:c r="E18" s="23" t="inlineStr">
        <x:is>
          <x:t xml:space="preserve">Approved W2-001/W2-002/W2-003; Docker/model cache; approved corpus and retrieval fixture</x:t>
        </x:is>
      </x:c>
      <x:c r="F18" s="23" t="inlineStr">
        <x:is>
          <x:t xml:space="preserve">Approved code/configuration/test-code changes; owner test/deployment/remediation guide; business/technical/layman/interview summary</x:t>
        </x:is>
      </x:c>
      <x:c r="G18" s="23" t="inlineStr">
        <x:is>
          <x:t xml:space="preserve">FOUR APPROVAL GATES PLUS OWNER TESTING AND WEEKLY LEARNING — TRACKER v1.3.4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x:t>
        </x:is>
      </x:c>
      <x:c r="H18" s="23" t="inlineStr">
        <x:is>
          <x:t xml:space="preserve">Gate 1 Main Prompt → Gate 2 exact Code Edit → owner TEST-001 → Gate 3 Column M manifest → Gate 4 Column N complete closure → owner tracker update</x:t>
        </x:is>
      </x:c>
      <x:c r="I18" s="23" t="inlineStr">
        <x:is>
          <x:t xml:space="preserve">READY FOR PRE-EDIT REVIEW — W2-004</x:t>
        </x:is>
      </x:c>
      <x:c r="J18" s="23" t="inlineStr">
        <x:is>
          <x:t xml:space="preserve">Owner approval required after complete read-only impact review</x:t>
        </x:is>
      </x:c>
      <x:c r="K18" s="23" t="inlineStr">
        <x:is>
          <x:t xml:space="preserve">W2-09, W2-10</x:t>
        </x:is>
      </x:c>
      <x:c r="L18" s="23" t="inlineStr">
        <x:is>
          <x:t xml:space="preserve">COLUMN L — COMPLETE BOUNDED CODE EDIT APPROVAL — W2-004
APPROVED TASK CONTRACT
- Prompt and tracker steps: W2-004 / W2-09, W2-10
- Business purpose: Prove approved retrieval end-to-end using the existing W2-001 Qdrant foundation, then restore and remove it cleanly.
- Architecture and design: RetrievalService composes the approved embedder and VectorStore to prove local query, rollback and complete removal without changing the Qdrant network boundary.
- Exact interfaces, functions and connections: index_manifest, retrieve and remove_document_version accept typed authorized requests; retrieve returns ranked chunks, and cleanup returns a verified absence result.
- Exact inputs, outputs, errors and invariants: Inputs are limited to Approved W2-001/W2-002/W2-003; Docker/model cache; approved corpus and retrieval fixture.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approved synthetic corpus and query fixture use W2 domain models, immutable version IDs, normalized vectors and deterministic expected rankings.
- Exact dependency and runtime API rules: The retained offline model snapshot and internal Qdrant runner are owner-started prerequisites; service calls use bounded timeouts and no host-port publication.
- Exact security, privacy, concurrency and operational controls: Authorization precedes vector search; rollback restores the previous manifest; teardown removes only the named test collection and verifies Compose-labelled residue is absent.
- Exact automated-test behavior: Local feature test proves index-query-rank flow; rollback test proves prior-version restoration; teardown test proves collection, container, volume, network and local runner-image cleanup.
- Accepted baseline: The inspected repository contains every UPDATE path and does not contain every CREATE path. Historical results remain unchanged; future execution must revalidate content and patch anchors.
EXACT APPROVED PATH MANIFEST
CREATE:
- src/enterprise_ai_platform/retrieval/service.py
- tests/feature/test_local_retrieval.py
- tests/feature/test_retrieval_rollback.py
- tests/teardown/test_w2_004_retrieval_cleanliness.py
UPDATE:
- tests/conftest.py
- Makefile
- feature-matrix.yaml
- tools/platformctl/validate.py
- tests/feature/test_feature_matrix.py
- tests/unit/test_platformctl.py
DELETE:
- None
VERIFIED IMPLEMENTED PRODUCERS / UNCHANGED CONSUMERS:
- src/enterprise_ai_platform/embeddings/base.py
- src/enterprise_ai_platform/embeddings/sentence_transformer.py
- src/enterprise_ai_platform/retrieval/models.py
- src/enterprise_ai_platform/retrieval/vector_store.py
- src/enterprise_ai_platform/retrieval/authorization.py
- src/enterprise_ai_platform/retrieval/adapters/qdrant.py
- docker-compose.yml
- docker/qdrant-test-runner.Dockerfile
REQUIRED UPSTREAM PRODUCERS:
- src/enterprise_ai_platform/retrieval/service.py — produced by W2-003 after its blocked Gate 1 is resolved; Gate 1 must verify existence and contract alignment before activation.
DEFERRED:
- W2-003 remains blocked; its exact retrieval-service output contract and external model-cache read-only mount decision must be owner-approved before this template can activate.
- Exact W2-004 ingestion/test-runner paths and mount details are PROPOSED only until Gate 1 reconciles them against the post-W2-003 baseline.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Prove approved retrieval end-to-end using the existing W2-001 Qdrant foundation, then restore and remove it cleanly.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W2-004.</x:t>
        </x:is>
      </x:c>
      <x:c r="M18" s="23" t="inlineStr">
        <x:is>
          <x: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x:t>
        </x:is>
      </x:c>
      <x:c r="N18" s="22" t="inlineStr">
        <x:is>
          <x: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x:t>
        </x:is>
      </x:c>
    </x:row>
    <x:row r="19" ht="409.6000061035156">
      <x:c r="A19" s="22" t="inlineStr">
        <x:is>
          <x:t xml:space="preserve">W2-LEARN-001</x:t>
        </x:is>
      </x:c>
      <x:c r="B19" s="22" t="inlineStr">
        <x:is>
          <x:t xml:space="preserve">Week 2</x:t>
        </x:is>
      </x:c>
      <x:c r="C19" s="22" t="inlineStr">
        <x:is>
          <x:t xml:space="preserve">Local retrieval architecture explanation</x:t>
        </x:is>
      </x:c>
      <x:c r="D19" s="22" t="inlineStr">
        <x:is>
          <x:t xml:space="preserve">Create an interview-ready explanation grounded in the implemented retrieval evidence.</x:t>
        </x:is>
      </x:c>
      <x:c r="E19" s="22" t="inlineStr">
        <x:is>
          <x:t xml:space="preserve">Approved W2 ADRs, adapter/chunking configuration and W2 evidence</x:t>
        </x:is>
      </x:c>
      <x:c r="F19" s="22" t="inlineStr">
        <x:is>
          <x:t xml:space="preserve">Business/technical/layman explanation, decision review and interview practice only</x:t>
        </x:is>
      </x:c>
      <x:c r="G19" s="22" t="inlineStr">
        <x:is>
          <x:t xml:space="preserve">FOUR APPROVAL GATES PLUS OWNER TESTING AND WEEKLY LEARNING — TRACKER v1.3.4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x:t>
        </x:is>
      </x:c>
      <x:c r="H19" s="22" t="str">
        <x:v>Read-only teaching plan → owner teach-back → owner writes the exact evidence note → final teach-back approval → owner tracker update</x:v>
      </x:c>
      <x:c r="I19" s="22" t="inlineStr">
        <x:is>
          <x:t xml:space="preserve">Owner learning and teach-back review — W2-LEARN-001</x:t>
        </x:is>
      </x:c>
      <x:c r="J19" s="22" t="inlineStr">
        <x:is>
          <x:t xml:space="preserve">Owner teach-back required</x:t>
        </x:is>
      </x:c>
      <x:c r="K19" s="22" t="inlineStr">
        <x:is>
          <x:t xml:space="preserve">W2-11</x:t>
        </x:is>
      </x:c>
      <x:c r="L19" s="22" t="inlineStr">
        <x:is>
          <x:t xml:space="preserve">COLUMN L — OWNER LEARNING POSITION — W2-LEARN-001
No code, configuration, infrastructure, schema, automated-test or Codex-authored document edit is authorized. Codex teaches from approved facts; the owner completes the teach-back and writes the evidence note at docs/architecture/local-retrieval.md. That owner-written note is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W2-LEARN-001.
</x:t>
        </x:is>
      </x:c>
      <x:c r="M19" s="22" t="str">
        <x:v>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
</x:v>
      </x:c>
      <x:c r="N19" s="55" t="s">
        <x:v>2356</x:v>
      </x:c>
    </x:row>
    <x:row r="20" ht="409.6000061035156">
      <x:c r="A20" s="23" t="inlineStr">
        <x:is>
          <x:t xml:space="preserve">W3-001</x:t>
        </x:is>
      </x:c>
      <x:c r="B20" s="23" t="inlineStr">
        <x:is>
          <x:t xml:space="preserve">Week 3</x:t>
        </x:is>
      </x:c>
      <x:c r="C20" s="23" t="inlineStr">
        <x:is>
          <x:t xml:space="preserve">LLM adapters and cited RAG pipeline</x:t>
        </x:is>
      </x:c>
      <x:c r="D20" s="23" t="inlineStr">
        <x:is>
          <x:t xml:space="preserve">Generate evidence-bound answers while retaining provider portability.</x:t>
        </x:is>
      </x:c>
      <x:c r="E20" s="23" t="inlineStr">
        <x:is>
          <x:t xml:space="preserve">LLM_PROVIDER, LLM_MODEL_ID, AWS_REGION; Bedrock test is marked</x:t>
        </x:is>
      </x:c>
      <x:c r="F20" s="23" t="inlineStr">
        <x:is>
          <x:t xml:space="preserve">Approved code/configuration/test-code changes; owner test/deployment/remediation guide; business/technical/layman/interview summary</x:t>
        </x:is>
      </x:c>
      <x:c r="G20" s="23" t="inlineStr">
        <x:is>
          <x:t xml:space="preserve">FOUR APPROVAL GATES PLUS OWNER TESTING AND WEEKLY LEARNING — TRACKER v1.3.4
MAIN PROMPT — W3-001
TASK IDENTITY
- Week: Week 3
- Feature/outcome: LLM adapters and cited RAG pipeline
- Business purpose: Generate evidence-bound answers while retaining provider portability.
- Covered tracker steps: W3-01, W3-02, W3-03, W3-04
- Required inputs: LLM_PROVIDER, LLM_MODEL_ID, AWS_REGION; Bedrock test is marked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W3-01 — Create provider-neutral chat/tool/usage types and fake provider.
  Business reason: RAG logic should not depend on Bedrock response formats.
  Acceptance: Fake tests cover success, timeout and malformed response.
  Dependency: W2-13
  Owner verification reference: pytest tests/unit/test_llm_provider.py -q
  Expected result: Normalized errors and usage fields are stable.
  Canonical evidence: docs/test-evidence/W3-01-llm-contract.txt
  Rollback/teardown: Switch configuration back to fake provider.
  Current tracker status (read-only historical/current fact): Not Started
  Separate Task Context: 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
- W3-02 — Implement Bedrock adapter behind marked integration tests.
  Business reason: Bedrock is the primary AWS model boundary without GPU operations.
  Acceptance: Adapter has deadlines/retry caps and no hard-coded model ID.
  Dependency: W3-01
  Owner verification reference: pytest tests/unit/test_bedrock_adapter.py -q
  Expected result: Offline tests pass; live test is skipped unless explicitly enabled.
  Canonical evidence: docs/test-evidence/W3-02-bedrock.txt
  Rollback/teardown: Set LLM_PROVIDER=fake; revoke test session if created.
  Current tracker status (read-only historical/current fact): Not Started
  Separate Task Context: 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
- W3-03 — Create versioned evidence-bound prompt template.
  Business reason: Retrieved documents are data, never instructions.
  Acceptance: Prompt clearly delimits evidence and demands citations/abstention.
  Dependency: W3-01
  Owner verification reference: pytest tests/unit/test_prompt_template.py -q
  Expected result: Injection fixture cannot override system policy.
  Canonical evidence: docs/test-evidence/W3-03-prompt.txt
  Rollback/teardown: Restore previous approved prompt version.
  Current tracker status (read-only historical/current fact): Not Started
  Separate Task Context: 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
- W3-04 — Authorize, retrieve, grade, generate and validate citations.
  Business reason: This is the core safe-answer path.
  Acceptance: Structured Answer contains only supplied source IDs.
  Dependency: W3-01:W3-03,W2-09
  Owner verification reference: pytest tests/unit/test_rag_pipeline.py -q
  Expected result: Good evidence answers; low evidence abstains.
  Canonical evidence: docs/test-evidence/W3-04-rag.txt
  Rollback/teardown: Switch to last-known-good prompt/model/retriever configuration.
  Current tracker status (read-only historical/current fact): Not Started
  Separate Task Context: 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
Downstream tracker steps identified from recorded dependencies: W3-02, W3-03, W3-04, W3-05, W3-07, W3-09, W3-12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Dependency/runtime API: Verify declared dependency bounds and exact runtime API names against the approved environment; do not install, upgrade or contact a package service.
- AWS/cloud: Use explicit account, region, role and service boundaries, short-lived identity, least privilege, cost limits and owner-only API execution.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Generate evidence-bound answers while retaining provider portability. The primary beneficiaries are knowledge users, compliance, application teams and model governance.
- Process and risk: This task supports authorized question -&gt; retrieval -&gt; evidence pack -&gt; provider-neutral LLM -&gt; citation validation -&gt; grounded answer. Without it, the platform can produce an unauditable, insecure or non-reproducible result at this exact layer.
- Measurable outcome: grounded answers with valid source IDs and no unauthorized provider call. It contributes to the MVP by making LLM adapters and cited RAG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END-TO-END ARCHITECTURE LEARNING
- Position and flow: authorized question -&gt; retrieval -&gt; evidence pack -&gt; provider-neutral LLM -&gt; citation validation -&gt; grounded answer.
- Upstream/dependency boundary: W2-13, W3-01, W3-01, W3-01:W3-03,W2-09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LLM protocol, fake and Bedrock adapters, prompt builder, RAG orchestrator, answer/citation schemas.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LLM protocol, fake and Bedrock adapters, prompt builder, RAG orchestrator, answer/citation schemas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research assistant allowed to answer only from numbered source cards.
- What goes in / happens / comes out: approved LLM_PROVIDER, LLM_MODEL_ID, AWS_REGION; Bedrock test is marked goes through LLM adapters and cited RAG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retrieval selects evidence; generation composes an answer; citation validation proves support.
ARCHITECTURE DECISIONS AND TRADE-OFFS
- Selected recorded direction: provider portability and evidence-bound generation are selected over model-specific orchestration.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authorization precedes retrieval/LLM calls; retrieved text is untrusted and outputs expose approved citations only. Apply classification, PII handling, tenant isolation, authorization before provider/storage calls, secret exclusion, redacted evidence, residency, retention, provenance and least privilege where applicable.
- Failure/operations: timeouts, invalid citations or provider errors fail without fabricated answer; rollback restores prompt/model/retriever/index baseline.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LLM adapters and cited RAG pipeline addresses generate evidence-bound answers while retaining provider portability. It makes the result governed, testable and reversible, measured by grounded answers with valid source IDs and no unauthorized provider call.
- Two-minute technical explanation: describe LLM protocol, fake and Bedrock adapters, prompt builder, RAG orchestrator, answer/citation schemas; trace authorized question -&gt; retrieval -&gt; evidence pack -&gt; provider-neutral LLM -&gt; citation validation -&gt; grounded answer;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LLM adapters and cited RAG pipeline solve?
   Answer points: Connect Generate evidence-bound answers while retaining provider portability. to grounded answers with valid source IDs and no unauthorized provider call and identify knowledge users, compliance, application teams and model governance.
2. Q: Trace the end-to-end flow for W3-001.
   Answer points: Explain authorized question -&gt; retrieval -&gt; evidence pack -&gt; provider-neutral LLM -&gt; citation validation -&gt; grounded answer; name upstream dependencies, downstream consumers, trust and state boundaries.
3. Q: Which design decision matters most and what alternative was rejected?
   Answer points: Discuss provider portability and evidence-bound generation are selected over model-specific orchestration; compare the adjacent alternative and when it could be preferable.
4. Q: How does this task fail safely and how is it recovered?
   Answer points: Use this scenario: timeouts, invalid citations or provider errors fail without fabricated answer; rollback restores prompt/model/retriever/index baseline; distinguish retry, remediation, rollback, teardown and evidence.
5. Q: How are security, privacy and cost controlled?
   Answer points: Explain authorization precedes retrieval/LLM calls; retrieved text is untrusted and outputs expose approved citations only; include least privilege, redaction/residency, bounded resources and owner-only access.
- Design trade-off: volume/latency increases tenfold; explain whether provider portability and evidence-bound generation are selected over model-specific orchestration still holds and what evidence/ADR/approval must change.
- Failure/remediation: timeouts, invalid citations or provider errors fail without fabricated answer; rollback restores prompt/model/retriever/index baseline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LLM adapters and cited RAG pipeline. Task — establish the governed contract. Action — map consumers, work within gates, owner-test, diagnose completely and prove lifecycle. Result — report only accepted evidence and grounded answers with valid source IDs and no unauthorized provider call.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LLM_PROVIDER, LLM_MODEL_ID, AWS_REGION; Bedrock test is marked.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W3-001.
</x:t>
        </x:is>
      </x:c>
      <x:c r="H20" s="23" t="inlineStr">
        <x:is>
          <x:t xml:space="preserve">Gate 1 Main Prompt → Gate 2 exact Code Edit → owner TEST-001 → Gate 3 Column M manifest → Gate 4 Column N complete closure → owner tracker update</x:t>
        </x:is>
      </x:c>
      <x:c r="I20" s="23" t="inlineStr">
        <x:is>
          <x:t xml:space="preserve">READY FOR PRE-EDIT REVIEW — W3-001</x:t>
        </x:is>
      </x:c>
      <x:c r="J20" s="23" t="inlineStr">
        <x:is>
          <x:t xml:space="preserve">Owner approval required after complete read-only impact review</x:t>
        </x:is>
      </x:c>
      <x:c r="K20" s="23" t="inlineStr">
        <x:is>
          <x:t xml:space="preserve">W3-01, W3-02, W3-03, W3-04</x:t>
        </x:is>
      </x:c>
      <x:c r="L20" s="23" t="inlineStr">
        <x:is>
          <x:t xml:space="preserve">COLUMN L — COMPLETE BOUNDED CODE EDIT APPROVAL — W3-001
APPROVED TASK CONTRACT
- Prompt and tracker steps: W3-001 / W3-01, W3-02, W3-03, W3-04
- Business purpose: Generate evidence-bound answers while retaining provider portability.
- Architecture and design: LLMProvider separates FakeLLMProvider and Bedrock from a cited RAG pipeline that assembles only authorized retrieved evidence into the prompt.
- Exact interfaces, functions and connections: generate accepts LLMRequest and returns LLMResponse; answer_query retrieves authorized chunks, builds a bounded prompt and returns Answer with citations or an abstention reason.
- Exact inputs, outputs, errors and invariants: Inputs are limited to LLM_PROVIDER, LLM_MODEL_ID, AWS_REGION; Bedrock test is marked.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LLMRequest, LLMResponse, ToolSpec and usage records are vendor neutral; every answer citation carries source ID, chunk ID and version; missing support yields abstention.
- Exact dependency and runtime API rules: Fake provider is default; Bedrock client is injected, region and model ID are explicit, retries and timeouts are bounded, and live AWS tests remain marked opt-in.
- Exact security, privacy, concurrency and operational controls: No credentials or content in logs; tenant filters remain outside the model; cancellation prevents further provider calls; token and context budgets reject overflow.
- Exact automated-test behavior: Provider contract covers fake and injected Bedrock clients; pipeline unit tests cover prompt assembly and abstention; cited-RAG feature tests prove evidence mapping; security tests reject fabricated or unauthorized citations.
- Accepted baseline: The inspected repository contains every UPDATE path and does not contain every CREATE path. Historical results remain unchanged; future execution must revalidate content and patch anchors.
EXACT APPROVED PATH MANIFEST
CREATE:
- src/enterprise_ai_platform/llm/__init__.py
- src/enterprise_ai_platform/llm/base.py
- src/enterprise_ai_platform/llm/errors.py
- src/enterprise_ai_platform/llm/fake.py
- src/enterprise_ai_platform/llm/bedrock.py
- src/enterprise_ai_platform/rag/__init__.py
- src/enterprise_ai_platform/rag/models.py
- src/enterprise_ai_platform/rag/prompts.py
- src/enterprise_ai_platform/rag/pipeline.py
- tests/unit/test_rag_pipeline.py
- tests/unit/test_prompt_template.py
- tests/unit/test_llm_provider.py
- tests/unit/test_bedrock_adapter.py
- tests/feature/test_cited_rag.py
- tests/security/test_citation_contract.py
UPDATE:
- src/enterprise_ai_platform/config.py
- requirements.txt
- feature-matrix.yaml
- tools/platformctl/validate.py
- tests/feature/test_feature_matrix.py
- tests/unit/test_platformctl.py
DELETE:
- None
VERIFIED IMPLEMENTED PRODUCERS / UNCHANGED CONSUMERS:
- src/enterprise_ai_platform/retrieval/models.py
- src/enterprise_ai_platform/embeddings/base.py
REQUIRED UPSTREAM PRODUCERS:
- src/enterprise_ai_platform/retrieval/service.py — produced by W2-004;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Generate evidence-bound answers while retaining provider portability. and measurable acceptance.
2. Architecture position: authorized question -&gt; retrieval -&gt; evidence pack -&gt; provider-neutral LLM -&gt; citation validation -&gt; grounded answer,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research assistant allowed to answer only from numbered source cards; what goes in, happens and comes out.
7. Decisions/trade-offs: provider portability and evidence-bound generation are selected over model-specific orchestration, alternatives, pros/cons, conditions to differ and consequences.
8. Security/privacy/reliability/cost: authorization precedes retrieval/LLM calls; retrieved text is untrusted and outputs expose approved citations only, failure isolation, retained resources and accepted access/cost.
9. Failure/remediation/rollback/teardown: timeouts, invalid citations or provider errors fail without fabricated answer; rollback restores prompt/model/retriever/index baseline;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W3-001.</x:t>
        </x:is>
      </x:c>
      <x:c r="M20" s="23" t="s">
        <x:v>2332</x:v>
      </x:c>
      <x:c r="N20" s="22" t="inlineStr">
        <x:is>
          <x: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x:t>
        </x:is>
      </x:c>
    </x:row>
    <x:row r="21" ht="409.6000061035156">
      <x:c r="A21" s="22" t="inlineStr">
        <x:is>
          <x:t xml:space="preserve">W3-002</x:t>
        </x:is>
      </x:c>
      <x:c r="B21" s="22" t="inlineStr">
        <x:is>
          <x:t xml:space="preserve">Week 3</x:t>
        </x:is>
      </x:c>
      <x:c r="C21" s="22" t="inlineStr">
        <x:is>
          <x:t xml:space="preserve">Evaluation harness and release gate</x:t>
        </x:is>
      </x:c>
      <x:c r="D21" s="22" t="inlineStr">
        <x:is>
          <x:t xml:space="preserve">Replace subjective demonstrations with repeatable evidence.</x:t>
        </x:is>
      </x:c>
      <x:c r="E21" s="22" t="inlineStr">
        <x:is>
          <x:t xml:space="preserve">configs/eval/golden.jsonl with 25+ approved cases</x:t>
        </x:is>
      </x:c>
      <x:c r="F21" s="22" t="inlineStr">
        <x:is>
          <x:t xml:space="preserve">Approved code/configuration/test-code changes; owner test/deployment/remediation guide; business/technical/layman/interview summary</x:t>
        </x:is>
      </x:c>
      <x:c r="G21" s="22" t="inlineStr">
        <x:is>
          <x:t xml:space="preserve">FOUR APPROVAL GATES PLUS OWNER TESTING AND WEEKLY LEARNING — TRACKER v1.3.4
MAIN PROMPT — W3-002
TASK IDENTITY
- Week: Week 3
- Feature/outcome: Evaluation harness and release gate
- Business purpose: Replace subjective demonstrations with repeatable evidence.
- Covered tracker steps: W3-06, W3-07, W3-10
- Required inputs: configs/eval/golden.jsonl with 25+ approved cases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W3-06 — Create 25+ golden cases with sources, facts, tenant and safety tags.
  Business reason: Quality thresholds require versioned, representative truth data.
  Acceptance: Dataset passes schema and privacy review.
  Dependency: W2-09
  Owner verification reference: python tools/validate_eval_dataset.py configs/eval/golden.jsonl
  Expected result: 25+ valid cases; no prohibited data.
  Canonical evidence: docs/test-evidence/W3-06-golden.txt
  Rollback/teardown: Revert dataset version; never silently edit expected answers.
  Current tracker status (read-only historical/current fact): Not Started
  Separate Task Context: 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
- W3-07 — Measure retrieval, citations, abstention, latency and cost.
  Business reason: Promotion must rely on repeatable evidence, not a demo.
  Acceptance: Baseline report and nonzero regression exit behavior exist.
  Dependency: W3-04,W3-06
  Owner verification reference: python -m enterprise_ai_platform.evaluation.runner --dataset configs/eval/golden.jsonl --out reports/eval.json
  Expected result: Recall@5, citation precision, groundedness, latency and estimated cost recorded.
  Canonical evidence: reports/eval.json
  Rollback/teardown: Restore last approved baseline; block release on unresolved regression.
  Current tracker status (read-only historical/current fact): Not Started
  Separate Task Context: 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
- W3-10 — Set initial thresholds: Recall@5 &gt;=0.85 and citation-valid/safe-abstain &gt;=95%.
  Business reason: Thresholds convert evaluation into a release decision.
  Acceptance: CI-style command fails on a material regression.
  Dependency: W3-07
  Owner verification reference: make evaluate
  Expected result: Baseline passes; synthetic regression fails.
  Canonical evidence: docs/test-evidence/W3-10-gate.txt
  Rollback/teardown: Revert candidate prompt/model/index and preserve failing evidence.
  Current tracker status (read-only historical/current fact): Not Started
  Separate Task Context: 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
Downstream tracker steps identified from recorded dependencies: W3-07, W3-10, W3-11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TASK-SPECIFIC CLARIFICATION
Include at least 25 versioned golden JSONL cases with question, expected facts, expected source IDs, tenant and safety tags. Validate schema and privacy; never silently alter approved expected facts.
TASK-SPECIFIC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Replace subjective demonstrations with repeatable evidence. The primary beneficiaries are product owner, model risk, QA and release managers.
- Process and risk: This task supports versioned golden cases -&gt; RAG execution -&gt; deterministic metrics -&gt; thresholds -&gt; release gate and evidence. Without it, the platform can produce an unauditable, insecure or non-reproducible result at this exact layer.
- Measurable outcome: 25+ valid cases and repeatable threshold decisions. It contributes to the MVP by making Evaluation harness and release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END-TO-END ARCHITECTURE LEARNING
- Position and flow: versioned golden cases -&gt; RAG execution -&gt; deterministic metrics -&gt; thresholds -&gt; release gate and evidence.
- Upstream/dependency boundary: W2-09, W3-04,W3-06, W3-07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JSONL evaluation schema, dataset validator, metrics, report, threshold configuration and CI/release consumer.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JSONL evaluation schema, dataset validator, metrics, report, threshold configuration and CI/release consumer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exam with fixed questions, marking rules and a pass score.
- What goes in / happens / comes out: approved configs/eval/golden.jsonl with 25+ approved cases goes through Evaluation harness and release gate;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verify code contracts; evaluation measures answer/retrieval quality.
ARCHITECTURE DECISIONS AND TRADE-OFFS
- Selected recorded direction: repeatable versioned evaluation and explicit thresholds replace subjective demonstration.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golden data is sanitized and tenant/classification context is enforced. Apply classification, PII handling, tenant isolation, authorization before provider/storage calls, secret exclusion, redacted evidence, residency, retention, provenance and least privilege where applicable.
- Failure/operations: malformed cases or threshold regression fail the release; rollback returns to last passing artifacts.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Evaluation harness and release gate addresses replace subjective demonstrations with repeatable evidence. It makes the result governed, testable and reversible, measured by 25+ valid cases and repeatable threshold decisions.
- Two-minute technical explanation: describe JSONL evaluation schema, dataset validator, metrics, report, threshold configuration and CI/release consumer; trace versioned golden cases -&gt; RAG execution -&gt; deterministic metrics -&gt; thresholds -&gt; release gate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Evaluation harness and release gate solve?
   Answer points: Connect Replace subjective demonstrations with repeatable evidence. to 25+ valid cases and repeatable threshold decisions and identify product owner, model risk, QA and release managers.
2. Q: Trace the end-to-end flow for W3-002.
   Answer points: Explain versioned golden cases -&gt; RAG execution -&gt; deterministic metrics -&gt; thresholds -&gt; release gate and evidence; name upstream dependencies, downstream consumers, trust and state boundaries.
3. Q: Which design decision matters most and what alternative was rejected?
   Answer points: Discuss repeatable versioned evaluation and explicit thresholds replace subjective demonstration; compare the adjacent alternative and when it could be preferable.
4. Q: How does this task fail safely and how is it recovered?
   Answer points: Use this scenario: malformed cases or threshold regression fail the release; rollback returns to last passing artifacts; distinguish retry, remediation, rollback, teardown and evidence.
5. Q: How are security, privacy and cost controlled?
   Answer points: Explain golden data is sanitized and tenant/classification context is enforced; include least privilege, redaction/residency, bounded resources and owner-only access.
- Design trade-off: volume/latency increases tenfold; explain whether repeatable versioned evaluation and explicit thresholds replace subjective demonstration still holds and what evidence/ADR/approval must change.
- Failure/remediation: malformed cases or threshold regression fail the release; rollback returns to last passing artifacts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Evaluation harness and release gate. Task — establish the governed contract. Action — map consumers, work within gates, owner-test, diagnose completely and prove lifecycle. Result — report only accepted evidence and 25+ valid cases and repeatable threshold decisions.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configs/eval/golden.jsonl with 25+ approved cases.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W3-002.
</x:t>
        </x:is>
      </x:c>
      <x:c r="H21" s="22" t="inlineStr">
        <x:is>
          <x:t xml:space="preserve">Gate 1 Main Prompt → Gate 2 exact Code Edit → owner TEST-001 → Gate 3 Column M manifest → Gate 4 Column N complete closure → owner tracker update</x:t>
        </x:is>
      </x:c>
      <x:c r="I21" s="22" t="inlineStr">
        <x:is>
          <x:t xml:space="preserve">READY FOR PRE-EDIT REVIEW — W3-002</x:t>
        </x:is>
      </x:c>
      <x:c r="J21" s="22" t="inlineStr">
        <x:is>
          <x:t xml:space="preserve">Owner approval required after complete read-only impact review</x:t>
        </x:is>
      </x:c>
      <x:c r="K21" s="22" t="inlineStr">
        <x:is>
          <x:t xml:space="preserve">W3-06, W3-07, W3-10</x:t>
        </x:is>
      </x:c>
      <x:c r="L21" s="22" t="inlineStr">
        <x:is>
          <x:t xml:space="preserve">COLUMN L — COMPLETE BOUNDED CODE EDIT APPROVAL — W3-002
APPROVED TASK CONTRACT
- Prompt and tracker steps: W3-002 / W3-06, W3-07, W3-10
- Business purpose: Replace subjective demonstrations with repeatable evidence.
- Architecture and design: A versioned JSON Lines golden set feeds deterministic evaluation metrics and a release gate without calling paid providers by default.
- Exact interfaces, functions and connections: load_cases, evaluate_case, aggregate_metrics and evaluate_release accept typed cases and return per-case plus aggregate gate results.
- Exact inputs, outputs, errors and invariants: Inputs are limited to configs/eval/golden.jsonl with 25+ approved cases.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Each golden case has case ID, tenant, query, expected sources, expected answer facts, abstention expectation and safety labels; duplicate or incomplete cases are rejected.
- Exact dependency and runtime API rules: Fake retrieval and LLM providers are default; case order and random seed are fixed; no network, model download or paid service is used in ordinary evaluation.
- Exact security, privacy, concurrency and operational controls: Evaluation artifacts exclude enterprise content and credentials; failures identify case IDs, not raw protected text; gate thresholds are explicit owner decisions.
- Exact automated-test behavior: Metric unit tests cover exact denominators; dataset contract tests require at least 25 unique cases; feature tests cover pass and regression gates; security tests prove redacted output.
- Accepted baseline: The inspected repository contains every UPDATE path and does not contain every CREATE path. Historical results remain unchanged; future execution must revalidate content and patch anchors.
EXACT APPROVED PATH MANIFEST
CREATE:
- configs/eval/golden.jsonl
- src/enterprise_ai_platform/evaluation/__init__.py
- src/enterprise_ai_platform/evaluation/models.py
- src/enterprise_ai_platform/evaluation/metrics.py
- src/enterprise_ai_platform/evaluation/runner.py
- tools/validate_eval_dataset.py
- tests/unit/test_evaluation_metrics.py
- tests/contract/test_golden_dataset.py
- tests/feature/test_evaluation_gate.py
- tests/security/test_evaluation_redaction.py
UPDATE:
- Makefile
- feature-matrix.yaml
- tools/platformctl/validate.py
- tests/feature/test_feature_matrix.py
- tests/unit/test_platformctl.py
DELETE:
- None
VERIFIED IMPLEMENTED PRODUCERS / UNCHANGED CONSUMERS:
- docs/features/MVP-001.md
REQUIRED UPSTREAM PRODUCERS:
- src/enterprise_ai_platform/rag/pipeline.py — produced by W3-001;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Replace subjective demonstrations with repeatable evidence. and measurable acceptance.
2. Architecture position: versioned golden cases -&gt; RAG execution -&gt; deterministic metrics -&gt; thresholds -&gt; release gate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exam with fixed questions, marking rules and a pass score; what goes in, happens and comes out.
7. Decisions/trade-offs: repeatable versioned evaluation and explicit thresholds replace subjective demonstration, alternatives, pros/cons, conditions to differ and consequences.
8. Security/privacy/reliability/cost: golden data is sanitized and tenant/classification context is enforced, failure isolation, retained resources and accepted access/cost.
9. Failure/remediation/rollback/teardown: malformed cases or threshold regression fail the release; rollback returns to last passing artifacts;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W3-002.</x:t>
        </x:is>
      </x:c>
      <x:c r="M21" s="22" t="s">
        <x:v>2333</x:v>
      </x:c>
      <x:c r="N21" s="55" t="inlineStr">
        <x:is>
          <x: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x:t>
        </x:is>
      </x:c>
    </x:row>
    <x:row r="22" ht="409.6000061035156">
      <x:c r="A22" s="23" t="inlineStr">
        <x:is>
          <x:t xml:space="preserve">W3-003</x:t>
        </x:is>
      </x:c>
      <x:c r="B22" s="23" t="inlineStr">
        <x:is>
          <x:t xml:space="preserve">Week 3</x:t>
        </x:is>
      </x:c>
      <x:c r="C22" s="23" t="inlineStr">
        <x:is>
          <x:t xml:space="preserve">RAG guardrails and security regression suite</x:t>
        </x:is>
      </x:c>
      <x:c r="D22" s="23" t="inlineStr">
        <x:is>
          <x:t xml:space="preserve">Treat retrieved content as untrusted and enforce authorization outside the model.</x:t>
        </x:is>
      </x:c>
      <x:c r="E22" s="23" t="inlineStr">
        <x:is>
          <x:t xml:space="preserve">Classification/tenant rules; injection fixtures</x:t>
        </x:is>
      </x:c>
      <x:c r="F22" s="23" t="inlineStr">
        <x:is>
          <x:t xml:space="preserve">Approved code/configuration/test-code changes; owner test/deployment/remediation guide; business/technical/layman/interview summary</x:t>
        </x:is>
      </x:c>
      <x:c r="G22" s="23" t="inlineStr">
        <x:is>
          <x:t xml:space="preserve">FOUR APPROVAL GATES PLUS OWNER TESTING AND WEEKLY LEARNING — TRACKER v1.3.4
MAIN PROMPT — W3-003
TASK IDENTITY
- Week: Week 3
- Feature/outcome: RAG guardrails and security regression suite
- Business purpose: Treat retrieved content as untrusted and enforce authorization outside the model.
- Covered tracker steps: W3-05, W3-08
- Required inputs: Classification/tenant rules; injection fixtures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recorded dependencies: W3-08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retrieved content as untrusted and enforce authorization outside the model. The primary beneficiaries are users, security operations, compliance and model governance.
- Process and risk: This task supports untrusted user/retrieved content -&gt; deterministic policy checks -&gt; authorized RAG -&gt; safe response or refusal. Without it, the platform can produce an unauditable, insecure or non-reproducible result at this exact layer.
- Measurable outcome: known attacks are rejected without reducing valid grounded answers. It contributes to the MVP by making RAG guardrails and security regression suite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 Position and flow: untrusted user/retrieved content -&gt; deterministic policy checks -&gt; authorized RAG -&gt; safe response or refusal.
- Upstream/dependency boundary: W3-04, W3-05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airport security that screens every bag even if the passenger says it is safe.
-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guardrails constrain behavior; authorization determines access rights.
ARCHITECTURE DECISIONS AND TRADE-OFFS
- Selected recorded direction: deterministic external controls are selected over asking the model to police itself.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2. Q: Trace the end-to-end flow for W3-003.
   Answer points: Explain untrusted user/retrieved content -&gt; deterministic policy checks -&gt; authorized RAG -&gt; safe response or refusal; name upstream dependencies, downstream consumers, trust and state boundaries.
3. Q: Which design decision matters most and what alternative was rejected?
   Answer points: Discuss deterministic external controls are selected over asking the model to police itself; compare the adjacent alternative and when it could be preferable.
4. Q: How does this task fail safely and how is it recovered?
   Answer points: Use this scenario: injection or authorization ambiguity fails closed and creates redacted evidence; distinguish retry, remediation, rollback, teardown and evidence.
5. Q: How are security, privacy and cost controlled?
   Answer points: Explain tenant and ACL enforcement stay outside the LLM; sensitive instructions/content are not logged; include least privilege, redaction/residency, bounded resources and owner-only access.
- Design trade-off: volume/latency increases tenfold; explain whether deterministic external controls are selected over asking the model to police itself still holds and what evidence/ADR/approval must change.
- Failure/remediation: injection or authorization ambiguity fails closed and creates redacted evidence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Classification/tenant rules; injection fixtures.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W3-003.
</x:t>
        </x:is>
      </x:c>
      <x:c r="H22" s="23" t="inlineStr">
        <x:is>
          <x:t xml:space="preserve">Gate 1 Main Prompt → Gate 2 exact Code Edit → owner TEST-001 → Gate 3 Column M manifest → Gate 4 Column N complete closure → owner tracker update</x:t>
        </x:is>
      </x:c>
      <x:c r="I22" s="23" t="inlineStr">
        <x:is>
          <x:t xml:space="preserve">READY FOR PRE-EDIT REVIEW — W3-003</x:t>
        </x:is>
      </x:c>
      <x:c r="J22" s="23" t="inlineStr">
        <x:is>
          <x:t xml:space="preserve">Owner approval required after complete read-only impact review</x:t>
        </x:is>
      </x:c>
      <x:c r="K22" s="23" t="inlineStr">
        <x:is>
          <x:t xml:space="preserve">W3-05, W3-08</x:t>
        </x:is>
      </x:c>
      <x:c r="L22" s="23" t="inlineStr">
        <x:is>
          <x:t xml:space="preserve">COLUMN L — COMPLETE BOUNDED CODE EDIT APPROVAL — W3-003
APPROVED TASK CONTRACT
- Prompt and tracker steps: W3-003 / W3-05, W3-08
- Business purpose: Treat retrieved content as untrusted and enforce authorization outside the model.
- Architecture and design: Deterministic input, retrieved-content and output guardrails surround the RAG pipeline while authorization remains enforced by retrieval code.
- Exact interfaces, functions and connections: inspect_query, inspect_context and inspect_answer return allow, refuse or quarantine decisions with safe reason codes; the pipeline stops on any deny decision.
- Exact inputs, outputs, errors and invariants: Inputs are limited to Classification/tenant rules; injection fixtures.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GuardrailDecision contains decision, reason code, stage and policy version only; injection fixtures are synthetic and classified by expected action.
- Exact dependency and runtime API rules: Rules are local and deterministic; no remote moderation service or model download is introduced; timeouts and cancellation propagate through the pipeline.
- Exact security, privacy, concurrency and operational controls: Retrieved text is untrusted, tool-like instructions are not executed, tenant authorization cannot be overridden, and sensitive input is excluded from errors and telemetry.
- Exact automated-test behavior: Security suites cover direct and indirect injection, cross-tenant context, unsafe output and false-positive controls; feature test proves guardrail ordering and fail-closed behavior.
- Accepted baseline: The inspected repository contains every UPDATE path and does not contain every CREATE path. Historical results remain unchanged; future execution must revalidate content and patch anchors.
EXACT APPROVED PATH MANIFEST
CREATE:
- src/enterprise_ai_platform/guardrails/__init__.py
- src/enterprise_ai_platform/guardrails/errors.py
- src/enterprise_ai_platform/guardrails/prompt_injection.py
- src/enterprise_ai_platform/guardrails/output_policy.py
- tests/unit/test_guardrails.py
- tests/security/test_prompt_injection.py
- tests/security/test_rag_authorization.py
- tests/security/test_output_guardrails.py
- tests/feature/test_rag_guardrail_contract.py
UPDATE:
- src/enterprise_ai_platform/rag/pipeline.py
- src/enterprise_ai_platform/config.py
- feature-matrix.yaml
- tools/platformctl/validate.py
- tests/feature/test_feature_matrix.py
- tests/unit/test_platformctl.py
DELETE:
- None
VERIFIED IMPLEMENTED PRODUCERS / UNCHANGED CONSUMERS:
- src/enterprise_ai_platform/retrieval/authorization.py
REQUIRED UPSTREAM PRODUCERS:
- src/enterprise_ai_platform/llm/base.py — produced by W3-001;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retrieved content as untrusted and enforce authorization outside the model. and measurable acceptance.
2. Architecture position: untrusted user/retrieved content -&gt; deterministic policy checks -&gt; authorized RAG -&gt; safe response or refusal,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airport security that screens every bag even if the passenger says it is safe; what goes in, happens and comes out.
7. Decisions/trade-offs: deterministic external controls are selected over asking the model to police itself, alternatives, pros/cons, conditions to differ and consequences.
8. Security/privacy/reliability/cost: tenant and ACL enforcement stay outside the LLM; sensitive instructions/content are not logged, failure isolation, retained resources and accepted access/cost.
9. Failure/remediation/rollback/teardown: injection or authorization ambiguity fails closed and creates redacted evidence;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W3-003.</x:t>
        </x:is>
      </x:c>
      <x:c r="M22" s="23" t="inlineStr">
        <x:is>
          <x: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x:t>
        </x:is>
      </x:c>
      <x:c r="N22" s="22" t="inlineStr">
        <x:is>
          <x: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x:t>
        </x:is>
      </x:c>
    </x:row>
    <x:row r="23" ht="409.6000061035156">
      <x:c r="A23" s="22" t="inlineStr">
        <x:is>
          <x:t xml:space="preserve">W3-ROLLBACK-001</x:t>
        </x:is>
      </x:c>
      <x:c r="B23" s="22" t="inlineStr">
        <x:is>
          <x:t xml:space="preserve">Week 3</x:t>
        </x:is>
      </x:c>
      <x:c r="C23" s="22" t="inlineStr">
        <x:is>
          <x:t xml:space="preserve">Cited-RAG configuration rollback drill</x:t>
        </x:is>
      </x:c>
      <x:c r="D23" s="22" t="inlineStr">
        <x:is>
          <x:t xml:space="preserve">Prove prompt/model/retriever/index configuration can return to a known-good baseline.</x:t>
        </x:is>
      </x:c>
      <x:c r="E23" s="22" t="inlineStr">
        <x:is>
          <x:t xml:space="preserve">Approved baseline and exact local configuration paths from the pre-edit plan</x:t>
        </x:is>
      </x:c>
      <x:c r="F23" s="22" t="inlineStr">
        <x:is>
          <x:t xml:space="preserve">Approved code/configuration/test-code changes; owner test/deployment/remediation guide; business/technical/layman/interview summary</x:t>
        </x:is>
      </x:c>
      <x:c r="G23" s="22" t="inlineStr">
        <x:is>
          <x:t xml:space="preserve">FOUR APPROVAL GATES PLUS OWNER TESTING AND WEEKLY LEARNING — TRACKER v1.3.4
MAIN PROMPT — W3-ROLLBACK-001
TASK IDENTITY
- Week: Week 3
- Feature/outcome: Cited-RAG configuration rollback drill
- Business purpose: Prove prompt/model/retriever/index configuration can return to a known-good baseline.
- Covered tracker steps: W3-11
- Required inputs: Approved baseline and exact local configuration paths from the pre-edit plan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W3-11 — Restore prior prompt/model/retriever/index configuration and re-evaluate.
  Business reason: RAG changes can regress without application code changes.
  Acceptance: Last-known-good configuration returns baseline results.
  Dependency: W3-10
  Owner verification reference: make rollback-rag &amp;&amp; make evaluate
  Expected result: Rollback record identifies versions and post-rollback metrics.
  Canonical evidence: docs/rollback-records/W3-rag.md
  Rollback/teardown: Forward-fix only after a new feature cycle.
  Current tracker status (read-only historical/current fact): Not Started
  Separate Task Context: 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
Downstream tracker steps identified from recorded dependencies: W3-12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SCOPED TASK — W3-ROLLBACK-001
Use only the exact existing local prompt/model/retriever/index configuration files listed and approved in the pre-edit plan, plus docs/rollback-records/W3-rag.md. Plan owner-run TEST-001 to restore the prior known-good configuration, execute the exact rollback and evaluation commands, compare the checked-in baseline, and supply exact versions, results, elapsed time and residual risks for later Column M documentation. Do not hide regression, edit the golden truth set, mutate cloud resources or edit this tracker.
TASK-SPECIFIC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prompt/model/retriever/index configuration can return to a known-good baseline. The primary beneficiaries are release owner, SRE, support and risk managers.
- Process and risk: This task supports known-good baseline -&gt; bounded change -&gt; regression detection -&gt; owner rollback -&gt; verification and evidence. Without it, the platform can produce an unauditable, insecure or non-reproducible result at this exact layer.
- Measurable outcome: restored baseline passes exact regression and leaves no ambiguous active version. It contributes to the MVP by making Cited-RAG configuration rollback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END-TO-END ARCHITECTURE LEARNING
- Position and flow: known-good baseline -&gt; bounded change -&gt; regression detection -&gt; owner rollback -&gt; verification and evidence.
- Upstream/dependency boundary: W3-10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immutable/versioned configuration or releases, activation pointer, regression check and cleanup plan.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immutable/versioned configuration or releases, activation pointer, regression check and cleanup plan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switching a railway signal back to a tested track.
- What goes in / happens / comes out: approved Approved baseline and exact local configuration paths from the pre-edit plan goes through Cited-RAG configuration rollback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configuration rollback reverses behavior settings; infrastructure rollback reverses resources.
ARCHITECTURE DECISIONS AND TRADE-OFFS
- Selected recorded direction: rollback targets an exact known-good identity instead of editing forward under pressure.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owner approval, artifact integrity and redacted evidence prevent unauthorized rollback. Apply classification, PII handling, tenant isolation, authorization before provider/storage calls, secret exclusion, redacted evidence, residency, retention, provenance and least privilege where applicable.
- Failure/operations: failed rollback is explicit and escalated; never destroy the last known-good version.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Cited-RAG configuration rollback drill addresses prove prompt/model/retriever/index configuration can return to a known-good baseline. It makes the result governed, testable and reversible, measured by restored baseline passes exact regression and leaves no ambiguous active version.
- Two-minute technical explanation: describe immutable/versioned configuration or releases, activation pointer, regression check and cleanup plan; trace known-good baseline -&gt; bounded change -&gt; regression detection -&gt; owner rollback -&gt; verification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Cited-RAG configuration rollback drill solve?
   Answer points: Connect Prove prompt/model/retriever/index configuration can return to a known-good baseline. to restored baseline passes exact regression and leaves no ambiguous active version and identify release owner, SRE, support and risk managers.
2. Q: Trace the end-to-end flow for W3-ROLLBACK-001.
   Answer points: Explain known-good baseline -&gt; bounded change -&gt; regression detection -&gt; owner rollback -&gt; verification and evidence; name upstream dependencies, downstream consumers, trust and state boundaries.
3. Q: Which design decision matters most and what alternative was rejected?
   Answer points: Discuss rollback targets an exact known-good identity instead of editing forward under pressure; compare the adjacent alternative and when it could be preferable.
4. Q: How does this task fail safely and how is it recovered?
   Answer points: Use this scenario: failed rollback is explicit and escalated; never destroy the last known-good version; distinguish retry, remediation, rollback, teardown and evidence.
5. Q: How are security, privacy and cost controlled?
   Answer points: Explain owner approval, artifact integrity and redacted evidence prevent unauthorized rollback; include least privilege, redaction/residency, bounded resources and owner-only access.
- Design trade-off: volume/latency increases tenfold; explain whether rollback targets an exact known-good identity instead of editing forward under pressure still holds and what evidence/ADR/approval must change.
- Failure/remediation: failed rollback is explicit and escalated; never destroy the last known-good version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Cited-RAG configuration rollback drill. Task — establish the governed contract. Action — map consumers, work within gates, owner-test, diagnose completely and prove lifecycle. Result — report only accepted evidence and restored baseline passes exact regression and leaves no ambiguous active version.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baseline and exact local configuration paths from the pre-edit plan.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W3-ROLLBACK-001.
</x:t>
        </x:is>
      </x:c>
      <x:c r="H23" s="22" t="inlineStr">
        <x:is>
          <x:t xml:space="preserve">Gate 1 Main Prompt → Gate 2 exact Code Edit → owner TEST-001 → Gate 3 Column M manifest → Gate 4 Column N complete closure → owner tracker update</x:t>
        </x:is>
      </x:c>
      <x:c r="I23" s="22" t="inlineStr">
        <x:is>
          <x:t xml:space="preserve">READY FOR PRE-EDIT REVIEW — W3-ROLLBACK-001</x:t>
        </x:is>
      </x:c>
      <x:c r="J23" s="22" t="inlineStr">
        <x:is>
          <x:t xml:space="preserve">Owner approval required after complete read-only impact review</x:t>
        </x:is>
      </x:c>
      <x:c r="K23" s="22" t="inlineStr">
        <x:is>
          <x:t xml:space="preserve">W3-11</x:t>
        </x:is>
      </x:c>
      <x:c r="L23" s="22" t="inlineStr">
        <x:is>
          <x:t xml:space="preserve">COLUMN L — COMPLETE BOUNDED CODE EDIT APPROVAL — W3-ROLLBACK-001
APPROVED TASK CONTRACT
- Prompt and tracker steps: W3-ROLLBACK-001 / W3-11
- Business purpose: Prove prompt/model/retriever/index configuration can return to a known-good baseline.
- Architecture and design: Versioned JSON RAG configurations and platformctl rollback select a known-good prompt, model, retriever and index contract without changing stored evidence silently.
- Exact interfaces, functions and connections: validate_rag_config, compare_rag_config and rollback_rag_config accept exact configuration paths and return validation, diff and selected-baseline results.
- Exact inputs, outputs, errors and invariants: Inputs are limited to Approved baseline and exact local configuration paths from the pre-edit plan.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Configuration fixes schema version, prompt version, provider/model ID, retrieval parameters, index version and evaluation gate; unknown or missing fields are rejected.
- Exact dependency and runtime API rules: Rollback is local and dry-run by default; owner execution performs any service restart or data mutation; no cloud or model download is part of the code edit.
- Exact security, privacy, concurrency and operational controls: Candidate and baseline hashes are verified; rollback stops if the baseline is missing or incompatible; cleanup removes only drill artifacts.
- Exact automated-test behavior: Contract tests reject invalid configuration; feature tests force a safe regression and select baseline; teardown tests prove no temporary rollback state remains.
- Accepted baseline: The inspected repository contains every UPDATE path and does not contain every CREATE path. Historical results remain unchanged; future execution must revalidate content and patch anchors.
EXACT APPROVED PATH MANIFEST
CREATE:
- configs/rag/baseline.json
- configs/rag/candidate.json
- tools/platformctl/rag_rollback.py
- tests/contract/test_rag_config.py
- tests/feature/test_rag_configuration_rollback.py
- tests/teardown/test_w3_rag_rollback_cleanliness.py
UPDATE:
- tools/platformctl/cli.py
- tools/platformctl/contracts.py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src/enterprise_ai_platform/rag/pipeline.py — produced by W3-003; Gate 1 must verify existence and contract alignment before activation.
- configs/eval/golden.jsonl — produced by W3-002;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Prove prompt/model/retriever/index configuration can return to a known-good baseline. and measurable acceptance.
2. Architecture position: known-good baseline -&gt; bounded change -&gt; regression detection -&gt; owner rollback -&gt; verification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switching a railway signal back to a tested track; what goes in, happens and comes out.
7. Decisions/trade-offs: rollback targets an exact known-good identity instead of editing forward under pressure, alternatives, pros/cons, conditions to differ and consequences.
8. Security/privacy/reliability/cost: owner approval, artifact integrity and redacted evidence prevent unauthorized rollback, failure isolation, retained resources and accepted access/cost.
9. Failure/remediation/rollback/teardown: failed rollback is explicit and escalated; never destroy the last known-good version;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W3-ROLLBACK-001.</x:t>
        </x:is>
      </x:c>
      <x:c r="M23" s="22" t="inlineStr">
        <x:is>
          <x: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docs/test-evidence/W3-ROLLBACK-001.md
- docs/rollback-records/W3-rag.md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x:t>
        </x:is>
      </x:c>
      <x:c r="N23" s="55" t="inlineStr">
        <x:is>
          <x: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x:t>
        </x:is>
      </x:c>
    </x:row>
    <x:row r="24" ht="409.6000061035156">
      <x:c r="A24" s="23" t="inlineStr">
        <x:is>
          <x:t xml:space="preserve">W4-001</x:t>
        </x:is>
      </x:c>
      <x:c r="B24" s="23" t="inlineStr">
        <x:is>
          <x:t xml:space="preserve">Week 4</x:t>
        </x:is>
      </x:c>
      <x:c r="C24" s="23" t="inlineStr">
        <x:is>
          <x:t xml:space="preserve">FastAPI service boundary</x:t>
        </x:is>
      </x:c>
      <x:c r="D24" s="23" t="inlineStr">
        <x:is>
          <x:t xml:space="preserve">Expose production-shaped, testable endpoints.</x:t>
        </x:is>
      </x:c>
      <x:c r="E24" s="23" t="inlineStr">
        <x:is>
          <x:t xml:space="preserve">Fake providers by default; auth interface choice</x:t>
        </x:is>
      </x:c>
      <x:c r="F24" s="23" t="inlineStr">
        <x:is>
          <x:t xml:space="preserve">Approved code/configuration/test-code changes; owner test/deployment/remediation guide; business/technical/layman/interview summary</x:t>
        </x:is>
      </x:c>
      <x:c r="G24" s="23" t="inlineStr">
        <x:is>
          <x:t xml:space="preserve">FOUR APPROVAL GATES PLUS OWNER TESTING AND WEEKLY LEARNING — TRACKER v1.3.4
MAIN PROMPT — W4-001
TASK IDENTITY
- Week: Week 4
- Feature/outcome: FastAPI service boundary
- Business purpose: Expose production-shaped, testable endpoints.
- Covered tracker steps: W4-01, W4-02, W4-10
- Required inputs: Fake providers by default; auth interface choice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W4-01 — Implement health, query and agent endpoints using dependency interfaces.
  Business reason: A thin typed boundary isolates clients from implementation details.
  Acceptance: Endpoints return normalized schemas and request IDs.
  Dependency: W3-13
  Owner verification reference: pytest tests/unit/test_api.py -q
  Expected result: Health and fake query tests pass; no internal prompt/error leak.
  Canonical evidence: docs/test-evidence/W4-01-api.txt
  Rollback/teardown: Roll back image/config and disable new route.
  Current tracker status (read-only historical/current fact): Not Started
  Separate Task Context: 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
- W4-02 — Implement auth context interface and deny before retrieval/action.
  Business reason: Identity and authorization are deterministic platform controls.
  Acceptance: Unauthorized query never invokes retriever or tool.
  Dependency: W4-01
  Owner verification reference: pytest tests/security/test_api_authorization.py -q
  Expected result: Mock call assertions prove deny-before-retrieve.
  Canonical evidence: docs/test-evidence/W4-02-auth.txt
  Rollback/teardown: Disable endpoint or restore previous auth dependency.
  Current tracker status (read-only historical/current fact): Not Started
  Separate Task Context: 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
- W4-10 — Run bounded local smoke/load test with fake/approved model.
  Business reason: Concurrency and timeouts must fail predictably before EKS.
  Acceptance: No unbounded queue; p95/p99 baseline is recorded.
  Dependency: W4-01,W4-06
  Owner verification reference: pytest tests/feature/test_api_load_smoke.py -q
  Expected result: Latency/error/concurrency report is redacted.
  Canonical evidence: docs/test-evidence/W4-10-load.json
  Rollback/teardown: Reduce traffic; revert concurrency settings.
  Current tracker status (read-only historical/current fact): Not Started
  Separate Task Context: 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
Downstream tracker steps identified from recorded dependencies: W4-02, W4-03, W4-08, W4-10, W4-11, W4-12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Expose production-shaped, testable endpoints. The primary beneficiaries are client teams, knowledge users, operations and security.
- Process and risk: This task supports authenticated HTTP request -&gt; FastAPI validation/auth -&gt; application service -&gt; fake or approved providers -&gt; typed response/error. Without it, the platform can produce an unauditable, insecure or non-reproducible result at this exact layer.
- Measurable outcome: stable contract, correct status codes and bounded latency under approved tests. It contributes to the MVP by making FastAPI service boundary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END-TO-END ARCHITECTURE LEARNING
- Position and flow: authenticated HTTP request -&gt; FastAPI validation/auth -&gt; application service -&gt; fake or approved providers -&gt; typed response/error.
- Upstream/dependency boundary: W3-13, W4-01, W4-01,W4-06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FastAPI routes, request/response schemas, dependency injection, auth interface, health/readiness and API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FastAPI routes, request/response schemas, dependency injection, auth interface, health/readiness and API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guarded reception desk that checks forms and identity before sending work inside.
- What goes in / happens / comes out: approved Fake providers by default; auth interface choice goes through FastAPI service boundary;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API exposes the capability; the service layer owns business rules.
ARCHITECTURE DECISIONS AND TRADE-OFFS
- Selected recorded direction: a thin transport boundary with injected providers and typed errors is selected over business logic in routes.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authentication, tenant context, limits and redaction happen before provider access. Apply classification, PII handling, tenant isolation, authorization before provider/storage calls, secret exclusion, redacted evidence, residency, retention, provenance and least privilege where applicable.
- Failure/operations: bad input/auth/provider timeout maps to stable status without content leakage; rollback restores the last API release.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FastAPI service boundary addresses expose production-shaped, testable endpoints. It makes the result governed, testable and reversible, measured by stable contract, correct status codes and bounded latency under approved tests.
- Two-minute technical explanation: describe FastAPI routes, request/response schemas, dependency injection, auth interface, health/readiness and API tests; trace authenticated HTTP request -&gt; FastAPI validation/auth -&gt; application service -&gt; fake or approved providers -&gt; typed response/error;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FastAPI service boundary solve?
   Answer points: Connect Expose production-shaped, testable endpoints. to stable contract, correct status codes and bounded latency under approved tests and identify client teams, knowledge users, operations and security.
2. Q: Trace the end-to-end flow for W4-001.
   Answer points: Explain authenticated HTTP request -&gt; FastAPI validation/auth -&gt; application service -&gt; fake or approved providers -&gt; typed response/error; name upstream dependencies, downstream consumers, trust and state boundaries.
3. Q: Which design decision matters most and what alternative was rejected?
   Answer points: Discuss a thin transport boundary with injected providers and typed errors is selected over business logic in routes; compare the adjacent alternative and when it could be preferable.
4. Q: How does this task fail safely and how is it recovered?
   Answer points: Use this scenario: bad input/auth/provider timeout maps to stable status without content leakage; rollback restores the last API release; distinguish retry, remediation, rollback, teardown and evidence.
5. Q: How are security, privacy and cost controlled?
   Answer points: Explain authentication, tenant context, limits and redaction happen before provider access; include least privilege, redaction/residency, bounded resources and owner-only access.
- Design trade-off: volume/latency increases tenfold; explain whether a thin transport boundary with injected providers and typed errors is selected over business logic in routes still holds and what evidence/ADR/approval must change.
- Failure/remediation: bad input/auth/provider timeout maps to stable status without content leakage; rollback restores the last API release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FastAPI service boundary. Task — establish the governed contract. Action — map consumers, work within gates, owner-test, diagnose completely and prove lifecycle. Result — report only accepted evidence and stable contract, correct status codes and bounded latency under approved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Fake providers by default; auth interface choice.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W4-001.
</x:t>
        </x:is>
      </x:c>
      <x:c r="H24" s="23" t="inlineStr">
        <x:is>
          <x:t xml:space="preserve">Gate 1 Main Prompt → Gate 2 exact Code Edit → owner TEST-001 → Gate 3 Column M manifest → Gate 4 Column N complete closure → owner tracker update</x:t>
        </x:is>
      </x:c>
      <x:c r="I24" s="23" t="inlineStr">
        <x:is>
          <x:t xml:space="preserve">READY FOR PRE-EDIT REVIEW — W4-001</x:t>
        </x:is>
      </x:c>
      <x:c r="J24" s="23" t="inlineStr">
        <x:is>
          <x:t xml:space="preserve">Owner approval required after complete read-only impact review</x:t>
        </x:is>
      </x:c>
      <x:c r="K24" s="23" t="inlineStr">
        <x:is>
          <x:t xml:space="preserve">W4-01, W4-02, W4-10</x:t>
        </x:is>
      </x:c>
      <x:c r="L24" s="23" t="inlineStr">
        <x:is>
          <x:t xml:space="preserve">COLUMN L — COMPLETE BOUNDED CODE EDIT APPROVAL — W4-001
APPROVED TASK CONTRACT
- Prompt and tracker steps: W4-001 / W4-01, W4-02, W4-10
- Business purpose: Expose production-shaped, testable endpoints.
- Architecture and design: FastAPI routes expose health and query boundaries, inject fake providers by default and delegate business logic to the RAG service.
- Exact interfaces, functions and connections: GET health endpoints return readiness state; POST query accepts QueryRequest and returns QueryResponse with answer, citations, trace ID or typed error.
- Exact inputs, outputs, errors and invariants: Inputs are limited to Fake providers by default; auth interface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API models enforce tenant identity, classification, bounded query length and stable error codes; unknown fields and malformed authorization fail validation.
- Exact dependency and runtime API rules: FastAPI dependencies are injected; synchronous work stays outside the event loop; timeouts and cancellation propagate to retrieval and LLM providers.
- Exact security, privacy, concurrency and operational controls: Authentication and authorization precede retrieval; responses and logs exclude secrets and raw protected context; readiness fails when required dependencies are unavailable.
- Exact automated-test behavior: Model and contract tests prove status/schema stability; integration tests use fake providers; authorization tests cover missing and cross-tenant identity; feature and smoke tests cover query and health paths.
- Accepted baseline: The inspected repository contains every UPDATE path and does not contain every CREATE path. Historical results remain unchanged; future execution must revalidate content and patch anchors.
EXACT APPROVED PATH MANIFEST
CREATE:
- src/enterprise_ai_platform/api/__init__.py
- src/enterprise_ai_platform/api/dependencies.py
- src/enterprise_ai_platform/api/models.py
- src/enterprise_ai_platform/api/auth.py
- src/enterprise_ai_platform/api/routes_health.py
- src/enterprise_ai_platform/api/routes_query.py
- tests/contract/test_api_contract.py
- tests/unit/test_api.py
- tests/security/test_api_authorization.py
- tests/feature/test_api_query.py
- tests/feature/test_api_load_smoke.py
- tests/smoke/test_api_health.py
UPDATE:
- src/enterprise_ai_platform/app.py
- src/enterprise_ai_platform/config.py
- requirements.txt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src/enterprise_ai_platform/rag/pipeline.py — produced by W3-003; Gate 1 must verify existence and contract alignment before activation.
- src/enterprise_ai_platform/retrieval/service.py — produced by W2-004;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Expose production-shaped, testable endpoints. and measurable acceptance.
2. Architecture position: authenticated HTTP request -&gt; FastAPI validation/auth -&gt; application service -&gt; fake or approved providers -&gt; typed response/error,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guarded reception desk that checks forms and identity before sending work inside; what goes in, happens and comes out.
7. Decisions/trade-offs: a thin transport boundary with injected providers and typed errors is selected over business logic in routes, alternatives, pros/cons, conditions to differ and consequences.
8. Security/privacy/reliability/cost: authentication, tenant context, limits and redaction happen before provider access, failure isolation, retained resources and accepted access/cost.
9. Failure/remediation/rollback/teardown: bad input/auth/provider timeout maps to stable status without content leakage; rollback restores the last API release;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W4-001.</x:t>
        </x:is>
      </x:c>
      <x:c r="M24" s="23" t="s">
        <x:v>2334</x:v>
      </x:c>
      <x:c r="N24" s="22" t="inlineStr">
        <x:is>
          <x: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x:t>
        </x:is>
      </x:c>
    </x:row>
    <x:row r="25" ht="409.6000061035156">
      <x:c r="A25" s="22" t="inlineStr">
        <x:is>
          <x:t xml:space="preserve">W4-002</x:t>
        </x:is>
      </x:c>
      <x:c r="B25" s="22" t="inlineStr">
        <x:is>
          <x:t xml:space="preserve">Week 4</x:t>
        </x:is>
      </x:c>
      <x:c r="C25" s="22" t="inlineStr">
        <x:is>
          <x:t xml:space="preserve">Bounded LangGraph agent controller</x:t>
        </x:is>
      </x:c>
      <x:c r="D25" s="22" t="inlineStr">
        <x:is>
          <x:t xml:space="preserve">Add controlled agent behavior without uncontrolled autonomy.</x:t>
        </x:is>
      </x:c>
      <x:c r="E25" s="22" t="inlineStr">
        <x:is>
          <x:t xml:space="preserve">Step/tool/time budgets; approval-store decision</x:t>
        </x:is>
      </x:c>
      <x:c r="F25" s="22" t="inlineStr">
        <x:is>
          <x:t xml:space="preserve">Approved code/configuration/test-code changes; owner test/deployment/remediation guide; business/technical/layman/interview summary</x:t>
        </x:is>
      </x:c>
      <x:c r="G25" s="22" t="inlineStr">
        <x:is>
          <x:t xml:space="preserve">FOUR APPROVAL GATES PLUS OWNER TESTING AND WEEKLY LEARNING — TRACKER v1.3.4
MAIN PROMPT — W4-002
TASK IDENTITY
- Week: Week 4
- Feature/outcome: Bounded LangGraph agent controller
- Business purpose: Add controlled agent behavior without uncontrolled autonomy.
- Covered tracker steps: W4-03, W4-04, W4-05, W4-06, W4-07, W4-09
- Required inputs: Step/tool/time budgets; approval-store decision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W4-03 —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 routing tests pass; Mermaid matches implementation.
  Canonical evidence: docs/test-evidence/W4-03-graph.txt
  Rollback/teardown: Feature flag disables graph; query endpoint remains read-only.
  Current tracker status (read-only historical/current fact): Not Started
  Separate Task Context: 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
- W4-04 — Add one read-only status tool with narrow schema.
  Business reason: Read-only tool proves integration at low consequence.
  Acceptance: Allowlist and JSON schema reject malformed calls.
  Dependency: W4-03
  Owner verification reference: pytest tests/unit/test_agent_tools.py -q
  Expected result: Only allowlisted tool executes; output is normalized/redacted.
  Canonical evidence: docs/test-evidence/W4-04-read-tool.txt
  Rollback/teardown: Remove tool registration and restore prior graph.
  Current tracker status (read-only historical/current fact): Not Started
  Separate Task Context: 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
- W4-05 — Add mocked write tool that requires durable approval.
  Business reason: Consequential actions cannot rely on model intent.
  Acceptance: No approval/rejection/expired approval prevents execution.
  Dependency: W4-03,W4-04
  Owner verification reference: pytest tests/security/test_agent_approval.py -q
  Expected result: 100% write executions have valid approval and idempotency key.
  Canonical evidence: docs/test-evidence/W4-05-approval.txt
  Rollback/teardown: Disable write-tool feature flag and invalidate pending approvals.
  Current tracker status (read-only historical/current fact): Not Started
  Separate Task Context: 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
- W4-06 — Enforce step, tool-call, token/time deadline and retry limits.
  Business reason: Bounds prevent loops, retry storms and unplanned model spend.
  Acceptance: Budget-exceeded paths stop safely and record reason.
  Dependency: W4-03
  Owner verification reference: pytest tests/unit/test_agent_budgets.py -q
  Expected result: No repeated tool execution; timeouts are bounded.
  Canonical evidence: docs/test-evidence/W4-06-budgets.txt
  Rollback/teardown: Reduce limits or disable agent route.
  Current tracker status (read-only historical/current fact): Not Started
  Separate Task Context: 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
- W4-07 — Persist only redacted agent state and audit decisions.
  Business reason: Checkpoints must not become a secret/PII store.
  Acceptance: State fixture contains IDs/outcomes but no content/secrets.
  Dependency: W4-05
  Owner verification reference: pytest tests/security/test_agent_state_redaction.py -q
  Expected result: Redaction assertion passes.
  Canonical evidence: docs/test-evidence/W4-07-state.txt
  Rollback/teardown: Purge test checkpoints and restore safe serializer.
  Current tracker status (read-only historical/current fact): Not Started
  Separate Task Context: 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
- W4-09 — Exercise denial, malformed args, injection, timeout, loop and rejection.
  Business reason: Agent safety is proven through negative paths.
  Acceptance: All failure modes terminate without write side effects.
  Dependency: W4-05:W4-08
  Owner verification reference: pytest tests/security/test_agent_* tests/feature/test_agent_failures.py -q
  Expected result: Audit records show safe terminal reason.
  Canonical evidence: docs/test-evidence/W4-09-failures.txt
  Rollback/teardown: Disable agent endpoint and preserve evidence.
  Current tracker status (read-only historical/current fact): Not Started
  Separate Task Context: 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
Downstream tracker steps identified from recorded dependencies: W4-04, W4-05, W4-06, W4-07, W4-08, W4-09, W4-10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TASK-SPECIFIC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Add controlled agent behavior without uncontrolled autonomy. The primary beneficiaries are operators, approvers, application users and risk teams.
- Process and risk: This task supports authorized request -&gt; bounded state graph -&gt; permitted tool node -&gt; human approval when required -&gt; final response/audit. Without it, the platform can produce an unauditable, insecure or non-reproducible result at this exact layer.
- Measurable outcome: no unapproved tool call and deterministic state transitions. It contributes to the MVP by making Bounded LangGraph agent controller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END-TO-END ARCHITECTURE LEARNING
- Position and flow: authorized request -&gt; bounded state graph -&gt; permitted tool node -&gt; human approval when required -&gt; final response/audit.
- Upstream/dependency boundary: W4-02, W4-03, W4-03,W4-04, W4-03, W4-05, W4-05:W4-08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LangGraph state, node/edge contracts, tool registry, budgets, approval store and deterministic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LangGraph state, node/edge contracts, tool registry, budgets, approval store and deterministic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supervised checklist where each step and tool needs the right stamp.
- What goes in / happens / comes out: approved Step/tool/time budgets; approval-store decision goes through Bounded LangGraph agent controller;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RAG answers from evidence; an agent chooses among bounded actions and tools.
ARCHITECTURE DECISIONS AND TRADE-OFFS
- Selected recorded direction: explicit graph, step/tool/time budgets and human gates are selected over open-ended autonomy.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tool authorization and approval happen before side effects; state/logs redact content and credentials. Apply classification, PII handling, tenant isolation, authorization before provider/storage calls, secret exclusion, redacted evidence, residency, retention, provenance and least privilege where applicable.
- Failure/operations: budget exhaustion, denial, timeout or cancellation stops the graph without a later tool call.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Bounded LangGraph agent controller addresses add controlled agent behavior without uncontrolled autonomy. It makes the result governed, testable and reversible, measured by no unapproved tool call and deterministic state transitions.
- Two-minute technical explanation: describe LangGraph state, node/edge contracts, tool registry, budgets, approval store and deterministic tests; trace authorized request -&gt; bounded state graph -&gt; permitted tool node -&gt; human approval when required -&gt; final response/audit;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Bounded LangGraph agent controller solve?
   Answer points: Connect Add controlled agent behavior without uncontrolled autonomy. to no unapproved tool call and deterministic state transitions and identify operators, approvers, application users and risk teams.
2. Q: Trace the end-to-end flow for W4-002.
   Answer points: Explain authorized request -&gt; bounded state graph -&gt; permitted tool node -&gt; human approval when required -&gt; final response/audit; name upstream dependencies, downstream consumers, trust and state boundaries.
3. Q: Which design decision matters most and what alternative was rejected?
   Answer points: Discuss explicit graph, step/tool/time budgets and human gates are selected over open-ended autonomy; compare the adjacent alternative and when it could be preferable.
4. Q: How does this task fail safely and how is it recovered?
   Answer points: Use this scenario: budget exhaustion, denial, timeout or cancellation stops the graph without a later tool call; distinguish retry, remediation, rollback, teardown and evidence.
5. Q: How are security, privacy and cost controlled?
   Answer points: Explain tool authorization and approval happen before side effects; state/logs redact content and credentials; include least privilege, redaction/residency, bounded resources and owner-only access.
- Design trade-off: volume/latency increases tenfold; explain whether explicit graph, step/tool/time budgets and human gates are selected over open-ended autonomy still holds and what evidence/ADR/approval must change.
- Failure/remediation: budget exhaustion, denial, timeout or cancellation stops the graph without a later tool call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Bounded LangGraph agent controller. Task — establish the governed contract. Action — map consumers, work within gates, owner-test, diagnose completely and prove lifecycle. Result — report only accepted evidence and no unapproved tool call and deterministic state transitions.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Step/tool/time budgets; approval-store decision.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W4-002.
</x:t>
        </x:is>
      </x:c>
      <x:c r="H25" s="22" t="inlineStr">
        <x:is>
          <x:t xml:space="preserve">Gate 1 Main Prompt → Gate 2 exact Code Edit → owner TEST-001 → Gate 3 Column M manifest → Gate 4 Column N complete closure → owner tracker update</x:t>
        </x:is>
      </x:c>
      <x:c r="I25" s="22" t="inlineStr">
        <x:is>
          <x:t xml:space="preserve">READY FOR PRE-EDIT REVIEW — W4-002</x:t>
        </x:is>
      </x:c>
      <x:c r="J25" s="22" t="inlineStr">
        <x:is>
          <x:t xml:space="preserve">Owner approval required after complete read-only impact review</x:t>
        </x:is>
      </x:c>
      <x:c r="K25" s="22" t="inlineStr">
        <x:is>
          <x:t xml:space="preserve">W4-03, W4-04, W4-05, W4-06, W4-07, W4-09</x:t>
        </x:is>
      </x:c>
      <x:c r="L25" s="22" t="inlineStr">
        <x:is>
          <x:t xml:space="preserve">COLUMN L — COMPLETE BOUNDED CODE EDIT APPROVAL — W4-002
APPROVED TASK CONTRACT
- Prompt and tracker steps: W4-002 / W4-03, W4-04, W4-05, W4-06, W4-07, W4-09
- Business purpose: Add controlled agent behavior without uncontrolled autonomy.
- Architecture and design: A bounded LangGraph controller uses typed state, allowlisted tools, explicit approval checkpoints and resumable checkpoint records.
- Exact interfaces, functions and connections: build_graph, run_agent, request_approval and resume_agent accept AgentState and return terminal response, approval-needed or typed budget/error outcomes.
- Exact inputs, outputs, errors and invariants: Inputs are limited to Step/tool/time budgets; approval-store decision.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AgentState fixes request ID, tenant, step count, tool count, deadline, approval state and redacted messages; checkpoint serialization is versioned and rejects incompatible state.
- Exact dependency and runtime API rules: Step, tool and wall-clock budgets are explicit; provider calls and tools are injected; cancellation halts scheduling and checkpoint writes remain bounded.
- Exact security, privacy, concurrency and operational controls: Tools are allowlisted and tenant-scoped; side-effecting tools require owner approval; no arbitrary code, shell or network tool is exposed.
- Exact automated-test behavior: Unit and contract tests cover state and tools; feature tests cover budgets, pause and resume; security tests cover unauthorized tools and approval bypass; teardown test removes temporary checkpoints.
- Accepted baseline: The inspected repository contains every UPDATE path and does not contain every CREATE path. Historical results remain unchanged; future execution must revalidate content and patch anchors.
EXACT APPROVED PATH MANIFEST
CREATE:
- src/enterprise_ai_platform/agents/__init__.py
- src/enterprise_ai_platform/agents/errors.py
- src/enterprise_ai_platform/agents/state.py
- src/enterprise_ai_platform/agents/tools.py
- src/enterprise_ai_platform/agents/approval.py
- src/enterprise_ai_platform/agents/checkpoint.py
- src/enterprise_ai_platform/agents/graph.py
- tests/unit/test_agent_state.py
- tests/unit/test_agent_graph.py
- tests/unit/test_agent_tools.py
- tests/unit/test_agent_budgets.py
- tests/feature/test_agent_resume.py
- tests/feature/test_agent_failures.py
- tests/security/test_agent_authorization.py
- tests/security/test_agent_approval.py
- tests/security/test_agent_state_redaction.py
- tests/teardown/test_agent_checkpoint_cleanliness.py
UPDATE:
- src/enterprise_ai_platform/config.py
- requirements.txt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src/enterprise_ai_platform/rag/pipeline.py — produced by W3-003; Gate 1 must verify existence and contract alignment before activation.
- src/enterprise_ai_platform/api/auth.py — produced by W4-001;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Add controlled agent behavior without uncontrolled autonomy. and measurable acceptance.
2. Architecture position: authorized request -&gt; bounded state graph -&gt; permitted tool node -&gt; human approval when required -&gt; final response/audit,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supervised checklist where each step and tool needs the right stamp; what goes in, happens and comes out.
7. Decisions/trade-offs: explicit graph, step/tool/time budgets and human gates are selected over open-ended autonomy, alternatives, pros/cons, conditions to differ and consequences.
8. Security/privacy/reliability/cost: tool authorization and approval happen before side effects; state/logs redact content and credentials, failure isolation, retained resources and accepted access/cost.
9. Failure/remediation/rollback/teardown: budget exhaustion, denial, timeout or cancellation stops the graph without a later tool call;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W4-002.</x:t>
        </x:is>
      </x:c>
      <x:c r="M25" s="22" t="s">
        <x:v>2335</x:v>
      </x:c>
      <x:c r="N25" s="55" t="inlineStr">
        <x:is>
          <x: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x:t>
        </x:is>
      </x:c>
    </x:row>
    <x:row r="26" ht="409.6000061035156">
      <x:c r="A26" s="23" t="inlineStr">
        <x:is>
          <x:t xml:space="preserve">W4-003</x:t>
        </x:is>
      </x:c>
      <x:c r="B26" s="23" t="inlineStr">
        <x:is>
          <x:t xml:space="preserve">Week 4</x:t>
        </x:is>
      </x:c>
      <x:c r="C26" s="23" t="inlineStr">
        <x:is>
          <x:t xml:space="preserve">Application telemetry and redacted audit trail</x:t>
        </x:is>
      </x:c>
      <x:c r="D26" s="23" t="inlineStr">
        <x:is>
          <x:t xml:space="preserve">Make each RAG and agent stage explainable operationally.</x:t>
        </x:is>
      </x:c>
      <x:c r="E26" s="23" t="inlineStr">
        <x:is>
          <x:t xml:space="preserve">OTEL exporter endpoint; no content export</x:t>
        </x:is>
      </x:c>
      <x:c r="F26" s="23" t="inlineStr">
        <x:is>
          <x:t xml:space="preserve">Approved code/configuration/test-code changes; owner test/deployment/remediation guide; business/technical/layman/interview summary</x:t>
        </x:is>
      </x:c>
      <x:c r="G26" s="23" t="inlineStr">
        <x:is>
          <x:t xml:space="preserve">FOUR APPROVAL GATES PLUS OWNER TESTING AND WEEKLY LEARNING — TRACKER v1.3.4
MAIN PROMPT — W4-003
TASK IDENTITY
- Week: Week 4
- Feature/outcome: Application telemetry and redacted audit trail
- Business purpose: Make each RAG and agent stage explainable operationally.
- Covered tracker steps: W3-09, W4-08
- Required inputs: OTEL exporter endpoint; no content export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W3-09 — Record retrieval/model/token/guardrail metrics without content.
  Business reason: Stage-level data explains latency, errors and cost.
  Acceptance: Metrics include versions/outcomes and exclude prompt/document text.
  Dependency: W3-04
  Owner verification reference: pytest tests/unit/test_telemetry.py -q
  Expected result: Redaction tests pass; metrics names are documented.
  Canonical evidence: docs/test-evidence/W3-09-telemetry.txt
  Rollback/teardown: Disable exporter or revert instrumentation, not core answer path.
  Current tracker status (read-only historical/current fact): Not Started
  Separate Task Context: 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
- W4-08 — Trace API to retrieval, LLM, guardrail, approval and tool.
  Business reason: Correlated traces make probabilistic workflows diagnosable.
  Acceptance: One local trace contains all stages and safe attributes.
  Dependency: W4-01:W4-07
  Owner verification reference: pytest tests/feature/test_trace_correlation.py -q
  Expected result: Trace ID links JSON logs and spans; content is redacted.
  Canonical evidence: docs/test-evidence/W4-08-trace.json
  Rollback/teardown: Disable exporter; preserve local logs and core service.
  Current tracker status (read-only historical/current fact): Not Started
  Separate Task Context: 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
Downstream tracker steps identified from recorded dependencies: W4-09, W6-06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TASK-SPECIFIC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each RAG and agent stage explainable operationally. The primary beneficiaries are SRE, security operations, developers and auditors.
- Process and risk: This task supports RAG/agent/API events -&gt; redaction and correlation -&gt; OpenTelemetry -&gt; approved local/export destination -&gt; alerts/evidence. Without it, the platform can produce an unauditable, insecure or non-reproducible result at this exact layer.
- Measurable outcome: diagnosable stage latency/errors with zero protected-content export. It contributes to the MVP by making Application telemetry and redacted audit trail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END-TO-END ARCHITECTURE LEARNING
- Position and flow: RAG/agent/API events -&gt; redaction and correlation -&gt; OpenTelemetry -&gt; approved local/export destination -&gt; alerts/evidence.
- Upstream/dependency boundary: W3-04, W4-01:W4-07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traces, metrics, structured logs, correlation IDs, redaction processor and exporter boundary.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traces, metrics, structured logs, correlation IDs, redaction processor and exporter boundary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flight recorder that stores instrument readings, not passengers' conversations.
- What goes in / happens / comes out: approved OTEL exporter endpoint; no content export goes through Application telemetry and redacted audit trail;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application logs explain events; traces connect stages; metrics summarize behavior.
ARCHITECTURE DECISIONS AND TRADE-OFFS
- Selected recorded direction: stage-level observability without prompt/document export balances diagnosis and privacy.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raw content, PII, secrets or credentials leave process; exporter is explicit. Apply classification, PII handling, tenant isolation, authorization before provider/storage calls, secret exclusion, redacted evidence, residency, retention, provenance and least privilege where applicable.
- Failure/operations: export failure must not expose data or corrupt user flow; buffering/retry is bounded.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Application telemetry and redacted audit trail addresses make each rag and agent stage explainable operationally. It makes the result governed, testable and reversible, measured by diagnosable stage latency/errors with zero protected-content export.
- Two-minute technical explanation: describe traces, metrics, structured logs, correlation IDs, redaction processor and exporter boundary; trace RAG/agent/API events -&gt; redaction and correlation -&gt; OpenTelemetry -&gt; approved local/export destination -&gt; alerts/evidence;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Application telemetry and redacted audit trail solve?
   Answer points: Connect Make each RAG and agent stage explainable operationally. to diagnosable stage latency/errors with zero protected-content export and identify SRE, security operations, developers and auditors.
2. Q: Trace the end-to-end flow for W4-003.
   Answer points: Explain RAG/agent/API events -&gt; redaction and correlation -&gt; OpenTelemetry -&gt; approved local/export destination -&gt; alerts/evidence; name upstream dependencies, downstream consumers, trust and state boundaries.
3. Q: Which design decision matters most and what alternative was rejected?
   Answer points: Discuss stage-level observability without prompt/document export balances diagnosis and privacy; compare the adjacent alternative and when it could be preferable.
4. Q: How does this task fail safely and how is it recovered?
   Answer points: Use this scenario: export failure must not expose data or corrupt user flow; buffering/retry is bounded; distinguish retry, remediation, rollback, teardown and evidence.
5. Q: How are security, privacy and cost controlled?
   Answer points: Explain no raw content, PII, secrets or credentials leave process; exporter is explicit; include least privilege, redaction/residency, bounded resources and owner-only access.
- Design trade-off: volume/latency increases tenfold; explain whether stage-level observability without prompt/document export balances diagnosis and privacy still holds and what evidence/ADR/approval must change.
- Failure/remediation: export failure must not expose data or corrupt user flow; buffering/retry is bounded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Application telemetry and redacted audit trail. Task — establish the governed contract. Action — map consumers, work within gates, owner-test, diagnose completely and prove lifecycle. Result — report only accepted evidence and diagnosable stage latency/errors with zero protected-content export.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OTEL exporter endpoint; no content export.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W4-003.
</x:t>
        </x:is>
      </x:c>
      <x:c r="H26" s="23" t="inlineStr">
        <x:is>
          <x:t xml:space="preserve">Gate 1 Main Prompt → Gate 2 exact Code Edit → owner TEST-001 → Gate 3 Column M manifest → Gate 4 Column N complete closure → owner tracker update</x:t>
        </x:is>
      </x:c>
      <x:c r="I26" s="23" t="inlineStr">
        <x:is>
          <x:t xml:space="preserve">READY FOR PRE-EDIT REVIEW — W4-003</x:t>
        </x:is>
      </x:c>
      <x:c r="J26" s="23" t="inlineStr">
        <x:is>
          <x:t xml:space="preserve">Owner approval required after complete read-only impact review</x:t>
        </x:is>
      </x:c>
      <x:c r="K26" s="23" t="inlineStr">
        <x:is>
          <x:t xml:space="preserve">W3-09, W4-08</x:t>
        </x:is>
      </x:c>
      <x:c r="L26" s="23" t="inlineStr">
        <x:is>
          <x:t xml:space="preserve">COLUMN L — COMPLETE BOUNDED CODE EDIT APPROVAL — W4-003
APPROVED TASK CONTRACT
- Prompt and tracker steps: W4-003 / W3-09, W4-08
- Business purpose: Make each RAG and agent stage explainable operationally.
- Architecture and design: OpenTelemetry-compatible tracing, metrics, structured logging and a redacted audit record instrument API, retrieval, RAG and agent stages.
- Exact interfaces, functions and connections: start_span, record_metric, log_event and write_audit_event accept identifiers and bounded attributes; exporters are configured through Settings.
- Exact inputs, outputs, errors and invariants: Inputs are limited to OTEL exporter endpoint; no content export.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Telemetry carries trace ID, request ID, tenant hash, stage, duration, status and reason code; query text, retrieved content, credentials and tokens are prohibited.
- Exact dependency and runtime API rules: No-content export is the default; exporter timeouts are bounded and telemetry failure cannot expose data or block the business response indefinitely.
- Exact security, privacy, concurrency and operational controls: Redaction occurs before emission; tenant identifiers are pseudonymized; audit events are append-only logical records without secrets.
- Exact automated-test behavior: Unit tests cover attributes; integration proves trace correlation; feature tests cover stage metrics; security tests reject sensitive fields and exporter payload content.
- Accepted baseline: The inspected repository contains every UPDATE path and does not contain every CREATE path. Historical results remain unchanged; future execution must revalidate content and patch anchors.
EXACT APPROVED PATH MANIFEST
CREATE:
- src/enterprise_ai_platform/observability/__init__.py
- src/enterprise_ai_platform/observability/logging.py
- src/enterprise_ai_platform/observability/tracing.py
- src/enterprise_ai_platform/observability/metrics.py
- src/enterprise_ai_platform/observability/audit.py
- tests/unit/test_telemetry.py
- tests/feature/test_trace_correlation.py
- tests/feature/test_rag_stage_metrics.py
- tests/security/test_telemetry_redaction.py
UPDATE:
- src/enterprise_ai_platform/app.py
- src/enterprise_ai_platform/config.py
- requirements.txt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src/enterprise_ai_platform/rag/pipeline.py — produced by W3-003; Gate 1 must verify existence and contract alignment before activation.
- src/enterprise_ai_platform/agents/graph.py — produced by W4-002;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each RAG and agent stage explainable operationally. and measurable acceptance.
2. Architecture position: RAG/agent/API events -&gt; redaction and correlation -&gt; OpenTelemetry -&gt; approved local/export destination -&gt; alerts/evidence,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flight recorder that stores instrument readings, not passengers' conversations; what goes in, happens and comes out.
7. Decisions/trade-offs: stage-level observability without prompt/document export balances diagnosis and privacy, alternatives, pros/cons, conditions to differ and consequences.
8. Security/privacy/reliability/cost: no raw content, PII, secrets or credentials leave process; exporter is explicit, failure isolation, retained resources and accepted access/cost.
9. Failure/remediation/rollback/teardown: export failure must not expose data or corrupt user flow; buffering/retry is bounded;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W4-003.</x:t>
        </x:is>
      </x:c>
      <x:c r="M26" s="23" t="s">
        <x:v>2336</x:v>
      </x:c>
      <x:c r="N26" s="22" t="inlineStr">
        <x:is>
          <x: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x:t>
        </x:is>
      </x:c>
    </x:row>
    <x:row r="27" ht="409.6000061035156">
      <x:c r="A27" s="22" t="inlineStr">
        <x:is>
          <x:t xml:space="preserve">W4-ROLLBACK-001</x:t>
        </x:is>
      </x:c>
      <x:c r="B27" s="22" t="inlineStr">
        <x:is>
          <x:t xml:space="preserve">Week 4</x:t>
        </x:is>
      </x:c>
      <x:c r="C27" s="22" t="inlineStr">
        <x:is>
          <x:t xml:space="preserve">Local immutable release rollback drill</x:t>
        </x:is>
      </x:c>
      <x:c r="D27" s="22" t="inlineStr">
        <x:is>
          <x:t xml:space="preserve">Prove release rollback separately from infrastructure rollback.</x:t>
        </x:is>
      </x:c>
      <x:c r="E27" s="22" t="inlineStr">
        <x:is>
          <x:t xml:space="preserve">Approved local immutable releases N and N+1 and safe regression method</x:t>
        </x:is>
      </x:c>
      <x:c r="F27" s="22" t="inlineStr">
        <x:is>
          <x:t xml:space="preserve">Approved code/configuration/test-code changes; owner test/deployment/remediation guide; business/technical/layman/interview summary</x:t>
        </x:is>
      </x:c>
      <x:c r="G27" s="22" t="inlineStr">
        <x:is>
          <x:t xml:space="preserve">FOUR APPROVAL GATES PLUS OWNER TESTING AND WEEKLY LEARNING — TRACKER v1.3.4
MAIN PROMPT — W4-ROLLBACK-001
TASK IDENTITY
- Week: Week 4
- Feature/outcome: Local immutable release rollback drill
- Business purpose: Prove release rollback separately from infrastructure rollback.
- Covered tracker steps: W4-11
- Required inputs: Approved local immutable releases N and N+1 and safe regression method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W4-11 — Deploy local immutable version N+1, force regression and restore N.
  Business reason: Release rollback is separate from infrastructure rollback.
  Acceptance: N becomes healthy and passes feature tests after rollback.
  Dependency: W4-01:W4-10
  Owner verification reference: make rollback-release &amp;&amp; make smoke
  Expected result: Rollback duration and health evidence recorded.
  Canonical evidence: docs/rollback-records/W4-release.md
  Rollback/teardown: Keep agent route disabled until the failure is fixed.
  Current tracker status (read-only historical/current fact): Not Started
  Separate Task Context: 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
Downstream tracker steps identified from recorded dependencies: W4-12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SCOPED TASK — W4-ROLLBACK-001
Using only local immutable release artifacts and files explicitly listed in the approved pre-edit plan, design owner-run TEST-001 steps to deploy local version N+1, introduce the approved safe regression, restore N, and execute the rollback and smoke commands. The owner supplies versions, digests, results, duration and risks for later Column M documentation in docs/rollback-records/W4-release.md. Do not push images, mutate Kubernetes/cloud resources or edit this tracker.
TASK-SPECIFIC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Container: Preserve immutable image identity, non-root/read-only controls, capability drop, bounded resources, internal networking and complete owner-led cleanup.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release rollback separately from infrastructure rollback. The primary beneficiaries are release owner, SRE, support and risk managers.
- Process and risk: This task supports known-good baseline -&gt; bounded change -&gt; regression detection -&gt; owner rollback -&gt; verification and evidence. Without it, the platform can produce an unauditable, insecure or non-reproducible result at this exact layer.
- Measurable outcome: restored baseline passes exact regression and leaves no ambiguous active version. It contributes to the MVP by making Local immutable release rollback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END-TO-END ARCHITECTURE LEARNING
- Position and flow: known-good baseline -&gt; bounded change -&gt; regression detection -&gt; owner rollback -&gt; verification and evidence.
- Upstream/dependency boundary: W4-01:W4-10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immutable/versioned configuration or releases, activation pointer, regression check and cleanup plan.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immutable/versioned configuration or releases, activation pointer, regression check and cleanup plan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switching a railway signal back to a tested track.
- What goes in / happens / comes out: approved Approved local immutable releases N and N+1 and safe regression method goes through Local immutable release rollback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configuration rollback reverses behavior settings; infrastructure rollback reverses resources.
ARCHITECTURE DECISIONS AND TRADE-OFFS
- Selected recorded direction: rollback targets an exact known-good identity instead of editing forward under pressure.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owner approval, artifact integrity and redacted evidence prevent unauthorized rollback. Apply classification, PII handling, tenant isolation, authorization before provider/storage calls, secret exclusion, redacted evidence, residency, retention, provenance and least privilege where applicable.
- Failure/operations: failed rollback is explicit and escalated; never destroy the last known-good version.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immutable release rollback drill addresses prove release rollback separately from infrastructure rollback. It makes the result governed, testable and reversible, measured by restored baseline passes exact regression and leaves no ambiguous active version.
- Two-minute technical explanation: describe immutable/versioned configuration or releases, activation pointer, regression check and cleanup plan; trace known-good baseline -&gt; bounded change -&gt; regression detection -&gt; owner rollback -&gt; verification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immutable release rollback drill solve?
   Answer points: Connect Prove release rollback separately from infrastructure rollback. to restored baseline passes exact regression and leaves no ambiguous active version and identify release owner, SRE, support and risk managers.
2. Q: Trace the end-to-end flow for W4-ROLLBACK-001.
   Answer points: Explain known-good baseline -&gt; bounded change -&gt; regression detection -&gt; owner rollback -&gt; verification and evidence; name upstream dependencies, downstream consumers, trust and state boundaries.
3. Q: Which design decision matters most and what alternative was rejected?
   Answer points: Discuss rollback targets an exact known-good identity instead of editing forward under pressure; compare the adjacent alternative and when it could be preferable.
4. Q: How does this task fail safely and how is it recovered?
   Answer points: Use this scenario: failed rollback is explicit and escalated; never destroy the last known-good version; distinguish retry, remediation, rollback, teardown and evidence.
5. Q: How are security, privacy and cost controlled?
   Answer points: Explain owner approval, artifact integrity and redacted evidence prevent unauthorized rollback; include least privilege, redaction/residency, bounded resources and owner-only access.
- Design trade-off: volume/latency increases tenfold; explain whether rollback targets an exact known-good identity instead of editing forward under pressure still holds and what evidence/ADR/approval must change.
- Failure/remediation: failed rollback is explicit and escalated; never destroy the last known-good version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immutable release rollback drill. Task — establish the governed contract. Action — map consumers, work within gates, owner-test, diagnose completely and prove lifecycle. Result — report only accepted evidence and restored baseline passes exact regression and leaves no ambiguous active version.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immutable releases N and N+1 and safe regression method.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W4-ROLLBACK-001.
</x:t>
        </x:is>
      </x:c>
      <x:c r="H27" s="22" t="inlineStr">
        <x:is>
          <x:t xml:space="preserve">Gate 1 Main Prompt → Gate 2 exact Code Edit → owner TEST-001 → Gate 3 Column M manifest → Gate 4 Column N complete closure → owner tracker update</x:t>
        </x:is>
      </x:c>
      <x:c r="I27" s="22" t="inlineStr">
        <x:is>
          <x:t xml:space="preserve">READY FOR PRE-EDIT REVIEW — W4-ROLLBACK-001</x:t>
        </x:is>
      </x:c>
      <x:c r="J27" s="22" t="inlineStr">
        <x:is>
          <x:t xml:space="preserve">Owner approval required after complete read-only impact review</x:t>
        </x:is>
      </x:c>
      <x:c r="K27" s="22" t="inlineStr">
        <x:is>
          <x:t xml:space="preserve">W4-11</x:t>
        </x:is>
      </x:c>
      <x:c r="L27" s="22" t="inlineStr">
        <x:is>
          <x:t xml:space="preserve">COLUMN L — COMPLETE BOUNDED CODE EDIT APPROVAL — W4-ROLLBACK-001
APPROVED TASK CONTRACT
- Prompt and tracker steps: W4-ROLLBACK-001 / W4-11
- Business purpose: Prove release rollback separately from infrastructure rollback.
- Architecture and design: Signed local release manifests identify immutable releases N and N+1; platformctl validates and selects the previous release without conflating infrastructure rollback.
- Exact interfaces, functions and connections: validate_release_manifest, compare_releases and rollback_release return digest, configuration and health-verification plans; mutation remains owner executed.
- Exact inputs, outputs, errors and invariants: Inputs are limited to Approved local immutable releases N and N+1 and safe regression method.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Release manifest contains schema version, image digest, configuration hash, feature versions and creation evidence; mutable tags and missing hashes are rejected.
- Exact dependency and runtime API rules: Rollback planning is local and dry-run; Docker or service commands appear only in the Owner Execution Guide.
- Exact security, privacy, concurrency and operational controls: Only the verified prior digest may be selected; failed release remains blocked; cleanup removes drill-only state.
- Exact automated-test behavior: Contract tests reject mutable or mismatched manifests; feature test forces a safe regression and restores N; teardown test verifies no drill container, network, volume or state remains.
- Accepted baseline: The inspected repository contains every UPDATE path and does not contain every CREATE path. Historical results remain unchanged; future execution must revalidate content and patch anchors.
EXACT APPROVED PATH MANIFEST
CREATE:
- tests/fixtures/releases/release-n.json
- tests/fixtures/releases/release-n-plus-one.json
- tools/platformctl/release.py
- tests/contract/test_release_manifest.py
- tests/feature/test_release_rollback.py
- tests/teardown/test_w4_release_cleanliness.py
UPDATE:
- tools/platformctl/cli.py
- tools/platformctl/contracts.py
- feature-matrix.yaml
- tools/platformctl/validate.py
- tests/feature/test_feature_matrix.py
- tests/unit/test_platformctl.py
DELETE:
- None
VERIFIED IMPLEMENTED PRODUCERS / UNCHANGED CONSUMERS:
- src/enterprise_ai_platform/app.py
- docker-compose.yml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Prove release rollback separately from infrastructure rollback. and measurable acceptance.
2. Architecture position: known-good baseline -&gt; bounded change -&gt; regression detection -&gt; owner rollback -&gt; verification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switching a railway signal back to a tested track; what goes in, happens and comes out.
7. Decisions/trade-offs: rollback targets an exact known-good identity instead of editing forward under pressure, alternatives, pros/cons, conditions to differ and consequences.
8. Security/privacy/reliability/cost: owner approval, artifact integrity and redacted evidence prevent unauthorized rollback, failure isolation, retained resources and accepted access/cost.
9. Failure/remediation/rollback/teardown: failed rollback is explicit and escalated; never destroy the last known-good version;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W4-ROLLBACK-001.</x:t>
        </x:is>
      </x:c>
      <x:c r="M27" s="22" t="inlineStr">
        <x:is>
          <x: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x:t>
        </x:is>
      </x:c>
      <x:c r="N27" s="55" t="inlineStr">
        <x:is>
          <x: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x:t>
        </x:is>
      </x:c>
    </x:row>
    <x:row r="28" ht="409.6000061035156">
      <x:c r="A28" s="23" t="inlineStr">
        <x:is>
          <x:t xml:space="preserve">W5-INPUTS-001</x:t>
        </x:is>
      </x:c>
      <x:c r="B28" s="23" t="inlineStr">
        <x:is>
          <x:t xml:space="preserve">Week 5</x:t>
        </x:is>
      </x:c>
      <x:c r="C28" s="23" t="inlineStr">
        <x:is>
          <x:t xml:space="preserve">AWS sandbox input approval</x:t>
        </x:is>
      </x:c>
      <x:c r="D28" s="23" t="inlineStr">
        <x:is>
          <x:t xml:space="preserve">Capture all non-secret AWS, network, tagging, residency and budget choices before Terraform work.</x:t>
        </x:is>
      </x:c>
      <x:c r="E28" s="23" t="inlineStr">
        <x:is>
          <x:t xml:space="preserve">AWS-001, AWS-002, NET-001, TAG-001, COST-001 and PRIV-001; no credentials</x:t>
        </x:is>
      </x:c>
      <x:c r="F28" s="23" t="inlineStr">
        <x:is>
          <x:t xml:space="preserve">Approved business-first documentation/decision record only; no code or command execution</x:t>
        </x:is>
      </x:c>
      <x:c r="G28" s="23" t="inlineStr">
        <x:is>
          <x:t xml:space="preserve">FOUR APPROVAL GATES PLUS OWNER TESTING AND WEEKLY LEARNING — TRACKER v1.3.4
MAIN PROMPT — W5-INPUTS-001
TASK IDENTITY
- Week: Week 5
- Feature/outcome: AWS sandbox input approval
- Business purpose: Capture all non-secret AWS, network, tagging, residency and budget choices before Terraform work.
- Covered tracker steps: W5-01
- Required inputs: AWS-001, AWS-002, NET-001, TAG-001, COST-001 and PRIV-001;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W5-01 — Confirm sandbox account, region, network, tags, data residency and budget ceiling.
  Business reason: Terraform cannot be safely reviewed with ambiguous ownership or cost.
  Acceptance: All variables are non-secret and approved.
  Dependency: W4-13
  Owner verification reference: Review infra/environments/sandbox/terraform.tfvars.example
  Expected result: No credential/secret value is requested.
  Canonical evidence: docs/cost-estimates/W5-inputs.md
  Rollback/teardown: Do not initialize/apply until inputs are approved.
  Current tracker status (read-only historical/current fact): Not Started
  Separate Task Context: 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
Downstream tracker steps identified from recorded dependencies: W5-02, W5-03, W5-04, W5-13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W5-INPUTS-001
The planned Column L content boundary is create only infra/environments/sandbox/terraform.tfvars.example and docs/cost-estimates/W5-inputs.md; their approved parent structure exists.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Record which later owner-run Terraform/AWS actions remain prohibited until a separate approval; do not provide or execute those actions in this task.
6. Confirm no ignored or Git-invisible residue remains.
TASK-SPECIFIC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CONTENT-SPECIFIC READ-ONLY REVIEW — REQUIRED RESPONSE SECTIONS
1. Business and document outcome
Explain the non-secret sandbox variable example and cost/input decision record; Terraform and AWS execution remain outside this task.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infra/environments/sandbox/terraform.tfvars.example
- docs/cost-estimates/W5-inputs.md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Capture all non-secret AWS, network, tagging, residency and budget choices before Terraform work. The primary beneficiaries are cloud owner, security, finance, networking and platform teams.
- Process and risk: This task supports owner-approved non-secret account/network/tag/residency/budget choices -&gt; decision record -&gt; Terraform inputs. Without it, the platform can produce an unauditable, insecure or non-reproducible result at this exact layer.
- Measurable outcome: complete non-secret input record with zero unresolved code-blocking values. It contributes to the MVP by making AWS sandbox input approval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END-TO-END ARCHITECTURE LEARNING
- Position and flow: owner-approved non-secret account/network/tag/residency/budget choices -&gt; decision record -&gt; Terraform inputs.
- Upstream/dependency boundary: W4-13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AWS account/region, VPC/subnets, tags, GitHub OIDC, Bedrock IDs, residency and cost ceiling.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AWS account/region, VPC/subnets, tags, GitHub OIDC, Bedrock IDs, residency and cost ceiling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signed travel authorization before booking anything.
- What goes in / happens / comes out: approved AWS-001, AWS-002, NET-001, TAG-001, COST-001 and PRIV-001; no credentials goes through AWS sandbox input approval; validation and controls run; the output is Approved business-first documentation/decision record only; no code or command execution or a clear, non-fabricated stop.
- Why the business cares: the process becomes explainable, safer and repeatable.
- Adjacent technology: input approval chooses constraints; Terraform later implements them.
ARCHITECTURE DECISIONS AND TRADE-OFFS
- Selected recorded direction: record every cloud boundary before IaC so placeholders cannot become accidental production values.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credentials in workbook/repository; least privilege, residency and budget are explicit. Apply classification, PII handling, tenant isolation, authorization before provider/storage calls, secret exclusion, redacted evidence, residency, retention, provenance and least privilege where applicable.
- Failure/operations: missing or conflicting input blocks Terraform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AWS sandbox input approval addresses capture all non-secret aws, network, tagging, residency and budget choices before terraform work. It makes the result governed, testable and reversible, measured by complete non-secret input record with zero unresolved code-blocking values.
- Two-minute technical explanation: describe AWS account/region, VPC/subnets, tags, GitHub OIDC, Bedrock IDs, residency and cost ceiling; trace owner-approved non-secret account/network/tag/residency/budget choices -&gt; decision record -&gt; Terraform inputs;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AWS sandbox input approval solve?
   Answer points: Connect Capture all non-secret AWS, network, tagging, residency and budget choices before Terraform work. to complete non-secret input record with zero unresolved code-blocking values and identify cloud owner, security, finance, networking and platform teams.
2. Q: Trace the end-to-end flow for W5-INPUTS-001.
   Answer points: Explain owner-approved non-secret account/network/tag/residency/budget choices -&gt; decision record -&gt; Terraform inputs; name upstream dependencies, downstream consumers, trust and state boundaries.
3. Q: Which design decision matters most and what alternative was rejected?
   Answer points: Discuss record every cloud boundary before IaC so placeholders cannot become accidental production values; compare the adjacent alternative and when it could be preferable.
4. Q: How does this task fail safely and how is it recovered?
   Answer points: Use this scenario: missing or conflicting input blocks Terraform approval; distinguish retry, remediation, rollback, teardown and evidence.
5. Q: How are security, privacy and cost controlled?
   Answer points: Explain no credentials in workbook/repository; least privilege, residency and budget are explicit; include least privilege, redaction/residency, bounded resources and owner-only access.
- Design trade-off: volume/latency increases tenfold; explain whether record every cloud boundary before IaC so placeholders cannot become accidental production values still holds and what evidence/ADR/approval must change.
- Failure/remediation: missing or conflicting input blocks Terraform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AWS sandbox input approval. Task — establish the governed contract. Action — map consumers, work within gates, owner-test, diagnose completely and prove lifecycle. Result — report only accepted evidence and complete non-secret input record with zero unresolved code-blocking values.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AWS-001, AWS-002, NET-001, TAG-001, COST-001 and PRIV-001; no credentials.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resource creation and provider/API execution do not apply to this document gate
- Column L activation: no workbook text grants authority until the owner explicitly issues an exact bounded Code or Content Edit Approval after all edit-blocking decisions are resolved and patch contexts are re-read.
End exactly: READY FOR PRE-EDIT REVIEW — W5-INPUTS-001.</x:t>
        </x:is>
      </x:c>
      <x:c r="H28" s="23" t="inlineStr">
        <x:is>
          <x:t xml:space="preserve">Gate 1 Main Prompt → Gate 2 exact Content Edit → owner content review → Gate 3 Column M manifest → Gate 4 Column N complete closure → owner tracker update</x:t>
        </x:is>
      </x:c>
      <x:c r="I28" s="23" t="inlineStr">
        <x:is>
          <x:t xml:space="preserve">READY FOR PRE-EDIT REVIEW — W5-INPUTS-001</x:t>
        </x:is>
      </x:c>
      <x:c r="J28" s="23" t="inlineStr">
        <x:is>
          <x:t xml:space="preserve">Owner approval required after complete read-only impact review</x:t>
        </x:is>
      </x:c>
      <x:c r="K28" s="23" t="inlineStr">
        <x:is>
          <x:t xml:space="preserve">W5-01</x:t>
        </x:is>
      </x:c>
      <x:c r="L28" s="23" t="inlineStr">
        <x:is>
          <x:t xml:space="preserve">COLUMN L — COMPLETE BOUNDED CONTENT EDIT APPROVAL — W5-INPUTS-001
APPROVED TASK CONTRACT
- Prompt and tracker steps: W5-INPUTS-001 / W5-01
- Business purpose: Capture all non-secret AWS, network, tagging, residency and budget choices before Terraform work.
- Architecture position and content design: Capture non-secret AWS sandbox choices in a human-readable decision record and a Terraform variable example; neither file grants Terraform or AWS execution authority.
- Exact interfaces, functions and connections: No application function, class, API, service or infrastructure connection is changed. The exact document sections are Account and region placeholders, network identifiers, tags, budget, residency, GitHub/OIDC identifiers, Bedrock model IDs, unresolved owner decisions and explicit no-secret warnings.
- Exact inputs, outputs, errors and invariants: Inputs are limited to AWS-001, AWS-002, NET-001, TAG-001, COST-001 and PRIV-001;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or Terraform-example format; the Terraform example contains placeholders only,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infra/environments/sandbox/terraform.tfvars.example
- docs/cost-estimates/W5-inputs.md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and executable infrastructure other than the exact non-secret Terraform variable example.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Capture all non-secret AWS, network, tagging, residency and budget choices before Terraform work. and measurable acceptance.
2. Architecture position: owner-approved non-secret account/network/tag/residency/budget choices -&gt; decision record -&gt; Terraform inputs,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signed travel authorization before booking anything; what goes in, happens and comes out.
7. Decisions/trade-offs: record every cloud boundary before IaC so placeholders cannot become accidental production values, alternatives, pros/cons, conditions to differ and consequences.
8. Security/privacy/reliability/cost: no credentials in workbook/repository; least privilege, residency and budget are explicit, failure isolation, retained resources and accepted access/cost.
9. Failure/remediation/rollback/teardown: missing or conflicting input blocks Terraform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W5-INPUTS-001.</x:t>
        </x:is>
      </x:c>
      <x:c r="M28" s="23" t="inlineStr">
        <x:is>
          <x:t xml:space="preserve">COLUMN M — EXACT DOCUMENT WRITING APPROVAL — W5-INPUTS-001
This is a separate owner approval after the bounded edit and owner testing or content review. Classify every path under one—and only one—of the CREATE and UPDATE headings after read-only preflight inspection.
EXACT DOCUMENTATION BOUNDARY
CREATE:
- infra/environments/sandbox/terraform.tfvars.example
- docs/cost-estimates/W5-inputs.md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W5-INPUTS-001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W5-INPUTS-001.
</x:t>
        </x:is>
      </x:c>
      <x:c r="N28" s="22" t="inlineStr">
        <x:is>
          <x: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x:t>
        </x:is>
      </x:c>
    </x:row>
    <x:row r="29" ht="409.6000061035156">
      <x:c r="A29" s="22" t="inlineStr">
        <x:is>
          <x:t xml:space="preserve">W5-001</x:t>
        </x:is>
      </x:c>
      <x:c r="B29" s="22" t="inlineStr">
        <x:is>
          <x:t xml:space="preserve">Week 5</x:t>
        </x:is>
      </x:c>
      <x:c r="C29" s="22" t="inlineStr">
        <x:is>
          <x:t xml:space="preserve">Terraform AWS sandbox modules</x:t>
        </x:is>
      </x:c>
      <x:c r="D29" s="22" t="inlineStr">
        <x:is>
          <x:t xml:space="preserve">Produce reviewable infrastructure without secret material.</x:t>
        </x:is>
      </x:c>
      <x:c r="E29" s="22" t="inlineStr">
        <x:is>
          <x:t xml:space="preserve">TODO account, region, VPC/subnets, GitHub repo, tags, Bedrock models</x:t>
        </x:is>
      </x:c>
      <x:c r="F29" s="22" t="inlineStr">
        <x:is>
          <x:t xml:space="preserve">Approved code/configuration/test-code changes; owner test/deployment/remediation guide; business/technical/layman/interview summary</x:t>
        </x:is>
      </x:c>
      <x:c r="G29" s="22" t="inlineStr">
        <x:is>
          <x:t xml:space="preserve">FOUR APPROVAL GATES PLUS OWNER TESTING AND WEEKLY LEARNING — TRACKER v1.3.4
MAIN PROMPT — W5-001
TASK IDENTITY
- Week: Week 5
- Feature/outcome: Terraform AWS sandbox modules
- Business purpose: Produce reviewable infrastructure without secret material.
- Covered tracker steps: W5-02, W5-03, W5-04, W5-05
- Required inputs: TODO account, region, VPC/subnets, GitHub repo, tags, Bedrock models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W5-02 — Build isolated encrypted/versioned S3 state and Terraform 1.5 DynamoDB locking stack.
  Business reason: State must survive platform rollback and be removed last during full teardown.
  Acceptance: fmt/validate/Checkov pass; apply remains manual.
  Dependency: W5-01
  Owner verification reference: terraform -chdir=infra/bootstrap fmt -check &amp;&amp; terraform -chdir=infra/bootstrap validate
  Expected result: Bootstrap plan contains only expected resources.
  Canonical evidence: docs/test-evidence/W5-02-bootstrap.txt
  Rollback/teardown: Destroy platform first; bootstrap destroy is separately reviewed.
  Current tracker status (read-only historical/current fact): Not Started
  Separate Task Context: 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
- W5-03 — Create KMS, private/versioned S3 and secret-metadata modules.
  Business reason: Encryption and secret separation are foundational controls.
  Acceptance: No public access or secret value resource exists.
  Dependency: W5-01,W5-02
  Owner verification reference: terraform -chdir=infra/environments/sandbox validate &amp;&amp; checkov -d infra/modules
  Expected result: Security controls pass; deletion settings are explicit.
  Canonical evidence: docs/test-evidence/W5-03-security.txt
  Rollback/teardown: Apply prior Terraform version; use purge only for disposable sandbox.
  Current tracker status (read-only historical/current fact): Not Started
  Separate Task Context: 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
- W5-04 — Create least-privilege runtime, ingestion and GitHub OIDC roles.
  Business reason: Workloads need short-lived, separated permissions.
  Acceptance: No wildcard action/resource without reviewed exception.
  Dependency: W5-01
  Owner verification reference: checkov -d infra &amp;&amp; opa test policies/opa -v
  Expected result: Trust policies bind approved repo/environment and workload identity.
  Canonical evidence: docs/test-evidence/W5-04-iam.txt
  Rollback/teardown: Disable role session/restore prior policy; do not store keys.
  Current tracker status (read-only historical/current fact): Not Started
  Separate Task Context: 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
- W5-05 — Create private encrypted OpenSearch and ECR modules.
  Business reason: OpenSearch is the AWS vector target; ECR stores immutable images.
  Acceptance: Private network, TLS, encryption, logs and access controls are planned.
  Dependency: W5-03,W5-04
  Owner verification reference: terraform -chdir=infra/environments/sandbox plan -out=tfplan
  Expected result: Plan summary shows only expected resources and estimated baseline cost.
  Canonical evidence: docs/test-evidence/W5-05-platform-plan.txt
  Rollback/teardown: Apply reviewed previous Terraform version or destroy disposable resources in order.
  Current tracker status (read-only historical/current fact): Not Started
  Separate Task Context: 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
Downstream tracker steps identified from recorded dependencies: W5-03, W5-05, W5-06, W5-07, W5-09, W6-03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TASK-SPECIFIC AMENDMENT — TERRAFORM STATIC FOUNDATION AND BOOTSTRAP DEPENDENCY
1. Require W5-INPUTS-001 final approval and exact non-secret inputs. Pin Terraform/provider/module versions; owner-run reviewed initialization may generate exact dependency lock files for a separately reviewed repository update, but Codex does not initialize, stage or commit them.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Produce reviewable infrastructure without secret material. The primary beneficiaries are platform, security, networking, finance and SRE.
- Process and risk: This task supports approved cloud inputs -&gt; Terraform modules -&gt; static/policy validation -&gt; saved plan -&gt; owner review -&gt; later apply. Without it, the platform can produce an unauditable, insecure or non-reproducible result at this exact layer.
- Measurable outcome: reproducible plan with zero critical policy findings and bounded cost. It contributes to the MVP by making Terraform AWS sandbox modules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END-TO-END ARCHITECTURE LEARNING
- Position and flow: approved cloud inputs -&gt; Terraform modules -&gt; static/policy validation -&gt; saved plan -&gt; owner review -&gt; later apply.
- Upstream/dependency boundary: W5-01, W5-01,W5-02, W5-01, W5-03,W5-04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providers, state/bootstrap boundary, network, IAM, KMS, storage/search/compute modules, variables and outputs.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providers, state/bootstrap boundary, network, IAM, KMS, storage/search/compute modules, variables and outputs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engineering blueprint that can be reviewed before machinery builds anything.
- What goes in / happens / comes out: approved TODO account, region, VPC/subnets, GitHub repo, tags, Bedrock models goes through Terraform AWS sandbox modules;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declares infrastructure; deployment applies an approved plan.
ARCHITECTURE DECISIONS AND TRADE-OFFS
- Selected recorded direction: modular IaC, reviewed plans and immutable inputs are selected over console changes.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encryption, private networking, mandatory tags and no secrets in state/code. Apply classification, PII handling, tenant isolation, authorization before provider/storage calls, secret exclusion, redacted evidence, residency, retention, provenance and least privilege where applicable.
- Failure/operations: plan or policy failure blocks apply; rollback uses reviewed prior configuration; teardown is dependency ordered.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Terraform AWS sandbox modules addresses produce reviewable infrastructure without secret material. It makes the result governed, testable and reversible, measured by reproducible plan with zero critical policy findings and bounded cost.
- Two-minute technical explanation: describe providers, state/bootstrap boundary, network, IAM, KMS, storage/search/compute modules, variables and outputs; trace approved cloud inputs -&gt; Terraform modules -&gt; static/policy validation -&gt; saved plan -&gt; owner review -&gt; later apply;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Terraform AWS sandbox modules solve?
   Answer points: Connect Produce reviewable infrastructure without secret material. to reproducible plan with zero critical policy findings and bounded cost and identify platform, security, networking, finance and SRE.
2. Q: Trace the end-to-end flow for W5-001.
   Answer points: Explain approved cloud inputs -&gt; Terraform modules -&gt; static/policy validation -&gt; saved plan -&gt; owner review -&gt; later apply; name upstream dependencies, downstream consumers, trust and state boundaries.
3. Q: Which design decision matters most and what alternative was rejected?
   Answer points: Discuss modular IaC, reviewed plans and immutable inputs are selected over console changes; compare the adjacent alternative and when it could be preferable.
4. Q: How does this task fail safely and how is it recovered?
   Answer points: Use this scenario: plan or policy failure blocks apply; rollback uses reviewed prior configuration; teardown is dependency ordered; distinguish retry, remediation, rollback, teardown and evidence.
5. Q: How are security, privacy and cost controlled?
   Answer points: Explain least privilege, encryption, private networking, mandatory tags and no secrets in state/code; include least privilege, redaction/residency, bounded resources and owner-only access.
- Design trade-off: volume/latency increases tenfold; explain whether modular IaC, reviewed plans and immutable inputs are selected over console changes still holds and what evidence/ADR/approval must change.
- Failure/remediation: plan or policy failure blocks apply; rollback uses reviewed prior configuration; teardown is dependency ordered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Terraform AWS sandbox modules. Task — establish the governed contract. Action — map consumers, work within gates, owner-test, diagnose completely and prove lifecycle. Result — report only accepted evidence and reproducible plan with zero critical policy findings and bounded cost.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TODO account, region, VPC/subnets, GitHub repo, tags, Bedrock models.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W5-001.
</x:t>
        </x:is>
      </x:c>
      <x:c r="H29" s="22" t="inlineStr">
        <x:is>
          <x:t xml:space="preserve">Gate 1 Main Prompt → Gate 2 exact Code Edit → owner TEST-001 → Gate 3 Column M manifest → Gate 4 Column N complete closure → owner tracker update</x:t>
        </x:is>
      </x:c>
      <x:c r="I29" s="22" t="inlineStr">
        <x:is>
          <x:t xml:space="preserve">READY FOR PRE-EDIT REVIEW — W5-001</x:t>
        </x:is>
      </x:c>
      <x:c r="J29" s="22" t="inlineStr">
        <x:is>
          <x:t xml:space="preserve">Owner approval required after complete read-only impact review</x:t>
        </x:is>
      </x:c>
      <x:c r="K29" s="22" t="inlineStr">
        <x:is>
          <x:t xml:space="preserve">W5-02, W5-03, W5-04, W5-05</x:t>
        </x:is>
      </x:c>
      <x:c r="L29" s="22" t="inlineStr">
        <x:is>
          <x:t xml:space="preserve">COLUMN L — COMPLETE BOUNDED CODE EDIT APPROVAL — W5-001
APPROVED TASK CONTRACT
- Prompt and tracker steps: W5-001 / W5-02, W5-03, W5-04, W5-05
- Business purpose: Produce reviewable infrastructure without secret material.
- Architecture and design: Separate Terraform bootstrap and sandbox roots compose KMS, storage, secret metadata, IAM, OpenSearch and ECR modules; state remains isolated and removed last.
- Exact interfaces, functions and connections: Typed Terraform variables accept owner-approved account, region, network, tags and service identifiers; module outputs expose only non-secret IDs and ARNs.
- Exact inputs, outputs, errors and invariants: Inputs are limited to TODO account, region, VPC/subnets, GitHub repo, tags, Bedrock models.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no model runtime or local inference control applies.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 inspects expected plan shape; teardown test preserves bootstrap-last boundary.
- Accepted baseline: The inspected repository contains every UPDATE path and does not contain every CREATE path. Historical results remain unchanged; future execution must revalidate content and patch anchors.
EXACT APPROVED PATH MANIFEST
CREATE: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src/enterprise_ai_platform/config.py
- src/enterprise_ai_platform/retrieval/adapters/opensearch.py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x:t>
        </x:is>
      </x:c>
      <x:c r="M29" s="22" t="s">
        <x:v>2337</x:v>
      </x:c>
      <x:c r="N29" s="55" t="inlineStr">
        <x:is>
          <x:t xml:space="preserve">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
</x:t>
        </x:is>
      </x:c>
    </x:row>
    <x:row r="30" ht="409.6000061035156">
      <x:c r="A30" s="23" t="inlineStr">
        <x:is>
          <x:t xml:space="preserve">W5-002</x:t>
        </x:is>
      </x:c>
      <x:c r="B30" s="23" t="inlineStr">
        <x:is>
          <x:t xml:space="preserve">Week 5</x:t>
        </x:is>
      </x:c>
      <x:c r="C30" s="23" t="inlineStr">
        <x:is>
          <x:t xml:space="preserve">GitHub Actions DevSecOps pipeline</x:t>
        </x:is>
      </x:c>
      <x:c r="D30" s="23" t="inlineStr">
        <x:is>
          <x:t xml:space="preserve">Enforce quality, IaC and supply-chain gates with short-lived identity.</x:t>
        </x:is>
      </x:c>
      <x:c r="E30" s="23" t="inlineStr">
        <x:is>
          <x:t xml:space="preserve">GitHub environment, OIDC role ARN, sandbox variables</x:t>
        </x:is>
      </x:c>
      <x:c r="F30" s="23" t="inlineStr">
        <x:is>
          <x:t xml:space="preserve">Approved code/configuration/test-code changes; owner test/deployment/remediation guide; business/technical/layman/interview summary</x:t>
        </x:is>
      </x:c>
      <x:c r="G30" s="23" t="inlineStr">
        <x:is>
          <x:t xml:space="preserve">FOUR APPROVAL GATES PLUS OWNER TESTING AND WEEKLY LEARNING — TRACKER v1.3.4
MAIN PROMPT — W5-002
TASK IDENTITY
- Week: Week 5
- Feature/outcome: GitHub Actions DevSecOps pipeline
- Business purpose: Enforce quality, IaC and supply-chain gates with short-lived identity.
- Covered tracker steps: W5-07, W5-08, W6-01
- Required inputs: GitHub environment, OIDC role ARN, sandbox variables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W5-07 — Create PR CI and Terraform-plan workflow using GitHub OIDC.
  Business reason: Automated gates and short-lived identity reduce change and credential risk.
  Acceptance: All required checks run; apply/destroy are owner-gated.
  Dependency: W5-04,W5-06
  Owner verification reference: Review .github/workflows and run actionlint if available
  Expected result: No access-key secret; immutable action pins are TODO/approved.
  Canonical evidence: docs/test-evidence/W5-07-ci.txt
  Rollback/teardown: Disable workflow; revoke OIDC trust; keep last good release.
  Current tracker status (read-only historical/current fact): Not Started
  Separate Task Context: 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
- W5-08 — Build image, scan with Trivy/Grype and generate Syft SBOM.
  Business reason: Deployment must use a known, scanned immutable artifact.
  Acceptance: Critical findings fail per policy and SBOM is retained.
  Dependency: W5-07
  Owner verification reference: docker build -t enterprise-ai:test . &amp;&amp; trivy image enterprise-ai:test
  Expected result: Redacted scan reports and SPDX/CycloneDX SBOM exist.
  Canonical evidence: docs/test-evidence/W5-08-supply-chain.txt
  Rollback/teardown: Do not publish vulnerable digest; restore prior approved digest.
  Current tracker status (read-only historical/current fact): Not Started
  Separate Task Context: 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
- W6-01 — Publish scanned image to ECR by immutable digest.
  Business reason: Rollback and provenance require immutable deployment identity.
  Acceptance: Digest matches the scanned/SBOM artifact.
  Dependency: W5-14
  Owner verification reference: docker inspect --format='{{index .RepoDigests 0}}' enterprise-ai:test
  Expected result: Digest, scan and SBOM are linked in deployment record.
  Canonical evidence: docs/deployment-records/W6-image.md
  Rollback/teardown: Restore prior approved digest; never reuse a mutable tag as authority.
  Current tracker status (read-only historical/current fact): Not Started
  Separate Task Context: 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
Downstream tracker steps identified from recorded dependencies: W5-08, W5-09, W6-02, W6-10, W6-13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TASK-SPECIFIC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CI/CD: Pin actions and artifacts, use least permissions and protected approvals, and keep deployment/rollback jobs owner-authorized.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Enforce quality, IaC and supply-chain gates with short-lived identity. The primary beneficiaries are developers, release managers, security and auditors.
- Process and risk: This task supports Git change -&gt; CI quality/security/IaC gates -&gt; OIDC token -&gt; approved artifact/plan -&gt; environment approval. Without it, the platform can produce an unauditable, insecure or non-reproducible result at this exact layer.
- Measurable outcome: all configured gates pass and no long-lived credential exists. It contributes to the MVP by making GitHub Actions DevSecOps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W6-01 (Not Started): Publish scanned image to ECR by immutable digest. Why: Rollback and provenance require immutable deployment identity. Acceptance: Digest matches the scanned/SBOM artifact. Dependency: W5-14. Owner verification: follow 02 Master Plan!M72 through TEST-001 one command at a time. Expected: Digest, scan and SBOM are linked in deployment record. Evidence: docs/deployment-records/W6-image.md Rollback/teardown: Restore prior approved digest; never reuse a mutable tag as authority.
END-TO-END ARCHITECTURE LEARNING
- Position and flow: Git change -&gt; CI quality/security/IaC gates -&gt; OIDC token -&gt; approved artifact/plan -&gt; environment approval.
- Upstream/dependency boundary: W5-04,W5-06, W5-07, W5-14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GitHub workflow, job permissions, OIDC role, pinned actions, quality/security stages and artifact provenance.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GitHub workflow, job permissions, OIDC role, pinned actions, quality/security stages and artifact provenance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automated border checkpoint that verifies every package and temporary pass.
- What goes in / happens / comes out: approved GitHub environment, OIDC role ARN, sandbox variables goes through GitHub Actions DevSecOps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CI validates changes; CD promotes an approved immutable artifact.
ARCHITECTURE DECISIONS AND TRADE-OFFS
- Selected recorded direction: short-lived OIDC and pinned actions replace stored cloud keys and floating supply-chain dependencies.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minimum job permissions, environment approvals and no secret output. Apply classification, PII handling, tenant isolation, authorization before provider/storage calls, secret exclusion, redacted evidence, residency, retention, provenance and least privilege where applicable.
- Failure/operations: failed gate prevents promotion; compromised/unverified artifact is rejected.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GitHub Actions DevSecOps pipeline addresses enforce quality, iac and supply-chain gates with short-lived identity. It makes the result governed, testable and reversible, measured by all configured gates pass and no long-lived credential exists.
- Two-minute technical explanation: describe GitHub workflow, job permissions, OIDC role, pinned actions, quality/security stages and artifact provenance; trace Git change -&gt; CI quality/security/IaC gates -&gt; OIDC token -&gt; approved artifact/plan -&gt; environment approval;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GitHub Actions DevSecOps pipeline solve?
   Answer points: Connect Enforce quality, IaC and supply-chain gates with short-lived identity. to all configured gates pass and no long-lived credential exists and identify developers, release managers, security and auditors.
2. Q: Trace the end-to-end flow for W5-002.
   Answer points: Explain Git change -&gt; CI quality/security/IaC gates -&gt; OIDC token -&gt; approved artifact/plan -&gt; environment approval; name upstream dependencies, downstream consumers, trust and state boundaries.
3. Q: Which design decision matters most and what alternative was rejected?
   Answer points: Discuss short-lived OIDC and pinned actions replace stored cloud keys and floating supply-chain dependencies; compare the adjacent alternative and when it could be preferable.
4. Q: How does this task fail safely and how is it recovered?
   Answer points: Use this scenario: failed gate prevents promotion; compromised/unverified artifact is rejected; distinguish retry, remediation, rollback, teardown and evidence.
5. Q: How are security, privacy and cost controlled?
   Answer points: Explain minimum job permissions, environment approvals and no secret output; include least privilege, redaction/residency, bounded resources and owner-only access.
- Design trade-off: volume/latency increases tenfold; explain whether short-lived OIDC and pinned actions replace stored cloud keys and floating supply-chain dependencies still holds and what evidence/ADR/approval must change.
- Failure/remediation: failed gate prevents promotion; compromised/unverified artifact is rejected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GitHub Actions DevSecOps pipeline. Task — establish the governed contract. Action — map consumers, work within gates, owner-test, diagnose completely and prove lifecycle. Result — report only accepted evidence and all configured gates pass and no long-lived credential exists.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GitHub environment, OIDC role ARN, sandbox variables.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W5-002.
</x:t>
        </x:is>
      </x:c>
      <x:c r="H30" s="23" t="inlineStr">
        <x:is>
          <x:t xml:space="preserve">Gate 1 Main Prompt → Gate 2 exact Code Edit → owner TEST-001 → Gate 3 Column M manifest → Gate 4 Column N complete closure → owner tracker update</x:t>
        </x:is>
      </x:c>
      <x:c r="I30" s="23" t="inlineStr">
        <x:is>
          <x:t xml:space="preserve">READY FOR PRE-EDIT REVIEW — W5-002</x:t>
        </x:is>
      </x:c>
      <x:c r="J30" s="23" t="inlineStr">
        <x:is>
          <x:t xml:space="preserve">Owner approval required after complete read-only impact review</x:t>
        </x:is>
      </x:c>
      <x:c r="K30" s="23" t="inlineStr">
        <x:is>
          <x:t xml:space="preserve">W5-07, W5-08, W6-01</x:t>
        </x:is>
      </x:c>
      <x:c r="L30" s="23" t="inlineStr">
        <x:is>
          <x:t xml:space="preserve">COLUMN L — COMPLETE BOUNDED CODE EDIT APPROVAL — W5-002
APPROVED TASK CONTRACT
- Prompt and tracker steps: W5-002 / W5-07, W5-08, W6-01
- Business purpose: Enforce quality, IaC and supply-chain gates with short-lived identity.
- Architecture and design: GitHub Actions workflows separate pull-request quality gates, sandbox plan, approved deploy, rollback and security scanning through environments and OIDC.
- Exact interfaces, functions and connections: Workflow dispatch inputs carry environment, plan artifact identity and typed confirmation; jobs exchange immutable artifacts and explicit outputs.
- Exact inputs, outputs, errors and invariants: Inputs are limited to GitHub environment, OIDC role ARN, sandbox variables.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YAML workflows pin actions, declare least permissions and artifact retention; secret names are references only and no static credential value is permitted.
- Exact dependency and runtime API rules: GitHub-hosted runners and approved tool versions apply; cloud mutation jobs require the protected environment and owner execution/approval.
- Exact security, privacy, concurrency and operational controls: OIDC trust, least permissions, concurrency groups, timeouts, immutable image digests, scan gates and artifact provenance are mandatory.
- Exact automated-test behavior: Workflow contract tests parse job/permission structure; OIDC security tests reject static keys and broad permissions; release-gate tests prove deploy dependency; teardown tests check retention and no local runner residue.
- Accepted baseline: The inspected repository contains every UPDATE path and does not contain every CREATE path. Historical results remain unchanged; future execution must revalidate content and patch anchors.
EXACT APPROVED PATH MANIFEST
CREATE:
- .github/dependabot.yml
- .github/workflows/ci.yml
- .github/workflows/plan-sandbox.yml
- .github/workflows/deploy-sandbox.yml
- .github/workflows/rollback-sandbox.yml
- .github/workflows/security-scan.yml
- tests/contract/test_workflow_contract.py
- tests/security/test_github_oidc_workflows.py
- tests/feature/test_release_gate_workflows.py
- tests/teardown/test_workflow_artifact_retention.py
UPDATE:
- Makefile
- feature-matrix.yaml
- tools/platformctl/validate.py
- tests/feature/test_feature_matrix.py
- tests/unit/test_platformctl.py
DELETE:
- None
VERIFIED IMPLEMENTED PRODUCERS / UNCHANGED CONSUMERS:
- infra/environments/sandbox/main.tf
REQUIRED UPSTREAM PRODUCERS: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Enforce quality, IaC and supply-chain gates with short-lived identity. and measurable acceptance.
2. Architecture position: Git change -&gt; CI quality/security/IaC gates -&gt; OIDC token -&gt; approved artifact/plan -&gt; environment approval,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automated border checkpoint that verifies every package and temporary pass; what goes in, happens and comes out.
7. Decisions/trade-offs: short-lived OIDC and pinned actions replace stored cloud keys and floating supply-chain dependencies, alternatives, pros/cons, conditions to differ and consequences.
8. Security/privacy/reliability/cost: minimum job permissions, environment approvals and no secret output, failure isolation, retained resources and accepted access/cost.
9. Failure/remediation/rollback/teardown: failed gate prevents promotion; compromised/unverified artifact is rejected;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W5-002.</x:t>
        </x:is>
      </x:c>
      <x:c r="M30" s="23" t="s">
        <x:v>2338</x:v>
      </x:c>
      <x:c r="N30" s="22" t="inlineStr">
        <x:is>
          <x: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x:t>
        </x:is>
      </x:c>
    </x:row>
    <x:row r="31" ht="409.6000061035156">
      <x:c r="A31" s="22" t="inlineStr">
        <x:is>
          <x:t xml:space="preserve">W5-003</x:t>
        </x:is>
      </x:c>
      <x:c r="B31" s="22" t="inlineStr">
        <x:is>
          <x:t xml:space="preserve">Week 5</x:t>
        </x:is>
      </x:c>
      <x:c r="C31" s="22" t="inlineStr">
        <x:is>
          <x:t xml:space="preserve">OPA and Checkov policy pack</x:t>
        </x:is>
      </x:c>
      <x:c r="D31" s="22" t="inlineStr">
        <x:is>
          <x:t xml:space="preserve">Make critical cloud controls executable before apply.</x:t>
        </x:is>
      </x:c>
      <x:c r="E31" s="22" t="inlineStr">
        <x:is>
          <x:t xml:space="preserve">Approved regions, encryption/tag rules, exception process</x:t>
        </x:is>
      </x:c>
      <x:c r="F31" s="22" t="inlineStr">
        <x:is>
          <x:t xml:space="preserve">Approved code/configuration/test-code changes; owner test/deployment/remediation guide; business/technical/layman/interview summary</x:t>
        </x:is>
      </x:c>
      <x:c r="G31" s="22" t="inlineStr">
        <x:is>
          <x:t xml:space="preserve">FOUR APPROVAL GATES PLUS OWNER TESTING AND WEEKLY LEARNING — TRACKER v1.3.4
MAIN PROMPT — W5-003
TASK IDENTITY
- Week: Week 5
- Feature/outcome: OPA and Checkov policy pack
- Business purpose: Make critical cloud controls executable before apply.
- Covered tracker steps: W5-06
- Required inputs: Approved regions, encryption/tag rules, exception process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W5-06 — Implement OPA and Checkov security/tagging policies with fixtures.
  Business reason: Policy gates make critical architecture decisions executable.
  Acceptance: Insecure fixtures fail; secure fixtures pass.
  Dependency: W5-03:W5-05
  Owner verification reference: opa test policies/opa -v &amp;&amp; checkov -d infra
  Expected result: Failures identify resource/rule/remediation.
  Canonical evidence: docs/test-evidence/W5-06-policy.txt
  Rollback/teardown: Revert candidate policy only through reviewed exception/ADR.
  Current tracker status (read-only historical/current fact): Not Started
  Separate Task Context: 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
Downstream tracker steps identified from recorded dependencies: W5-07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TASK-SPECIFIC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Security/authorization: Enforce least privilege and tenant/classification controls before provider calls; fail closed and redact errors.
- CI/CD: Pin actions and artifacts, use least permissions and protected approvals, and keep deployment/rollback jobs owner-authorized.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critical cloud controls executable before apply. The primary beneficiaries are security, compliance, platform and auditors.
- Process and risk: This task supports Terraform/configuration -&gt; policy checks -&gt; deny findings or approved exception -&gt; release gate. Without it, the platform can produce an unauditable, insecure or non-reproducible result at this exact layer.
- Measurable outcome: critical misconfiguration fixtures are denied and valid fixtures pass. It contributes to the MVP by making OPA and Checkov policy pack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END-TO-END ARCHITECTURE LEARNING
- Position and flow: Terraform/configuration -&gt; policy checks -&gt; deny findings or approved exception -&gt; release gate.
- Upstream/dependency boundary: W5-03:W5-05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OPA/Rego policies, Checkov configuration, fixtures, exception schema and CI consumer.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OPA/Rego policies, Checkov configuration, fixtures, exception schema and CI consumer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building inspector applying the same checklist to every blueprint.
- What goes in / happens / comes out: approved Approved regions, encryption/tag rules, exception process goes through OPA and Checkov policy pack;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describes resources; policy code decides whether a plan is allowed.
ARCHITECTURE DECISIONS AND TRADE-OFFS
- Selected recorded direction: policy-as-code and default deny make cloud controls repeatable.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reject public access, missing encryption/tags, wildcard IAM and unapproved regions. Apply classification, PII handling, tenant isolation, authorization before provider/storage calls, secret exclusion, redacted evidence, residency, retention, provenance and least privilege where applicable.
- Failure/operations: policy errors or expired exceptions fail the gate; rollback restores the last passing policy pack.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OPA and Checkov policy pack addresses make critical cloud controls executable before apply. It makes the result governed, testable and reversible, measured by critical misconfiguration fixtures are denied and valid fixtures pass.
- Two-minute technical explanation: describe OPA/Rego policies, Checkov configuration, fixtures, exception schema and CI consumer; trace Terraform/configuration -&gt; policy checks -&gt; deny findings or approved exception -&gt; release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OPA and Checkov policy pack solve?
   Answer points: Connect Make critical cloud controls executable before apply. to critical misconfiguration fixtures are denied and valid fixtures pass and identify security, compliance, platform and auditors.
2. Q: Trace the end-to-end flow for W5-003.
   Answer points: Explain Terraform/configuration -&gt; policy checks -&gt; deny findings or approved exception -&gt; release gate; name upstream dependencies, downstream consumers, trust and state boundaries.
3. Q: Which design decision matters most and what alternative was rejected?
   Answer points: Discuss policy-as-code and default deny make cloud controls repeatable; compare the adjacent alternative and when it could be preferable.
4. Q: How does this task fail safely and how is it recovered?
   Answer points: Use this scenario: policy errors or expired exceptions fail the gate; rollback restores the last passing policy pack; distinguish retry, remediation, rollback, teardown and evidence.
5. Q: How are security, privacy and cost controlled?
   Answer points: Explain reject public access, missing encryption/tags, wildcard IAM and unapproved regions; include least privilege, redaction/residency, bounded resources and owner-only access.
- Design trade-off: volume/latency increases tenfold; explain whether policy-as-code and default deny make cloud controls repeatable still holds and what evidence/ADR/approval must change.
- Failure/remediation: policy errors or expired exceptions fail the gate; rollback restores the last passing policy pack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OPA and Checkov policy pack. Task — establish the governed contract. Action — map consumers, work within gates, owner-test, diagnose completely and prove lifecycle. Result — report only accepted evidence and critical misconfiguration fixtures are denied and valid fixtures pass.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regions, encryption/tag rules, exception process.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W5-003.
</x:t>
        </x:is>
      </x:c>
      <x:c r="H31" s="22" t="inlineStr">
        <x:is>
          <x:t xml:space="preserve">Gate 1 Main Prompt → Gate 2 exact Code Edit → owner TEST-001 → Gate 3 Column M manifest → Gate 4 Column N complete closure → owner tracker update</x:t>
        </x:is>
      </x:c>
      <x:c r="I31" s="22" t="inlineStr">
        <x:is>
          <x:t xml:space="preserve">READY FOR PRE-EDIT REVIEW — W5-003</x:t>
        </x:is>
      </x:c>
      <x:c r="J31" s="22" t="inlineStr">
        <x:is>
          <x:t xml:space="preserve">Owner approval required after complete read-only impact review</x:t>
        </x:is>
      </x:c>
      <x:c r="K31" s="22" t="inlineStr">
        <x:is>
          <x:t xml:space="preserve">W5-06</x:t>
        </x:is>
      </x:c>
      <x:c r="L31" s="22" t="inlineStr">
        <x:is>
          <x:t xml:space="preserve">COLUMN L — COMPLETE BOUNDED CODE EDIT APPROVAL — W5-003
APPROVED TASK CONTRACT
- Prompt and tracker steps: W5-003 / W5-06
- Business purpose: Make critical cloud controls executable before apply.
- Architecture and design: Checkov configuration and OPA policies validate Terraform plans for encryption, private access, tagging, region and IAM controls before owner apply.
- Exact interfaces, functions and connections: OPA deny rules accept normalized Terraform-plan JSON and return deterministic policy messages; exception records require policy ID, owner, reason and expiry.
- Exact inputs, outputs, errors and invariants: Inputs are limited to Approved regions, encryption/tag rules, exception process.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Exception JSON has schema version, policy ID, resource scope, approver, expiry and rationale; expired, duplicate or broad exceptions are rejected.
- Exact dependency and runtime API rules: Policy evaluation is offline against files; no Terraform or cloud operation is performed by Codex.
- Exact security, privacy, concurrency and operational controls: Default deny covers public storage/search, missing encryption, wildcard IAM, missing tags and unapproved region; exception use is explicit and auditable.
- Exact automated-test behavior: OPA unit tests cover allow and deny plans; exception contract tests reject invalid records; security tests cover critical controls; feature test proves the gate blocks a violating plan.
- Accepted baseline: The inspected repository contains every UPDATE path and does not contain every CREATE path. Historical results remain unchanged; future execution must revalidate content and patch anchors.
EXACT APPROVED PATH MANIFEST
CREATE:
- .checkov.yml
- policies/opa/terraform.rego
- policies/opa/terraform_test.rego
- policies/opa/exceptions.json
- tests/contract/test_policy_exception_contract.py
- tests/security/test_policy_pack.py
- tests/feature/test_policy_gate.py
UPDATE:
- Makefile
- feature-matrix.yaml
- tools/platformctl/validate.py
- tests/feature/test_feature_matrix.py
- tests/unit/test_platformctl.py
DELETE:
- None
VERIFIED IMPLEMENTED PRODUCERS / UNCHANGED CONSUMERS:
- infra/environments/sandbox/main.tf
REQUIRED UPSTREAM PRODUCERS:
- .github/workflows/security-scan.yml — produced by W5-002;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critical cloud controls executable before apply. and measurable acceptance.
2. Architecture position: Terraform/configuration -&gt; policy checks -&gt; deny findings or approved exception -&gt; release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building inspector applying the same checklist to every blueprint; what goes in, happens and comes out.
7. Decisions/trade-offs: policy-as-code and default deny make cloud controls repeatable, alternatives, pros/cons, conditions to differ and consequences.
8. Security/privacy/reliability/cost: reject public access, missing encryption/tags, wildcard IAM and unapproved regions, failure isolation, retained resources and accepted access/cost.
9. Failure/remediation/rollback/teardown: policy errors or expired exceptions fail the gate; rollback restores the last passing policy pack;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W5-003.</x:t>
        </x:is>
      </x:c>
      <x:c r="M31" s="22" t="inlineStr">
        <x:is>
          <x: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x:t>
        </x:is>
      </x:c>
      <x:c r="N31" s="55" t="inlineStr">
        <x:is>
          <x: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x:t>
        </x:is>
      </x:c>
    </x:row>
    <x:row r="32" ht="409.6000061035156">
      <x:c r="A32" s="23" t="inlineStr">
        <x:is>
          <x:t xml:space="preserve">W5-004</x:t>
        </x:is>
      </x:c>
      <x:c r="B32" s="23" t="inlineStr">
        <x:is>
          <x:t xml:space="preserve">Week 5</x:t>
        </x:is>
      </x:c>
      <x:c r="C32" s="23" t="inlineStr">
        <x:is>
          <x:t xml:space="preserve">Reviewed deploy, rollback, teardown and orphan scan</x:t>
        </x:is>
      </x:c>
      <x:c r="D32" s="23" t="inlineStr">
        <x:is>
          <x:t xml:space="preserve">Prove the AWS lifecycle without leaving unmanaged resources.</x:t>
        </x:is>
      </x:c>
      <x:c r="E32" s="23" t="inlineStr">
        <x:is>
          <x:t xml:space="preserve">Approved saved plan; budget ceiling; typed owner confirmations</x:t>
        </x:is>
      </x:c>
      <x:c r="F32" s="23" t="inlineStr">
        <x:is>
          <x:t xml:space="preserve">Approved code/configuration/test-code changes; owner test/deployment/remediation guide; business/technical/layman/interview summary</x:t>
        </x:is>
      </x:c>
      <x:c r="G32" s="23" t="inlineStr">
        <x:is>
          <x:t xml:space="preserve">FOUR APPROVAL GATES PLUS OWNER TESTING AND WEEKLY LEARNING — TRACKER v1.3.4
MAIN PROMPT — W5-004
TASK IDENTITY
- Week: Week 5
- Feature/outcome: Reviewed deploy, rollback, teardown and orphan scan
- Business purpose: Prove the AWS lifecycle without leaving unmanaged resources.
- Covered tracker steps: W5-09, W5-10, W5-11, W5-12, W6-12
- Required inputs: Approved saved plan; budget ceiling; typed owner confirmations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W5-09 — Generate saved Terraform plan, JSON policy result and human-readable summary.
  Business reason: Applying the reviewed bytes prevents unseen infrastructure change.
  Acceptance: Plan, policy and cost review are approved before any apply.
  Dependency: W5-02:W5-08
  Owner verification reference: make plan-sandbox
  Expected result: Summary lists creates/updates/deletes, costs and residual risks.
  Canonical evidence: docs/deployment-records/W5-plan-review.md
  Rollback/teardown: Discard saved plan on code/input drift and regenerate.
  Current tracker status (read-only historical/current fact): Not Started
  Separate Task Context: 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
- W5-10 — After explicit approval, deploy/validate/rollback/destroy in controlled sequence.
  Business reason: Capability must be proven, but Codex must never self-approve mutations.
  Acceptance: Reviewed plan applies; validation passes; rollback path is recorded.
  Dependency: W5-09
  Owner verification reference: make deploy-sandbox  # owner-approved only
  Expected result: Deployment record contains plan hash, approver, resources and health.
  Canonical evidence: docs/deployment-records/W5-sandbox.md
  Rollback/teardown: Use last-known-good Terraform version; destroy is not ordinary rollback.
  Current tracker status (read-only historical/current fact): Not Started
  Separate Task Context: 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
- W5-11 — Create and review platform destroy plan; preserve bootstrap until platform is gone.
  Business reason: Deletion order prevents dependency residue and loss of auditability.
  Acceptance: Destroy plan targets only approved sandbox resources.
  Dependency: W5-10
  Owner verification reference: make plan-destroy-sandbox
  Expected result: Plan and deletion order approved; KMS window noted.
  Canonical evidence: docs/deployment-records/W5-destroy-plan.md
  Rollback/teardown: Cancel before apply if any unexpected target appears.
  Current tracker status (read-only historical/current fact): Not Started
  Separate Task Context: 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
- W5-12 — Run verify-clean using required tags and native service APIs after approved teardown.
  Business reason: A successful Terraform destroy is not proof of zero residual resources.
  Acceptance: No active unmanaged resource remains; exception is documented PendingDeletion KMS key.
  Dependency: W5-11
  Owner verification reference: make destroy-sandbox &amp;&amp; make verify-clean  # owner-approved only
  Expected result: Resource-cleanliness report is complete and signed.
  Canonical evidence: docs/resource-cleanliness/W5-report.json
  Rollback/teardown: Remove residuals in dependency order; do not delete bootstrap until clean.
  Current tracker status (read-only historical/current fact): Not Started
  Separate Task Context: 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
- W6-12 — Run approved destroy sequence, remove bootstrap last and verify cleanliness.
  Business reason: Learning-project cost and residue must stop after use.
  Acceptance: No active project resource remains; KMS exception is PendingDeletion only.
  Dependency: W6-11
  Owner verification reference: make plan-destroy-sandbox; owner approve; make destroy-sandbox; make verify-clean
  Expected result: Signed cleanup report and deletion record exist.
  Canonical evidence: docs/resource-cleanliness/W6-final.json
  Rollback/teardown: Remove residuals in dependency order; never broadly target unverified resources.
  Current tracker status (read-only historical/current fact): Not Started
  Separate Task Context: 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
Downstream tracker steps identified from recorded dependencies: W5-10, W5-11, W5-12, W5-13, W6-13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TASK-SPECIFIC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Terraform: Keep roots and modules explicit, providers constrained, state isolated and saved-plan/apply/destroy commands owner-only.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the AWS lifecycle without leaving unmanaged resources. The primary beneficiaries are owner, SRE, security, finance and reviewers.
- Process and risk: This task supports approved saved plan/artifact -&gt; typed owner confirmation -&gt; deploy -&gt; verification -&gt; rollback/teardown -&gt; orphan and cost scan. Without it, the platform can produce an unauditable, insecure or non-reproducible result at this exact layer.
- Measurable outcome: verified service plus complete removal and zero unexplained spend/residue. It contributes to the MVP by making Reviewed deploy, rollback, teardown and orphan scan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W6-12 (Not Started): Run approved destroy sequence, remove bootstrap last and verify cleanliness. Why: Learning-project cost and residue must stop after use. Acceptance: No active project resource remains; KMS exception is PendingDeletion only. Dependency: W6-11. Owner verification: follow 02 Master Plan!M83 through TEST-001 one command at a time. Expected: Signed cleanup report and deletion record exist. Evidence: docs/resource-cleanliness/W6-final.json Rollback/teardown: Remove residuals in dependency order; never broadly target unverified resources.
END-TO-END ARCHITECTURE LEARNING
- Position and flow: approved saved plan/artifact -&gt; typed owner confirmation -&gt; deploy -&gt; verification -&gt; rollback/teardown -&gt; orphan and cost scan.
- Upstream/dependency boundary: W5-02:W5-08, W5-09, W5-10, W5-11, W6-11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deployment checklist, saved plan, evidence, rollback target, destroy plan, tag/native scans and budget review.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deployment checklist, saved plan, evidence, rollback target, destroy plan, tag/native scans and budget review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launching and recovering a spacecraft using signed go/no-go checklists.
- What goes in / happens / comes out: approved Approved saved plan; budget ceiling; typed owner confirmations goes through Reviewed deploy, rollback, teardown and orphan scan;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activates resources; rollback restores service; teardown removes the sandbox.
ARCHITECTURE DECISIONS AND TRADE-OFFS
- Selected recorded direction: reviewed immutable inputs and explicit lifecycle checkpoints constrain cloud blast radius.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owner credentials stay outside Codex; tags, region, residency and least privilege are verified. Apply classification, PII handling, tenant isolation, authorization before provider/storage calls, secret exclusion, redacted evidence, residency, retention, provenance and least privilege where applicable.
- Failure/operations: partial deployment stops; rollback or teardown preserves dependencies and reports residuals.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Reviewed deploy, rollback, teardown and orphan scan addresses prove the aws lifecycle without leaving unmanaged resources. It makes the result governed, testable and reversible, measured by verified service plus complete removal and zero unexplained spend/residue.
- Two-minute technical explanation: describe deployment checklist, saved plan, evidence, rollback target, destroy plan, tag/native scans and budget review; trace approved saved plan/artifact -&gt; typed owner confirmation -&gt; deploy -&gt; verification -&gt; rollback/teardown -&gt; orphan and cost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Reviewed deploy, rollback, teardown and orphan scan solve?
   Answer points: Connect Prove the AWS lifecycle without leaving unmanaged resources. to verified service plus complete removal and zero unexplained spend/residue and identify owner, SRE, security, finance and reviewers.
2. Q: Trace the end-to-end flow for W5-004.
   Answer points: Explain approved saved plan/artifact -&gt; typed owner confirmation -&gt; deploy -&gt; verification -&gt; rollback/teardown -&gt; orphan and cost scan; name upstream dependencies, downstream consumers, trust and state boundaries.
3. Q: Which design decision matters most and what alternative was rejected?
   Answer points: Discuss reviewed immutable inputs and explicit lifecycle checkpoints constrain cloud blast radius; compare the adjacent alternative and when it could be preferable.
4. Q: How does this task fail safely and how is it recovered?
   Answer points: Use this scenario: partial deployment stops; rollback or teardown preserves dependencies and reports residuals; distinguish retry, remediation, rollback, teardown and evidence.
5. Q: How are security, privacy and cost controlled?
   Answer points: Explain owner credentials stay outside Codex; tags, region, residency and least privilege are verified; include least privilege, redaction/residency, bounded resources and owner-only access.
- Design trade-off: volume/latency increases tenfold; explain whether reviewed immutable inputs and explicit lifecycle checkpoints constrain cloud blast radius still holds and what evidence/ADR/approval must change.
- Failure/remediation: partial deployment stops; rollback or teardown preserves dependencies and reports residuals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Reviewed deploy, rollback, teardown and orphan scan. Task — establish the governed contract. Action — map consumers, work within gates, owner-test, diagnose completely and prove lifecycle. Result — report only accepted evidence and verified service plus complete removal and zero unexplained spend/residue.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saved plan; budget ceiling; typed owner confirmations.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W5-004.
</x:t>
        </x:is>
      </x:c>
      <x:c r="H32" s="23" t="inlineStr">
        <x:is>
          <x:t xml:space="preserve">Gate 1 Main Prompt → Gate 2 exact Code Edit → owner TEST-001 → Gate 3 Column M manifest → Gate 4 Column N complete closure → owner tracker update</x:t>
        </x:is>
      </x:c>
      <x:c r="I32" s="23" t="inlineStr">
        <x:is>
          <x:t xml:space="preserve">READY FOR PRE-EDIT REVIEW — W5-004</x:t>
        </x:is>
      </x:c>
      <x:c r="J32" s="23" t="inlineStr">
        <x:is>
          <x:t xml:space="preserve">Owner approval required after complete read-only impact review</x:t>
        </x:is>
      </x:c>
      <x:c r="K32" s="23" t="inlineStr">
        <x:is>
          <x:t xml:space="preserve">W5-09, W5-10, W5-11, W5-12, W6-12</x:t>
        </x:is>
      </x:c>
      <x:c r="L32" s="23" t="inlineStr">
        <x:is>
          <x:t xml:space="preserve">COLUMN L — COMPLETE BOUNDED CODE EDIT APPROVAL — W5-004
APPROVED TASK CONTRACT
- Prompt and tracker steps: W5-004 / W5-09, W5-10, W5-11, W5-12, W6-12
- Business purpose: Prove the AWS lifecycle without leaving unmanaged resources.
- Architecture and design: platformctl coordinates saved-plan deployment, rollback, ordered teardown and two-source orphan discovery while Terraform remains the resource authority.
- Exact interfaces, functions and connections: validate_saved_plan, deploy_sandbox, rollback_sandbox, destroy_sandbox and verify_aws_clean accept exact environment and approval data and return typed lifecycle reports.
- Exact inputs, outputs, errors and invariants: Inputs are limited to Approved saved plan; budget ceiling; typed owner confirmations.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Saved-plan contract fixes plan hash, commit, workspace, account, region, cost review and approval; inventory records identify native and tag-derived resources.
- Exact dependency and runtime API rules: AWS and Terraform commands are owner executed; code defaults to dry-run and injected fake inventories; timeouts and retries are bounded.
- Exact security, privacy, concurrency and operational controls: Typed confirmation, account/region/project checks, budget ceiling, dependency-ordered destroy, KMS pending-deletion handling and residual-resource reporting apply.
- Exact automated-test behavior: Saved-plan contract rejects drift; lifecycle and rollback feature tests use fakes; security test rejects unapproved destroy; teardown test reconciles native and tag inventories and distinguishes retained resources.
- Accepted baseline: The inspected repository contains every UPDATE path and does not contain every CREATE path. Historical results remain unchanged; future execution must revalidate content and patch anchors.
EXACT APPROVED PATH MANIFEST
CREATE:
- tests/contract/test_saved_plan_contract.py
- tests/feature/test_aws_lifecycle.py
- tests/feature/test_aws_rollback.py
- tests/security/test_destroy_approval.py
- tests/teardown/test_aws_resource_cleanliness.py
UPDATE:
- tools/platformctl/deploy.py
- tools/platformctl/rollback.py
- tools/platformctl/destroy.py
- tools/platformctl/verify_clean.py
- tools/platformctl/aws_inventory.py
- tools/platformctl/cli.py
- tools/platformctl/contracts.py
- tests/fakes/aws_inventory.py
- Makefile
- feature-matrix.yaml
- tools/platformctl/validate.py
- tests/feature/test_feature_matrix.py
- tests/unit/test_platformctl.py
DELETE:
- None
VERIFIED IMPLEMENTED PRODUCERS / UNCHANGED CONSUMERS:
- infra/bootstrap/main.tf
- infra/environments/sandbox/main.tf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Prove the AWS lifecycle without leaving unmanaged resources. and measurable acceptance.
2. Architecture position: approved saved plan/artifact -&gt; typed owner confirmation -&gt; deploy -&gt; verification -&gt; rollback/teardown -&gt; orphan and cost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launching and recovering a spacecraft using signed go/no-go checklists; what goes in, happens and comes out.
7. Decisions/trade-offs: reviewed immutable inputs and explicit lifecycle checkpoints constrain cloud blast radius, alternatives, pros/cons, conditions to differ and consequences.
8. Security/privacy/reliability/cost: owner credentials stay outside Codex; tags, region, residency and least privilege are verified, failure isolation, retained resources and accepted access/cost.
9. Failure/remediation/rollback/teardown: partial deployment stops; rollback or teardown preserves dependencies and reports residuals;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W5-004.</x:t>
        </x:is>
      </x:c>
      <x:c r="M32" s="23" t="s">
        <x:v>2339</x:v>
      </x:c>
      <x:c r="N32" s="22" t="inlineStr">
        <x:is>
          <x: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x:t>
        </x:is>
      </x:c>
    </x:row>
    <x:row r="33" ht="409.6000061035156">
      <x:c r="A33" s="22" t="inlineStr">
        <x:is>
          <x:t xml:space="preserve">W6-001</x:t>
        </x:is>
      </x:c>
      <x:c r="B33" s="22" t="inlineStr">
        <x:is>
          <x:t xml:space="preserve">Week 6</x:t>
        </x:is>
      </x:c>
      <x:c r="C33" s="22" t="inlineStr">
        <x:is>
          <x:t xml:space="preserve">Immutable EKS application deployment</x:t>
        </x:is>
      </x:c>
      <x:c r="D33" s="22" t="inlineStr">
        <x:is>
          <x:t xml:space="preserve">Deploy the verified service with workload identity and safe rollout controls.</x:t>
        </x:is>
      </x:c>
      <x:c r="E33" s="22" t="inlineStr">
        <x:is>
          <x:t xml:space="preserve">EKS cluster/namespace, ECR digest, domain/cert, pod identity choice</x:t>
        </x:is>
      </x:c>
      <x:c r="F33" s="22" t="inlineStr">
        <x:is>
          <x:t xml:space="preserve">Approved code/configuration/test-code changes; owner test/deployment/remediation guide; business/technical/layman/interview summary</x:t>
        </x:is>
      </x:c>
      <x:c r="G33" s="22" t="inlineStr">
        <x:is>
          <x:t xml:space="preserve">FOUR APPROVAL GATES PLUS OWNER TESTING AND WEEKLY LEARNING — TRACKER v1.3.4
MAIN PROMPT — W6-001
TASK IDENTITY
- Week: Week 6
- Feature/outcome: Immutable EKS application deployment
- Business purpose: Deploy the verified service with workload identity and safe rollout controls.
- Covered tracker steps: W6-02, W6-03, W6-04, W6-05
- Required inputs: EKS cluster/namespace, ECR digest, domain/cert, pod identity choice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W6-02 — Create EKS deployment/Service with non-root/read-only settings and probes.
  Business reason: Production-shaped runtime boundaries reduce container and availability risk.
  Acceptance: Server dry-run and policy validation pass.
  Dependency: W6-01
  Owner verification reference: kubectl apply --dry-run=server -f deploy/k8s
  Expected result: Manifests use immutable digest and no secret literal.
  Canonical evidence: docs/test-evidence/W6-02-k8s.txt
  Rollback/teardown: kubectl rollout undo or redeploy previous digest.
  Current tracker status (read-only historical/current fact): Not Started
  Separate Task Context: 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
- W6-03 — Configure EKS Pod Identity/IRSA, RBAC and least-privilege service account.
  Business reason: Pods must never contain static AWS credentials.
  Acceptance: Pod accesses only required AWS APIs and env has no static key.
  Dependency: W5-04,W6-02
  Owner verification reference: kubectl exec deploy/enterprise-ai-api -- env | grep AWS_ACCESS_KEY_ID; test $? -ne 0
  Expected result: No static credential; role session is short-lived and scoped.
  Canonical evidence: docs/test-evidence/W6-03-identity.txt
  Rollback/teardown: Remove service-account binding and restore prior role policy.
  Current tracker status (read-only historical/current fact): Not Started
  Separate Task Context: 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
- W6-04 — Apply NetworkPolicy and approved ingress/egress boundaries.
  Business reason: Retrieval/model paths should be explicit and least privilege.
  Acceptance: Denied destination test fails; approved dependencies remain reachable.
  Dependency: W6-03
  Owner verification reference: kubectl apply --dry-run=server -f deploy/k8s/networkpolicy.yaml
  Expected result: Network test evidence documents permitted flows.
  Canonical evidence: docs/test-evidence/W6-04-network.txt
  Rollback/teardown: Restore last-known-good policy; scale down if isolation is uncertain.
  Current tracker status (read-only historical/current fact): Not Started
  Separate Task Context: 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
- W6-05 — Configure requests/limits, HPA, PDB and rolling update settings.
  Business reason: Availability and autoscaling must be defined before load/chaos tests.
  Acceptance: Schema/policy checks pass and settings have rationale.
  Dependency: W6-02
  Owner verification reference: kubectl apply --dry-run=server -f deploy/k8s
  Expected result: PDB/HPA do not conflict at minimum replicas.
  Canonical evidence: docs/test-evidence/W6-05-resilience.txt
  Rollback/teardown: Rollback manifests and return to last safe replica/settings.
  Current tracker status (read-only historical/current fact): Not Started
  Separate Task Context: 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
Downstream tracker steps identified from recorded dependencies: W6-03, W6-04, W6-05, W6-06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Kubernetes: Require immutable digests, namespace scope, workload identity, probes, resource bounds, rollout safety and owner-only cluster commands.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Deploy the verified service with workload identity and safe rollout controls. The primary beneficiaries are platform, application, security and SRE teams.
- Process and risk: This task supports verified image digest -&gt; manifests/Helm -&gt; EKS admission -&gt; workload identity -&gt; service/ingress -&gt; rollout evidence. Without it, the platform can produce an unauditable, insecure or non-reproducible result at this exact layer.
- Measurable outcome: healthy rollout on approved digest with rollback proven. It contributes to the MVP by making Immutable EKS application deployment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W6-02 (Not Started): Create EKS deployment/Service with non-root/read-only settings and probes. Why: Production-shaped runtime boundaries reduce container and availability risk. Acceptance: Server dry-run and policy validation pass. Dependency: W6-01. Owner verification: follow 02 Master Plan!M73 through TEST-001 one command at a time. Expected: Manifests use immutable digest and no secret literal. Evidence: docs/test-evidence/W6-02-k8s.txt Rollback/teardown: kubectl rollout undo or redeploy previous digest.
- W6-03 (Not Started): Configure EKS Pod Identity/IRSA, RBAC and least-privilege service account. Why: Pods must never contain static AWS credentials. Acceptance: Pod accesses only required AWS APIs and env has no static key. Dependency: W5-04,W6-02. Owner verification: follow 02 Master Plan!M74 through TEST-001 one command at a time. Expected: No static credential; role session is short-lived and scoped. Evidence: docs/test-evidence/W6-03-identity.txt Rollback/teardown: Remove service-account binding and restore prior role policy.
- W6-04 (Not Started): Apply NetworkPolicy and approved ingress/egress boundaries. Why: Retrieval/model paths should be explicit and least privilege. Acceptance: Denied destination test fails; approved dependencies remain reachable. Dependency: W6-03. Owner verification: follow 02 Master Plan!M75 through TEST-001 one command at a time. Expected: Network test evidence documents permitted flows. Evidence: docs/test-evidence/W6-04-network.txt Rollback/teardown: Restore last-known-good policy; scale down if isolation is uncertain.
- W6-05 (Not Started): Configure requests/limits, HPA, PDB and rolling update settings. Why: Availability and autoscaling must be defined before load/chaos tests. Acceptance: Schema/policy checks pass and settings have rationale. Dependency: W6-02. Owner verification: follow 02 Master Plan!M76 through TEST-001 one command at a time. Expected: PDB/HPA do not conflict at minimum replicas. Evidence: docs/test-evidence/W6-05-resilience.txt Rollback/teardown: Rollback manifests and return to last safe replica/settings.
END-TO-END ARCHITECTURE LEARNING
- Position and flow: verified image digest -&gt; manifests/Helm -&gt; EKS admission -&gt; workload identity -&gt; service/ingress -&gt; rollout evidence.
- Upstream/dependency boundary: W6-01, W5-04,W6-02, W6-03, W6-02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Kubernetes workload, Service, ingress, probes, resources, security context, Pod Identity/IRSA and immutable image.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Kubernetes workload, Service, ingress, probes, resources, security context, Pod Identity/IRSA and immutable image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sealed cargo container admitted to a controlled port with its own badge.
- What goes in / happens / comes out: approved EKS cluster/namespace, ECR digest, domain/cert, pod identity choice goes through Immutable EKS application deployment;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ECR stores images; Kubernetes schedules workloads; ingress exposes approved traffic.
ARCHITECTURE DECISIONS AND TRADE-OFFS
- Selected recorded direction: digest pinning, least-privilege identity and controlled rollout replace mutable tags and node credentials.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non-root/read-only pod, network/secret boundaries and namespace RBAC constrain access. Apply classification, PII handling, tenant isolation, authorization before provider/storage calls, secret exclusion, redacted evidence, residency, retention, provenance and least privilege where applicable.
- Failure/operations: failed readiness/regression triggers rollout undo to the prior digest; namespace resources are inventoried for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Immutable EKS application deployment addresses deploy the verified service with workload identity and safe rollout controls. It makes the result governed, testable and reversible, measured by healthy rollout on approved digest with rollback proven.
- Two-minute technical explanation: describe Kubernetes workload, Service, ingress, probes, resources, security context, Pod Identity/IRSA and immutable image; trace verified image digest -&gt; manifests/Helm -&gt; EKS admission -&gt; workload identity -&gt; service/ingress -&gt; rollout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Immutable EKS application deployment solve?
   Answer points: Connect Deploy the verified service with workload identity and safe rollout controls. to healthy rollout on approved digest with rollback proven and identify platform, application, security and SRE teams.
2. Q: Trace the end-to-end flow for W6-001.
   Answer points: Explain verified image digest -&gt; manifests/Helm -&gt; EKS admission -&gt; workload identity -&gt; service/ingress -&gt; rollout evidence; name upstream dependencies, downstream consumers, trust and state boundaries.
3. Q: Which design decision matters most and what alternative was rejected?
   Answer points: Discuss digest pinning, least-privilege identity and controlled rollout replace mutable tags and node credentials; compare the adjacent alternative and when it could be preferable.
4. Q: How does this task fail safely and how is it recovered?
   Answer points: Use this scenario: failed readiness/regression triggers rollout undo to the prior digest; namespace resources are inventoried for teardown; distinguish retry, remediation, rollback, teardown and evidence.
5. Q: How are security, privacy and cost controlled?
   Answer points: Explain non-root/read-only pod, network/secret boundaries and namespace RBAC constrain access; include least privilege, redaction/residency, bounded resources and owner-only access.
- Design trade-off: volume/latency increases tenfold; explain whether digest pinning, least-privilege identity and controlled rollout replace mutable tags and node credentials still holds and what evidence/ADR/approval must change.
- Failure/remediation: failed readiness/regression triggers rollout undo to the prior digest; namespace resources are inventoried for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Immutable EKS application deployment. Task — establish the governed contract. Action — map consumers, work within gates, owner-test, diagnose completely and prove lifecycle. Result — report only accepted evidence and healthy rollout on approved digest with rollback proven.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EKS cluster/namespace, ECR digest, domain/cert, pod identity choice.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W6-001.
</x:t>
        </x:is>
      </x:c>
      <x:c r="H33" s="22" t="inlineStr">
        <x:is>
          <x:t xml:space="preserve">Gate 1 Main Prompt → Gate 2 exact Code Edit → owner TEST-001 → Gate 3 Column M manifest → Gate 4 Column N complete closure → owner tracker update</x:t>
        </x:is>
      </x:c>
      <x:c r="I33" s="22" t="inlineStr">
        <x:is>
          <x:t xml:space="preserve">READY FOR PRE-EDIT REVIEW — W6-001</x:t>
        </x:is>
      </x:c>
      <x:c r="J33" s="22" t="inlineStr">
        <x:is>
          <x:t xml:space="preserve">Owner approval required after complete read-only impact review</x:t>
        </x:is>
      </x:c>
      <x:c r="K33" s="22" t="inlineStr">
        <x:is>
          <x:t xml:space="preserve">W6-02, W6-03, W6-04, W6-05</x:t>
        </x:is>
      </x:c>
      <x:c r="L33" s="22" t="inlineStr">
        <x:is>
          <x:t xml:space="preserve">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x:t>
        </x:is>
      </x:c>
      <x:c r="M33" s="22" t="s">
        <x:v>2340</x:v>
      </x:c>
      <x:c r="N33" s="55" t="inlineStr">
        <x:is>
          <x: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x:t>
        </x:is>
      </x:c>
    </x:row>
    <x:row r="34" ht="409.6000061035156">
      <x:c r="A34" s="23" t="inlineStr">
        <x:is>
          <x:t xml:space="preserve">W6-002</x:t>
        </x:is>
      </x:c>
      <x:c r="B34" s="23" t="inlineStr">
        <x:is>
          <x:t xml:space="preserve">Week 6</x:t>
        </x:is>
      </x:c>
      <x:c r="C34" s="23" t="inlineStr">
        <x:is>
          <x:t xml:space="preserve">SRE observability, alerts, runbook and chaos plan</x:t>
        </x:is>
      </x:c>
      <x:c r="D34" s="23" t="inlineStr">
        <x:is>
          <x:t xml:space="preserve">Make the platform supportable and measurable.</x:t>
        </x:is>
      </x:c>
      <x:c r="E34" s="23" t="inlineStr">
        <x:is>
          <x:t xml:space="preserve">SLO approval; alert destination; pre-production chaos approval</x:t>
        </x:is>
      </x:c>
      <x:c r="F34" s="23" t="inlineStr">
        <x:is>
          <x:t xml:space="preserve">Approved code/configuration/test-code changes; owner test/deployment/remediation guide; business/technical/layman/interview summary</x:t>
        </x:is>
      </x:c>
      <x:c r="G34" s="23" t="inlineStr">
        <x:is>
          <x:t xml:space="preserve">FOUR APPROVAL GATES PLUS OWNER TESTING AND WEEKLY LEARNING — TRACKER v1.3.4
MAIN PROMPT — W6-002
TASK IDENTITY
- Week: Week 6
- Feature/outcome: SRE observability, alerts, runbook and chaos plan
- Business purpose: Make the platform supportable and measurable.
- Covered tracker steps: W6-06, W6-07, W6-08, W6-09
- Required inputs: SLO approval; alert destination; pre-production chaos approval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W6-06 — Deploy OTel path to CloudWatch/X-Ray plus Prometheus/Grafana/Jaeger option.
  Business reason: Vendor-neutral telemetry supports both AWS and open-source operations.
  Acceptance: One request trace links API, retrieval and LLM spans.
  Dependency: W4-08,W6-02
  Owner verification reference: pytest tests/feature/test_trace_correlation.py -q
  Expected result: Trace/log/metric IDs correlate without sensitive content.
  Canonical evidence: docs/test-evidence/W6-06-observability.json
  Rollback/teardown: Disable broken exporter; preserve local telemetry path.
  Current tracker status (read-only historical/current fact): Not Started
  Separate Task Context: 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
- W6-07 — Approve SLIs/SLOs, error-budget policy and burn alerts.
  Business reason: Reliability targets must reflect user pain and govern releases.
  Acceptance: Availability 99.9%, p95&lt;4s, p99&lt;10s, retrieval p99&lt;750ms, grounded&gt;=95%, isolation/safety=100% are reviewed.
  Dependency: W6-06
  Owner verification reference: promtool check rules observability/alerts.yml
  Expected result: Rules validate and map to an owner/runbook.
  Canonical evidence: docs/architecture/slo.md
  Rollback/teardown: Disable noisy alert only through reviewed threshold/runbook update.
  Current tracker status (read-only historical/current fact): Not Started
  Separate Task Context: 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
- W6-08 — Create and rehearse inference-latency-spike runbook.
  Business reason: An alert is useful only if it drives a safe action.
  Acceptance: Runbook covers impact, stabilize, stage isolation, rollback and evidence.
  Dependency: W6-06,W6-07
  Owner verification reference: Run tabletop and record timeline
  Expected result: Owner can distinguish retrieval, model, queue and dependency latency.
  Canonical evidence: runbooks/inference-latency.md
  Rollback/teardown: Rollback release/config; use safe refusal/fallback if approved.
  Current tracker status (read-only historical/current fact): Not Started
  Separate Task Context: 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
- W6-09 — Stop Qdrant/inject LLM timeout locally; prepare FIS plan without executing it.
  Business reason: Controlled failure proves readiness, bounded retries and alert/runbook quality.
  Acceptance: Readiness fails, no retry storm, alert/runbook activates; FIS has tag targets/stop alarms.
  Dependency: W6-07,W6-08
  Owner verification reference: pytest tests/feature/test_failure_modes.py -q
  Expected result: RTO and alert evidence recorded; no production target.
  Canonical evidence: docs/test-evidence/W6-09-chaos.txt
  Rollback/teardown: Stop experiment, restore dependency, rollback configuration.
  Current tracker status (read-only historical/current fact): Not Started
  Separate Task Context: 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
Downstream tracker steps identified from recorded dependencies: W6-07, W6-08, W6-09, W6-10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TASK-SPECIFIC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Network: Enumerate every permitted and denied flow, bind only approved interfaces and prevent implicit public or host exposure.
- Data/privacy: Classify data, minimize content, prohibit secrets/PII in logs and evidence, and state residency, retention and deletion effects.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the platform supportable and measurable. The primary beneficiaries are users, on-call SRE, product owner and security.
- Process and risk: This task supports service signals -&gt; SLI calculations -&gt; SLO/error budget -&gt; alerts -&gt; runbook/chaos exercise -&gt; remediation evidence. Without it, the platform can produce an unauditable, insecure or non-reproducible result at this exact layer.
- Measurable outcome: alerts detect real SLO risk and the runbook restores service within bounds. It contributes to the MVP by making SRE observability, alerts, runbook and chaos plan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W6-06 (Not Started): Deploy OTel path to CloudWatch/X-Ray plus Prometheus/Grafana/Jaeger option. Why: Vendor-neutral telemetry supports both AWS and open-source operations. Acceptance: One request trace links API, retrieval and LLM spans. Dependency: W4-08,W6-02. Owner verification: follow 02 Master Plan!M77 through TEST-001 one command at a time. Expected: Trace/log/metric IDs correlate without sensitive content. Evidence: docs/test-evidence/W6-06-observability.json Rollback/teardown: Disable broken exporter; preserve local telemetry path.
- W6-07 (Not Started): Approve SLIs/SLOs, error-budget policy and burn alerts. Why: Reliability targets must reflect user pain and govern releases. Acceptance: Availability 99.9%, p95&lt;4s, p99&lt;10s, retrieval p99&lt;750ms, grounded&gt;=95%, isolation/safety=100% are reviewed. Dependency: W6-06. Owner verification: follow 02 Master Plan!M78 through TEST-001 one command at a time. Expected: Rules validate and map to an owner/runbook. Evidence: docs/architecture/slo.md Rollback/teardown: Disable noisy alert only through reviewed threshold/runbook update.
- W6-08 (Not Started): Create and rehearse inference-latency-spike runbook. Why: An alert is useful only if it drives a safe action. Acceptance: Runbook covers impact, stabilize, stage isolation, rollback and evidence. Dependency: W6-06,W6-07. Owner verification: follow 02 Master Plan!M79 through TEST-001 one command at a time. Expected: Owner can distinguish retrieval, model, queue and dependency latency. Evidence: runbooks/inference-latency.md Rollback/teardown: Rollback release/config; use safe refusal/fallback if approved.
- W6-09 (Not Started): Stop Qdrant/inject LLM timeout locally; prepare FIS plan without executing it. Why: Controlled failure proves readiness, bounded retries and alert/runbook quality. Acceptance: Readiness fails, no retry storm, alert/runbook activates; FIS has tag targets/stop alarms. Dependency: W6-07,W6-08. Owner verification: follow 02 Master Plan!M80 through TEST-001 one command at a time. Expected: RTO and alert evidence recorded; no production target. Evidence: docs/test-evidence/W6-09-chaos.txt Rollback/teardown: Stop experiment, restore dependency, rollback configuration.
END-TO-END ARCHITECTURE LEARNING
- Position and flow: service signals -&gt; SLI calculations -&gt; SLO/error budget -&gt; alerts -&gt; runbook/chaos exercise -&gt; remediation evidence.
- Upstream/dependency boundary: W4-08,W6-02, W6-06, W6-06,W6-07, W6-07,W6-08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metrics/traces/logs, dashboards, alert rules, SLOs, runbook and bounded chaos scenarios.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metrics/traces/logs, dashboards, alert rules, SLOs, runbook and bounded chaos scenarios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smoke alarm plus evacuation drill, not just a thermometer.
- What goes in / happens / comes out: approved SLO approval; alert destination; pre-production chaos approval goes through SRE observability, alerts, runbook and chaos plan;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observability supplies signals; SRE turns them into objectives and response.
ARCHITECTURE DECISIONS AND TRADE-OFFS
- Selected recorded direction: user-centered SLOs and actionable alerts are selected over raw infrastructure noise.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telemetry is redacted/access-controlled; chaos uses pre-production approval. Apply classification, PII handling, tenant isolation, authorization before provider/storage calls, secret exclusion, redacted evidence, residency, retention, provenance and least privilege where applicable.
- Failure/operations: alert/runbook gaps are found in bounded exercises; stop and restore steady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SRE observability, alerts, runbook and chaos plan addresses make the platform supportable and measurable. It makes the result governed, testable and reversible, measured by alerts detect real SLO risk and the runbook restores service within bounds.
- Two-minute technical explanation: describe metrics/traces/logs, dashboards, alert rules, SLOs, runbook and bounded chaos scenarios; trace service signals -&gt; SLI calculations -&gt; SLO/error budget -&gt; alerts -&gt; runbook/chaos exercise -&gt; remediation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SRE observability, alerts, runbook and chaos plan solve?
   Answer points: Connect Make the platform supportable and measurable. to alerts detect real SLO risk and the runbook restores service within bounds and identify users, on-call SRE, product owner and security.
2. Q: Trace the end-to-end flow for W6-002.
   Answer points: Explain service signals -&gt; SLI calculations -&gt; SLO/error budget -&gt; alerts -&gt; runbook/chaos exercise -&gt; remediation evidence; name upstream dependencies, downstream consumers, trust and state boundaries.
3. Q: Which design decision matters most and what alternative was rejected?
   Answer points: Discuss user-centered SLOs and actionable alerts are selected over raw infrastructure noise; compare the adjacent alternative and when it could be preferable.
4. Q: How does this task fail safely and how is it recovered?
   Answer points: Use this scenario: alert/runbook gaps are found in bounded exercises; stop and restore steady state; distinguish retry, remediation, rollback, teardown and evidence.
5. Q: How are security, privacy and cost controlled?
   Answer points: Explain telemetry is redacted/access-controlled; chaos uses pre-production approval; include least privilege, redaction/residency, bounded resources and owner-only access.
- Design trade-off: volume/latency increases tenfold; explain whether user-centered SLOs and actionable alerts are selected over raw infrastructure noise still holds and what evidence/ADR/approval must change.
- Failure/remediation: alert/runbook gaps are found in bounded exercises; stop and restore steady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SRE observability, alerts, runbook and chaos plan. Task — establish the governed contract. Action — map consumers, work within gates, owner-test, diagnose completely and prove lifecycle. Result — report only accepted evidence and alerts detect real SLO risk and the runbook restores service within bounds.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SLO approval; alert destination; pre-production chaos approval.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W6-002.
</x:t>
        </x:is>
      </x:c>
      <x:c r="H34" s="23" t="inlineStr">
        <x:is>
          <x:t xml:space="preserve">Gate 1 Main Prompt → Gate 2 exact Code Edit → owner TEST-001 → Gate 3 Column M manifest → Gate 4 Column N complete closure → owner tracker update</x:t>
        </x:is>
      </x:c>
      <x:c r="I34" s="23" t="inlineStr">
        <x:is>
          <x:t xml:space="preserve">READY FOR PRE-EDIT REVIEW — W6-002</x:t>
        </x:is>
      </x:c>
      <x:c r="J34" s="23" t="inlineStr">
        <x:is>
          <x:t xml:space="preserve">Owner approval required after complete read-only impact review</x:t>
        </x:is>
      </x:c>
      <x:c r="K34" s="23" t="inlineStr">
        <x:is>
          <x:t xml:space="preserve">W6-06, W6-07, W6-08, W6-09</x:t>
        </x:is>
      </x:c>
      <x:c r="L34" s="23" t="inlineStr">
        <x:is>
          <x:t xml:space="preserve">COLUMN L — COMPLETE BOUNDED CODE EDIT APPROVAL — W6-002
APPROVED TASK CONTRACT
- Prompt and tracker steps: W6-002 / W6-06, W6-07, W6-08, W6-09
- Business purpose: Make the platform supportable and measurable.
- Architecture and design: OTel Collector, Prometheus, Grafana and alert rules provide vendor-neutral telemetry; a tag-bounded FIS module records but does not execute approved chaos design.
- Exact interfaces, functions and connections: Collector pipelines receive OTLP and export approved traces/metrics; alert rules map SLIs to burn conditions; FIS variables accept exact sandbox targets and stop alarms.
- Exact inputs, outputs, errors and invariants: Inputs are limited to SLO approval; alert destination; pre-production chaos approval.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Telemetry configurations prohibit content; dashboard and alert files use stable metric names; FIS target selectors require project/environment tags and stop conditions.
- Exact dependency and runtime API rules: Exporter endpoints and credentials are owner-provided runtime inputs; owner performs deployment and chaos actions; code/config validation remains offline.
- Exact security, privacy, concurrency and operational controls: No sensitive content, bounded exporter queues/timeouts, least-privilege FIS role, pre-production-only targets, stop alarms and explicit cleanup apply.
- Exact automated-test behavior: Config contract tests parse pipelines; trace and alert feature tests cover correlation and thresholds; failure-mode tests prove bounded retries; security tests cover redaction and FIS targeting; teardown tests inventory telemetry resources.
- Accepted baseline: The inspected repository contains every UPDATE path and does not contain every CREATE path. Historical results remain unchanged; future execution must revalidate content and patch anchors.
EXACT APPROVED PATH MANIFEST
CREATE:
- observability/otel-collector.yaml
- observability/prometheus.yml
- observability/alerts.yml
- observability/grafana/enterprise-ai-dashboard.json
- infra/modules/fis/main.tf
- infra/modules/fis/variables.tf
- infra/modules/fis/outputs.tf
- tests/contract/test_observability_config.py
- tests/feature/test_slo_alerts.py
- tests/feature/test_failure_modes.py
- tests/security/test_observability_redaction.py
- tests/security/test_fis_targeting.py
- tests/teardown/test_observability_cleanliness.py
UPDATE:
- tests/feature/test_trace_correlation.py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src/enterprise_ai_platform/observability/tracing.py — produced by W4-003; Gate 1 must verify existence and contract alignment before activation.
- deploy/k8s/deployment.yaml — produced by W6-001;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the platform supportable and measurable. and measurable acceptance.
2. Architecture position: service signals -&gt; SLI calculations -&gt; SLO/error budget -&gt; alerts -&gt; runbook/chaos exercise -&gt; remediation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smoke alarm plus evacuation drill, not just a thermometer; what goes in, happens and comes out.
7. Decisions/trade-offs: user-centered SLOs and actionable alerts are selected over raw infrastructure noise, alternatives, pros/cons, conditions to differ and consequences.
8. Security/privacy/reliability/cost: telemetry is redacted/access-controlled; chaos uses pre-production approval, failure isolation, retained resources and accepted access/cost.
9. Failure/remediation/rollback/teardown: alert/runbook gaps are found in bounded exercises; stop and restore steady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W6-002.</x:t>
        </x:is>
      </x:c>
      <x:c r="M34" s="23" t="inlineStr">
        <x:is>
          <x:t xml:space="preserve">COLUMN M — EXACT DOCUMENT WRITING APPROVAL — W6-002
This is a separate owner approval after the bounded edit and owner testing or content review. Classify every path under one—and only one—of the CREATE and UPDATE headings after read-only preflight inspection.
EXACT DOCUMENTATION BOUNDARY
CREATE:
- docs/test-evidence/W6-002.md
- docs/architecture/slo.md
- docs/test-evidence/W6-06-observability.json
- docs/test-evidence/W6-09-chaos.txt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W6-002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W6-002.
</x:t>
        </x:is>
      </x:c>
      <x:c r="N34" s="22" t="inlineStr">
        <x:is>
          <x: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x:t>
        </x:is>
      </x:c>
    </x:row>
    <x:row r="35" ht="409.6000061035156">
      <x:c r="A35" s="22" t="inlineStr">
        <x:is>
          <x:t xml:space="preserve">W6-003</x:t>
        </x:is>
      </x:c>
      <x:c r="B35" s="22" t="inlineStr">
        <x:is>
          <x:t xml:space="preserve">Week 6</x:t>
        </x:is>
      </x:c>
      <x:c r="C35" s="22" t="inlineStr">
        <x:is>
          <x:t xml:space="preserve">Final end-to-end proof and handover</x:t>
        </x:is>
      </x:c>
      <x:c r="D35" s="22" t="inlineStr">
        <x:is>
          <x:t xml:space="preserve">Demonstrate architecture, quality, safety, rollback and clean teardown together.</x:t>
        </x:is>
      </x:c>
      <x:c r="E35" s="22" t="inlineStr">
        <x:is>
          <x:t xml:space="preserve">Approved sandbox window and evidence locations</x:t>
        </x:is>
      </x:c>
      <x:c r="F35" s="22" t="inlineStr">
        <x:is>
          <x:t xml:space="preserve">Approved code/configuration/test-code changes; owner test/deployment/remediation guide; business/technical/layman/interview summary</x:t>
        </x:is>
      </x:c>
      <x:c r="G35" s="22" t="inlineStr">
        <x:is>
          <x:t xml:space="preserve">FOUR APPROVAL GATES PLUS OWNER TESTING AND WEEKLY LEARNING — TRACKER v1.3.4
MAIN PROMPT — W6-003
TASK IDENTITY
- Week: Week 6
- Feature/outcome: Final end-to-end proof and handover
- Business purpose: Demonstrate architecture, quality, safety, rollback and clean teardown together.
- Covered tracker steps: W6-10, W6-11, W6-13
- Required inputs: Approved sandbox window and evidence locations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W6-10 — Run local and sandbox cited query plus golden evaluation/security suite.
  Business reason: Final proof must combine functionality, quality, security and observability.
  Acceptance: No material regression; sandbox query has citations and trace ID.
  Dependency: W6-01:W6-09
  Owner verification reference: make final-proof
  Expected result: Evidence index links tests, eval, scans, traces and decisions.
  Canonical evidence: docs/test-evidence/W6-final-index.md
  Rollback/teardown: Block promotion and restore last-known-good release/config.
  Current tracker status (read-only historical/current fact): Not Started
  Separate Task Context: 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
- W6-11 — Force a safe sandbox regression and restore previous image/configuration.
  Business reason: Rollback must be timed and revalidated before handover.
  Acceptance: Last-known-good release passes health, smoke and evaluation gates.
  Dependency: W6-10
  Owner verification reference: make rollback-release &amp;&amp; make validate-sandbox
  Expected result: Rollback record includes trigger, approver, duration and post-checks.
  Canonical evidence: docs/rollback-records/W6-release.md
  Rollback/teardown: Keep failed digest blocked; open defect with evidence.
  Current tracker status (read-only historical/current fact): Not Started
  Separate Task Context: 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
- W6-13 — Update ADRs with actual outcomes and deliver a 10-minute architecture explanation.
  Business reason: The engineer must understand and defend every decision, not just run generated code.
  Acceptance: Explain objective, flows, security, evaluation, agent controls, SLOs and reversibility.
  Dependency: W6-01:W6-12
  Owner verification reference: Owner presentation rehearsal and final workbook review
  Expected result: All TODOs/deferrals are visible; source-of-truth and workbook agree.
  Canonical evidence: docs/architecture/final-review.md
  Rollback/teardown: Any future change starts a new controlled feature cycle.
  Current tracker status (read-only historical/current fact): Not Started
  Separate Task Context: 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
Downstream tracker steps identified from recorded dependencies: W6-11, W6-12, W6-14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TASK-SPECIFIC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CI/CD: Pin actions and artifacts, use least permissions and protected approvals, and keep deployment/rollback jobs owner-authorized.
- AWS/cloud: Use explicit account, region, role and service boundaries, short-lived identity, least privilege, cost limits and owner-only API execution.
- Kubernetes: Require immutable digests, namespace scope, workload identity, probes, resource bounds, rollout safety and owner-only cluster commands.
- Security/authorization: Enforce least privilege and tenant/classification controls before provider calls; fail closed and redact errors.
- Documentation/governance: Trace every decision to its authority; separate historical facts, owner-approved values, proposals and unresolved owner inputs without rewriting history.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Demonstrate architecture, quality, safety, rollback and clean teardown together. The primary beneficiaries are business owner, architecture board, operations, security and interviewers.
- Process and risk: This task supports business scenario -&gt; deployed API/RAG/agent -&gt; security and quality evidence -&gt; rollback -&gt; teardown -&gt; handover. Without it, the platform can produce an unauditable, insecure or non-reproducible result at this exact layer.
- Measurable outcome: business flow, SLO, security, rollback and zero-residue acceptance reconciled. It contributes to the MVP by making Final end-to-end proof and handover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W6-10 (Not Started): Run local and sandbox cited query plus golden evaluation/security suite. Why: Final proof must combine functionality, quality, security and observability. Acceptance: No material regression; sandbox query has citations and trace ID. Dependency: W6-01:W6-09. Owner verification: follow 02 Master Plan!M81 through TEST-001 one command at a time. Expected: Evidence index links tests, eval, scans, traces and decisions. Evidence: docs/test-evidence/W6-final-index.md Rollback/teardown: Block promotion and restore last-known-good release/config.
- W6-11 (Not Started): Force a safe sandbox regression and restore previous image/configuration. Why: Rollback must be timed and revalidated before handover. Acceptance: Last-known-good release passes health, smoke and evaluation gates. Dependency: W6-10. Owner verification: follow 02 Master Plan!M82 through TEST-001 one command at a time. Expected: Rollback record includes trigger, approver, duration and post-checks. Evidence: docs/rollback-records/W6-release.md Rollback/teardown: Keep failed digest blocked; open defect with evidence.
- W6-13 (Not Started): Update ADRs with actual outcomes and deliver a 10-minute architecture explanation. Why: The engineer must understand and defend every decision, not just run generated code. Acceptance: Explain objective, flows, security, evaluation, agent controls, SLOs and reversibility. Dependency: W6-01:W6-12. Owner verification: follow 02 Master Plan!M84 through TEST-001 one command at a time. Expected: All TODOs/deferrals are visible; source-of-truth and workbook agree. Evidence: docs/architecture/final-review.md Rollback/teardown: Any future change starts a new controlled feature cycle.
END-TO-END ARCHITECTURE LEARNING
- Position and flow: business scenario -&gt; deployed API/RAG/agent -&gt; security and quality evidence -&gt; rollback -&gt; teardown -&gt; handover.
- Upstream/dependency boundary: W6-01:W6-09, W6-10, W6-01:W6-12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all approved application, retrieval, cloud, EKS, CI/policy, observability and evidence components.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all approved application, retrieval, cloud, EKS, CI/policy, observability and evidence components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final building inspection, fire drill and handover pack.
- What goes in / happens / comes out: approved Approved sandbox window and evidence locations goes through Final end-to-end proof and handover;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component PASS proves parts; end-to-end proof shows the governed operating system.
ARCHITECTURE DECISIONS AND TRADE-OFFS
- Selected recorded direction: one evidence-backed lifecycle demonstration proves integration without erasing NOT RUN gaps.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authorization, privacy, provenance, least privilege and audit evidence are reconciled end to end. Apply classification, PII handling, tenant isolation, authorization before provider/storage calls, secret exclusion, redacted evidence, residency, retention, provenance and least privilege where applicable.
- Failure/operations: failure invokes the correct layer rollback; teardown and residue/cost scans close the sandbox.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Final end-to-end proof and handover addresses demonstrate architecture, quality, safety, rollback and clean teardown together. It makes the result governed, testable and reversible, measured by business flow, SLO, security, rollback and zero-residue acceptance reconciled.
- Two-minute technical explanation: describe all approved application, retrieval, cloud, EKS, CI/policy, observability and evidence components; trace business scenario -&gt; deployed API/RAG/agent -&gt; security and quality evidence -&gt; rollback -&gt; teardown -&gt;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Final end-to-end proof and handover solve?
   Answer points: Connect Demonstrate architecture, quality, safety, rollback and clean teardown together. to business flow, SLO, security, rollback and zero-residue acceptance reconciled and identify business owner, architecture board, operations, security and interviewers.
2. Q: Trace the end-to-end flow for W6-003.
   Answer points: Explain business scenario -&gt; deployed API/RAG/agent -&gt; security and quality evidence -&gt; rollback -&gt; teardown -&gt; handover; name upstream dependencies, downstream consumers, trust and state boundaries.
3. Q: Which design decision matters most and what alternative was rejected?
   Answer points: Discuss one evidence-backed lifecycle demonstration proves integration without erasing NOT RUN gaps; compare the adjacent alternative and when it could be preferable.
4. Q: How does this task fail safely and how is it recovered?
   Answer points: Use this scenario: failure invokes the correct layer rollback; teardown and residue/cost scans close the sandbox; distinguish retry, remediation, rollback, teardown and evidence.
5. Q: How are security, privacy and cost controlled?
   Answer points: Explain authorization, privacy, provenance, least privilege and audit evidence are reconciled end to end; include least privilege, redaction/residency, bounded resources and owner-only access.
- Design trade-off: volume/latency increases tenfold; explain whether one evidence-backed lifecycle demonstration proves integration without erasing NOT RUN gaps still holds and what evidence/ADR/approval must change.
- Failure/remediation: failure invokes the correct layer rollback; teardown and residue/cost scans close the sandbox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Final end-to-end proof and handover. Task — establish the governed contract. Action — map consumers, work within gates, owner-test, diagnose completely and prove lifecycle. Result — report only accepted evidence and business flow, SLO, security, rollback and zero-residue acceptance reconciled.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sandbox window and evidence locations.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W6-003.
</x:t>
        </x:is>
      </x:c>
      <x:c r="H35" s="22" t="inlineStr">
        <x:is>
          <x:t xml:space="preserve">Gate 1 Main Prompt → Gate 2 exact Code Edit → owner TEST-001 → Gate 3 Column M manifest → Gate 4 Column N complete closure → owner tracker update</x:t>
        </x:is>
      </x:c>
      <x:c r="I35" s="22" t="inlineStr">
        <x:is>
          <x:t xml:space="preserve">READY FOR PRE-EDIT REVIEW — W6-003</x:t>
        </x:is>
      </x:c>
      <x:c r="J35" s="22" t="inlineStr">
        <x:is>
          <x:t xml:space="preserve">Owner approval required after complete read-only impact review</x:t>
        </x:is>
      </x:c>
      <x:c r="K35" s="22" t="inlineStr">
        <x:is>
          <x:t xml:space="preserve">W6-10, W6-11, W6-13</x:t>
        </x:is>
      </x:c>
      <x:c r="L35" s="22" t="inlineStr">
        <x:is>
          <x:t xml:space="preserve">COLUMN L — COMPLETE BOUNDED CODE EDIT APPROVAL — W6-003
APPROVED TASK CONTRACT
- Prompt and tracker steps: W6-003 / W6-10, W6-11, W6-13
- Business purpose: Demonstrate architecture, quality, safety, rollback and clean teardown together.
- Architecture and design: A final automated proof composes existing API, retrieval, RAG, evaluation, security, observability, rollback and cleanliness gates without introducing a new runtime component.
- Exact interfaces, functions and connections: final-proof Make target and platformctl validation return a consolidated gate result; rollback and verify-clean retain their established typed contracts.
- Exact inputs, outputs, errors and invariants: Inputs are limited to Approved sandbox window and evidence locations.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Final gate result records component status as PASS, FAIL, NOT RUN or INDETERMINATE with exact evidence references and no fabricated result.
- Exact dependency and runtime API rules: Local and sandbox commands, deployment, rollback and teardown are owner executed; tests use existing opt-in markers and bounded external access.
- Exact security, privacy, concurrency and operational controls: Any failed safety, isolation, citation, release or residue gate blocks handover; retained resources and deferred work remain explicit.
- Exact automated-test behavior: End-to-end test covers cited query and trace; release gate covers evaluation/security; rollback test restores known-good release; final security and teardown tests prove isolation and zero unintended residue.
- Accepted baseline: The inspected repository contains every UPDATE path and does not contain every CREATE path. Historical results remain unchanged; future execution must revalidate content and patch anchors.
EXACT APPROVED PATH MANIFEST
CREATE:
- tests/e2e/test_final_proof.py
- tests/feature/test_final_release_gate.py
- tests/feature/test_final_rollback.py
- tests/security/test_final_security_gate.py
- tests/teardown/test_final_resource_cleanliness.py
UPDATE:
- tools/platformctl/validate.py
- tools/platformctl/rollback.py
- tools/platformctl/verify_clean.py
- Makefile
- feature-matrix.yaml
- tests/feature/test_feature_matrix.py
- tests/unit/test_platformctl.py
DELETE:
- None
VERIFIED IMPLEMENTED PRODUCERS / UNCHANGED CONSUMERS:
- observability/alerts.yml
REQUIRED UPSTREAM PRODUCERS:
- configs/eval/golden.jsonl — produced by W3-002; Gate 1 must verify existence and contract alignment before activation.
- deploy/k8s/deployment.yaml — produced by W6-001; Gate 1 must verify existence and contract alignment before activation.
- configs/monitoring/alerts.yaml — produced by W6-002;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Demonstrate architecture, quality, safety, rollback and clean teardown together. and measurable acceptance.
2. Architecture position: business scenario -&gt; deployed API/RAG/agent -&gt; security and quality evidence -&gt; rollback -&gt; teardown -&gt;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final building inspection, fire drill and handover pack; what goes in, happens and comes out.
7. Decisions/trade-offs: one evidence-backed lifecycle demonstration proves integration without erasing NOT RUN gaps, alternatives, pros/cons, conditions to differ and consequences.
8. Security/privacy/reliability/cost: authorization, privacy, provenance, least privilege and audit evidence are reconciled end to end, failure isolation, retained resources and accepted access/cost.
9. Failure/remediation/rollback/teardown: failure invokes the correct layer rollback; teardown and residue/cost scans close the sandbox;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W6-003.</x:t>
        </x:is>
      </x:c>
      <x:c r="M35" s="22" t="s">
        <x:v>2341</x:v>
      </x:c>
      <x:c r="N35" s="55" t="inlineStr">
        <x:is>
          <x: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x:t>
        </x:is>
      </x:c>
    </x:row>
    <x:row r="36" ht="409.6000061035156">
      <x:c r="A36" s="23" t="inlineStr">
        <x:is>
          <x:t xml:space="preserve">W1-REVIEW-001</x:t>
        </x:is>
      </x:c>
      <x:c r="B36" s="23" t="inlineStr">
        <x:is>
          <x:t xml:space="preserve">Week 1</x:t>
        </x:is>
      </x:c>
      <x:c r="C36" s="23" t="inlineStr">
        <x:is>
          <x:t xml:space="preserve">Week 1 review and sign-off</x:t>
        </x:is>
      </x:c>
      <x:c r="D36" s="23" t="inlineStr">
        <x:is>
          <x:t xml:space="preserve">Close Week 1 only after tracker-to-repository-to-evidence reconciliation and independent owner validation.</x:t>
        </x:is>
      </x:c>
      <x:c r="E36" s="23" t="inlineStr">
        <x:is>
          <x:t xml:space="preserve">Week 1 sheet, owner-executed results, evidence register, ADRs, TODOs, rollback, teardown and cleanliness outcomes</x:t>
        </x:is>
      </x:c>
      <x:c r="F36" s="23" t="inlineStr">
        <x:is>
          <x:t xml:space="preserve">Approved business-first weekly evidence, sign-off and evidence-index update only; no code or command execution</x:t>
        </x:is>
      </x:c>
      <x:c r="G36" s="23" t="inlineStr">
        <x:is>
          <x:t xml:space="preserve">FOUR APPROVAL GATES PLUS OWNER TESTING AND WEEKLY LEARNING — TRACKER v1.3.4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x:t>
        </x:is>
      </x:c>
      <x:c r="H36" s="23" t="inlineStr">
        <x:is>
          <x:t xml:space="preserve">Gate 1 Main Prompt → Gate 2 exact Content Edit → owner content review → Gate 3 Column M manifest → Gate 4 Column N complete closure → owner tracker update</x:t>
        </x:is>
      </x:c>
      <x:c r="I36" s="23" t="inlineStr">
        <x:is>
          <x:t xml:space="preserve">READY FOR PRE-EDIT REVIEW — W1-REVIEW-001</x:t>
        </x:is>
      </x:c>
      <x:c r="J36" s="23" t="inlineStr">
        <x:is>
          <x:t xml:space="preserve">Owner approval required after complete read-only impact review</x:t>
        </x:is>
      </x:c>
      <x:c r="K36" s="23" t="inlineStr">
        <x:is>
          <x:t xml:space="preserve">W1-12</x:t>
        </x:is>
      </x:c>
      <x:c r="L36" s="23" t="inlineStr">
        <x:is>
          <x:t xml:space="preserve">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x:t>
        </x:is>
      </x:c>
      <x:c r="M36" s="23" t="inlineStr">
        <x:is>
          <x: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x:t>
        </x:is>
      </x:c>
      <x:c r="N36" s="22" t="inlineStr">
        <x:is>
          <x: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x:t>
        </x:is>
      </x:c>
    </x:row>
    <x:row r="37" ht="409.6000061035156">
      <x:c r="A37" s="23" t="inlineStr">
        <x:is>
          <x:t xml:space="preserve">W2-REVIEW-001</x:t>
        </x:is>
      </x:c>
      <x:c r="B37" s="23" t="inlineStr">
        <x:is>
          <x:t xml:space="preserve">Week 2</x:t>
        </x:is>
      </x:c>
      <x:c r="C37" s="23" t="inlineStr">
        <x:is>
          <x:t xml:space="preserve">Week 2 review and sign-off</x:t>
        </x:is>
      </x:c>
      <x:c r="D37" s="23" t="inlineStr">
        <x:is>
          <x:t xml:space="preserve">Close Week 2 only after tracker-to-repository-to-evidence reconciliation and independent owner validation.</x:t>
        </x:is>
      </x:c>
      <x:c r="E37" s="23" t="inlineStr">
        <x:is>
          <x:t xml:space="preserve">Week 2 sheet, owner-executed results, evidence register, ADRs, TODOs, rollback, teardown and cleanliness outcomes</x:t>
        </x:is>
      </x:c>
      <x:c r="F37" s="23" t="inlineStr">
        <x:is>
          <x:t xml:space="preserve">Approved business-first weekly evidence, sign-off and evidence-index update only; no code or command execution</x:t>
        </x:is>
      </x:c>
      <x:c r="G37" s="23" t="inlineStr">
        <x:is>
          <x:t xml:space="preserve">FOUR APPROVAL GATES PLUS OWNER TESTING AND WEEKLY LEARNING — TRACKER v1.3.4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x:t>
        </x:is>
      </x:c>
      <x:c r="H37" s="23" t="inlineStr">
        <x:is>
          <x:t xml:space="preserve">Gate 1 Main Prompt → Gate 2 exact Content Edit → owner content review → Gate 3 Column M manifest → Gate 4 Column N complete closure → owner tracker update</x:t>
        </x:is>
      </x:c>
      <x:c r="I37" s="23" t="inlineStr">
        <x:is>
          <x:t xml:space="preserve">READY FOR PRE-EDIT REVIEW — W2-REVIEW-001</x:t>
        </x:is>
      </x:c>
      <x:c r="J37" s="23" t="inlineStr">
        <x:is>
          <x:t xml:space="preserve">Owner approval required after complete read-only impact review</x:t>
        </x:is>
      </x:c>
      <x:c r="K37" s="23" t="inlineStr">
        <x:is>
          <x:t xml:space="preserve">W2-12</x:t>
        </x:is>
      </x:c>
      <x:c r="L37" s="23" t="inlineStr">
        <x:is>
          <x:t xml:space="preserve">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x:t>
        </x:is>
      </x:c>
      <x:c r="M37" s="23" t="inlineStr">
        <x:is>
          <x: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x:t>
        </x:is>
      </x:c>
      <x:c r="N37" s="22" t="inlineStr">
        <x:is>
          <x: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x:t>
        </x:is>
      </x:c>
    </x:row>
    <x:row r="38" ht="409.6000061035156">
      <x:c r="A38" s="23" t="inlineStr">
        <x:is>
          <x:t xml:space="preserve">W3-REVIEW-001</x:t>
        </x:is>
      </x:c>
      <x:c r="B38" s="23" t="inlineStr">
        <x:is>
          <x:t xml:space="preserve">Week 3</x:t>
        </x:is>
      </x:c>
      <x:c r="C38" s="23" t="inlineStr">
        <x:is>
          <x:t xml:space="preserve">Week 3 review and sign-off</x:t>
        </x:is>
      </x:c>
      <x:c r="D38" s="23" t="inlineStr">
        <x:is>
          <x:t xml:space="preserve">Close Week 3 only after tracker-to-repository-to-evidence reconciliation and independent owner validation.</x:t>
        </x:is>
      </x:c>
      <x:c r="E38" s="23" t="inlineStr">
        <x:is>
          <x:t xml:space="preserve">Week 3 sheet, owner-executed results, evidence register, ADRs, TODOs, rollback, teardown and cleanliness outcomes</x:t>
        </x:is>
      </x:c>
      <x:c r="F38" s="23" t="inlineStr">
        <x:is>
          <x:t xml:space="preserve">Approved business-first weekly evidence, sign-off and evidence-index update only; no code or command execution</x:t>
        </x:is>
      </x:c>
      <x:c r="G38" s="23" t="inlineStr">
        <x:is>
          <x:t xml:space="preserve">FOUR APPROVAL GATES PLUS OWNER TESTING AND WEEKLY LEARNING — TRACKER v1.3.4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x:t>
        </x:is>
      </x:c>
      <x:c r="H38" s="23" t="inlineStr">
        <x:is>
          <x:t xml:space="preserve">Gate 1 Main Prompt → Gate 2 exact Content Edit → owner content review → Gate 3 Column M manifest → Gate 4 Column N complete closure → owner tracker update</x:t>
        </x:is>
      </x:c>
      <x:c r="I38" s="23" t="inlineStr">
        <x:is>
          <x:t xml:space="preserve">READY FOR PRE-EDIT REVIEW — W3-REVIEW-001</x:t>
        </x:is>
      </x:c>
      <x:c r="J38" s="23" t="inlineStr">
        <x:is>
          <x:t xml:space="preserve">Owner approval required after complete read-only impact review</x:t>
        </x:is>
      </x:c>
      <x:c r="K38" s="23" t="inlineStr">
        <x:is>
          <x:t xml:space="preserve">W3-12</x:t>
        </x:is>
      </x:c>
      <x:c r="L38" s="23" t="inlineStr">
        <x:is>
          <x:t xml:space="preserve">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x:t>
        </x:is>
      </x:c>
      <x:c r="M38" s="23" t="inlineStr">
        <x:is>
          <x: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x:t>
        </x:is>
      </x:c>
      <x:c r="N38" s="22" t="inlineStr">
        <x:is>
          <x: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x:t>
        </x:is>
      </x:c>
    </x:row>
    <x:row r="39" ht="409.6000061035156">
      <x:c r="A39" s="23" t="inlineStr">
        <x:is>
          <x:t xml:space="preserve">W4-REVIEW-001</x:t>
        </x:is>
      </x:c>
      <x:c r="B39" s="23" t="inlineStr">
        <x:is>
          <x:t xml:space="preserve">Week 4</x:t>
        </x:is>
      </x:c>
      <x:c r="C39" s="23" t="inlineStr">
        <x:is>
          <x:t xml:space="preserve">Week 4 review and sign-off</x:t>
        </x:is>
      </x:c>
      <x:c r="D39" s="23" t="inlineStr">
        <x:is>
          <x:t xml:space="preserve">Close Week 4 only after tracker-to-repository-to-evidence reconciliation and independent owner validation.</x:t>
        </x:is>
      </x:c>
      <x:c r="E39" s="23" t="inlineStr">
        <x:is>
          <x:t xml:space="preserve">Week 4 sheet, owner-executed results, evidence register, ADRs, TODOs, rollback, teardown and cleanliness outcomes</x:t>
        </x:is>
      </x:c>
      <x:c r="F39" s="23" t="inlineStr">
        <x:is>
          <x:t xml:space="preserve">Approved business-first weekly evidence, sign-off and evidence-index update only; no code or command execution</x:t>
        </x:is>
      </x:c>
      <x:c r="G39" s="23" t="inlineStr">
        <x:is>
          <x:t xml:space="preserve">FOUR APPROVAL GATES PLUS OWNER TESTING AND WEEKLY LEARNING — TRACKER v1.3.4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x:t>
        </x:is>
      </x:c>
      <x:c r="H39" s="23" t="inlineStr">
        <x:is>
          <x:t xml:space="preserve">Gate 1 Main Prompt → Gate 2 exact Content Edit → owner content review → Gate 3 Column M manifest → Gate 4 Column N complete closure → owner tracker update</x:t>
        </x:is>
      </x:c>
      <x:c r="I39" s="23" t="inlineStr">
        <x:is>
          <x:t xml:space="preserve">READY FOR PRE-EDIT REVIEW — W4-REVIEW-001</x:t>
        </x:is>
      </x:c>
      <x:c r="J39" s="23" t="inlineStr">
        <x:is>
          <x:t xml:space="preserve">Owner approval required after complete read-only impact review</x:t>
        </x:is>
      </x:c>
      <x:c r="K39" s="23" t="inlineStr">
        <x:is>
          <x:t xml:space="preserve">W4-12</x:t>
        </x:is>
      </x:c>
      <x:c r="L39" s="23" t="inlineStr">
        <x:is>
          <x:t xml:space="preserve">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x:t>
        </x:is>
      </x:c>
      <x:c r="M39" s="23" t="inlineStr">
        <x:is>
          <x: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x:t>
        </x:is>
      </x:c>
      <x:c r="N39" s="22" t="inlineStr">
        <x:is>
          <x: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x:t>
        </x:is>
      </x:c>
    </x:row>
    <x:row r="40" ht="409.6000061035156">
      <x:c r="A40" s="23" t="inlineStr">
        <x:is>
          <x:t xml:space="preserve">W5-REVIEW-001</x:t>
        </x:is>
      </x:c>
      <x:c r="B40" s="23" t="inlineStr">
        <x:is>
          <x:t xml:space="preserve">Week 5</x:t>
        </x:is>
      </x:c>
      <x:c r="C40" s="23" t="inlineStr">
        <x:is>
          <x:t xml:space="preserve">Week 5 review and sign-off</x:t>
        </x:is>
      </x:c>
      <x:c r="D40" s="23" t="inlineStr">
        <x:is>
          <x:t xml:space="preserve">Close Week 5 only after tracker-to-repository-to-evidence reconciliation and independent owner validation.</x:t>
        </x:is>
      </x:c>
      <x:c r="E40" s="23" t="inlineStr">
        <x:is>
          <x:t xml:space="preserve">Week 5 sheet, owner-executed results, evidence register, ADRs, TODOs, rollback, teardown and cleanliness outcomes</x:t>
        </x:is>
      </x:c>
      <x:c r="F40" s="23" t="inlineStr">
        <x:is>
          <x:t xml:space="preserve">Approved business-first weekly evidence, sign-off and evidence-index update only; no code or command execution</x:t>
        </x:is>
      </x:c>
      <x:c r="G40" s="23" t="inlineStr">
        <x:is>
          <x:t xml:space="preserve">FOUR APPROVAL GATES PLUS OWNER TESTING AND WEEKLY LEARNING — TRACKER v1.3.4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x:t>
        </x:is>
      </x:c>
      <x:c r="H40" s="23" t="inlineStr">
        <x:is>
          <x:t xml:space="preserve">Gate 1 Main Prompt → Gate 2 exact Content Edit → owner content review → Gate 3 Column M manifest → Gate 4 Column N complete closure → owner tracker update</x:t>
        </x:is>
      </x:c>
      <x:c r="I40" s="23" t="inlineStr">
        <x:is>
          <x:t xml:space="preserve">READY FOR PRE-EDIT REVIEW — W5-REVIEW-001</x:t>
        </x:is>
      </x:c>
      <x:c r="J40" s="23" t="inlineStr">
        <x:is>
          <x:t xml:space="preserve">Owner approval required after complete read-only impact review</x:t>
        </x:is>
      </x:c>
      <x:c r="K40" s="23" t="inlineStr">
        <x:is>
          <x:t xml:space="preserve">W5-13</x:t>
        </x:is>
      </x:c>
      <x:c r="L40" s="23" t="inlineStr">
        <x:is>
          <x:t xml:space="preserve">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x:t>
        </x:is>
      </x:c>
      <x:c r="M40" s="23" t="inlineStr">
        <x:is>
          <x: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x:t>
        </x:is>
      </x:c>
      <x:c r="N40" s="22" t="inlineStr">
        <x:is>
          <x: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x:t>
        </x:is>
      </x:c>
    </x:row>
    <x:row r="41" ht="409.6000061035156">
      <x:c r="A41" s="22" t="inlineStr">
        <x:is>
          <x:t xml:space="preserve">ST-001</x:t>
        </x:is>
      </x:c>
      <x:c r="B41" s="22" t="inlineStr">
        <x:is>
          <x:t xml:space="preserve">Post-MVP</x:t>
        </x:is>
      </x:c>
      <x:c r="C41" s="22" t="inlineStr">
        <x:is>
          <x:t xml:space="preserve">PyTorch Lightning and PEFT/LoRA training lab</x:t>
        </x:is>
      </x:c>
      <x:c r="D41" s="22" t="inlineStr">
        <x:is>
          <x:t xml:space="preserve">Learn model development without making it an MVP dependency.</x:t>
        </x:is>
      </x:c>
      <x:c r="E41" s="22" t="inlineStr">
        <x:is>
          <x:t xml:space="preserve">Approved model/dataset IDs, license and GPU budget</x:t>
        </x:is>
      </x:c>
      <x:c r="F41" s="22" t="inlineStr">
        <x:is>
          <x:t xml:space="preserve">Approved code/configuration/test-code changes; owner test/deployment/remediation guide; business/technical/layman/interview summary</x:t>
        </x:is>
      </x:c>
      <x:c r="G41" s="22" t="inlineStr">
        <x:is>
          <x:t xml:space="preserve">FOUR APPROVAL GATES PLUS OWNER TESTING AND WEEKLY LEARNING — TRACKER v1.3.4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x:t>
        </x:is>
      </x:c>
      <x:c r="H41" s="22" t="inlineStr">
        <x:is>
          <x:t xml:space="preserve">Gate 1 Main Prompt → Gate 2 exact Code Edit → owner TEST-001 → Gate 3 Column M manifest → Gate 4 Column N complete closure → owner tracker update</x:t>
        </x:is>
      </x:c>
      <x:c r="I41" s="22" t="inlineStr">
        <x:is>
          <x:t xml:space="preserve">READY FOR PRE-EDIT REVIEW — ST-001</x:t>
        </x:is>
      </x:c>
      <x:c r="J41" s="22" t="inlineStr">
        <x:is>
          <x:t xml:space="preserve">Owner approval required after complete read-only impact review</x:t>
        </x:is>
      </x:c>
      <x:c r="K41" s="22" t="inlineStr">
        <x:is>
          <x:t xml:space="preserve">Post-MVP</x:t>
        </x:is>
      </x:c>
      <x:c r="L41" s="22" t="inlineStr">
        <x:is>
          <x:t xml:space="preserve">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x:t>
        </x:is>
      </x:c>
      <x:c r="M41" s="22" t="inlineStr">
        <x:is>
          <x: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x:t>
        </x:is>
      </x:c>
      <x:c r="N41" s="55" t="inlineStr">
        <x:is>
          <x: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x:t>
        </x:is>
      </x:c>
    </x:row>
    <x:row r="42" ht="409.6000061035156">
      <x:c r="A42" s="23" t="inlineStr">
        <x:is>
          <x:t xml:space="preserve">ST-002</x:t>
        </x:is>
      </x:c>
      <x:c r="B42" s="23" t="inlineStr">
        <x:is>
          <x:t xml:space="preserve">Post-MVP</x:t>
        </x:is>
      </x:c>
      <x:c r="C42" s="23" t="inlineStr">
        <x:is>
          <x:t xml:space="preserve">Optional Ansible operations runner</x:t>
        </x:is>
      </x:c>
      <x:c r="D42" s="23" t="inlineStr">
        <x:is>
          <x:t xml:space="preserve">Limit Ansible to valid VM/bootstrap cases.</x:t>
        </x:is>
      </x:c>
      <x:c r="E42" s="23" t="inlineStr">
        <x:is>
          <x:t xml:space="preserve">SSM dynamic inventory; no SSH keys</x:t>
        </x:is>
      </x:c>
      <x:c r="F42" s="23" t="inlineStr">
        <x:is>
          <x:t xml:space="preserve">Approved code/configuration/test-code changes; owner test/deployment/remediation guide; business/technical/layman/interview summary</x:t>
        </x:is>
      </x:c>
      <x:c r="G42" s="23" t="inlineStr">
        <x:is>
          <x:t xml:space="preserve">FOUR APPROVAL GATES PLUS OWNER TESTING AND WEEKLY LEARNING — TRACKER v1.3.4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x:t>
        </x:is>
      </x:c>
      <x:c r="H42" s="23" t="inlineStr">
        <x:is>
          <x:t xml:space="preserve">Gate 1 Main Prompt → Gate 2 exact Code Edit → owner TEST-001 → Gate 3 Column M manifest → Gate 4 Column N complete closure → owner tracker update</x:t>
        </x:is>
      </x:c>
      <x:c r="I42" s="23" t="inlineStr">
        <x:is>
          <x:t xml:space="preserve">READY FOR PRE-EDIT REVIEW — ST-002</x:t>
        </x:is>
      </x:c>
      <x:c r="J42" s="23" t="inlineStr">
        <x:is>
          <x:t xml:space="preserve">Owner approval required after complete read-only impact review</x:t>
        </x:is>
      </x:c>
      <x:c r="K42" s="23" t="inlineStr">
        <x:is>
          <x:t xml:space="preserve">Post-MVP</x:t>
        </x:is>
      </x:c>
      <x:c r="L42" s="23" t="inlineStr">
        <x:is>
          <x:t xml:space="preserve">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x:t>
        </x:is>
      </x:c>
      <x:c r="M42" s="23" t="inlineStr">
        <x:is>
          <x: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x:t>
        </x:is>
      </x:c>
      <x:c r="N42" s="22" t="inlineStr">
        <x:is>
          <x: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x:t>
        </x:is>
      </x:c>
    </x:row>
    <x:row r="43" ht="409.6000061035156" customHeight="1">
      <x:c r="A43" s="27" t="inlineStr">
        <x:is>
          <x:t xml:space="preserve">W1-CONSOLIDATED-001</x:t>
        </x:is>
      </x:c>
      <x:c r="B43" s="27" t="inlineStr">
        <x:is>
          <x:t xml:space="preserve">Week 1</x:t>
        </x:is>
      </x:c>
      <x:c r="C43" s="27" t="inlineStr">
        <x:is>
          <x:t xml:space="preserve">Consolidated closure history and reusable regression gate</x:t>
        </x:is>
      </x:c>
      <x:c r="D43" s="27" t="inlineStr">
        <x:is>
          <x:t xml:space="preserve">Preserve every Week 1 correction, test transition and prevention control for future weeks.</x:t>
        </x:is>
      </x:c>
      <x:c r="E43" s="27" t="inlineStr">
        <x:is>
          <x:t xml:space="preserve">Week 1 commits, tracker rows W1-01:W1-12, evidence, ADRs, owner decisions and cleanliness records</x:t>
        </x:is>
      </x:c>
      <x:c r="F43" s="27" t="inlineStr">
        <x:is>
          <x:t xml:space="preserve">Business/technical/layman explanation, decision review and interview practice only</x:t>
        </x:is>
      </x:c>
      <x:c r="G43" s="28" t="inlineStr">
        <x:is>
          <x:t xml:space="preserve">FOUR APPROVAL GATES PLUS OWNER TESTING AND WEEKLY LEARNING — TRACKER v1.3.4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x:t>
        </x:is>
      </x:c>
      <x:c r="H43" s="27" t="inlineStr">
        <x:is>
          <x:t xml:space="preserve">Gate 1 Main Prompt → Gate 2 exact Content Edit → owner content review → Gate 3 Column M manifest → Gate 4 Column N complete closure → owner tracker update</x:t>
        </x:is>
      </x:c>
      <x:c r="I43" s="27" t="inlineStr">
        <x:is>
          <x:t xml:space="preserve">READY FOR PRE-EDIT REVIEW — W1-CONSOLIDATED-001</x:t>
        </x:is>
      </x:c>
      <x:c r="J43" s="27" t="inlineStr">
        <x:is>
          <x:t xml:space="preserve">Owner approval required after complete read-only impact review</x:t>
        </x:is>
      </x:c>
      <x:c r="K43" s="27" t="inlineStr">
        <x:is>
          <x:t xml:space="preserve">W1-01:W1-12</x:t>
        </x:is>
      </x:c>
      <x:c r="L43" s="27" t="inlineStr">
        <x:is>
          <x:t xml:space="preserve">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x:t>
        </x:is>
      </x:c>
      <x:c r="M43" s="27" t="inlineStr">
        <x:is>
          <x: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x:t>
        </x:is>
      </x:c>
      <x:c r="N43" s="55" t="inlineStr">
        <x:is>
          <x: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x:t>
        </x:is>
      </x:c>
    </x:row>
    <x:row r="44" ht="319.95001220703125" customHeight="1">
      <x:c r="A44" s="27" t="inlineStr">
        <x:is>
          <x:t xml:space="preserve">WEEKLY-LEARN-001</x:t>
        </x:is>
      </x:c>
      <x:c r="B44" s="27" t="inlineStr">
        <x:is>
          <x:t xml:space="preserve">Weeks 1-6</x:t>
        </x:is>
      </x:c>
      <x:c r="C44" s="27" t="inlineStr">
        <x:is>
          <x:t xml:space="preserve">Weekly owner architecture and interview teach-back</x:t>
        </x:is>
      </x:c>
      <x:c r="D44" s="27" t="inlineStr">
        <x:is>
          <x:t xml:space="preserve">Teach the business use case, end-to-end flow, decisions and interview story after each week.</x:t>
        </x:is>
      </x:c>
      <x:c r="E44" s="27" t="inlineStr">
        <x:is>
          <x:t xml:space="preserve">Completed weekly rows, Task Context, owner-executed results, decisions and approved documentation</x:t>
        </x:is>
      </x:c>
      <x:c r="F44" s="27" t="inlineStr">
        <x:is>
          <x:t xml:space="preserve">Business summary, technical deep-dive, layman analogy, failure/rollback story, interview Q&amp;A and owner teach-back</x:t>
        </x:is>
      </x:c>
      <x:c r="G44" s="27" t="inlineStr">
        <x:is>
          <x:t xml:space="preserve">FOUR APPROVAL GATES PLUS OWNER TESTING AND WEEKLY LEARNING — TRACKER v1.3.4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x:t>
        </x:is>
      </x:c>
      <x:c r="H44" s="27" t="s">
        <x:v>2353</x:v>
      </x:c>
      <x:c r="I44" s="27" t="inlineStr">
        <x:is>
          <x:t xml:space="preserve">Owner learning and teach-back review — WEEKLY-LEARN-001</x:t>
        </x:is>
      </x:c>
      <x:c r="J44" s="27" t="inlineStr">
        <x:is>
          <x:t xml:space="preserve">Owner teach-back required</x:t>
        </x:is>
      </x:c>
      <x:c r="K44" s="27" t="inlineStr">
        <x:is>
          <x:t xml:space="preserve">W1-13, W2-13, W3-13, W4-13, W5-14, W6-14</x:t>
        </x:is>
      </x:c>
      <x:c r="L44" s="27" t="inlineStr">
        <x:is>
          <x:t xml:space="preserve">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x:t>
        </x:is>
      </x:c>
      <x:c r="M44" s="27" t="s">
        <x:v>2355</x:v>
      </x:c>
      <x:c r="N44" s="22" t="s">
        <x:v>2357</x:v>
      </x:c>
    </x:row>
  </x:sheetData>
  <x:mergeCells>
    <x:mergeCell ref="A1:J1"/>
    <x:mergeCell ref="A2:J2"/>
  </x:mergeCells>
  <x:conditionalFormatting sqref="J6:J44">
    <x:cfRule type="containsText" dxfId="19" priority="1" operator="containsText" text="Approved"/>
    <x:cfRule type="containsText" dxfId="18" priority="2" operator="containsText" text="Blocked"/>
    <x:cfRule type="containsText" dxfId="17" priority="3" operator="containsText" text="In Progress"/>
    <x:cfRule type="containsText" dxfId="16" priority="4" operator="containsText" text="Ready for Review"/>
  </x:conditionalFormatting>
  <x:dataValidations count="1">
    <x:dataValidation type="list" sqref="J6:J44">
      <x:formula1>"Required before next prompt,Approved,Changes Requested,Blocked"</x:formula1>
    </x:dataValidation>
  </x:dataValidations>
  <x:pageMargins left="0.7" right="0.7" top="0.75" bottom="0.75" header="0.3" footer="0.3"/>
  <x:tableParts count="1">
    <x:tablePart xmlns:r="http://schemas.openxmlformats.org/officeDocument/2006/relationships" r:id="Re2240347880c4516"/>
  </x:tableParts>
</x:worksheet>
</file>

<file path=xl/worksheets/sheet12.xml><?xml version="1.0" encoding="utf-8"?>
<x:worksheet xmlns:x="http://schemas.openxmlformats.org/spreadsheetml/2006/main">
  <x:sheetViews>
    <x:sheetView showGridLines="0" workbookViewId="0"/>
  </x:sheetViews>
  <x:sheetFormatPr defaultRowHeight="13.800000190734863"/>
  <x:cols>
    <x:col min="1" max="1" width="13" customWidth="1"/>
    <x:col min="2" max="2" width="10" customWidth="1"/>
    <x:col min="3" max="3" width="13" customWidth="1"/>
    <x:col min="4" max="4" width="32" customWidth="1"/>
    <x:col min="5" max="5" width="46" customWidth="1"/>
    <x:col min="6" max="6" width="40" customWidth="1"/>
    <x:col min="7" max="7" width="34" customWidth="1"/>
    <x:col min="8" max="8" width="12" customWidth="1"/>
    <x:col min="9" max="9" width="13" customWidth="1"/>
    <x:col min="10" max="10" width="36" customWidth="1"/>
    <x:col min="11" max="11" width="26" customWidth="1"/>
    <x:col min="12" max="12" width="18" customWidth="1"/>
  </x:cols>
  <x:sheetData>
    <x:row r="1" ht="31.950000762939453" customHeight="1">
      <x:c r="A1" s="56" t="s">
        <x:v>1307</x:v>
      </x:c>
      <x:c r="B1" s="56"/>
      <x:c r="C1" s="56"/>
      <x:c r="D1" s="56"/>
      <x:c r="E1" s="56"/>
      <x:c r="F1" s="56"/>
      <x:c r="G1" s="56"/>
      <x:c r="H1" s="56"/>
      <x:c r="I1" s="56"/>
      <x:c r="J1" s="56"/>
      <x:c r="K1" s="56"/>
      <x:c r="L1" s="56"/>
    </x:row>
    <x:row r="2" ht="31.950000762939453" customHeight="1">
      <x:c r="A2" s="57" t="s">
        <x:v>1308</x:v>
      </x:c>
      <x:c r="B2" s="57"/>
      <x:c r="C2" s="57"/>
      <x:c r="D2" s="57"/>
      <x:c r="E2" s="57"/>
      <x:c r="F2" s="57"/>
      <x:c r="G2" s="57"/>
      <x:c r="H2" s="57"/>
      <x:c r="I2" s="57"/>
      <x:c r="J2" s="57"/>
      <x:c r="K2" s="57"/>
      <x:c r="L2" s="57"/>
    </x:row>
    <x:row r="5" ht="28.049999237060547" customHeight="1">
      <x:c r="A5" s="1" t="s">
        <x:v>1309</x:v>
      </x:c>
      <x:c r="B5" s="2" t="s">
        <x:v>53</x:v>
      </x:c>
      <x:c r="C5" s="2" t="s">
        <x:v>1310</x:v>
      </x:c>
      <x:c r="D5" s="2" t="s">
        <x:v>90</x:v>
      </x:c>
      <x:c r="E5" s="2" t="s">
        <x:v>1311</x:v>
      </x:c>
      <x:c r="F5" s="2" t="s">
        <x:v>80</x:v>
      </x:c>
      <x:c r="G5" s="2" t="s">
        <x:v>81</x:v>
      </x:c>
      <x:c r="H5" s="2" t="s">
        <x:v>85</x:v>
      </x:c>
      <x:c r="I5" s="2" t="s">
        <x:v>1312</x:v>
      </x:c>
      <x:c r="J5" s="2" t="s">
        <x:v>1313</x:v>
      </x:c>
      <x:c r="K5" s="2" t="s">
        <x:v>1314</x:v>
      </x:c>
      <x:c r="L5" s="3" t="s">
        <x:v>1315</x:v>
      </x:c>
    </x:row>
    <x:row r="6" ht="45.599998474121094">
      <x:c r="A6" s="10" t="s">
        <x:v>1316</x:v>
      </x:c>
      <x:c r="B6" s="10" t="s">
        <x:v>56</x:v>
      </x:c>
      <x:c r="C6" s="10" t="s">
        <x:v>1317</x:v>
      </x:c>
      <x:c r="D6" s="10" t="s">
        <x:v>1318</x:v>
      </x:c>
      <x:c r="E6" s="10" t="s">
        <x:v>1319</x:v>
      </x:c>
      <x:c r="F6" s="10" t="s">
        <x:v>1320</x:v>
      </x:c>
      <x:c r="G6" s="10" t="s">
        <x:v>153</x:v>
      </x:c>
      <x:c r="H6" s="10" t="s">
        <x:v>1321</x:v>
      </x:c>
      <x:c r="I6" s="17">
        <x:v>46252</x:v>
      </x:c>
      <x:c r="J6" s="10" t="s">
        <x:v>1322</x:v>
      </x:c>
      <x:c r="K6" s="10" t="s">
        <x:v>1323</x:v>
      </x:c>
      <x:c r="L6" s="10" t="s">
        <x:v>1324</x:v>
      </x:c>
    </x:row>
    <x:row r="7" ht="45.599998474121094">
      <x:c r="A7" s="11" t="s">
        <x:v>1325</x:v>
      </x:c>
      <x:c r="B7" s="11" t="s">
        <x:v>56</x:v>
      </x:c>
      <x:c r="C7" s="11" t="s">
        <x:v>1030</x:v>
      </x:c>
      <x:c r="D7" s="11" t="s">
        <x:v>1326</x:v>
      </x:c>
      <x:c r="E7" s="11" t="s">
        <x:v>2323</x:v>
      </x:c>
      <x:c r="F7" s="11" t="s">
        <x:v>1327</x:v>
      </x:c>
      <x:c r="G7" s="11" t="s">
        <x:v>141</x:v>
      </x:c>
      <x:c r="H7" s="11" t="s">
        <x:v>1321</x:v>
      </x:c>
      <x:c r="I7" s="18">
        <x:v>46252</x:v>
      </x:c>
      <x:c r="J7" s="11" t="s">
        <x:v>1328</x:v>
      </x:c>
      <x:c r="K7" s="11" t="s">
        <x:v>1323</x:v>
      </x:c>
      <x:c r="L7" s="11" t="s">
        <x:v>1324</x:v>
      </x:c>
    </x:row>
    <x:row r="8" ht="57">
      <x:c r="A8" s="11" t="s">
        <x:v>1329</x:v>
      </x:c>
      <x:c r="B8" s="11" t="s">
        <x:v>56</x:v>
      </x:c>
      <x:c r="C8" s="11" t="s">
        <x:v>1330</x:v>
      </x:c>
      <x:c r="D8" s="11" t="s">
        <x:v>1331</x:v>
      </x:c>
      <x:c r="E8" s="11" t="s">
        <x:v>187</x:v>
      </x:c>
      <x:c r="F8" s="11" t="s">
        <x:v>1332</x:v>
      </x:c>
      <x:c r="G8" s="11" t="s">
        <x:v>189</x:v>
      </x:c>
      <x:c r="H8" s="11" t="s">
        <x:v>1321</x:v>
      </x:c>
      <x:c r="I8" s="18">
        <x:v>46252</x:v>
      </x:c>
      <x:c r="J8" s="11" t="s">
        <x:v>1333</x:v>
      </x:c>
      <x:c r="K8" s="11" t="s">
        <x:v>1334</x:v>
      </x:c>
      <x:c r="L8" s="11" t="s">
        <x:v>1324</x:v>
      </x:c>
    </x:row>
    <x:row r="9" ht="45.599998474121094">
      <x:c r="A9" s="11" t="s">
        <x:v>1335</x:v>
      </x:c>
      <x:c r="B9" s="11" t="s">
        <x:v>56</x:v>
      </x:c>
      <x:c r="C9" s="11" t="s">
        <x:v>1336</x:v>
      </x:c>
      <x:c r="D9" s="11" t="s">
        <x:v>1337</x:v>
      </x:c>
      <x:c r="E9" s="11" t="s">
        <x:v>224</x:v>
      </x:c>
      <x:c r="F9" s="11" t="s">
        <x:v>1338</x:v>
      </x:c>
      <x:c r="G9" s="11" t="s">
        <x:v>226</x:v>
      </x:c>
      <x:c r="H9" s="11" t="s">
        <x:v>1321</x:v>
      </x:c>
      <x:c r="I9" s="18">
        <x:v>46252</x:v>
      </x:c>
      <x:c r="J9" s="11" t="s">
        <x:v>1339</x:v>
      </x:c>
      <x:c r="K9" s="11" t="s">
        <x:v>1340</x:v>
      </x:c>
      <x:c r="L9" s="11" t="s">
        <x:v>1324</x:v>
      </x:c>
    </x:row>
    <x:row r="10">
      <x:c r="A10" s="11" t="s">
        <x:v>1341</x:v>
      </x:c>
      <x:c r="B10" s="11" t="s">
        <x:v>37</x:v>
      </x:c>
      <x:c r="C10" s="11" t="s">
        <x:v>1317</x:v>
      </x:c>
      <x:c r="D10" s="11" t="s">
        <x:v>1342</x:v>
      </x:c>
      <x:c r="E10" s="11" t="s">
        <x:v>263</x:v>
      </x:c>
      <x:c r="F10" s="11" t="s">
        <x:v>1343</x:v>
      </x:c>
      <x:c r="G10" s="11" t="s">
        <x:v>1344</x:v>
      </x:c>
      <x:c r="H10" s="11" t="s">
        <x:v>1345</x:v>
      </x:c>
      <x:c r="I10" s="18"/>
      <x:c r="J10" s="11"/>
      <x:c r="K10" s="11"/>
      <x:c r="L10" s="11"/>
    </x:row>
    <x:row r="11">
      <x:c r="A11" s="11" t="s">
        <x:v>1346</x:v>
      </x:c>
      <x:c r="B11" s="11" t="s">
        <x:v>37</x:v>
      </x:c>
      <x:c r="C11" s="11" t="s">
        <x:v>1347</x:v>
      </x:c>
      <x:c r="D11" s="11" t="s">
        <x:v>1348</x:v>
      </x:c>
      <x:c r="E11" s="11" t="s">
        <x:v>1349</x:v>
      </x:c>
      <x:c r="F11" s="11" t="s">
        <x:v>1350</x:v>
      </x:c>
      <x:c r="G11" s="11" t="s">
        <x:v>1351</x:v>
      </x:c>
      <x:c r="H11" s="11" t="s">
        <x:v>1345</x:v>
      </x:c>
      <x:c r="I11" s="18"/>
      <x:c r="J11" s="11"/>
      <x:c r="K11" s="11"/>
      <x:c r="L11" s="11"/>
    </x:row>
    <x:row r="12">
      <x:c r="A12" s="11" t="s">
        <x:v>1352</x:v>
      </x:c>
      <x:c r="B12" s="11" t="s">
        <x:v>37</x:v>
      </x:c>
      <x:c r="C12" s="11" t="s">
        <x:v>1317</x:v>
      </x:c>
      <x:c r="D12" s="11" t="s">
        <x:v>1353</x:v>
      </x:c>
      <x:c r="E12" s="11" t="s">
        <x:v>309</x:v>
      </x:c>
      <x:c r="F12" s="11" t="s">
        <x:v>1354</x:v>
      </x:c>
      <x:c r="G12" s="11" t="s">
        <x:v>1355</x:v>
      </x:c>
      <x:c r="H12" s="11" t="s">
        <x:v>1345</x:v>
      </x:c>
      <x:c r="I12" s="18"/>
      <x:c r="J12" s="11"/>
      <x:c r="K12" s="11"/>
      <x:c r="L12" s="11"/>
    </x:row>
    <x:row r="13" ht="22.799999237060547">
      <x:c r="A13" s="11" t="s">
        <x:v>1356</x:v>
      </x:c>
      <x:c r="B13" s="11" t="s">
        <x:v>37</x:v>
      </x:c>
      <x:c r="C13" s="11" t="s">
        <x:v>1330</x:v>
      </x:c>
      <x:c r="D13" s="11" t="s">
        <x:v>1357</x:v>
      </x:c>
      <x:c r="E13" s="11" t="s">
        <x:v>1358</x:v>
      </x:c>
      <x:c r="F13" s="11" t="s">
        <x:v>1359</x:v>
      </x:c>
      <x:c r="G13" s="11" t="s">
        <x:v>1360</x:v>
      </x:c>
      <x:c r="H13" s="11" t="s">
        <x:v>1345</x:v>
      </x:c>
      <x:c r="I13" s="18"/>
      <x:c r="J13" s="11"/>
      <x:c r="K13" s="11"/>
      <x:c r="L13" s="11"/>
    </x:row>
    <x:row r="14">
      <x:c r="A14" s="11" t="s">
        <x:v>1361</x:v>
      </x:c>
      <x:c r="B14" s="11" t="s">
        <x:v>37</x:v>
      </x:c>
      <x:c r="C14" s="11" t="s">
        <x:v>1030</x:v>
      </x:c>
      <x:c r="D14" s="11" t="s">
        <x:v>1362</x:v>
      </x:c>
      <x:c r="E14" s="11" t="s">
        <x:v>1363</x:v>
      </x:c>
      <x:c r="F14" s="11" t="s">
        <x:v>1364</x:v>
      </x:c>
      <x:c r="G14" s="11" t="s">
        <x:v>1365</x:v>
      </x:c>
      <x:c r="H14" s="11" t="s">
        <x:v>1345</x:v>
      </x:c>
      <x:c r="I14" s="18"/>
      <x:c r="J14" s="11"/>
      <x:c r="K14" s="11"/>
      <x:c r="L14" s="11"/>
    </x:row>
    <x:row r="15">
      <x:c r="A15" s="11" t="s">
        <x:v>1366</x:v>
      </x:c>
      <x:c r="B15" s="11" t="s">
        <x:v>37</x:v>
      </x:c>
      <x:c r="C15" s="11" t="s">
        <x:v>1336</x:v>
      </x:c>
      <x:c r="D15" s="11" t="s">
        <x:v>1367</x:v>
      </x:c>
      <x:c r="E15"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F15" s="11" t="s">
        <x:v>1369</x:v>
      </x:c>
      <x:c r="G15" s="11" t="s">
        <x:v>1370</x:v>
      </x:c>
      <x:c r="H15" s="11" t="s">
        <x:v>1345</x:v>
      </x:c>
      <x:c r="I15" s="18"/>
      <x:c r="J15" s="11"/>
      <x:c r="K15" s="11"/>
      <x:c r="L15" s="11"/>
    </x:row>
    <x:row r="16">
      <x:c r="A16" s="11" t="s">
        <x:v>1371</x:v>
      </x:c>
      <x:c r="B16" s="11" t="s">
        <x:v>57</x:v>
      </x:c>
      <x:c r="C16" s="11" t="s">
        <x:v>1317</x:v>
      </x:c>
      <x:c r="D16" s="11" t="s">
        <x:v>1372</x:v>
      </x:c>
      <x:c r="E16" s="11" t="s">
        <x:v>448</x:v>
      </x:c>
      <x:c r="F16" s="11" t="s">
        <x:v>1373</x:v>
      </x:c>
      <x:c r="G16" s="11" t="s">
        <x:v>1374</x:v>
      </x:c>
      <x:c r="H16" s="11" t="s">
        <x:v>1345</x:v>
      </x:c>
      <x:c r="I16" s="18"/>
      <x:c r="J16" s="11"/>
      <x:c r="K16" s="11"/>
      <x:c r="L16" s="11"/>
    </x:row>
    <x:row r="17">
      <x:c r="A17" s="11" t="s">
        <x:v>1375</x:v>
      </x:c>
      <x:c r="B17" s="11" t="s">
        <x:v>57</x:v>
      </x:c>
      <x:c r="C17" s="11" t="s">
        <x:v>1330</x:v>
      </x:c>
      <x:c r="D17" s="11" t="s">
        <x:v>1376</x:v>
      </x:c>
      <x:c r="E17" s="11" t="s">
        <x:v>495</x:v>
      </x:c>
      <x:c r="F17" s="11" t="s">
        <x:v>1377</x:v>
      </x:c>
      <x:c r="G17" s="11" t="s">
        <x:v>1378</x:v>
      </x:c>
      <x:c r="H17" s="11" t="s">
        <x:v>1345</x:v>
      </x:c>
      <x:c r="I17" s="18"/>
      <x:c r="J17" s="11"/>
      <x:c r="K17" s="11"/>
      <x:c r="L17" s="11"/>
    </x:row>
    <x:row r="18">
      <x:c r="A18" s="11" t="s">
        <x:v>1379</x:v>
      </x:c>
      <x:c r="B18" s="11" t="s">
        <x:v>57</x:v>
      </x:c>
      <x:c r="C18" s="11" t="s">
        <x:v>1380</x:v>
      </x:c>
      <x:c r="D18" s="11" t="s">
        <x:v>1381</x:v>
      </x:c>
      <x:c r="E18" s="11" t="s">
        <x:v>519</x:v>
      </x:c>
      <x:c r="F18" s="11" t="s">
        <x:v>1382</x:v>
      </x:c>
      <x:c r="G18" s="11" t="s">
        <x:v>486</x:v>
      </x:c>
      <x:c r="H18" s="11" t="s">
        <x:v>1345</x:v>
      </x:c>
      <x:c r="I18" s="18"/>
      <x:c r="J18" s="11"/>
      <x:c r="K18" s="11"/>
      <x:c r="L18" s="11"/>
    </x:row>
    <x:row r="19">
      <x:c r="A19" s="11" t="s">
        <x:v>1383</x:v>
      </x:c>
      <x:c r="B19" s="11" t="s">
        <x:v>57</x:v>
      </x:c>
      <x:c r="C19" s="11" t="s">
        <x:v>1384</x:v>
      </x:c>
      <x:c r="D19" s="11" t="s">
        <x:v>1385</x:v>
      </x:c>
      <x:c r="E19"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F19" s="11" t="s">
        <x:v>1386</x:v>
      </x:c>
      <x:c r="G19" s="11" t="s">
        <x:v>532</x:v>
      </x:c>
      <x:c r="H19" s="11" t="s">
        <x:v>1345</x:v>
      </x:c>
      <x:c r="I19" s="18"/>
      <x:c r="J19" s="11"/>
      <x:c r="K19" s="11"/>
      <x:c r="L19" s="11"/>
    </x:row>
    <x:row r="20">
      <x:c r="A20" s="11" t="s">
        <x:v>1387</x:v>
      </x:c>
      <x:c r="B20" s="11" t="s">
        <x:v>58</x:v>
      </x:c>
      <x:c r="C20" s="11" t="s">
        <x:v>1317</x:v>
      </x:c>
      <x:c r="D20" s="11" t="s">
        <x:v>1388</x:v>
      </x:c>
      <x:c r="E20" s="11" t="s">
        <x:v>561</x:v>
      </x:c>
      <x:c r="F20" s="11" t="s">
        <x:v>1389</x:v>
      </x:c>
      <x:c r="G20" s="11" t="s">
        <x:v>1390</x:v>
      </x:c>
      <x:c r="H20" s="11" t="s">
        <x:v>1345</x:v>
      </x:c>
      <x:c r="I20" s="18"/>
      <x:c r="J20" s="11"/>
      <x:c r="K20" s="11"/>
      <x:c r="L20" s="11"/>
    </x:row>
    <x:row r="21">
      <x:c r="A21" s="11" t="s">
        <x:v>1391</x:v>
      </x:c>
      <x:c r="B21" s="11" t="s">
        <x:v>58</x:v>
      </x:c>
      <x:c r="C21" s="11" t="s">
        <x:v>1330</x:v>
      </x:c>
      <x:c r="D21" s="11" t="s">
        <x:v>1392</x:v>
      </x:c>
      <x:c r="E21" s="11" t="s">
        <x:v>603</x:v>
      </x:c>
      <x:c r="F21" s="11" t="s">
        <x:v>1393</x:v>
      </x:c>
      <x:c r="G21" s="11" t="s">
        <x:v>1394</x:v>
      </x:c>
      <x:c r="H21" s="11" t="s">
        <x:v>1345</x:v>
      </x:c>
      <x:c r="I21" s="18"/>
      <x:c r="J21" s="11"/>
      <x:c r="K21" s="11"/>
      <x:c r="L21" s="11"/>
    </x:row>
    <x:row r="22">
      <x:c r="A22" s="11" t="s">
        <x:v>1395</x:v>
      </x:c>
      <x:c r="B22" s="11" t="s">
        <x:v>58</x:v>
      </x:c>
      <x:c r="C22" s="11" t="s">
        <x:v>1030</x:v>
      </x:c>
      <x:c r="D22" s="11" t="s">
        <x:v>1396</x:v>
      </x:c>
      <x:c r="E22" s="11" t="s">
        <x:v>1397</x:v>
      </x:c>
      <x:c r="F22" s="11" t="s">
        <x:v>1398</x:v>
      </x:c>
      <x:c r="G22" s="11" t="s">
        <x:v>1399</x:v>
      </x:c>
      <x:c r="H22" s="11" t="s">
        <x:v>1345</x:v>
      </x:c>
      <x:c r="I22" s="18"/>
      <x:c r="J22" s="11"/>
      <x:c r="K22" s="11"/>
      <x:c r="L22" s="11"/>
    </x:row>
    <x:row r="23" ht="22.799999237060547">
      <x:c r="A23" s="11" t="s">
        <x:v>1400</x:v>
      </x:c>
      <x:c r="B23" s="11" t="s">
        <x:v>58</x:v>
      </x:c>
      <x:c r="C23" s="11" t="s">
        <x:v>633</x:v>
      </x:c>
      <x:c r="D23" s="11" t="s">
        <x:v>1401</x:v>
      </x:c>
      <x:c r="E23" s="11" t="s">
        <x:v>1402</x:v>
      </x:c>
      <x:c r="F23" s="11" t="s">
        <x:v>1403</x:v>
      </x:c>
      <x:c r="G23" s="11" t="s">
        <x:v>1404</x:v>
      </x:c>
      <x:c r="H23" s="11" t="s">
        <x:v>1345</x:v>
      </x:c>
      <x:c r="I23" s="18"/>
      <x:c r="J23" s="11"/>
      <x:c r="K23" s="11"/>
      <x:c r="L23" s="11"/>
    </x:row>
    <x:row r="24">
      <x:c r="A24" s="11" t="s">
        <x:v>1405</x:v>
      </x:c>
      <x:c r="B24" s="11" t="s">
        <x:v>58</x:v>
      </x:c>
      <x:c r="C24" s="11" t="s">
        <x:v>1384</x:v>
      </x:c>
      <x:c r="D24" s="11" t="s">
        <x:v>1406</x:v>
      </x:c>
      <x:c r="E24"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F24" s="11" t="s">
        <x:v>1407</x:v>
      </x:c>
      <x:c r="G24" s="11" t="s">
        <x:v>675</x:v>
      </x:c>
      <x:c r="H24" s="11" t="s">
        <x:v>1345</x:v>
      </x:c>
      <x:c r="I24" s="18"/>
      <x:c r="J24" s="11"/>
      <x:c r="K24" s="11"/>
      <x:c r="L24" s="11"/>
    </x:row>
    <x:row r="25" ht="22.799999237060547">
      <x:c r="A25" s="11" t="s">
        <x:v>1408</x:v>
      </x:c>
      <x:c r="B25" s="11" t="s">
        <x:v>59</x:v>
      </x:c>
      <x:c r="C25" s="11" t="s">
        <x:v>1409</x:v>
      </x:c>
      <x:c r="D25" s="11" t="s">
        <x:v>1410</x:v>
      </x:c>
      <x:c r="E25"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F25" s="11" t="s">
        <x:v>1412</x:v>
      </x:c>
      <x:c r="G25" s="11" t="s">
        <x:v>1413</x:v>
      </x:c>
      <x:c r="H25" s="11" t="s">
        <x:v>1345</x:v>
      </x:c>
      <x:c r="I25" s="18"/>
      <x:c r="J25" s="11"/>
      <x:c r="K25" s="11"/>
      <x:c r="L25" s="11"/>
    </x:row>
    <x:row r="26">
      <x:c r="A26" s="11" t="s">
        <x:v>1414</x:v>
      </x:c>
      <x:c r="B26" s="11" t="s">
        <x:v>59</x:v>
      </x:c>
      <x:c r="C26" s="11" t="s">
        <x:v>1415</x:v>
      </x:c>
      <x:c r="D26" s="11" t="s">
        <x:v>1416</x:v>
      </x:c>
      <x:c r="E26"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F26" s="11" t="s">
        <x:v>1418</x:v>
      </x:c>
      <x:c r="G26" s="11" t="s">
        <x:v>1419</x:v>
      </x:c>
      <x:c r="H26" s="11" t="s">
        <x:v>1345</x:v>
      </x:c>
      <x:c r="I26" s="18"/>
      <x:c r="J26" s="11"/>
      <x:c r="K26" s="11"/>
      <x:c r="L26" s="11"/>
    </x:row>
    <x:row r="27">
      <x:c r="A27" s="11" t="s">
        <x:v>1420</x:v>
      </x:c>
      <x:c r="B27" s="11" t="s">
        <x:v>59</x:v>
      </x:c>
      <x:c r="C27" s="11" t="s">
        <x:v>1409</x:v>
      </x:c>
      <x:c r="D27" s="11" t="s">
        <x:v>1421</x:v>
      </x:c>
      <x:c r="E27" s="11" t="s">
        <x:v>802</x:v>
      </x:c>
      <x:c r="F27" s="11" t="s">
        <x:v>1422</x:v>
      </x:c>
      <x:c r="G27" s="11" t="s">
        <x:v>804</x:v>
      </x:c>
      <x:c r="H27" s="11" t="s">
        <x:v>1345</x:v>
      </x:c>
      <x:c r="I27" s="18"/>
      <x:c r="J27" s="11"/>
      <x:c r="K27" s="11"/>
      <x:c r="L27" s="11"/>
    </x:row>
    <x:row r="28">
      <x:c r="A28" s="11" t="s">
        <x:v>1423</x:v>
      </x:c>
      <x:c r="B28" s="11" t="s">
        <x:v>59</x:v>
      </x:c>
      <x:c r="C28" s="11" t="s">
        <x:v>787</x:v>
      </x:c>
      <x:c r="D28" s="11" t="s">
        <x:v>1424</x:v>
      </x:c>
      <x:c r="E28"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F28" s="11" t="s">
        <x:v>1426</x:v>
      </x:c>
      <x:c r="G28" s="11" t="s">
        <x:v>1427</x:v>
      </x:c>
      <x:c r="H28" s="11" t="s">
        <x:v>1345</x:v>
      </x:c>
      <x:c r="I28" s="18"/>
      <x:c r="J28" s="11"/>
      <x:c r="K28" s="11"/>
      <x:c r="L28" s="11"/>
    </x:row>
    <x:row r="29">
      <x:c r="A29" s="11" t="s">
        <x:v>1428</x:v>
      </x:c>
      <x:c r="B29" s="11" t="s">
        <x:v>59</x:v>
      </x:c>
      <x:c r="C29" s="11" t="s">
        <x:v>1429</x:v>
      </x:c>
      <x:c r="D29" s="11" t="s">
        <x:v>1430</x:v>
      </x:c>
      <x:c r="E29" s="11" t="s">
        <x:v>1431</x:v>
      </x:c>
      <x:c r="F29" s="11" t="s">
        <x:v>1432</x:v>
      </x:c>
      <x:c r="G29" s="11" t="s">
        <x:v>1433</x:v>
      </x:c>
      <x:c r="H29" s="11" t="s">
        <x:v>1345</x:v>
      </x:c>
      <x:c r="I29" s="18"/>
      <x:c r="J29" s="11"/>
      <x:c r="K29" s="11"/>
      <x:c r="L29" s="11"/>
    </x:row>
    <x:row r="30" ht="22.799999237060547">
      <x:c r="A30" s="11" t="s">
        <x:v>1434</x:v>
      </x:c>
      <x:c r="B30" s="11" t="s">
        <x:v>59</x:v>
      </x:c>
      <x:c r="C30" s="11" t="s">
        <x:v>1336</x:v>
      </x:c>
      <x:c r="D30" s="11" t="s">
        <x:v>1435</x:v>
      </x:c>
      <x:c r="E30" s="11" t="s">
        <x:v>989</x:v>
      </x:c>
      <x:c r="F30" s="11" t="s">
        <x:v>1436</x:v>
      </x:c>
      <x:c r="G30" s="11" t="s">
        <x:v>836</x:v>
      </x:c>
      <x:c r="H30" s="11" t="s">
        <x:v>1345</x:v>
      </x:c>
      <x:c r="I30" s="18"/>
      <x:c r="J30" s="11"/>
      <x:c r="K30" s="11"/>
      <x:c r="L30" s="11"/>
    </x:row>
    <x:row r="31">
      <x:c r="A31" s="11" t="s">
        <x:v>1437</x:v>
      </x:c>
      <x:c r="B31" s="11" t="s">
        <x:v>60</x:v>
      </x:c>
      <x:c r="C31" s="11" t="s">
        <x:v>871</x:v>
      </x:c>
      <x:c r="D31" s="11" t="s">
        <x:v>1438</x:v>
      </x:c>
      <x:c r="E31" s="11" t="s">
        <x:v>876</x:v>
      </x:c>
      <x:c r="F31" s="11" t="s">
        <x:v>1439</x:v>
      </x:c>
      <x:c r="G31" s="11" t="s">
        <x:v>1440</x:v>
      </x:c>
      <x:c r="H31" s="11" t="s">
        <x:v>1345</x:v>
      </x:c>
      <x:c r="I31" s="18"/>
      <x:c r="J31" s="11"/>
      <x:c r="K31" s="11"/>
      <x:c r="L31" s="11"/>
    </x:row>
    <x:row r="32">
      <x:c r="A32" s="11" t="s">
        <x:v>1441</x:v>
      </x:c>
      <x:c r="B32" s="11" t="s">
        <x:v>60</x:v>
      </x:c>
      <x:c r="C32" s="11" t="s">
        <x:v>1429</x:v>
      </x:c>
      <x:c r="D32" s="11" t="s">
        <x:v>1442</x:v>
      </x:c>
      <x:c r="E32" s="11" t="s">
        <x:v>1443</x:v>
      </x:c>
      <x:c r="F32" s="11" t="s">
        <x:v>1444</x:v>
      </x:c>
      <x:c r="G32" s="11" t="s">
        <x:v>1445</x:v>
      </x:c>
      <x:c r="H32" s="11" t="s">
        <x:v>1345</x:v>
      </x:c>
      <x:c r="I32" s="18"/>
      <x:c r="J32" s="11"/>
      <x:c r="K32" s="11"/>
      <x:c r="L32" s="11"/>
    </x:row>
    <x:row r="33">
      <x:c r="A33" s="11" t="s">
        <x:v>1446</x:v>
      </x:c>
      <x:c r="B33" s="11" t="s">
        <x:v>60</x:v>
      </x:c>
      <x:c r="C33" s="11" t="s">
        <x:v>1447</x:v>
      </x:c>
      <x:c r="D33" s="11" t="s">
        <x:v>1448</x:v>
      </x:c>
      <x:c r="E33" s="11" t="s">
        <x:v>932</x:v>
      </x:c>
      <x:c r="F33" s="11" t="s">
        <x:v>1449</x:v>
      </x:c>
      <x:c r="G33" s="11" t="s">
        <x:v>1450</x:v>
      </x:c>
      <x:c r="H33" s="11" t="s">
        <x:v>1345</x:v>
      </x:c>
      <x:c r="I33" s="18"/>
      <x:c r="J33" s="11"/>
      <x:c r="K33" s="11"/>
      <x:c r="L33" s="11"/>
    </x:row>
    <x:row r="34">
      <x:c r="A34" s="11" t="s">
        <x:v>1451</x:v>
      </x:c>
      <x:c r="B34" s="11" t="s">
        <x:v>60</x:v>
      </x:c>
      <x:c r="C34" s="11" t="s">
        <x:v>1452</x:v>
      </x:c>
      <x:c r="D34" s="11" t="s">
        <x:v>1453</x:v>
      </x:c>
      <x:c r="E34" s="11" t="s">
        <x:v>956</x:v>
      </x:c>
      <x:c r="F34" s="11" t="s">
        <x:v>1454</x:v>
      </x:c>
      <x:c r="G34" s="11" t="s">
        <x:v>1455</x:v>
      </x:c>
      <x:c r="H34" s="11" t="s">
        <x:v>1345</x:v>
      </x:c>
      <x:c r="I34" s="18"/>
      <x:c r="J34" s="11"/>
      <x:c r="K34" s="11"/>
      <x:c r="L34" s="11"/>
    </x:row>
    <x:row r="35">
      <x:c r="A35" s="11" t="s">
        <x:v>1456</x:v>
      </x:c>
      <x:c r="B35" s="11" t="s">
        <x:v>60</x:v>
      </x:c>
      <x:c r="C35" s="11" t="s">
        <x:v>1380</x:v>
      </x:c>
      <x:c r="D35" s="11" t="s">
        <x:v>1457</x:v>
      </x:c>
      <x:c r="E35" s="11" t="s">
        <x:v>968</x:v>
      </x:c>
      <x:c r="F35" s="11" t="s">
        <x:v>1458</x:v>
      </x:c>
      <x:c r="G35" s="11" t="s">
        <x:v>970</x:v>
      </x:c>
      <x:c r="H35" s="11" t="s">
        <x:v>1345</x:v>
      </x:c>
      <x:c r="I35" s="18"/>
      <x:c r="J35" s="11"/>
      <x:c r="K35" s="11"/>
      <x:c r="L35" s="11"/>
    </x:row>
    <x:row r="36">
      <x:c r="A36" s="11" t="s">
        <x:v>1459</x:v>
      </x:c>
      <x:c r="B36" s="11" t="s">
        <x:v>60</x:v>
      </x:c>
      <x:c r="C36" s="11" t="s">
        <x:v>1384</x:v>
      </x:c>
      <x:c r="D36" s="11" t="s">
        <x:v>1460</x:v>
      </x:c>
      <x:c r="E36" s="11" t="inlineStr">
        <x:is>
          <x:t xml:space="preserve">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x:t>
        </x:is>
      </x:c>
      <x:c r="F36" s="11" t="s">
        <x:v>1461</x:v>
      </x:c>
      <x:c r="G36" s="11" t="s">
        <x:v>981</x:v>
      </x:c>
      <x:c r="H36" s="11" t="s">
        <x:v>1345</x:v>
      </x:c>
      <x:c r="I36" s="18"/>
      <x:c r="J36" s="11"/>
      <x:c r="K36" s="11"/>
      <x:c r="L36" s="11"/>
    </x:row>
    <x:row r="37" ht="22.799999237060547">
      <x:c r="A37" s="11" t="s">
        <x:v>1462</x:v>
      </x:c>
      <x:c r="B37" s="11" t="s">
        <x:v>60</x:v>
      </x:c>
      <x:c r="C37" s="11" t="s">
        <x:v>1336</x:v>
      </x:c>
      <x:c r="D37" s="11" t="s">
        <x:v>1463</x:v>
      </x:c>
      <x:c r="E37" s="11" t="s">
        <x:v>989</x:v>
      </x:c>
      <x:c r="F37" s="11" t="s">
        <x:v>1464</x:v>
      </x:c>
      <x:c r="G37" s="11" t="s">
        <x:v>991</x:v>
      </x:c>
      <x:c r="H37" s="11" t="s">
        <x:v>1345</x:v>
      </x:c>
      <x:c r="I37" s="18"/>
      <x:c r="J37" s="11"/>
      <x:c r="K37" s="11"/>
      <x:c r="L37" s="11"/>
    </x:row>
    <x:row r="38" ht="42" customHeight="1">
      <x:c r="A38" s="23" t="s">
        <x:v>1465</x:v>
      </x:c>
      <x:c r="B38" s="23" t="s">
        <x:v>56</x:v>
      </x:c>
      <x:c r="C38" s="23" t="s">
        <x:v>1466</x:v>
      </x:c>
      <x:c r="D38" s="23" t="s">
        <x:v>1467</x:v>
      </x:c>
      <x:c r="E38" s="23" t="s">
        <x:v>1468</x:v>
      </x:c>
      <x:c r="F38" s="23" t="s">
        <x:v>1469</x:v>
      </x:c>
      <x:c r="G38" s="23" t="s">
        <x:v>99</x:v>
      </x:c>
      <x:c r="H38" s="23" t="s">
        <x:v>1321</x:v>
      </x:c>
      <x:c r="I38" s="25">
        <x:v>46252</x:v>
      </x:c>
      <x:c r="J38" s="23" t="s">
        <x:v>1470</x:v>
      </x:c>
      <x:c r="K38" s="23" t="s">
        <x:v>1471</x:v>
      </x:c>
      <x:c r="L38" s="23" t="s">
        <x:v>1324</x:v>
      </x:c>
    </x:row>
    <x:row r="39" ht="42" customHeight="1">
      <x:c r="A39" s="22" t="s">
        <x:v>1472</x:v>
      </x:c>
      <x:c r="B39" s="22" t="s">
        <x:v>56</x:v>
      </x:c>
      <x:c r="C39" s="22" t="s">
        <x:v>106</x:v>
      </x:c>
      <x:c r="D39" s="22" t="s">
        <x:v>1473</x:v>
      </x:c>
      <x:c r="E39" s="22" t="s">
        <x:v>112</x:v>
      </x:c>
      <x:c r="F39" s="22" t="s">
        <x:v>1474</x:v>
      </x:c>
      <x:c r="G39" s="22" t="s">
        <x:v>114</x:v>
      </x:c>
      <x:c r="H39" s="22" t="s">
        <x:v>1321</x:v>
      </x:c>
      <x:c r="I39" s="26">
        <x:v>46252</x:v>
      </x:c>
      <x:c r="J39" s="22" t="s">
        <x:v>1475</x:v>
      </x:c>
      <x:c r="K39" s="22" t="s">
        <x:v>1476</x:v>
      </x:c>
      <x:c r="L39" s="22" t="s">
        <x:v>1324</x:v>
      </x:c>
    </x:row>
  </x:sheetData>
  <x:mergeCells>
    <x:mergeCell ref="A1:L1"/>
    <x:mergeCell ref="A2:L2"/>
  </x:mergeCells>
  <x:conditionalFormatting sqref="H6:H37">
    <x:cfRule type="containsText" dxfId="15" priority="1" operator="containsText" text="Pass"/>
    <x:cfRule type="containsText" dxfId="14" priority="2" operator="containsText" text="Blocked"/>
    <x:cfRule type="containsText" dxfId="13" priority="3" operator="containsText" text="In Progress"/>
    <x:cfRule type="containsText" dxfId="12" priority="4" operator="containsText" text="Ready for Review"/>
  </x:conditionalFormatting>
  <x:dataValidations count="2">
    <x:dataValidation type="list" sqref="H6:H37">
      <x:formula1>"Not Run,Pass,Fail,Blocked"</x:formula1>
    </x:dataValidation>
    <x:dataValidation type="list" sqref="L6:L37">
      <x:formula1>"Pending,Approved,Rejected"</x:formula1>
    </x:dataValidation>
  </x:dataValidations>
  <x:pageMargins left="0.7" right="0.7" top="0.75" bottom="0.75" header="0.3" footer="0.3"/>
  <x:tableParts count="1">
    <x:tablePart xmlns:r="http://schemas.openxmlformats.org/officeDocument/2006/relationships" r:id="R68adbbff08854453"/>
  </x:tableParts>
</x:worksheet>
</file>

<file path=xl/worksheets/sheet13.xml><?xml version="1.0" encoding="utf-8"?>
<x:worksheet xmlns:x="http://schemas.openxmlformats.org/spreadsheetml/2006/main">
  <x:sheetViews>
    <x:sheetView showGridLines="0" workbookViewId="0"/>
  </x:sheetViews>
  <x:sheetFormatPr defaultRowHeight="13.800000190734863"/>
  <x:cols>
    <x:col min="1" max="1" width="13" customWidth="1"/>
    <x:col min="2" max="2" width="32" customWidth="1"/>
    <x:col min="3" max="3" width="18" customWidth="1"/>
    <x:col min="4" max="4" width="13" customWidth="1"/>
    <x:col min="5" max="5" width="42" customWidth="1"/>
    <x:col min="6" max="6" width="30" customWidth="1"/>
    <x:col min="7" max="7" width="42" customWidth="1"/>
    <x:col min="8" max="8" width="38" customWidth="1"/>
    <x:col min="9" max="9" width="14" customWidth="1"/>
    <x:col min="10" max="10" width="34" customWidth="1"/>
    <x:col min="11" max="11" width="30" customWidth="1"/>
  </x:cols>
  <x:sheetData>
    <x:row r="1" ht="31.950000762939453" customHeight="1">
      <x:c r="A1" s="56" t="s">
        <x:v>1477</x:v>
      </x:c>
      <x:c r="B1" s="56"/>
      <x:c r="C1" s="56"/>
      <x:c r="D1" s="56"/>
      <x:c r="E1" s="56"/>
      <x:c r="F1" s="56"/>
      <x:c r="G1" s="56"/>
      <x:c r="H1" s="56"/>
      <x:c r="I1" s="56"/>
      <x:c r="J1" s="56"/>
      <x:c r="K1" s="56"/>
    </x:row>
    <x:row r="2" ht="31.950000762939453" customHeight="1">
      <x:c r="A2" s="57" t="s">
        <x:v>1478</x:v>
      </x:c>
      <x:c r="B2" s="57"/>
      <x:c r="C2" s="57"/>
      <x:c r="D2" s="57"/>
      <x:c r="E2" s="57"/>
      <x:c r="F2" s="57"/>
      <x:c r="G2" s="57"/>
      <x:c r="H2" s="57"/>
      <x:c r="I2" s="57"/>
      <x:c r="J2" s="57"/>
      <x:c r="K2" s="57"/>
    </x:row>
    <x:row r="5" ht="28.049999237060547" customHeight="1">
      <x:c r="A5" s="1" t="s">
        <x:v>82</x:v>
      </x:c>
      <x:c r="B5" s="2" t="s">
        <x:v>1479</x:v>
      </x:c>
      <x:c r="C5" s="2" t="s">
        <x:v>85</x:v>
      </x:c>
      <x:c r="D5" s="2" t="s">
        <x:v>1480</x:v>
      </x:c>
      <x:c r="E5" s="2" t="s">
        <x:v>1481</x:v>
      </x:c>
      <x:c r="F5" s="2" t="s">
        <x:v>1482</x:v>
      </x:c>
      <x:c r="G5" s="2" t="s">
        <x:v>1483</x:v>
      </x:c>
      <x:c r="H5" s="2" t="s">
        <x:v>1484</x:v>
      </x:c>
      <x:c r="I5" s="2" t="s">
        <x:v>34</x:v>
      </x:c>
      <x:c r="J5" s="2" t="s">
        <x:v>1485</x:v>
      </x:c>
      <x:c r="K5" s="3" t="s">
        <x:v>1486</x:v>
      </x:c>
    </x:row>
    <x:row r="6" ht="22.799999237060547">
      <x:c r="A6" s="10" t="s">
        <x:v>100</x:v>
      </x:c>
      <x:c r="B6" s="10" t="s">
        <x:v>1487</x:v>
      </x:c>
      <x:c r="C6" s="10" t="s">
        <x:v>1488</x:v>
      </x:c>
      <x:c r="D6" s="10" t="s">
        <x:v>56</x:v>
      </x:c>
      <x:c r="E6" s="10" t="s">
        <x:v>1489</x:v>
      </x:c>
      <x:c r="F6" s="10" t="s">
        <x:v>1490</x:v>
      </x:c>
      <x:c r="G6" s="10" t="s">
        <x:v>1491</x:v>
      </x:c>
      <x:c r="H6" s="10" t="s">
        <x:v>1492</x:v>
      </x:c>
      <x:c r="I6" s="10" t="s">
        <x:v>93</x:v>
      </x:c>
      <x:c r="J6" s="10" t="s">
        <x:v>1493</x:v>
      </x:c>
      <x:c r="K6" s="10"/>
    </x:row>
    <x:row r="7" ht="22.799999237060547">
      <x:c r="A7" s="11" t="s">
        <x:v>154</x:v>
      </x:c>
      <x:c r="B7" s="11" t="s">
        <x:v>1494</x:v>
      </x:c>
      <x:c r="C7" s="11" t="s">
        <x:v>1488</x:v>
      </x:c>
      <x:c r="D7" s="11" t="s">
        <x:v>56</x:v>
      </x:c>
      <x:c r="E7" s="11" t="s">
        <x:v>1495</x:v>
      </x:c>
      <x:c r="F7" s="11" t="s">
        <x:v>1496</x:v>
      </x:c>
      <x:c r="G7" s="11" t="s">
        <x:v>1497</x:v>
      </x:c>
      <x:c r="H7" s="11" t="s">
        <x:v>1498</x:v>
      </x:c>
      <x:c r="I7" s="11" t="s">
        <x:v>93</x:v>
      </x:c>
      <x:c r="J7" s="11" t="s">
        <x:v>1499</x:v>
      </x:c>
      <x:c r="K7" s="11"/>
    </x:row>
    <x:row r="8" ht="22.799999237060547">
      <x:c r="A8" s="11" t="s">
        <x:v>287</x:v>
      </x:c>
      <x:c r="B8" s="11" t="s">
        <x:v>1500</x:v>
      </x:c>
      <x:c r="C8" s="11" t="s">
        <x:v>1488</x:v>
      </x:c>
      <x:c r="D8" s="11" t="s">
        <x:v>37</x:v>
      </x:c>
      <x:c r="E8" s="11" t="s">
        <x:v>1501</x:v>
      </x:c>
      <x:c r="F8" s="11" t="s">
        <x:v>1502</x:v>
      </x:c>
      <x:c r="G8" s="11" t="s">
        <x:v>1503</x:v>
      </x:c>
      <x:c r="H8" s="11" t="s">
        <x:v>1504</x:v>
      </x:c>
      <x:c r="I8" s="11" t="s">
        <x:v>93</x:v>
      </x:c>
      <x:c r="J8" s="11" t="s">
        <x:v>1505</x:v>
      </x:c>
      <x:c r="K8" s="11"/>
    </x:row>
    <x:row r="9" ht="22.799999237060547">
      <x:c r="A9" s="11" t="s">
        <x:v>428</x:v>
      </x:c>
      <x:c r="B9" s="11" t="s">
        <x:v>1506</x:v>
      </x:c>
      <x:c r="C9" s="11" t="s">
        <x:v>1488</x:v>
      </x:c>
      <x:c r="D9" s="11" t="s">
        <x:v>57</x:v>
      </x:c>
      <x:c r="E9" s="11" t="s">
        <x:v>1507</x:v>
      </x:c>
      <x:c r="F9" s="11" t="s">
        <x:v>1508</x:v>
      </x:c>
      <x:c r="G9" s="11" t="s">
        <x:v>1509</x:v>
      </x:c>
      <x:c r="H9" s="11" t="s">
        <x:v>1510</x:v>
      </x:c>
      <x:c r="I9" s="11" t="s">
        <x:v>93</x:v>
      </x:c>
      <x:c r="J9" s="11" t="s">
        <x:v>1511</x:v>
      </x:c>
      <x:c r="K9" s="11"/>
    </x:row>
    <x:row r="10" ht="22.799999237060547">
      <x:c r="A10" s="11" t="s">
        <x:v>585</x:v>
      </x:c>
      <x:c r="B10" s="11" t="s">
        <x:v>1512</x:v>
      </x:c>
      <x:c r="C10" s="11" t="s">
        <x:v>1488</x:v>
      </x:c>
      <x:c r="D10" s="11" t="s">
        <x:v>58</x:v>
      </x:c>
      <x:c r="E10" s="11" t="s">
        <x:v>1513</x:v>
      </x:c>
      <x:c r="F10" s="11" t="s">
        <x:v>1514</x:v>
      </x:c>
      <x:c r="G10" s="11" t="s">
        <x:v>1515</x:v>
      </x:c>
      <x:c r="H10" s="11" t="s">
        <x:v>1516</x:v>
      </x:c>
      <x:c r="I10" s="11" t="s">
        <x:v>93</x:v>
      </x:c>
      <x:c r="J10" s="11" t="s">
        <x:v>1517</x:v>
      </x:c>
      <x:c r="K10" s="11"/>
    </x:row>
    <x:row r="11" ht="22.799999237060547">
      <x:c r="A11" s="11" t="s">
        <x:v>337</x:v>
      </x:c>
      <x:c r="B11" s="11" t="s">
        <x:v>1518</x:v>
      </x:c>
      <x:c r="C11" s="11" t="s">
        <x:v>1488</x:v>
      </x:c>
      <x:c r="D11" s="11" t="s">
        <x:v>37</x:v>
      </x:c>
      <x:c r="E11" s="11" t="s">
        <x:v>1519</x:v>
      </x:c>
      <x:c r="F11" s="11" t="s">
        <x:v>1520</x:v>
      </x:c>
      <x:c r="G11" s="11" t="s">
        <x:v>1521</x:v>
      </x:c>
      <x:c r="H11" s="11" t="s">
        <x:v>1522</x:v>
      </x:c>
      <x:c r="I11" s="11" t="s">
        <x:v>93</x:v>
      </x:c>
      <x:c r="J11" s="11" t="s">
        <x:v>1523</x:v>
      </x:c>
      <x:c r="K11" s="11"/>
    </x:row>
    <x:row r="12" ht="22.799999237060547">
      <x:c r="A12" s="11" t="s">
        <x:v>564</x:v>
      </x:c>
      <x:c r="B12" s="11" t="s">
        <x:v>1524</x:v>
      </x:c>
      <x:c r="C12" s="11" t="s">
        <x:v>1488</x:v>
      </x:c>
      <x:c r="D12" s="11" t="s">
        <x:v>58</x:v>
      </x:c>
      <x:c r="E12" s="11" t="s">
        <x:v>1525</x:v>
      </x:c>
      <x:c r="F12" s="11" t="s">
        <x:v>1526</x:v>
      </x:c>
      <x:c r="G12" s="11" t="s">
        <x:v>1527</x:v>
      </x:c>
      <x:c r="H12" s="11" t="s">
        <x:v>1528</x:v>
      </x:c>
      <x:c r="I12" s="11" t="s">
        <x:v>93</x:v>
      </x:c>
      <x:c r="J12" s="11" t="s">
        <x:v>1529</x:v>
      </x:c>
      <x:c r="K12" s="11"/>
    </x:row>
    <x:row r="13" ht="22.799999237060547">
      <x:c r="A13" s="11" t="s">
        <x:v>510</x:v>
      </x:c>
      <x:c r="B13" s="11" t="s">
        <x:v>1530</x:v>
      </x:c>
      <x:c r="C13" s="11" t="s">
        <x:v>1488</x:v>
      </x:c>
      <x:c r="D13" s="11" t="s">
        <x:v>57</x:v>
      </x:c>
      <x:c r="E13" s="11" t="s">
        <x:v>1531</x:v>
      </x:c>
      <x:c r="F13" s="11" t="s">
        <x:v>1532</x:v>
      </x:c>
      <x:c r="G13" s="11" t="s">
        <x:v>1533</x:v>
      </x:c>
      <x:c r="H13" s="11" t="s">
        <x:v>1534</x:v>
      </x:c>
      <x:c r="I13" s="11" t="s">
        <x:v>93</x:v>
      </x:c>
      <x:c r="J13" s="11" t="s">
        <x:v>1535</x:v>
      </x:c>
      <x:c r="K13" s="11"/>
    </x:row>
    <x:row r="14" ht="22.799999237060547">
      <x:c r="A14" s="11" t="s">
        <x:v>202</x:v>
      </x:c>
      <x:c r="B14" s="11" t="s">
        <x:v>1536</x:v>
      </x:c>
      <x:c r="C14" s="11" t="s">
        <x:v>1488</x:v>
      </x:c>
      <x:c r="D14" s="11" t="s">
        <x:v>56</x:v>
      </x:c>
      <x:c r="E14" s="11" t="s">
        <x:v>1537</x:v>
      </x:c>
      <x:c r="F14" s="11" t="s">
        <x:v>1538</x:v>
      </x:c>
      <x:c r="G14" s="11" t="s">
        <x:v>1539</x:v>
      </x:c>
      <x:c r="H14" s="11" t="s">
        <x:v>1540</x:v>
      </x:c>
      <x:c r="I14" s="11" t="s">
        <x:v>93</x:v>
      </x:c>
      <x:c r="J14" s="11" t="s">
        <x:v>1541</x:v>
      </x:c>
      <x:c r="K14" s="11"/>
    </x:row>
    <x:row r="15" ht="22.799999237060547">
      <x:c r="A15" s="11" t="s">
        <x:v>1542</x:v>
      </x:c>
      <x:c r="B15" s="11" t="s">
        <x:v>1543</x:v>
      </x:c>
      <x:c r="C15" s="11" t="s">
        <x:v>1488</x:v>
      </x:c>
      <x:c r="D15" s="11" t="s">
        <x:v>56</x:v>
      </x:c>
      <x:c r="E15" s="11" t="s">
        <x:v>1544</x:v>
      </x:c>
      <x:c r="F15" s="11" t="s">
        <x:v>1545</x:v>
      </x:c>
      <x:c r="G15" s="11" t="s">
        <x:v>1546</x:v>
      </x:c>
      <x:c r="H15" s="11" t="s">
        <x:v>1547</x:v>
      </x:c>
      <x:c r="I15" s="11" t="s">
        <x:v>93</x:v>
      </x:c>
      <x:c r="J15" s="11" t="s">
        <x:v>1548</x:v>
      </x:c>
      <x:c r="K15" s="11"/>
    </x:row>
    <x:row r="16" ht="22.799999237060547">
      <x:c r="A16" s="11" t="s">
        <x:v>1549</x:v>
      </x:c>
      <x:c r="B16" s="11" t="s">
        <x:v>1550</x:v>
      </x:c>
      <x:c r="C16" s="11" t="s">
        <x:v>1488</x:v>
      </x:c>
      <x:c r="D16" s="11" t="s">
        <x:v>56</x:v>
      </x:c>
      <x:c r="E16" s="11" t="s">
        <x:v>1551</x:v>
      </x:c>
      <x:c r="F16" s="11" t="s">
        <x:v>1552</x:v>
      </x:c>
      <x:c r="G16" s="11" t="s">
        <x:v>1553</x:v>
      </x:c>
      <x:c r="H16" s="11" t="s">
        <x:v>1554</x:v>
      </x:c>
      <x:c r="I16" s="11" t="s">
        <x:v>93</x:v>
      </x:c>
      <x:c r="J16" s="11" t="s">
        <x:v>1555</x:v>
      </x:c>
      <x:c r="K16" s="11"/>
    </x:row>
    <x:row r="17" ht="22.799999237060547">
      <x:c r="A17" s="11" t="s">
        <x:v>533</x:v>
      </x:c>
      <x:c r="B17" s="11" t="s">
        <x:v>1556</x:v>
      </x:c>
      <x:c r="C17" s="11" t="s">
        <x:v>1488</x:v>
      </x:c>
      <x:c r="D17" s="11" t="s">
        <x:v>56</x:v>
      </x:c>
      <x:c r="E17" s="11" t="s">
        <x:v>1557</x:v>
      </x:c>
      <x:c r="F17" s="11" t="s">
        <x:v>1558</x:v>
      </x:c>
      <x:c r="G17" s="11" t="s">
        <x:v>1559</x:v>
      </x:c>
      <x:c r="H17" s="11" t="s">
        <x:v>1560</x:v>
      </x:c>
      <x:c r="I17" s="11" t="s">
        <x:v>93</x:v>
      </x:c>
      <x:c r="J17" s="11" t="s">
        <x:v>1561</x:v>
      </x:c>
      <x:c r="K17" s="11"/>
    </x:row>
    <x:row r="18" ht="22.799999237060547">
      <x:c r="A18" s="11" t="s">
        <x:v>1562</x:v>
      </x:c>
      <x:c r="B18" s="11" t="s">
        <x:v>1563</x:v>
      </x:c>
      <x:c r="C18" s="11" t="s">
        <x:v>1488</x:v>
      </x:c>
      <x:c r="D18" s="11" t="s">
        <x:v>56</x:v>
      </x:c>
      <x:c r="E18" s="11" t="s">
        <x:v>1564</x:v>
      </x:c>
      <x:c r="F18" s="11" t="s">
        <x:v>1565</x:v>
      </x:c>
      <x:c r="G18" s="11" t="s">
        <x:v>1566</x:v>
      </x:c>
      <x:c r="H18" s="11" t="s">
        <x:v>1567</x:v>
      </x:c>
      <x:c r="I18" s="11" t="s">
        <x:v>93</x:v>
      </x:c>
      <x:c r="J18" s="11" t="s">
        <x:v>1568</x:v>
      </x:c>
      <x:c r="K18" s="11"/>
    </x:row>
    <x:row r="19" ht="22.799999237060547">
      <x:c r="A19" s="11" t="s">
        <x:v>1569</x:v>
      </x:c>
      <x:c r="B19" s="11" t="s">
        <x:v>1570</x:v>
      </x:c>
      <x:c r="C19" s="11" t="s">
        <x:v>1488</x:v>
      </x:c>
      <x:c r="D19" s="11" t="s">
        <x:v>56</x:v>
      </x:c>
      <x:c r="E19" s="11" t="s">
        <x:v>1571</x:v>
      </x:c>
      <x:c r="F19" s="11" t="s">
        <x:v>1572</x:v>
      </x:c>
      <x:c r="G19" s="11" t="s">
        <x:v>1573</x:v>
      </x:c>
      <x:c r="H19" s="11" t="s">
        <x:v>1574</x:v>
      </x:c>
      <x:c r="I19" s="11" t="s">
        <x:v>93</x:v>
      </x:c>
      <x:c r="J19" s="11" t="s">
        <x:v>1575</x:v>
      </x:c>
      <x:c r="K19" s="11"/>
    </x:row>
    <x:row r="20">
      <x:c r="A20" s="11" t="s">
        <x:v>879</x:v>
      </x:c>
      <x:c r="B20" s="11" t="s">
        <x:v>1576</x:v>
      </x:c>
      <x:c r="C20" s="11" t="s">
        <x:v>1488</x:v>
      </x:c>
      <x:c r="D20" s="11" t="s">
        <x:v>60</x:v>
      </x:c>
      <x:c r="E20" s="11" t="s">
        <x:v>1577</x:v>
      </x:c>
      <x:c r="F20" s="11" t="s">
        <x:v>1578</x:v>
      </x:c>
      <x:c r="G20" s="11" t="s">
        <x:v>1579</x:v>
      </x:c>
      <x:c r="H20" s="11" t="s">
        <x:v>1580</x:v>
      </x:c>
      <x:c r="I20" s="11" t="s">
        <x:v>93</x:v>
      </x:c>
      <x:c r="J20" s="11" t="s">
        <x:v>1581</x:v>
      </x:c>
      <x:c r="K20" s="11"/>
    </x:row>
    <x:row r="21">
      <x:c r="A21" s="11" t="s">
        <x:v>115</x:v>
      </x:c>
      <x:c r="B21" s="11" t="s">
        <x:v>1582</x:v>
      </x:c>
      <x:c r="C21" s="11" t="s">
        <x:v>1488</x:v>
      </x:c>
      <x:c r="D21" s="11" t="s">
        <x:v>56</x:v>
      </x:c>
      <x:c r="E21" s="11" t="s">
        <x:v>1583</x:v>
      </x:c>
      <x:c r="F21" s="11" t="s">
        <x:v>1584</x:v>
      </x:c>
      <x:c r="G21" s="11" t="s">
        <x:v>1585</x:v>
      </x:c>
      <x:c r="H21" s="11" t="s">
        <x:v>1586</x:v>
      </x:c>
      <x:c r="I21" s="11" t="s">
        <x:v>93</x:v>
      </x:c>
      <x:c r="J21" s="11" t="s">
        <x:v>1587</x:v>
      </x:c>
      <x:c r="K21" s="11"/>
    </x:row>
    <x:row r="22" ht="22.799999237060547">
      <x:c r="A22" s="11" t="s">
        <x:v>166</x:v>
      </x:c>
      <x:c r="B22" s="11" t="s">
        <x:v>1588</x:v>
      </x:c>
      <x:c r="C22" s="11" t="s">
        <x:v>1488</x:v>
      </x:c>
      <x:c r="D22" s="11" t="s">
        <x:v>56</x:v>
      </x:c>
      <x:c r="E22" s="11" t="s">
        <x:v>1589</x:v>
      </x:c>
      <x:c r="F22" s="11" t="s">
        <x:v>1590</x:v>
      </x:c>
      <x:c r="G22" s="11" t="s">
        <x:v>1591</x:v>
      </x:c>
      <x:c r="H22" s="11" t="s">
        <x:v>1592</x:v>
      </x:c>
      <x:c r="I22" s="11" t="s">
        <x:v>93</x:v>
      </x:c>
      <x:c r="J22" s="11" t="s">
        <x:v>1593</x:v>
      </x:c>
      <x:c r="K22" s="11"/>
    </x:row>
    <x:row r="23" ht="22.799999237060547">
      <x:c r="A23" s="11" t="s">
        <x:v>1594</x:v>
      </x:c>
      <x:c r="B23" s="11" t="s">
        <x:v>1595</x:v>
      </x:c>
      <x:c r="C23" s="11" t="s">
        <x:v>1488</x:v>
      </x:c>
      <x:c r="D23" s="11" t="s">
        <x:v>1596</x:v>
      </x:c>
      <x:c r="E23" s="11" t="s">
        <x:v>1597</x:v>
      </x:c>
      <x:c r="F23" s="11" t="s">
        <x:v>1598</x:v>
      </x:c>
      <x:c r="G23" s="11" t="s">
        <x:v>1599</x:v>
      </x:c>
      <x:c r="H23" s="11" t="s">
        <x:v>1600</x:v>
      </x:c>
      <x:c r="I23" s="11" t="s">
        <x:v>93</x:v>
      </x:c>
      <x:c r="J23" s="11" t="s">
        <x:v>1601</x:v>
      </x:c>
      <x:c r="K23" s="11"/>
    </x:row>
  </x:sheetData>
  <x:mergeCells>
    <x:mergeCell ref="A1:K1"/>
    <x:mergeCell ref="A2:K2"/>
  </x:mergeCells>
  <x:conditionalFormatting sqref="C6:C23">
    <x:cfRule type="containsText" dxfId="11" priority="1" operator="containsText" text="Approved"/>
    <x:cfRule type="containsText" dxfId="10" priority="2" operator="containsText" text="Blocked"/>
    <x:cfRule type="containsText" dxfId="9" priority="3" operator="containsText" text="In Progress"/>
    <x:cfRule type="containsText" dxfId="8" priority="4" operator="containsText" text="Ready for Review"/>
  </x:conditionalFormatting>
  <x:dataValidations count="1">
    <x:dataValidation type="list" sqref="C6:C23">
      <x:formula1>"Baseline Approved,Proposed,Approved,Rejected,Superseded,Revisit"</x:formula1>
    </x:dataValidation>
  </x:dataValidations>
  <x:pageMargins left="0.7" right="0.7" top="0.75" bottom="0.75" header="0.3" footer="0.3"/>
  <x:tableParts count="1">
    <x:tablePart xmlns:r="http://schemas.openxmlformats.org/officeDocument/2006/relationships" r:id="R5b0c162dc34241b1"/>
  </x:tableParts>
</x:worksheet>
</file>

<file path=xl/worksheets/sheet14.xml><?xml version="1.0" encoding="utf-8"?>
<x:worksheet xmlns:x="http://schemas.openxmlformats.org/spreadsheetml/2006/main">
  <x:sheetViews>
    <x:sheetView showGridLines="0" workbookViewId="0"/>
  </x:sheetViews>
  <x:sheetFormatPr defaultRowHeight="13.800000190734863"/>
  <x:cols>
    <x:col min="1" max="1" width="13" customWidth="1"/>
    <x:col min="2" max="2" width="16" customWidth="1"/>
    <x:col min="3" max="3" width="48" customWidth="1"/>
    <x:col min="4" max="4" width="12" customWidth="1"/>
    <x:col min="5" max="5" width="11" customWidth="1"/>
    <x:col min="6" max="6" width="15" customWidth="1"/>
    <x:col min="7" max="7" width="14" customWidth="1"/>
    <x:col min="8" max="8" width="36" customWidth="1"/>
    <x:col min="9" max="9" width="34" customWidth="1"/>
    <x:col min="10" max="10" width="15" customWidth="1"/>
  </x:cols>
  <x:sheetData>
    <x:row r="1" ht="31.950000762939453" customHeight="1">
      <x:c r="A1" s="56" t="s">
        <x:v>1602</x:v>
      </x:c>
      <x:c r="B1" s="56"/>
      <x:c r="C1" s="56"/>
      <x:c r="D1" s="56"/>
      <x:c r="E1" s="56"/>
      <x:c r="F1" s="56"/>
      <x:c r="G1" s="56"/>
      <x:c r="H1" s="56"/>
      <x:c r="I1" s="56"/>
      <x:c r="J1" s="56"/>
    </x:row>
    <x:row r="2" ht="31.950000762939453" customHeight="1">
      <x:c r="A2" s="57" t="s">
        <x:v>1603</x:v>
      </x:c>
      <x:c r="B2" s="57"/>
      <x:c r="C2" s="57"/>
      <x:c r="D2" s="57"/>
      <x:c r="E2" s="57"/>
      <x:c r="F2" s="57"/>
      <x:c r="G2" s="57"/>
      <x:c r="H2" s="57"/>
      <x:c r="I2" s="57"/>
      <x:c r="J2" s="57"/>
    </x:row>
    <x:row r="5" ht="28.049999237060547" customHeight="1">
      <x:c r="A5" s="1" t="s">
        <x:v>1604</x:v>
      </x:c>
      <x:c r="B5" s="2" t="s">
        <x:v>1605</x:v>
      </x:c>
      <x:c r="C5" s="2" t="s">
        <x:v>1606</x:v>
      </x:c>
      <x:c r="D5" s="2" t="s">
        <x:v>1607</x:v>
      </x:c>
      <x:c r="E5" s="2" t="s">
        <x:v>1608</x:v>
      </x:c>
      <x:c r="F5" s="2" t="s">
        <x:v>85</x:v>
      </x:c>
      <x:c r="G5" s="2" t="s">
        <x:v>34</x:v>
      </x:c>
      <x:c r="H5" s="2" t="s">
        <x:v>1609</x:v>
      </x:c>
      <x:c r="I5" s="2" t="s">
        <x:v>1610</x:v>
      </x:c>
      <x:c r="J5" s="3" t="s">
        <x:v>1611</x:v>
      </x:c>
    </x:row>
    <x:row r="6" ht="68.4000015258789" hidden="1">
      <x:c r="A6" s="10" t="s">
        <x:v>1612</x:v>
      </x:c>
      <x:c r="B6" s="10" t="s">
        <x:v>1613</x:v>
      </x:c>
      <x:c r="C6" s="19" t="s">
        <x:v>1614</x:v>
      </x:c>
      <x:c r="D6" s="10" t="s">
        <x:v>56</x:v>
      </x:c>
      <x:c r="E6" s="10" t="s">
        <x:v>1615</x:v>
      </x:c>
      <x:c r="F6" s="10" t="s">
        <x:v>46</x:v>
      </x:c>
      <x:c r="G6" s="10" t="s">
        <x:v>35</x:v>
      </x:c>
      <x:c r="H6" s="10" t="s">
        <x:v>99</x:v>
      </x:c>
      <x:c r="I6" s="19" t="s">
        <x:v>1616</x:v>
      </x:c>
      <x:c r="J6" s="17">
        <x:v>46257</x:v>
      </x:c>
    </x:row>
    <x:row r="7" ht="68.4000015258789" hidden="1">
      <x:c r="A7" s="11" t="s">
        <x:v>1617</x:v>
      </x:c>
      <x:c r="B7" s="11" t="s">
        <x:v>1618</x:v>
      </x:c>
      <x:c r="C7" s="20" t="s">
        <x:v>1619</x:v>
      </x:c>
      <x:c r="D7" s="11" t="s">
        <x:v>56</x:v>
      </x:c>
      <x:c r="E7" s="11" t="s">
        <x:v>1615</x:v>
      </x:c>
      <x:c r="F7" s="11" t="s">
        <x:v>46</x:v>
      </x:c>
      <x:c r="G7" s="11" t="s">
        <x:v>35</x:v>
      </x:c>
      <x:c r="H7" s="11" t="s">
        <x:v>99</x:v>
      </x:c>
      <x:c r="I7" s="20" t="s">
        <x:v>1620</x:v>
      </x:c>
      <x:c r="J7" s="18">
        <x:v>46252</x:v>
      </x:c>
    </x:row>
    <x:row r="8" hidden="1">
      <x:c r="A8" s="11" t="s">
        <x:v>1621</x:v>
      </x:c>
      <x:c r="B8" s="11" t="s">
        <x:v>106</x:v>
      </x:c>
      <x:c r="C8" s="20" t="s">
        <x:v>1622</x:v>
      </x:c>
      <x:c r="D8" s="11" t="s">
        <x:v>37</x:v>
      </x:c>
      <x:c r="E8" s="11" t="s">
        <x:v>1615</x:v>
      </x:c>
      <x:c r="F8" s="11" t="s">
        <x:v>46</x:v>
      </x:c>
      <x:c r="G8" s="11" t="s">
        <x:v>93</x:v>
      </x:c>
      <x:c r="H8" s="11" t="s">
        <x:v>1623</x:v>
      </x:c>
      <x:c r="I8" s="20"/>
      <x:c r="J8" s="18"/>
    </x:row>
    <x:row r="9">
      <x:c r="A9" s="11" t="s">
        <x:v>332</x:v>
      </x:c>
      <x:c r="B9" s="11" t="s">
        <x:v>329</x:v>
      </x:c>
      <x:c r="C9" s="20" t="s">
        <x:v>1624</x:v>
      </x:c>
      <x:c r="D9" s="11" t="s">
        <x:v>37</x:v>
      </x:c>
      <x:c r="E9" s="11" t="s">
        <x:v>1615</x:v>
      </x:c>
      <x:c r="F9" s="11" t="s">
        <x:v>46</x:v>
      </x:c>
      <x:c r="G9" s="11" t="s">
        <x:v>93</x:v>
      </x:c>
      <x:c r="H9" s="11" t="s">
        <x:v>1625</x:v>
      </x:c>
      <x:c r="I9" s="20"/>
      <x:c r="J9" s="18"/>
    </x:row>
    <x:row r="10" hidden="1">
      <x:c r="A10" s="11" t="s">
        <x:v>482</x:v>
      </x:c>
      <x:c r="B10" s="11" t="s">
        <x:v>1380</x:v>
      </x:c>
      <x:c r="C10" s="20" t="s">
        <x:v>1626</x:v>
      </x:c>
      <x:c r="D10" s="11" t="s">
        <x:v>57</x:v>
      </x:c>
      <x:c r="E10" s="11" t="s">
        <x:v>1615</x:v>
      </x:c>
      <x:c r="F10" s="11" t="s">
        <x:v>313</x:v>
      </x:c>
      <x:c r="G10" s="11" t="s">
        <x:v>93</x:v>
      </x:c>
      <x:c r="H10" s="11" t="s">
        <x:v>1627</x:v>
      </x:c>
      <x:c r="I10" s="20"/>
      <x:c r="J10" s="18"/>
    </x:row>
    <x:row r="11" hidden="1">
      <x:c r="A11" s="11" t="s">
        <x:v>1628</x:v>
      </x:c>
      <x:c r="B11" s="11" t="s">
        <x:v>1629</x:v>
      </x:c>
      <x:c r="C11" s="20" t="s">
        <x:v>1630</x:v>
      </x:c>
      <x:c r="D11" s="11" t="s">
        <x:v>59</x:v>
      </x:c>
      <x:c r="E11" s="11" t="s">
        <x:v>1615</x:v>
      </x:c>
      <x:c r="F11" s="11" t="s">
        <x:v>313</x:v>
      </x:c>
      <x:c r="G11" s="11" t="s">
        <x:v>93</x:v>
      </x:c>
      <x:c r="H11" s="11" t="s">
        <x:v>1631</x:v>
      </x:c>
      <x:c r="I11" s="20"/>
      <x:c r="J11" s="18"/>
    </x:row>
    <x:row r="12" ht="68.4000015258789" hidden="1">
      <x:c r="A12" s="11" t="s">
        <x:v>1632</x:v>
      </x:c>
      <x:c r="B12" s="11" t="s">
        <x:v>1629</x:v>
      </x:c>
      <x:c r="C12" s="20" t="s">
        <x:v>1633</x:v>
      </x:c>
      <x:c r="D12" s="11" t="s">
        <x:v>56</x:v>
      </x:c>
      <x:c r="E12" s="11" t="s">
        <x:v>1615</x:v>
      </x:c>
      <x:c r="F12" s="11" t="s">
        <x:v>46</x:v>
      </x:c>
      <x:c r="G12" s="11" t="s">
        <x:v>35</x:v>
      </x:c>
      <x:c r="H12" s="11" t="s">
        <x:v>1634</x:v>
      </x:c>
      <x:c r="I12" s="20" t="s">
        <x:v>1635</x:v>
      </x:c>
      <x:c r="J12" s="18">
        <x:v>46252</x:v>
      </x:c>
    </x:row>
    <x:row r="13" ht="22.799999237060547" hidden="1">
      <x:c r="A13" s="11" t="s">
        <x:v>1636</x:v>
      </x:c>
      <x:c r="B13" s="11" t="s">
        <x:v>1637</x:v>
      </x:c>
      <x:c r="C13" s="20" t="s">
        <x:v>1638</x:v>
      </x:c>
      <x:c r="D13" s="11" t="s">
        <x:v>59</x:v>
      </x:c>
      <x:c r="E13" s="11" t="s">
        <x:v>1615</x:v>
      </x:c>
      <x:c r="F13" s="11" t="s">
        <x:v>313</x:v>
      </x:c>
      <x:c r="G13" s="11" t="s">
        <x:v>93</x:v>
      </x:c>
      <x:c r="H13" s="11" t="s">
        <x:v>1639</x:v>
      </x:c>
      <x:c r="I13" s="20"/>
      <x:c r="J13" s="18"/>
    </x:row>
    <x:row r="14" ht="91.19999694824219">
      <x:c r="A14" s="11" t="s">
        <x:v>125</x:v>
      </x:c>
      <x:c r="B14" s="11" t="s">
        <x:v>106</x:v>
      </x:c>
      <x:c r="C14" s="20" t="s">
        <x:v>1640</x:v>
      </x:c>
      <x:c r="D14" s="11" t="s">
        <x:v>56</x:v>
      </x:c>
      <x:c r="E14" s="11" t="s">
        <x:v>1615</x:v>
      </x:c>
      <x:c r="F14" s="11" t="s">
        <x:v>46</x:v>
      </x:c>
      <x:c r="G14" s="11" t="s">
        <x:v>35</x:v>
      </x:c>
      <x:c r="H14" s="11" t="s">
        <x:v>1641</x:v>
      </x:c>
      <x:c r="I14" s="20" t="s">
        <x:v>1642</x:v>
      </x:c>
      <x:c r="J14" s="18">
        <x:v>46252</x:v>
      </x:c>
    </x:row>
    <x:row r="15" hidden="1">
      <x:c r="A15" s="11" t="s">
        <x:v>1643</x:v>
      </x:c>
      <x:c r="B15" s="11" t="s">
        <x:v>1330</x:v>
      </x:c>
      <x:c r="C15" s="20" t="s">
        <x:v>1644</x:v>
      </x:c>
      <x:c r="D15" s="11" t="s">
        <x:v>59</x:v>
      </x:c>
      <x:c r="E15" s="11" t="s">
        <x:v>1615</x:v>
      </x:c>
      <x:c r="F15" s="11" t="s">
        <x:v>313</x:v>
      </x:c>
      <x:c r="G15" s="11" t="s">
        <x:v>93</x:v>
      </x:c>
      <x:c r="H15" s="11" t="s">
        <x:v>1639</x:v>
      </x:c>
      <x:c r="I15" s="20"/>
      <x:c r="J15" s="18"/>
    </x:row>
    <x:row r="16" hidden="1">
      <x:c r="A16" s="11" t="s">
        <x:v>778</x:v>
      </x:c>
      <x:c r="B16" s="11" t="s">
        <x:v>774</x:v>
      </x:c>
      <x:c r="C16" s="20" t="s">
        <x:v>1645</x:v>
      </x:c>
      <x:c r="D16" s="11" t="s">
        <x:v>59</x:v>
      </x:c>
      <x:c r="E16" s="11" t="s">
        <x:v>1615</x:v>
      </x:c>
      <x:c r="F16" s="11" t="s">
        <x:v>313</x:v>
      </x:c>
      <x:c r="G16" s="11" t="s">
        <x:v>93</x:v>
      </x:c>
      <x:c r="H16" s="11" t="s">
        <x:v>1646</x:v>
      </x:c>
      <x:c r="I16" s="20"/>
      <x:c r="J16" s="18"/>
    </x:row>
    <x:row r="17" hidden="1">
      <x:c r="A17" s="11" t="s">
        <x:v>411</x:v>
      </x:c>
      <x:c r="B17" s="11" t="s">
        <x:v>1647</x:v>
      </x:c>
      <x:c r="C17" s="20" t="s">
        <x:v>1648</x:v>
      </x:c>
      <x:c r="D17" s="11" t="s">
        <x:v>57</x:v>
      </x:c>
      <x:c r="E17" s="11" t="s">
        <x:v>1615</x:v>
      </x:c>
      <x:c r="F17" s="11" t="s">
        <x:v>313</x:v>
      </x:c>
      <x:c r="G17" s="11" t="s">
        <x:v>93</x:v>
      </x:c>
      <x:c r="H17" s="11" t="s">
        <x:v>1649</x:v>
      </x:c>
      <x:c r="I17" s="20"/>
      <x:c r="J17" s="18"/>
    </x:row>
    <x:row r="18" hidden="1">
      <x:c r="A18" s="11" t="s">
        <x:v>307</x:v>
      </x:c>
      <x:c r="B18" s="11" t="s">
        <x:v>1647</x:v>
      </x:c>
      <x:c r="C18" s="20" t="s">
        <x:v>1650</x:v>
      </x:c>
      <x:c r="D18" s="11" t="s">
        <x:v>37</x:v>
      </x:c>
      <x:c r="E18" s="11" t="s">
        <x:v>1615</x:v>
      </x:c>
      <x:c r="F18" s="11" t="s">
        <x:v>46</x:v>
      </x:c>
      <x:c r="G18" s="11" t="s">
        <x:v>93</x:v>
      </x:c>
      <x:c r="H18" s="11" t="s">
        <x:v>1077</x:v>
      </x:c>
      <x:c r="I18" s="20"/>
      <x:c r="J18" s="18"/>
    </x:row>
    <x:row r="19" hidden="1">
      <x:c r="A19" s="11" t="s">
        <x:v>344</x:v>
      </x:c>
      <x:c r="B19" s="11" t="s">
        <x:v>1429</x:v>
      </x:c>
      <x:c r="C19" s="20" t="s">
        <x:v>1651</x:v>
      </x:c>
      <x:c r="D19" s="11" t="s">
        <x:v>37</x:v>
      </x:c>
      <x:c r="E19" s="11" t="s">
        <x:v>1615</x:v>
      </x:c>
      <x:c r="F19" s="11" t="s">
        <x:v>46</x:v>
      </x:c>
      <x:c r="G19" s="11" t="s">
        <x:v>93</x:v>
      </x:c>
      <x:c r="H19" s="11" t="s">
        <x:v>1652</x:v>
      </x:c>
      <x:c r="I19" s="20"/>
      <x:c r="J19" s="18"/>
    </x:row>
    <x:row r="20" ht="79.80000305175781">
      <x:c r="A20" s="11" t="s">
        <x:v>185</x:v>
      </x:c>
      <x:c r="B20" s="11" t="s">
        <x:v>182</x:v>
      </x:c>
      <x:c r="C20" s="20" t="s">
        <x:v>1653</x:v>
      </x:c>
      <x:c r="D20" s="11" t="s">
        <x:v>56</x:v>
      </x:c>
      <x:c r="E20" s="11" t="s">
        <x:v>1654</x:v>
      </x:c>
      <x:c r="F20" s="11" t="s">
        <x:v>46</x:v>
      </x:c>
      <x:c r="G20" s="11" t="s">
        <x:v>35</x:v>
      </x:c>
      <x:c r="H20" s="11" t="s">
        <x:v>1655</x:v>
      </x:c>
      <x:c r="I20" s="20" t="s">
        <x:v>1656</x:v>
      </x:c>
      <x:c r="J20" s="18">
        <x:v>46252</x:v>
      </x:c>
    </x:row>
    <x:row r="21" ht="22.799999237060547" hidden="1">
      <x:c r="A21" s="11" t="s">
        <x:v>539</x:v>
      </x:c>
      <x:c r="B21" s="11" t="s">
        <x:v>1657</x:v>
      </x:c>
      <x:c r="C21" s="20" t="s">
        <x:v>1658</x:v>
      </x:c>
      <x:c r="D21" s="11" t="s">
        <x:v>58</x:v>
      </x:c>
      <x:c r="E21" s="11" t="s">
        <x:v>1615</x:v>
      </x:c>
      <x:c r="F21" s="11" t="s">
        <x:v>313</x:v>
      </x:c>
      <x:c r="G21" s="11" t="s">
        <x:v>93</x:v>
      </x:c>
      <x:c r="H21" s="11" t="s">
        <x:v>1659</x:v>
      </x:c>
      <x:c r="I21" s="20"/>
      <x:c r="J21" s="18"/>
    </x:row>
    <x:row r="22" hidden="1">
      <x:c r="A22" s="11" t="s">
        <x:v>505</x:v>
      </x:c>
      <x:c r="B22" s="11" t="s">
        <x:v>1660</x:v>
      </x:c>
      <x:c r="C22" s="20" t="s">
        <x:v>1661</x:v>
      </x:c>
      <x:c r="D22" s="11" t="s">
        <x:v>60</x:v>
      </x:c>
      <x:c r="E22" s="11" t="s">
        <x:v>1615</x:v>
      </x:c>
      <x:c r="F22" s="11" t="s">
        <x:v>313</x:v>
      </x:c>
      <x:c r="G22" s="11" t="s">
        <x:v>93</x:v>
      </x:c>
      <x:c r="H22" s="11" t="s">
        <x:v>1662</x:v>
      </x:c>
      <x:c r="I22" s="20"/>
      <x:c r="J22" s="18"/>
    </x:row>
    <x:row r="23" hidden="1">
      <x:c r="A23" s="11" t="s">
        <x:v>517</x:v>
      </x:c>
      <x:c r="B23" s="11" t="s">
        <x:v>1447</x:v>
      </x:c>
      <x:c r="C23" s="20" t="s">
        <x:v>1663</x:v>
      </x:c>
      <x:c r="D23" s="11" t="s">
        <x:v>60</x:v>
      </x:c>
      <x:c r="E23" s="11" t="s">
        <x:v>1615</x:v>
      </x:c>
      <x:c r="F23" s="11" t="s">
        <x:v>313</x:v>
      </x:c>
      <x:c r="G23" s="11" t="s">
        <x:v>93</x:v>
      </x:c>
      <x:c r="H23" s="11" t="s">
        <x:v>934</x:v>
      </x:c>
      <x:c r="I23" s="20"/>
      <x:c r="J23" s="18"/>
    </x:row>
    <x:row r="24" ht="22.799999237060547" hidden="1">
      <x:c r="A24" s="11" t="s">
        <x:v>614</x:v>
      </x:c>
      <x:c r="B24" s="11" t="s">
        <x:v>1664</x:v>
      </x:c>
      <x:c r="C24" s="20" t="s">
        <x:v>1665</x:v>
      </x:c>
      <x:c r="D24" s="11" t="s">
        <x:v>58</x:v>
      </x:c>
      <x:c r="E24" s="11" t="s">
        <x:v>1615</x:v>
      </x:c>
      <x:c r="F24" s="11" t="s">
        <x:v>313</x:v>
      </x:c>
      <x:c r="G24" s="11" t="s">
        <x:v>93</x:v>
      </x:c>
      <x:c r="H24" s="11" t="s">
        <x:v>1666</x:v>
      </x:c>
      <x:c r="I24" s="20"/>
      <x:c r="J24" s="18"/>
    </x:row>
    <x:row r="25" ht="22.799999237060547" hidden="1">
      <x:c r="A25" s="11" t="s">
        <x:v>862</x:v>
      </x:c>
      <x:c r="B25" s="11" t="s">
        <x:v>871</x:v>
      </x:c>
      <x:c r="C25" s="20" t="s">
        <x:v>1667</x:v>
      </x:c>
      <x:c r="D25" s="11" t="s">
        <x:v>60</x:v>
      </x:c>
      <x:c r="E25" s="11" t="s">
        <x:v>1615</x:v>
      </x:c>
      <x:c r="F25" s="11" t="s">
        <x:v>313</x:v>
      </x:c>
      <x:c r="G25" s="11" t="s">
        <x:v>93</x:v>
      </x:c>
      <x:c r="H25" s="11" t="s">
        <x:v>1668</x:v>
      </x:c>
      <x:c r="I25" s="20"/>
      <x:c r="J25" s="18"/>
    </x:row>
    <x:row r="26" hidden="1">
      <x:c r="A26" s="11" t="s">
        <x:v>625</x:v>
      </x:c>
      <x:c r="B26" s="11" t="s">
        <x:v>106</x:v>
      </x:c>
      <x:c r="C26" s="20" t="s">
        <x:v>1669</x:v>
      </x:c>
      <x:c r="D26" s="11" t="s">
        <x:v>58</x:v>
      </x:c>
      <x:c r="E26" s="11" t="s">
        <x:v>1654</x:v>
      </x:c>
      <x:c r="F26" s="11" t="s">
        <x:v>313</x:v>
      </x:c>
      <x:c r="G26" s="11" t="s">
        <x:v>93</x:v>
      </x:c>
      <x:c r="H26" s="11" t="s">
        <x:v>1670</x:v>
      </x:c>
      <x:c r="I26" s="20"/>
      <x:c r="J26" s="18"/>
    </x:row>
    <x:row r="27" ht="22.799999237060547" hidden="1">
      <x:c r="A27" s="11" t="s">
        <x:v>954</x:v>
      </x:c>
      <x:c r="B27" s="11" t="s">
        <x:v>1452</x:v>
      </x:c>
      <x:c r="C27" s="20" t="s">
        <x:v>1671</x:v>
      </x:c>
      <x:c r="D27" s="11" t="s">
        <x:v>60</x:v>
      </x:c>
      <x:c r="E27" s="11" t="s">
        <x:v>1654</x:v>
      </x:c>
      <x:c r="F27" s="11" t="s">
        <x:v>313</x:v>
      </x:c>
      <x:c r="G27" s="11" t="s">
        <x:v>93</x:v>
      </x:c>
      <x:c r="H27" s="11" t="s">
        <x:v>1672</x:v>
      </x:c>
      <x:c r="I27" s="20"/>
      <x:c r="J27" s="18"/>
    </x:row>
    <x:row r="28" ht="68.4000015258789" hidden="1">
      <x:c r="A28" s="11" t="s">
        <x:v>368</x:v>
      </x:c>
      <x:c r="B28" s="11" t="s">
        <x:v>1673</x:v>
      </x:c>
      <x:c r="C28" s="20" t="s">
        <x:v>1674</x:v>
      </x:c>
      <x:c r="D28" s="11" t="s">
        <x:v>56</x:v>
      </x:c>
      <x:c r="E28" s="11" t="s">
        <x:v>1615</x:v>
      </x:c>
      <x:c r="F28" s="11" t="s">
        <x:v>46</x:v>
      </x:c>
      <x:c r="G28" s="11" t="s">
        <x:v>35</x:v>
      </x:c>
      <x:c r="H28" s="11" t="s">
        <x:v>1675</x:v>
      </x:c>
      <x:c r="I28" s="20" t="s">
        <x:v>1676</x:v>
      </x:c>
      <x:c r="J28" s="18">
        <x:v>46252</x:v>
      </x:c>
    </x:row>
    <x:row r="29" ht="22.799999237060547" hidden="1">
      <x:c r="A29" s="11" t="s">
        <x:v>1677</x:v>
      </x:c>
      <x:c r="B29" s="11" t="s">
        <x:v>329</x:v>
      </x:c>
      <x:c r="C29" s="20" t="s">
        <x:v>1678</x:v>
      </x:c>
      <x:c r="D29" s="11" t="s">
        <x:v>59</x:v>
      </x:c>
      <x:c r="E29" s="11" t="s">
        <x:v>1615</x:v>
      </x:c>
      <x:c r="F29" s="11" t="s">
        <x:v>313</x:v>
      </x:c>
      <x:c r="G29" s="11" t="s">
        <x:v>93</x:v>
      </x:c>
      <x:c r="H29" s="11" t="s">
        <x:v>1679</x:v>
      </x:c>
      <x:c r="I29" s="20"/>
      <x:c r="J29" s="18"/>
    </x:row>
    <x:row r="30" ht="22.799999237060547" hidden="1">
      <x:c r="A30" s="11" t="s">
        <x:v>446</x:v>
      </x:c>
      <x:c r="B30" s="11" t="s">
        <x:v>1680</x:v>
      </x:c>
      <x:c r="C30" s="20" t="s">
        <x:v>1681</x:v>
      </x:c>
      <x:c r="D30" s="11" t="s">
        <x:v>57</x:v>
      </x:c>
      <x:c r="E30" s="11" t="s">
        <x:v>1654</x:v>
      </x:c>
      <x:c r="F30" s="11" t="s">
        <x:v>313</x:v>
      </x:c>
      <x:c r="G30" s="11" t="s">
        <x:v>93</x:v>
      </x:c>
      <x:c r="H30" s="11" t="s">
        <x:v>1682</x:v>
      </x:c>
      <x:c r="I30" s="20"/>
      <x:c r="J30" s="18"/>
    </x:row>
  </x:sheetData>
  <x:mergeCells>
    <x:mergeCell ref="A1:J1"/>
    <x:mergeCell ref="A2:J2"/>
  </x:mergeCells>
  <x:conditionalFormatting sqref="F6:F30">
    <x:cfRule type="containsText" dxfId="7" priority="1" operator="containsText" text="Done"/>
    <x:cfRule type="containsText" dxfId="6" priority="2" operator="containsText" text="Blocked"/>
    <x:cfRule type="containsText" dxfId="5" priority="3" operator="containsText" text="In Progress"/>
    <x:cfRule type="containsText" dxfId="4" priority="4" operator="containsText" text="Ready for Review"/>
  </x:conditionalFormatting>
  <x:dataValidations count="1">
    <x:dataValidation type="list" sqref="F6:F30">
      <x:formula1>"Not Started,In Progress,Blocked,Done,Deferred"</x:formula1>
    </x:dataValidation>
  </x:dataValidations>
  <x:pageMargins left="0.7" right="0.7" top="0.75" bottom="0.75" header="0.3" footer="0.3"/>
  <x:tableParts count="1">
    <x:tablePart xmlns:r="http://schemas.openxmlformats.org/officeDocument/2006/relationships" r:id="Rff40f8a738484a12"/>
  </x:tableParts>
</x:worksheet>
</file>

<file path=xl/worksheets/sheet15.xml><?xml version="1.0" encoding="utf-8"?>
<x:worksheet xmlns:x="http://schemas.openxmlformats.org/spreadsheetml/2006/main">
  <x:sheetViews>
    <x:sheetView showGridLines="0" workbookViewId="0"/>
  </x:sheetViews>
  <x:sheetFormatPr defaultRowHeight="13.800000190734863"/>
  <x:cols>
    <x:col min="1" max="1" width="8" customWidth="1"/>
    <x:col min="2" max="2" width="44.796875" customWidth="1"/>
    <x:col min="3" max="3" width="17" customWidth="1"/>
    <x:col min="4" max="4" width="49.69921875" customWidth="1"/>
    <x:col min="5" max="5" width="39.796875" customWidth="1"/>
    <x:col min="9" max="9" width="8.69921875" customWidth="1"/>
  </x:cols>
  <x:sheetData>
    <x:row r="1" ht="22.799999237060547">
      <x:c r="A1" s="56" t="s">
        <x:v>1683</x:v>
      </x:c>
      <x:c r="B1" s="56"/>
      <x:c r="C1" s="56"/>
      <x:c r="D1" s="56"/>
      <x:c r="E1" s="56"/>
      <x:c r="F1" s="56"/>
      <x:c r="G1" s="56"/>
      <x:c r="H1" s="56"/>
      <x:c r="I1" s="56"/>
    </x:row>
    <x:row r="2">
      <x:c r="A2" s="57" t="s">
        <x:v>1684</x:v>
      </x:c>
      <x:c r="B2" s="57"/>
      <x:c r="C2" s="57"/>
      <x:c r="D2" s="57"/>
      <x:c r="E2" s="57"/>
      <x:c r="F2" s="57"/>
      <x:c r="G2" s="57"/>
      <x:c r="H2" s="57"/>
      <x:c r="I2" s="57"/>
    </x:row>
    <x:row r="4">
      <x:c r="A4" s="58" t="s">
        <x:v>1685</x:v>
      </x:c>
      <x:c r="B4" s="59"/>
      <x:c r="C4" s="59"/>
      <x:c r="D4" s="59"/>
      <x:c r="E4" s="59"/>
      <x:c r="F4" s="59"/>
      <x:c r="G4" s="59"/>
      <x:c r="H4" s="59"/>
      <x:c r="I4" s="60"/>
    </x:row>
    <x:row r="5" ht="26.399999618530273">
      <x:c r="A5" s="1" t="s">
        <x:v>1686</x:v>
      </x:c>
      <x:c r="B5" s="2" t="s">
        <x:v>1687</x:v>
      </x:c>
      <x:c r="C5" s="2" t="s">
        <x:v>1688</x:v>
      </x:c>
      <x:c r="D5" s="3" t="s">
        <x:v>1689</x:v>
      </x:c>
      <x:c r="F5" s="1" t="s">
        <x:v>1690</x:v>
      </x:c>
      <x:c r="G5" s="2" t="s">
        <x:v>1691</x:v>
      </x:c>
      <x:c r="H5" s="2" t="s">
        <x:v>1692</x:v>
      </x:c>
      <x:c r="I5" s="3" t="s">
        <x:v>1693</x:v>
      </x:c>
    </x:row>
    <x:row r="6" ht="91.19999694824219">
      <x:c r="A6" s="10" t="s">
        <x:v>668</x:v>
      </x:c>
      <x:c r="B6" s="10" t="s">
        <x:v>1694</x:v>
      </x:c>
      <x:c r="C6" s="10" t="s">
        <x:v>1695</x:v>
      </x:c>
      <x:c r="D6" s="10" t="s">
        <x:v>1696</x:v>
      </x:c>
      <x:c r="F6" s="10" t="s">
        <x:v>1697</x:v>
      </x:c>
      <x:c r="G6" s="10" t="s">
        <x:v>1698</x:v>
      </x:c>
      <x:c r="H6" s="10" t="s">
        <x:v>1699</x:v>
      </x:c>
      <x:c r="I6" s="10" t="s">
        <x:v>1700</x:v>
      </x:c>
    </x:row>
    <x:row r="7" ht="125.4000015258789">
      <x:c r="A7" s="11" t="s">
        <x:v>1701</x:v>
      </x:c>
      <x:c r="B7" s="11" t="s">
        <x:v>1702</x:v>
      </x:c>
      <x:c r="C7" s="11" t="s">
        <x:v>1703</x:v>
      </x:c>
      <x:c r="D7" s="11" t="s">
        <x:v>1704</x:v>
      </x:c>
      <x:c r="F7" s="11" t="s">
        <x:v>1705</x:v>
      </x:c>
      <x:c r="G7" s="11" t="s">
        <x:v>1706</x:v>
      </x:c>
      <x:c r="H7" s="11" t="s">
        <x:v>1707</x:v>
      </x:c>
      <x:c r="I7" s="11" t="s">
        <x:v>1708</x:v>
      </x:c>
    </x:row>
    <x:row r="8" ht="79.80000305175781">
      <x:c r="A8" s="11" t="s">
        <x:v>1709</x:v>
      </x:c>
      <x:c r="B8" s="11" t="s">
        <x:v>1710</x:v>
      </x:c>
      <x:c r="C8" s="11" t="s">
        <x:v>1711</x:v>
      </x:c>
      <x:c r="D8" s="11" t="s">
        <x:v>1712</x:v>
      </x:c>
      <x:c r="F8" s="11" t="s">
        <x:v>1713</x:v>
      </x:c>
      <x:c r="G8" s="11" t="s">
        <x:v>1714</x:v>
      </x:c>
      <x:c r="H8" s="11" t="s">
        <x:v>1715</x:v>
      </x:c>
      <x:c r="I8" s="11" t="s">
        <x:v>1716</x:v>
      </x:c>
    </x:row>
    <x:row r="11">
      <x:c r="A11" s="1" t="s">
        <x:v>1029</x:v>
      </x:c>
      <x:c r="B11" s="2" t="s">
        <x:v>1019</x:v>
      </x:c>
      <x:c r="C11" s="2" t="s">
        <x:v>1717</x:v>
      </x:c>
      <x:c r="D11" s="2" t="s">
        <x:v>1718</x:v>
      </x:c>
      <x:c r="E11" s="3" t="s">
        <x:v>1719</x:v>
      </x:c>
    </x:row>
    <x:row r="12" ht="22.799999237060547">
      <x:c r="A12" s="10">
        <x:v>1</x:v>
      </x:c>
      <x:c r="B12" s="10" t="s">
        <x:v>1720</x:v>
      </x:c>
      <x:c r="C12" s="10" t="s">
        <x:v>1714</x:v>
      </x:c>
      <x:c r="D12" s="10" t="s">
        <x:v>1721</x:v>
      </x:c>
      <x:c r="E12" s="10" t="s">
        <x:v>1722</x:v>
      </x:c>
    </x:row>
    <x:row r="13">
      <x:c r="A13" s="11">
        <x:v>2</x:v>
      </x:c>
      <x:c r="B13" s="11" t="s">
        <x:v>1723</x:v>
      </x:c>
      <x:c r="C13" s="11" t="s">
        <x:v>1724</x:v>
      </x:c>
      <x:c r="D13" s="11" t="s">
        <x:v>1725</x:v>
      </x:c>
      <x:c r="E13" s="11" t="s">
        <x:v>1726</x:v>
      </x:c>
    </x:row>
    <x:row r="14">
      <x:c r="A14" s="11">
        <x:v>3</x:v>
      </x:c>
      <x:c r="B14" s="11" t="s">
        <x:v>1727</x:v>
      </x:c>
      <x:c r="C14" s="11" t="s">
        <x:v>668</x:v>
      </x:c>
      <x:c r="D14" s="11" t="s">
        <x:v>1728</x:v>
      </x:c>
      <x:c r="E14" s="11" t="s">
        <x:v>1729</x:v>
      </x:c>
    </x:row>
    <x:row r="15" ht="22.799999237060547">
      <x:c r="A15" s="11">
        <x:v>4</x:v>
      </x:c>
      <x:c r="B15" s="11" t="s">
        <x:v>1730</x:v>
      </x:c>
      <x:c r="C15" s="11" t="s">
        <x:v>1701</x:v>
      </x:c>
      <x:c r="D15" s="11" t="s">
        <x:v>1731</x:v>
      </x:c>
      <x:c r="E15" s="11" t="s">
        <x:v>1732</x:v>
      </x:c>
    </x:row>
    <x:row r="16" ht="22.799999237060547">
      <x:c r="A16" s="11">
        <x:v>5</x:v>
      </x:c>
      <x:c r="B16" s="11" t="s">
        <x:v>1733</x:v>
      </x:c>
      <x:c r="C16" s="11" t="s">
        <x:v>1336</x:v>
      </x:c>
      <x:c r="D16" s="11" t="s">
        <x:v>1734</x:v>
      </x:c>
      <x:c r="E16" s="11" t="s">
        <x:v>1735</x:v>
      </x:c>
    </x:row>
    <x:row r="17" ht="22.799999237060547">
      <x:c r="A17" s="11">
        <x:v>6</x:v>
      </x:c>
      <x:c r="B17" s="11" t="s">
        <x:v>1736</x:v>
      </x:c>
      <x:c r="C17" s="11" t="s">
        <x:v>1336</x:v>
      </x:c>
      <x:c r="D17" s="11" t="s">
        <x:v>1737</x:v>
      </x:c>
      <x:c r="E17" s="11" t="s">
        <x:v>1738</x:v>
      </x:c>
    </x:row>
    <x:row r="18" ht="22.799999237060547">
      <x:c r="A18" s="11">
        <x:v>7</x:v>
      </x:c>
      <x:c r="B18" s="11" t="s">
        <x:v>1739</x:v>
      </x:c>
      <x:c r="C18" s="11" t="s">
        <x:v>1336</x:v>
      </x:c>
      <x:c r="D18" s="11" t="s">
        <x:v>1740</x:v>
      </x:c>
      <x:c r="E18" s="11" t="s">
        <x:v>1741</x:v>
      </x:c>
    </x:row>
    <x:row r="19" ht="22.799999237060547">
      <x:c r="A19" s="11">
        <x:v>8</x:v>
      </x:c>
      <x:c r="B19" s="11" t="s">
        <x:v>1742</x:v>
      </x:c>
      <x:c r="C19" s="11" t="s">
        <x:v>1336</x:v>
      </x:c>
      <x:c r="D19" s="11" t="s">
        <x:v>1743</x:v>
      </x:c>
      <x:c r="E19" s="11" t="s">
        <x:v>1744</x:v>
      </x:c>
    </x:row>
    <x:row r="20">
      <x:c r="A20" s="11">
        <x:v>9</x:v>
      </x:c>
      <x:c r="B20" s="11" t="s">
        <x:v>1745</x:v>
      </x:c>
      <x:c r="C20" s="11" t="s">
        <x:v>1336</x:v>
      </x:c>
      <x:c r="D20" s="11" t="s">
        <x:v>1746</x:v>
      </x:c>
      <x:c r="E20" s="11" t="s">
        <x:v>1747</x:v>
      </x:c>
    </x:row>
    <x:row r="21" ht="22.799999237060547">
      <x:c r="A21" s="11">
        <x:v>10</x:v>
      </x:c>
      <x:c r="B21" s="11" t="s">
        <x:v>1748</x:v>
      </x:c>
      <x:c r="C21" s="11" t="s">
        <x:v>1336</x:v>
      </x:c>
      <x:c r="D21" s="11" t="s">
        <x:v>1749</x:v>
      </x:c>
      <x:c r="E21" s="11" t="s">
        <x:v>1750</x:v>
      </x:c>
    </x:row>
    <x:row r="22" ht="22.799999237060547">
      <x:c r="A22" s="11">
        <x:v>11</x:v>
      </x:c>
      <x:c r="B22" s="11" t="s">
        <x:v>1751</x:v>
      </x:c>
      <x:c r="C22" s="11" t="s">
        <x:v>1336</x:v>
      </x:c>
      <x:c r="D22" s="11" t="s">
        <x:v>1752</x:v>
      </x:c>
      <x:c r="E22" s="11" t="s">
        <x:v>1753</x:v>
      </x:c>
    </x:row>
    <x:row r="23">
      <x:c r="A23" s="11">
        <x:v>12</x:v>
      </x:c>
      <x:c r="B23" s="11" t="s">
        <x:v>1754</x:v>
      </x:c>
      <x:c r="C23" s="11" t="s">
        <x:v>1336</x:v>
      </x:c>
      <x:c r="D23" s="11" t="s">
        <x:v>1755</x:v>
      </x:c>
      <x:c r="E23" s="11" t="s">
        <x:v>1756</x:v>
      </x:c>
    </x:row>
    <x:row r="24" ht="22.799999237060547">
      <x:c r="A24" s="11">
        <x:v>13</x:v>
      </x:c>
      <x:c r="B24" s="11" t="s">
        <x:v>1757</x:v>
      </x:c>
      <x:c r="C24" s="11" t="s">
        <x:v>1336</x:v>
      </x:c>
      <x:c r="D24" s="11" t="s">
        <x:v>1758</x:v>
      </x:c>
      <x:c r="E24" s="11" t="s">
        <x:v>1759</x:v>
      </x:c>
    </x:row>
    <x:row r="25">
      <x:c r="A25" s="11">
        <x:v>14</x:v>
      </x:c>
      <x:c r="B25" s="11" t="s">
        <x:v>1760</x:v>
      </x:c>
      <x:c r="C25" s="11" t="s">
        <x:v>1336</x:v>
      </x:c>
      <x:c r="D25" s="11" t="s">
        <x:v>1761</x:v>
      </x:c>
      <x:c r="E25" s="11" t="s">
        <x:v>1762</x:v>
      </x:c>
    </x:row>
    <x:row r="26">
      <x:c r="A26" s="11">
        <x:v>15</x:v>
      </x:c>
      <x:c r="B26" s="11" t="s">
        <x:v>1763</x:v>
      </x:c>
      <x:c r="C26" s="11" t="s">
        <x:v>1336</x:v>
      </x:c>
      <x:c r="D26" s="11" t="s">
        <x:v>1764</x:v>
      </x:c>
      <x:c r="E26" s="11" t="s">
        <x:v>1765</x:v>
      </x:c>
    </x:row>
    <x:row r="27" ht="22.799999237060547">
      <x:c r="A27" s="11">
        <x:v>16</x:v>
      </x:c>
      <x:c r="B27" s="11" t="s">
        <x:v>1766</x:v>
      </x:c>
      <x:c r="C27" s="11" t="s">
        <x:v>1714</x:v>
      </x:c>
      <x:c r="D27" s="11" t="s">
        <x:v>1767</x:v>
      </x:c>
      <x:c r="E27" s="11" t="s">
        <x:v>1768</x:v>
      </x:c>
    </x:row>
    <x:row r="29">
      <x:c r="A29" s="116" t="s">
        <x:v>1769</x:v>
      </x:c>
      <x:c r="B29" s="117"/>
      <x:c r="C29" s="117"/>
      <x:c r="D29" s="117"/>
      <x:c r="E29" s="117"/>
      <x:c r="F29" s="117"/>
      <x:c r="G29" s="117"/>
      <x:c r="H29" s="117"/>
      <x:c r="I29" s="118"/>
    </x:row>
  </x:sheetData>
  <x:mergeCells>
    <x:mergeCell ref="A1:I1"/>
    <x:mergeCell ref="A2:I2"/>
    <x:mergeCell ref="A4:I4"/>
    <x:mergeCell ref="A29:I29"/>
  </x:mergeCells>
  <x:pageMargins left="0.7" right="0.7" top="0.75" bottom="0.75" header="0.3" footer="0.3"/>
  <x:tableParts count="1">
    <x:tablePart xmlns:r="http://schemas.openxmlformats.org/officeDocument/2006/relationships" r:id="R8ccf956b4ce64731"/>
  </x:tableParts>
</x:worksheet>
</file>

<file path=xl/worksheets/sheet16.xml><?xml version="1.0" encoding="utf-8"?>
<x:worksheet xmlns:x="http://schemas.openxmlformats.org/spreadsheetml/2006/main">
  <x:sheetViews>
    <x:sheetView showGridLines="0" workbookViewId="0"/>
  </x:sheetViews>
  <x:sheetFormatPr defaultRowHeight="13.800000190734863"/>
  <x:cols>
    <x:col min="1" max="1" width="19" customWidth="1"/>
    <x:col min="2" max="2" width="30" customWidth="1"/>
    <x:col min="3" max="4" width="18" customWidth="1"/>
    <x:col min="5" max="5" width="42" customWidth="1"/>
    <x:col min="6" max="6" width="38" customWidth="1"/>
    <x:col min="7" max="7" width="44" customWidth="1"/>
  </x:cols>
  <x:sheetData>
    <x:row r="1" ht="31.950000762939453" customHeight="1">
      <x:c r="A1" s="56" t="s">
        <x:v>1770</x:v>
      </x:c>
      <x:c r="B1" s="56"/>
      <x:c r="C1" s="56"/>
      <x:c r="D1" s="56"/>
      <x:c r="E1" s="56"/>
      <x:c r="F1" s="56"/>
      <x:c r="G1" s="56"/>
    </x:row>
    <x:row r="2" ht="31.950000762939453" customHeight="1">
      <x:c r="A2" s="57" t="s">
        <x:v>1771</x:v>
      </x:c>
      <x:c r="B2" s="57"/>
      <x:c r="C2" s="57"/>
      <x:c r="D2" s="57"/>
      <x:c r="E2" s="57"/>
      <x:c r="F2" s="57"/>
      <x:c r="G2" s="57"/>
    </x:row>
    <x:row r="5" ht="28.049999237060547" customHeight="1">
      <x:c r="A5" s="1" t="s">
        <x:v>1605</x:v>
      </x:c>
      <x:c r="B5" s="2" t="s">
        <x:v>1772</x:v>
      </x:c>
      <x:c r="C5" s="2" t="s">
        <x:v>71</x:v>
      </x:c>
      <x:c r="D5" s="2" t="s">
        <x:v>1773</x:v>
      </x:c>
      <x:c r="E5" s="2" t="s">
        <x:v>1774</x:v>
      </x:c>
      <x:c r="F5" s="2" t="s">
        <x:v>1775</x:v>
      </x:c>
      <x:c r="G5" s="3" t="s">
        <x:v>1776</x:v>
      </x:c>
    </x:row>
    <x:row r="6">
      <x:c r="A6" s="10" t="s">
        <x:v>1777</x:v>
      </x:c>
      <x:c r="B6" s="10" t="s">
        <x:v>1778</x:v>
      </x:c>
      <x:c r="C6" s="10" t="s">
        <x:v>1779</x:v>
      </x:c>
      <x:c r="D6" s="10" t="s">
        <x:v>1596</x:v>
      </x:c>
      <x:c r="E6" s="10" t="s">
        <x:v>1780</x:v>
      </x:c>
      <x:c r="F6" s="10" t="s">
        <x:v>1781</x:v>
      </x:c>
      <x:c r="G6" s="10" t="s">
        <x:v>1782</x:v>
      </x:c>
    </x:row>
    <x:row r="7">
      <x:c r="A7" s="11" t="s">
        <x:v>1777</x:v>
      </x:c>
      <x:c r="B7" s="11" t="s">
        <x:v>1783</x:v>
      </x:c>
      <x:c r="C7" s="11" t="s">
        <x:v>1779</x:v>
      </x:c>
      <x:c r="D7" s="11" t="s">
        <x:v>1784</x:v>
      </x:c>
      <x:c r="E7" s="11" t="s">
        <x:v>1785</x:v>
      </x:c>
      <x:c r="F7" s="11" t="s">
        <x:v>1786</x:v>
      </x:c>
      <x:c r="G7" s="11" t="s">
        <x:v>1787</x:v>
      </x:c>
    </x:row>
    <x:row r="8">
      <x:c r="A8" s="11" t="s">
        <x:v>1777</x:v>
      </x:c>
      <x:c r="B8" s="11" t="s">
        <x:v>1788</x:v>
      </x:c>
      <x:c r="C8" s="11" t="s">
        <x:v>1779</x:v>
      </x:c>
      <x:c r="D8" s="11" t="s">
        <x:v>1784</x:v>
      </x:c>
      <x:c r="E8" s="11" t="s">
        <x:v>1789</x:v>
      </x:c>
      <x:c r="F8" s="11" t="s">
        <x:v>1790</x:v>
      </x:c>
      <x:c r="G8" s="11" t="s">
        <x:v>1791</x:v>
      </x:c>
    </x:row>
    <x:row r="9">
      <x:c r="A9" s="11" t="s">
        <x:v>1777</x:v>
      </x:c>
      <x:c r="B9" s="11" t="s">
        <x:v>1792</x:v>
      </x:c>
      <x:c r="C9" s="11" t="s">
        <x:v>1779</x:v>
      </x:c>
      <x:c r="D9" s="11" t="s">
        <x:v>1784</x:v>
      </x:c>
      <x:c r="E9" s="11" t="s">
        <x:v>1793</x:v>
      </x:c>
      <x:c r="F9" s="11" t="s">
        <x:v>1794</x:v>
      </x:c>
      <x:c r="G9" s="11" t="s">
        <x:v>1795</x:v>
      </x:c>
    </x:row>
    <x:row r="10">
      <x:c r="A10" s="11" t="s">
        <x:v>1777</x:v>
      </x:c>
      <x:c r="B10" s="11" t="s">
        <x:v>1796</x:v>
      </x:c>
      <x:c r="C10" s="11" t="s">
        <x:v>1779</x:v>
      </x:c>
      <x:c r="D10" s="11" t="s">
        <x:v>1784</x:v>
      </x:c>
      <x:c r="E10" s="11" t="s">
        <x:v>1797</x:v>
      </x:c>
      <x:c r="F10" s="11" t="s">
        <x:v>1798</x:v>
      </x:c>
      <x:c r="G10" s="11" t="s">
        <x:v>1799</x:v>
      </x:c>
    </x:row>
    <x:row r="11">
      <x:c r="A11" s="11" t="s">
        <x:v>1800</x:v>
      </x:c>
      <x:c r="B11" s="11" t="s">
        <x:v>1801</x:v>
      </x:c>
      <x:c r="C11" s="11" t="s">
        <x:v>89</x:v>
      </x:c>
      <x:c r="D11" s="11" t="s">
        <x:v>1802</x:v>
      </x:c>
      <x:c r="E11" s="11" t="s">
        <x:v>1803</x:v>
      </x:c>
      <x:c r="F11" s="11" t="s">
        <x:v>1804</x:v>
      </x:c>
      <x:c r="G11" s="11" t="s">
        <x:v>1805</x:v>
      </x:c>
    </x:row>
    <x:row r="12">
      <x:c r="A12" s="11" t="s">
        <x:v>1800</x:v>
      </x:c>
      <x:c r="B12" s="11" t="s">
        <x:v>1806</x:v>
      </x:c>
      <x:c r="C12" s="11" t="s">
        <x:v>89</x:v>
      </x:c>
      <x:c r="D12" s="11" t="s">
        <x:v>58</x:v>
      </x:c>
      <x:c r="E12" s="11" t="s">
        <x:v>1807</x:v>
      </x:c>
      <x:c r="F12" s="11" t="s">
        <x:v>1808</x:v>
      </x:c>
      <x:c r="G12" s="11" t="s">
        <x:v>1809</x:v>
      </x:c>
    </x:row>
    <x:row r="13">
      <x:c r="A13" s="11" t="s">
        <x:v>1810</x:v>
      </x:c>
      <x:c r="B13" s="11" t="s">
        <x:v>1811</x:v>
      </x:c>
      <x:c r="C13" s="11" t="s">
        <x:v>1779</x:v>
      </x:c>
      <x:c r="D13" s="11" t="s">
        <x:v>1596</x:v>
      </x:c>
      <x:c r="E13" s="11" t="s">
        <x:v>1812</x:v>
      </x:c>
      <x:c r="F13" s="11" t="s">
        <x:v>1813</x:v>
      </x:c>
      <x:c r="G13" s="11" t="s">
        <x:v>1814</x:v>
      </x:c>
    </x:row>
    <x:row r="14">
      <x:c r="A14" s="11" t="s">
        <x:v>1810</x:v>
      </x:c>
      <x:c r="B14" s="11" t="s">
        <x:v>1815</x:v>
      </x:c>
      <x:c r="C14" s="11" t="s">
        <x:v>1779</x:v>
      </x:c>
      <x:c r="D14" s="11" t="s">
        <x:v>1596</x:v>
      </x:c>
      <x:c r="E14" s="11" t="s">
        <x:v>1816</x:v>
      </x:c>
      <x:c r="F14" s="11" t="s">
        <x:v>1817</x:v>
      </x:c>
      <x:c r="G14" s="11" t="s">
        <x:v>1818</x:v>
      </x:c>
    </x:row>
    <x:row r="15">
      <x:c r="A15" s="11" t="s">
        <x:v>1810</x:v>
      </x:c>
      <x:c r="B15" s="11" t="s">
        <x:v>1819</x:v>
      </x:c>
      <x:c r="C15" s="11" t="s">
        <x:v>1779</x:v>
      </x:c>
      <x:c r="D15" s="11" t="s">
        <x:v>1820</x:v>
      </x:c>
      <x:c r="E15" s="11" t="s">
        <x:v>1821</x:v>
      </x:c>
      <x:c r="F15" s="11" t="s">
        <x:v>1822</x:v>
      </x:c>
      <x:c r="G15" s="11" t="s">
        <x:v>1823</x:v>
      </x:c>
    </x:row>
    <x:row r="16">
      <x:c r="A16" s="11" t="s">
        <x:v>1810</x:v>
      </x:c>
      <x:c r="B16" s="11" t="s">
        <x:v>1824</x:v>
      </x:c>
      <x:c r="C16" s="11" t="s">
        <x:v>1779</x:v>
      </x:c>
      <x:c r="D16" s="11" t="s">
        <x:v>1825</x:v>
      </x:c>
      <x:c r="E16" s="11" t="s">
        <x:v>1826</x:v>
      </x:c>
      <x:c r="F16" s="11" t="s">
        <x:v>1827</x:v>
      </x:c>
      <x:c r="G16" s="11" t="s">
        <x:v>1828</x:v>
      </x:c>
    </x:row>
    <x:row r="17">
      <x:c r="A17" s="11" t="s">
        <x:v>1829</x:v>
      </x:c>
      <x:c r="B17" s="11" t="s">
        <x:v>1830</x:v>
      </x:c>
      <x:c r="C17" s="11" t="s">
        <x:v>1779</x:v>
      </x:c>
      <x:c r="D17" s="11" t="s">
        <x:v>1831</x:v>
      </x:c>
      <x:c r="E17" s="11" t="s">
        <x:v>1832</x:v>
      </x:c>
      <x:c r="F17" s="11" t="s">
        <x:v>1833</x:v>
      </x:c>
      <x:c r="G17" s="11" t="s">
        <x:v>1834</x:v>
      </x:c>
    </x:row>
    <x:row r="18" ht="22.799999237060547">
      <x:c r="A18" s="11" t="s">
        <x:v>455</x:v>
      </x:c>
      <x:c r="B18" s="11" t="s">
        <x:v>1835</x:v>
      </x:c>
      <x:c r="C18" s="11" t="s">
        <x:v>89</x:v>
      </x:c>
      <x:c r="D18" s="11" t="s">
        <x:v>57</x:v>
      </x:c>
      <x:c r="E18" s="11" t="s">
        <x:v>1836</x:v>
      </x:c>
      <x:c r="F18" s="11" t="s">
        <x:v>1837</x:v>
      </x:c>
      <x:c r="G18" s="11" t="s">
        <x:v>1838</x:v>
      </x:c>
    </x:row>
    <x:row r="19">
      <x:c r="A19" s="11" t="s">
        <x:v>455</x:v>
      </x:c>
      <x:c r="B19" s="11" t="s">
        <x:v>1839</x:v>
      </x:c>
      <x:c r="C19" s="11" t="s">
        <x:v>377</x:v>
      </x:c>
      <x:c r="D19" s="11" t="s">
        <x:v>1596</x:v>
      </x:c>
      <x:c r="E19" s="11" t="s">
        <x:v>1840</x:v>
      </x:c>
      <x:c r="F19" s="11" t="s">
        <x:v>1841</x:v>
      </x:c>
      <x:c r="G19" s="11" t="s">
        <x:v>1842</x:v>
      </x:c>
    </x:row>
    <x:row r="20">
      <x:c r="A20" s="11" t="s">
        <x:v>1380</x:v>
      </x:c>
      <x:c r="B20" s="11" t="s">
        <x:v>1843</x:v>
      </x:c>
      <x:c r="C20" s="11" t="s">
        <x:v>89</x:v>
      </x:c>
      <x:c r="D20" s="11" t="s">
        <x:v>57</x:v>
      </x:c>
      <x:c r="E20" s="11" t="s">
        <x:v>1844</x:v>
      </x:c>
      <x:c r="F20" s="11" t="s">
        <x:v>1845</x:v>
      </x:c>
      <x:c r="G20" s="11" t="s">
        <x:v>1846</x:v>
      </x:c>
    </x:row>
    <x:row r="21">
      <x:c r="A21" s="11" t="s">
        <x:v>1380</x:v>
      </x:c>
      <x:c r="B21" s="11" t="s">
        <x:v>1847</x:v>
      </x:c>
      <x:c r="C21" s="11" t="s">
        <x:v>89</x:v>
      </x:c>
      <x:c r="D21" s="11" t="s">
        <x:v>57</x:v>
      </x:c>
      <x:c r="E21" s="11" t="s">
        <x:v>1848</x:v>
      </x:c>
      <x:c r="F21" s="11" t="s">
        <x:v>1849</x:v>
      </x:c>
      <x:c r="G21" s="11" t="s">
        <x:v>1850</x:v>
      </x:c>
    </x:row>
    <x:row r="22">
      <x:c r="A22" s="11" t="s">
        <x:v>1380</x:v>
      </x:c>
      <x:c r="B22" s="11" t="s">
        <x:v>1851</x:v>
      </x:c>
      <x:c r="C22" s="11" t="s">
        <x:v>377</x:v>
      </x:c>
      <x:c r="D22" s="11" t="s">
        <x:v>1596</x:v>
      </x:c>
      <x:c r="E22" s="11" t="s">
        <x:v>1852</x:v>
      </x:c>
      <x:c r="F22" s="11" t="s">
        <x:v>1853</x:v>
      </x:c>
      <x:c r="G22" s="11" t="s">
        <x:v>1854</x:v>
      </x:c>
    </x:row>
    <x:row r="23">
      <x:c r="A23" s="11" t="s">
        <x:v>1855</x:v>
      </x:c>
      <x:c r="B23" s="11" t="s">
        <x:v>1856</x:v>
      </x:c>
      <x:c r="C23" s="11" t="s">
        <x:v>89</x:v>
      </x:c>
      <x:c r="D23" s="11" t="s">
        <x:v>58</x:v>
      </x:c>
      <x:c r="E23" s="11" t="s">
        <x:v>1857</x:v>
      </x:c>
      <x:c r="F23" s="11" t="s">
        <x:v>1858</x:v>
      </x:c>
      <x:c r="G23" s="11" t="s">
        <x:v>1859</x:v>
      </x:c>
    </x:row>
    <x:row r="24">
      <x:c r="A24" s="11" t="s">
        <x:v>1855</x:v>
      </x:c>
      <x:c r="B24" s="11" t="s">
        <x:v>1860</x:v>
      </x:c>
      <x:c r="C24" s="11" t="s">
        <x:v>1779</x:v>
      </x:c>
      <x:c r="D24" s="11" t="s">
        <x:v>1861</x:v>
      </x:c>
      <x:c r="E24" s="11" t="s">
        <x:v>1862</x:v>
      </x:c>
      <x:c r="F24" s="11" t="s">
        <x:v>1863</x:v>
      </x:c>
      <x:c r="G24" s="11" t="s">
        <x:v>1864</x:v>
      </x:c>
    </x:row>
    <x:row r="25">
      <x:c r="A25" s="11" t="s">
        <x:v>1855</x:v>
      </x:c>
      <x:c r="B25" s="11" t="s">
        <x:v>1865</x:v>
      </x:c>
      <x:c r="C25" s="11" t="s">
        <x:v>1779</x:v>
      </x:c>
      <x:c r="D25" s="11" t="s">
        <x:v>1861</x:v>
      </x:c>
      <x:c r="E25" s="11" t="s">
        <x:v>1866</x:v>
      </x:c>
      <x:c r="F25" s="11" t="s">
        <x:v>1867</x:v>
      </x:c>
      <x:c r="G25" s="11" t="s">
        <x:v>1868</x:v>
      </x:c>
    </x:row>
    <x:row r="26">
      <x:c r="A26" s="11" t="s">
        <x:v>1855</x:v>
      </x:c>
      <x:c r="B26" s="11" t="s">
        <x:v>1869</x:v>
      </x:c>
      <x:c r="C26" s="11" t="s">
        <x:v>1779</x:v>
      </x:c>
      <x:c r="D26" s="11" t="s">
        <x:v>1784</x:v>
      </x:c>
      <x:c r="E26" s="11" t="s">
        <x:v>1870</x:v>
      </x:c>
      <x:c r="F26" s="11" t="s">
        <x:v>1871</x:v>
      </x:c>
      <x:c r="G26" s="11" t="s">
        <x:v>1872</x:v>
      </x:c>
    </x:row>
    <x:row r="27">
      <x:c r="A27" s="11" t="s">
        <x:v>1873</x:v>
      </x:c>
      <x:c r="B27" s="11" t="s">
        <x:v>1874</x:v>
      </x:c>
      <x:c r="C27" s="11" t="s">
        <x:v>89</x:v>
      </x:c>
      <x:c r="D27" s="11" t="s">
        <x:v>1280</x:v>
      </x:c>
      <x:c r="E27" s="11" t="s">
        <x:v>1875</x:v>
      </x:c>
      <x:c r="F27" s="11" t="s">
        <x:v>1845</x:v>
      </x:c>
      <x:c r="G27" s="11" t="s">
        <x:v>1876</x:v>
      </x:c>
    </x:row>
    <x:row r="28">
      <x:c r="A28" s="11" t="s">
        <x:v>1873</x:v>
      </x:c>
      <x:c r="B28" s="11" t="s">
        <x:v>1877</x:v>
      </x:c>
      <x:c r="C28" s="11" t="s">
        <x:v>1779</x:v>
      </x:c>
      <x:c r="D28" s="11" t="s">
        <x:v>1878</x:v>
      </x:c>
      <x:c r="E28" s="11" t="s">
        <x:v>1879</x:v>
      </x:c>
      <x:c r="F28" s="11" t="s">
        <x:v>1880</x:v>
      </x:c>
      <x:c r="G28" s="11" t="s">
        <x:v>1881</x:v>
      </x:c>
    </x:row>
    <x:row r="29">
      <x:c r="A29" s="11" t="s">
        <x:v>1882</x:v>
      </x:c>
      <x:c r="B29" s="11" t="s">
        <x:v>1883</x:v>
      </x:c>
      <x:c r="C29" s="11" t="s">
        <x:v>377</x:v>
      </x:c>
      <x:c r="D29" s="11" t="s">
        <x:v>1884</x:v>
      </x:c>
      <x:c r="E29" s="11" t="s">
        <x:v>1885</x:v>
      </x:c>
      <x:c r="F29" s="11" t="s">
        <x:v>1886</x:v>
      </x:c>
      <x:c r="G29" s="11" t="s">
        <x:v>1887</x:v>
      </x:c>
    </x:row>
    <x:row r="30">
      <x:c r="A30" s="11" t="s">
        <x:v>1882</x:v>
      </x:c>
      <x:c r="B30" s="11" t="s">
        <x:v>1888</x:v>
      </x:c>
      <x:c r="C30" s="11" t="s">
        <x:v>1779</x:v>
      </x:c>
      <x:c r="D30" s="11" t="s">
        <x:v>1884</x:v>
      </x:c>
      <x:c r="E30" s="11" t="s">
        <x:v>1889</x:v>
      </x:c>
      <x:c r="F30" s="11" t="s">
        <x:v>1890</x:v>
      </x:c>
      <x:c r="G30" s="11" t="s">
        <x:v>1891</x:v>
      </x:c>
    </x:row>
    <x:row r="31">
      <x:c r="A31" s="11" t="s">
        <x:v>1892</x:v>
      </x:c>
      <x:c r="B31" s="11" t="s">
        <x:v>1893</x:v>
      </x:c>
      <x:c r="C31" s="11" t="s">
        <x:v>1779</x:v>
      </x:c>
      <x:c r="D31" s="11" t="s">
        <x:v>1894</x:v>
      </x:c>
      <x:c r="E31" s="11" t="s">
        <x:v>1895</x:v>
      </x:c>
      <x:c r="F31" s="11" t="s">
        <x:v>1896</x:v>
      </x:c>
      <x:c r="G31" s="11" t="s">
        <x:v>1897</x:v>
      </x:c>
    </x:row>
    <x:row r="32">
      <x:c r="A32" s="11" t="s">
        <x:v>303</x:v>
      </x:c>
      <x:c r="B32" s="11" t="s">
        <x:v>1898</x:v>
      </x:c>
      <x:c r="C32" s="11" t="s">
        <x:v>89</x:v>
      </x:c>
      <x:c r="D32" s="11" t="s">
        <x:v>37</x:v>
      </x:c>
      <x:c r="E32" s="11" t="s">
        <x:v>1899</x:v>
      </x:c>
      <x:c r="F32" s="11" t="s">
        <x:v>1900</x:v>
      </x:c>
      <x:c r="G32" s="11" t="s">
        <x:v>1901</x:v>
      </x:c>
    </x:row>
    <x:row r="33">
      <x:c r="A33" s="11" t="s">
        <x:v>303</x:v>
      </x:c>
      <x:c r="B33" s="11" t="s">
        <x:v>1902</x:v>
      </x:c>
      <x:c r="C33" s="11" t="s">
        <x:v>1779</x:v>
      </x:c>
      <x:c r="D33" s="11" t="s">
        <x:v>1820</x:v>
      </x:c>
      <x:c r="E33" s="11" t="s">
        <x:v>1903</x:v>
      </x:c>
      <x:c r="F33" s="11" t="s">
        <x:v>1904</x:v>
      </x:c>
      <x:c r="G33" s="11" t="s">
        <x:v>1905</x:v>
      </x:c>
    </x:row>
    <x:row r="34">
      <x:c r="A34" s="11" t="s">
        <x:v>1906</x:v>
      </x:c>
      <x:c r="B34" s="11" t="s">
        <x:v>1206</x:v>
      </x:c>
      <x:c r="C34" s="11" t="s">
        <x:v>89</x:v>
      </x:c>
      <x:c r="D34" s="11" t="s">
        <x:v>37</x:v>
      </x:c>
      <x:c r="E34" s="11" t="s">
        <x:v>1907</x:v>
      </x:c>
      <x:c r="F34" s="11" t="s">
        <x:v>1908</x:v>
      </x:c>
      <x:c r="G34" s="11" t="s">
        <x:v>1909</x:v>
      </x:c>
    </x:row>
    <x:row r="35" ht="22.799999237060547">
      <x:c r="A35" s="11" t="s">
        <x:v>1906</x:v>
      </x:c>
      <x:c r="B35" s="11" t="s">
        <x:v>1211</x:v>
      </x:c>
      <x:c r="C35" s="11" t="s">
        <x:v>1910</x:v>
      </x:c>
      <x:c r="D35" s="11" t="s">
        <x:v>59</x:v>
      </x:c>
      <x:c r="E35" s="11" t="s">
        <x:v>1911</x:v>
      </x:c>
      <x:c r="F35" s="11" t="s">
        <x:v>1912</x:v>
      </x:c>
      <x:c r="G35" s="11" t="s">
        <x:v>1913</x:v>
      </x:c>
    </x:row>
    <x:row r="36">
      <x:c r="A36" s="11" t="s">
        <x:v>1906</x:v>
      </x:c>
      <x:c r="B36" s="11" t="s">
        <x:v>1914</x:v>
      </x:c>
      <x:c r="C36" s="11" t="s">
        <x:v>1779</x:v>
      </x:c>
      <x:c r="D36" s="11" t="s">
        <x:v>1915</x:v>
      </x:c>
      <x:c r="E36" s="11" t="s">
        <x:v>1916</x:v>
      </x:c>
      <x:c r="F36" s="11" t="s">
        <x:v>1917</x:v>
      </x:c>
      <x:c r="G36" s="11" t="s">
        <x:v>1918</x:v>
      </x:c>
    </x:row>
    <x:row r="37">
      <x:c r="A37" s="11" t="s">
        <x:v>1906</x:v>
      </x:c>
      <x:c r="B37" s="11" t="s">
        <x:v>1919</x:v>
      </x:c>
      <x:c r="C37" s="11" t="s">
        <x:v>1779</x:v>
      </x:c>
      <x:c r="D37" s="11" t="s">
        <x:v>1920</x:v>
      </x:c>
      <x:c r="E37" s="11" t="s">
        <x:v>1921</x:v>
      </x:c>
      <x:c r="F37" s="11" t="s">
        <x:v>1917</x:v>
      </x:c>
      <x:c r="G37" s="11" t="s">
        <x:v>1922</x:v>
      </x:c>
    </x:row>
    <x:row r="38">
      <x:c r="A38" s="11" t="s">
        <x:v>1906</x:v>
      </x:c>
      <x:c r="B38" s="11" t="s">
        <x:v>1923</x:v>
      </x:c>
      <x:c r="C38" s="11" t="s">
        <x:v>1779</x:v>
      </x:c>
      <x:c r="D38" s="11" t="s">
        <x:v>1924</x:v>
      </x:c>
      <x:c r="E38" s="11" t="s">
        <x:v>1925</x:v>
      </x:c>
      <x:c r="F38" s="11" t="s">
        <x:v>1926</x:v>
      </x:c>
      <x:c r="G38" s="11" t="s">
        <x:v>1927</x:v>
      </x:c>
    </x:row>
    <x:row r="39">
      <x:c r="A39" s="11" t="s">
        <x:v>1906</x:v>
      </x:c>
      <x:c r="B39" s="11" t="s">
        <x:v>1928</x:v>
      </x:c>
      <x:c r="C39" s="11" t="s">
        <x:v>1779</x:v>
      </x:c>
      <x:c r="D39" s="11" t="s">
        <x:v>1929</x:v>
      </x:c>
      <x:c r="E39" s="11" t="s">
        <x:v>1930</x:v>
      </x:c>
      <x:c r="F39" s="11" t="s">
        <x:v>1926</x:v>
      </x:c>
      <x:c r="G39" s="11" t="s">
        <x:v>1931</x:v>
      </x:c>
    </x:row>
    <x:row r="40">
      <x:c r="A40" s="11" t="s">
        <x:v>1906</x:v>
      </x:c>
      <x:c r="B40" s="11" t="s">
        <x:v>1932</x:v>
      </x:c>
      <x:c r="C40" s="11" t="s">
        <x:v>1779</x:v>
      </x:c>
      <x:c r="D40" s="11" t="s">
        <x:v>1933</x:v>
      </x:c>
      <x:c r="E40" s="11" t="s">
        <x:v>1934</x:v>
      </x:c>
      <x:c r="F40" s="11" t="s">
        <x:v>1926</x:v>
      </x:c>
      <x:c r="G40" s="11" t="s">
        <x:v>1935</x:v>
      </x:c>
    </x:row>
    <x:row r="41">
      <x:c r="A41" s="11" t="s">
        <x:v>1936</x:v>
      </x:c>
      <x:c r="B41" s="11" t="s">
        <x:v>1937</x:v>
      </x:c>
      <x:c r="C41" s="11" t="s">
        <x:v>377</x:v>
      </x:c>
      <x:c r="D41" s="11" t="s">
        <x:v>1938</x:v>
      </x:c>
      <x:c r="E41" s="11" t="s">
        <x:v>1939</x:v>
      </x:c>
      <x:c r="F41" s="11" t="s">
        <x:v>1940</x:v>
      </x:c>
      <x:c r="G41" s="11" t="s">
        <x:v>1941</x:v>
      </x:c>
    </x:row>
    <x:row r="42">
      <x:c r="A42" s="11" t="s">
        <x:v>1936</x:v>
      </x:c>
      <x:c r="B42" s="11" t="s">
        <x:v>1942</x:v>
      </x:c>
      <x:c r="C42" s="11" t="s">
        <x:v>1779</x:v>
      </x:c>
      <x:c r="D42" s="11" t="s">
        <x:v>1943</x:v>
      </x:c>
      <x:c r="E42" s="11" t="s">
        <x:v>1944</x:v>
      </x:c>
      <x:c r="F42" s="11" t="s">
        <x:v>1945</x:v>
      </x:c>
      <x:c r="G42" s="11" t="s">
        <x:v>1946</x:v>
      </x:c>
    </x:row>
    <x:row r="43">
      <x:c r="A43" s="11" t="s">
        <x:v>1936</x:v>
      </x:c>
      <x:c r="B43" s="11" t="s">
        <x:v>1947</x:v>
      </x:c>
      <x:c r="C43" s="11" t="s">
        <x:v>1779</x:v>
      </x:c>
      <x:c r="D43" s="11" t="s">
        <x:v>1948</x:v>
      </x:c>
      <x:c r="E43" s="11" t="s">
        <x:v>1949</x:v>
      </x:c>
      <x:c r="F43" s="11" t="s">
        <x:v>1950</x:v>
      </x:c>
      <x:c r="G43" s="11" t="s">
        <x:v>1951</x:v>
      </x:c>
    </x:row>
    <x:row r="44">
      <x:c r="A44" s="11" t="s">
        <x:v>1952</x:v>
      </x:c>
      <x:c r="B44" s="11" t="s">
        <x:v>1953</x:v>
      </x:c>
      <x:c r="C44" s="11" t="s">
        <x:v>377</x:v>
      </x:c>
      <x:c r="D44" s="11" t="s">
        <x:v>1938</x:v>
      </x:c>
      <x:c r="E44" s="11" t="s">
        <x:v>1954</x:v>
      </x:c>
      <x:c r="F44" s="11" t="s">
        <x:v>1955</x:v>
      </x:c>
      <x:c r="G44" s="11" t="s">
        <x:v>1956</x:v>
      </x:c>
    </x:row>
    <x:row r="45">
      <x:c r="A45" s="11" t="s">
        <x:v>1952</x:v>
      </x:c>
      <x:c r="B45" s="11" t="s">
        <x:v>1957</x:v>
      </x:c>
      <x:c r="C45" s="11" t="s">
        <x:v>1779</x:v>
      </x:c>
      <x:c r="D45" s="11" t="s">
        <x:v>1948</x:v>
      </x:c>
      <x:c r="E45" s="11" t="s">
        <x:v>1958</x:v>
      </x:c>
      <x:c r="F45" s="11" t="s">
        <x:v>1959</x:v>
      </x:c>
      <x:c r="G45" s="11" t="s">
        <x:v>1960</x:v>
      </x:c>
    </x:row>
    <x:row r="46">
      <x:c r="A46" s="11" t="s">
        <x:v>1952</x:v>
      </x:c>
      <x:c r="B46" s="11" t="s">
        <x:v>1961</x:v>
      </x:c>
      <x:c r="C46" s="11" t="s">
        <x:v>1779</x:v>
      </x:c>
      <x:c r="D46" s="11" t="s">
        <x:v>1948</x:v>
      </x:c>
      <x:c r="E46" s="11" t="s">
        <x:v>1962</x:v>
      </x:c>
      <x:c r="F46" s="11" t="s">
        <x:v>1963</x:v>
      </x:c>
      <x:c r="G46" s="11" t="s">
        <x:v>1964</x:v>
      </x:c>
    </x:row>
    <x:row r="47">
      <x:c r="A47" s="11" t="s">
        <x:v>1965</x:v>
      </x:c>
      <x:c r="B47" s="11" t="s">
        <x:v>1966</x:v>
      </x:c>
      <x:c r="C47" s="11" t="s">
        <x:v>377</x:v>
      </x:c>
      <x:c r="D47" s="11" t="s">
        <x:v>1938</x:v>
      </x:c>
      <x:c r="E47" s="11" t="s">
        <x:v>1967</x:v>
      </x:c>
      <x:c r="F47" s="11" t="s">
        <x:v>1968</x:v>
      </x:c>
      <x:c r="G47" s="11" t="s">
        <x:v>1969</x:v>
      </x:c>
    </x:row>
    <x:row r="48">
      <x:c r="A48" s="11" t="s">
        <x:v>1965</x:v>
      </x:c>
      <x:c r="B48" s="11" t="s">
        <x:v>1970</x:v>
      </x:c>
      <x:c r="C48" s="11" t="s">
        <x:v>1779</x:v>
      </x:c>
      <x:c r="D48" s="11" t="s">
        <x:v>1971</x:v>
      </x:c>
      <x:c r="E48" s="11" t="s">
        <x:v>1972</x:v>
      </x:c>
      <x:c r="F48" s="11" t="s">
        <x:v>1973</x:v>
      </x:c>
      <x:c r="G48" s="11" t="s">
        <x:v>1974</x:v>
      </x:c>
    </x:row>
    <x:row r="49">
      <x:c r="A49" s="11" t="s">
        <x:v>106</x:v>
      </x:c>
      <x:c r="B49" s="11" t="s">
        <x:v>1975</x:v>
      </x:c>
      <x:c r="C49" s="11" t="s">
        <x:v>89</x:v>
      </x:c>
      <x:c r="D49" s="11" t="s">
        <x:v>37</x:v>
      </x:c>
      <x:c r="E49" s="11" t="s">
        <x:v>1976</x:v>
      </x:c>
      <x:c r="F49" s="11" t="s">
        <x:v>1977</x:v>
      </x:c>
      <x:c r="G49" s="11" t="s">
        <x:v>1978</x:v>
      </x:c>
    </x:row>
    <x:row r="50">
      <x:c r="A50" s="11" t="s">
        <x:v>106</x:v>
      </x:c>
      <x:c r="B50" s="11" t="s">
        <x:v>1979</x:v>
      </x:c>
      <x:c r="C50" s="11" t="s">
        <x:v>377</x:v>
      </x:c>
      <x:c r="D50" s="11" t="s">
        <x:v>1938</x:v>
      </x:c>
      <x:c r="E50" s="11" t="s">
        <x:v>1980</x:v>
      </x:c>
      <x:c r="F50" s="11" t="s">
        <x:v>1981</x:v>
      </x:c>
      <x:c r="G50" s="11" t="s">
        <x:v>1982</x:v>
      </x:c>
    </x:row>
    <x:row r="51">
      <x:c r="A51" s="11" t="s">
        <x:v>1983</x:v>
      </x:c>
      <x:c r="B51" s="11" t="s">
        <x:v>1256</x:v>
      </x:c>
      <x:c r="C51" s="11" t="s">
        <x:v>1984</x:v>
      </x:c>
      <x:c r="D51" s="11" t="s">
        <x:v>60</x:v>
      </x:c>
      <x:c r="E51" s="11" t="s">
        <x:v>1985</x:v>
      </x:c>
      <x:c r="F51" s="11" t="s">
        <x:v>1986</x:v>
      </x:c>
      <x:c r="G51" s="11" t="s">
        <x:v>1987</x:v>
      </x:c>
    </x:row>
    <x:row r="52">
      <x:c r="A52" s="11" t="s">
        <x:v>1983</x:v>
      </x:c>
      <x:c r="B52" s="11" t="s">
        <x:v>1988</x:v>
      </x:c>
      <x:c r="C52" s="11" t="s">
        <x:v>1989</x:v>
      </x:c>
      <x:c r="D52" s="11" t="s">
        <x:v>1990</x:v>
      </x:c>
      <x:c r="E52" s="11" t="s">
        <x:v>1991</x:v>
      </x:c>
      <x:c r="F52" s="11" t="s">
        <x:v>1992</x:v>
      </x:c>
      <x:c r="G52" s="11" t="s">
        <x:v>1993</x:v>
      </x:c>
    </x:row>
    <x:row r="53">
      <x:c r="A53" s="11" t="s">
        <x:v>1994</x:v>
      </x:c>
      <x:c r="B53" s="11" t="s">
        <x:v>1995</x:v>
      </x:c>
      <x:c r="C53" s="11" t="s">
        <x:v>89</x:v>
      </x:c>
      <x:c r="D53" s="11" t="s">
        <x:v>57</x:v>
      </x:c>
      <x:c r="E53" s="11" t="s">
        <x:v>1996</x:v>
      </x:c>
      <x:c r="F53" s="11" t="s">
        <x:v>1997</x:v>
      </x:c>
      <x:c r="G53" s="11" t="s">
        <x:v>1998</x:v>
      </x:c>
    </x:row>
    <x:row r="54">
      <x:c r="A54" s="11" t="s">
        <x:v>1999</x:v>
      </x:c>
      <x:c r="B54" s="11" t="s">
        <x:v>2000</x:v>
      </x:c>
      <x:c r="C54" s="11" t="s">
        <x:v>89</x:v>
      </x:c>
      <x:c r="D54" s="11" t="s">
        <x:v>1265</x:v>
      </x:c>
      <x:c r="E54" s="11" t="s">
        <x:v>2001</x:v>
      </x:c>
      <x:c r="F54" s="11" t="s">
        <x:v>2002</x:v>
      </x:c>
      <x:c r="G54" s="11" t="s">
        <x:v>2003</x:v>
      </x:c>
    </x:row>
    <x:row r="55">
      <x:c r="A55" s="11" t="s">
        <x:v>2004</x:v>
      </x:c>
      <x:c r="B55" s="11" t="s">
        <x:v>2005</x:v>
      </x:c>
      <x:c r="C55" s="11" t="s">
        <x:v>89</x:v>
      </x:c>
      <x:c r="D55" s="11" t="s">
        <x:v>2006</x:v>
      </x:c>
      <x:c r="E55" s="11" t="s">
        <x:v>2007</x:v>
      </x:c>
      <x:c r="F55" s="11" t="s">
        <x:v>2008</x:v>
      </x:c>
      <x:c r="G55" s="11" t="s">
        <x:v>2009</x:v>
      </x:c>
    </x:row>
    <x:row r="56" ht="22.799999237060547">
      <x:c r="A56" s="11" t="s">
        <x:v>1637</x:v>
      </x:c>
      <x:c r="B56" s="11" t="s">
        <x:v>2010</x:v>
      </x:c>
      <x:c r="C56" s="11" t="s">
        <x:v>2011</x:v>
      </x:c>
      <x:c r="D56" s="11" t="s">
        <x:v>59</x:v>
      </x:c>
      <x:c r="E56" s="11" t="s">
        <x:v>2012</x:v>
      </x:c>
      <x:c r="F56" s="11" t="s">
        <x:v>2013</x:v>
      </x:c>
      <x:c r="G56" s="11" t="s">
        <x:v>2014</x:v>
      </x:c>
    </x:row>
    <x:row r="57">
      <x:c r="A57" s="11" t="s">
        <x:v>1409</x:v>
      </x:c>
      <x:c r="B57" s="11" t="s">
        <x:v>2015</x:v>
      </x:c>
      <x:c r="C57" s="11" t="s">
        <x:v>89</x:v>
      </x:c>
      <x:c r="D57" s="11" t="s">
        <x:v>2016</x:v>
      </x:c>
      <x:c r="E57" s="11" t="s">
        <x:v>2017</x:v>
      </x:c>
      <x:c r="F57" s="11" t="s">
        <x:v>2018</x:v>
      </x:c>
      <x:c r="G57" s="11" t="s">
        <x:v>2019</x:v>
      </x:c>
    </x:row>
    <x:row r="58">
      <x:c r="A58" s="11" t="s">
        <x:v>2020</x:v>
      </x:c>
      <x:c r="B58" s="11" t="s">
        <x:v>2021</x:v>
      </x:c>
      <x:c r="C58" s="11" t="s">
        <x:v>1779</x:v>
      </x:c>
      <x:c r="D58" s="11" t="s">
        <x:v>1596</x:v>
      </x:c>
      <x:c r="E58" s="11" t="s">
        <x:v>2022</x:v>
      </x:c>
      <x:c r="F58" s="11" t="s">
        <x:v>2023</x:v>
      </x:c>
      <x:c r="G58" s="11" t="s">
        <x:v>2024</x:v>
      </x:c>
    </x:row>
    <x:row r="59">
      <x:c r="A59" s="11" t="s">
        <x:v>774</x:v>
      </x:c>
      <x:c r="B59" s="11" t="s">
        <x:v>2025</x:v>
      </x:c>
      <x:c r="C59" s="11" t="s">
        <x:v>89</x:v>
      </x:c>
      <x:c r="D59" s="11" t="s">
        <x:v>59</x:v>
      </x:c>
      <x:c r="E59" s="11" t="s">
        <x:v>2026</x:v>
      </x:c>
      <x:c r="F59" s="11" t="s">
        <x:v>2027</x:v>
      </x:c>
      <x:c r="G59" s="11" t="s">
        <x:v>2028</x:v>
      </x:c>
    </x:row>
    <x:row r="60" ht="22.799999237060547">
      <x:c r="A60" s="11" t="s">
        <x:v>2029</x:v>
      </x:c>
      <x:c r="B60" s="11" t="s">
        <x:v>2030</x:v>
      </x:c>
      <x:c r="C60" s="11" t="s">
        <x:v>89</x:v>
      </x:c>
      <x:c r="D60" s="11" t="s">
        <x:v>1293</x:v>
      </x:c>
      <x:c r="E60" s="11" t="s">
        <x:v>2031</x:v>
      </x:c>
      <x:c r="F60" s="11" t="s">
        <x:v>2032</x:v>
      </x:c>
      <x:c r="G60" s="11" t="s">
        <x:v>2033</x:v>
      </x:c>
    </x:row>
    <x:row r="61">
      <x:c r="A61" s="11" t="s">
        <x:v>787</x:v>
      </x:c>
      <x:c r="B61" s="11" t="s">
        <x:v>2034</x:v>
      </x:c>
      <x:c r="C61" s="11" t="s">
        <x:v>89</x:v>
      </x:c>
      <x:c r="D61" s="11" t="s">
        <x:v>59</x:v>
      </x:c>
      <x:c r="E61" s="11" t="s">
        <x:v>2035</x:v>
      </x:c>
      <x:c r="F61" s="11" t="s">
        <x:v>2036</x:v>
      </x:c>
      <x:c r="G61" s="11" t="s">
        <x:v>2037</x:v>
      </x:c>
    </x:row>
    <x:row r="62">
      <x:c r="A62" s="11" t="s">
        <x:v>2038</x:v>
      </x:c>
      <x:c r="B62" s="11" t="s">
        <x:v>2039</x:v>
      </x:c>
      <x:c r="C62" s="11" t="s">
        <x:v>89</x:v>
      </x:c>
      <x:c r="D62" s="11" t="s">
        <x:v>56</x:v>
      </x:c>
      <x:c r="E62" s="11" t="s">
        <x:v>2040</x:v>
      </x:c>
      <x:c r="F62" s="11" t="s">
        <x:v>2041</x:v>
      </x:c>
      <x:c r="G62" s="11" t="s">
        <x:v>2042</x:v>
      </x:c>
    </x:row>
    <x:row r="63">
      <x:c r="A63" s="11" t="s">
        <x:v>633</x:v>
      </x:c>
      <x:c r="B63" s="11" t="s">
        <x:v>2043</x:v>
      </x:c>
      <x:c r="C63" s="11" t="s">
        <x:v>1208</x:v>
      </x:c>
      <x:c r="D63" s="11" t="s">
        <x:v>60</x:v>
      </x:c>
      <x:c r="E63" s="11" t="s">
        <x:v>2044</x:v>
      </x:c>
      <x:c r="F63" s="11" t="s">
        <x:v>2045</x:v>
      </x:c>
      <x:c r="G63" s="11" t="s">
        <x:v>2046</x:v>
      </x:c>
    </x:row>
    <x:row r="64">
      <x:c r="A64" s="11" t="s">
        <x:v>633</x:v>
      </x:c>
      <x:c r="B64" s="11" t="s">
        <x:v>2047</x:v>
      </x:c>
      <x:c r="C64" s="11" t="s">
        <x:v>2011</x:v>
      </x:c>
      <x:c r="D64" s="11" t="s">
        <x:v>60</x:v>
      </x:c>
      <x:c r="E64" s="11" t="s">
        <x:v>2048</x:v>
      </x:c>
      <x:c r="F64" s="11" t="s">
        <x:v>2049</x:v>
      </x:c>
      <x:c r="G64" s="11" t="s">
        <x:v>2050</x:v>
      </x:c>
    </x:row>
    <x:row r="65">
      <x:c r="A65" s="11" t="s">
        <x:v>633</x:v>
      </x:c>
      <x:c r="B65" s="11" t="s">
        <x:v>2051</x:v>
      </x:c>
      <x:c r="C65" s="11" t="s">
        <x:v>1779</x:v>
      </x:c>
      <x:c r="D65" s="11" t="s">
        <x:v>1878</x:v>
      </x:c>
      <x:c r="E65" s="11" t="s">
        <x:v>2052</x:v>
      </x:c>
      <x:c r="F65" s="11" t="s">
        <x:v>2053</x:v>
      </x:c>
      <x:c r="G65" s="11" t="s">
        <x:v>2054</x:v>
      </x:c>
    </x:row>
    <x:row r="66">
      <x:c r="A66" s="11" t="s">
        <x:v>1447</x:v>
      </x:c>
      <x:c r="B66" s="11" t="s">
        <x:v>2055</x:v>
      </x:c>
      <x:c r="C66" s="11" t="s">
        <x:v>2056</x:v>
      </x:c>
      <x:c r="D66" s="11" t="s">
        <x:v>60</x:v>
      </x:c>
      <x:c r="E66" s="11" t="s">
        <x:v>2057</x:v>
      </x:c>
      <x:c r="F66" s="11" t="s">
        <x:v>2058</x:v>
      </x:c>
      <x:c r="G66" s="11" t="s">
        <x:v>2059</x:v>
      </x:c>
    </x:row>
    <x:row r="67">
      <x:c r="A67" s="11" t="s">
        <x:v>2060</x:v>
      </x:c>
      <x:c r="B67" s="11" t="s">
        <x:v>2061</x:v>
      </x:c>
      <x:c r="C67" s="11" t="s">
        <x:v>377</x:v>
      </x:c>
      <x:c r="D67" s="11" t="s">
        <x:v>2062</x:v>
      </x:c>
      <x:c r="E67" s="11" t="s">
        <x:v>2063</x:v>
      </x:c>
      <x:c r="F67" s="11" t="s">
        <x:v>2064</x:v>
      </x:c>
      <x:c r="G67" s="11" t="s">
        <x:v>2065</x:v>
      </x:c>
    </x:row>
    <x:row r="68">
      <x:c r="A68" s="11" t="s">
        <x:v>2066</x:v>
      </x:c>
      <x:c r="B68" s="11" t="s">
        <x:v>2067</x:v>
      </x:c>
      <x:c r="C68" s="11" t="s">
        <x:v>2068</x:v>
      </x:c>
      <x:c r="D68" s="11" t="s">
        <x:v>2069</x:v>
      </x:c>
      <x:c r="E68" s="11" t="s">
        <x:v>2070</x:v>
      </x:c>
      <x:c r="F68" s="11" t="s">
        <x:v>2071</x:v>
      </x:c>
      <x:c r="G68" s="11" t="s">
        <x:v>2072</x:v>
      </x:c>
    </x:row>
    <x:row r="69">
      <x:c r="A69" s="11" t="s">
        <x:v>787</x:v>
      </x:c>
      <x:c r="B69" s="11" t="s">
        <x:v>2073</x:v>
      </x:c>
      <x:c r="C69" s="11" t="s">
        <x:v>1779</x:v>
      </x:c>
      <x:c r="D69" s="11" t="s">
        <x:v>2074</x:v>
      </x:c>
      <x:c r="E69" s="11" t="s">
        <x:v>2075</x:v>
      </x:c>
      <x:c r="F69" s="11" t="s">
        <x:v>2076</x:v>
      </x:c>
      <x:c r="G69" s="11" t="s">
        <x:v>2077</x:v>
      </x:c>
    </x:row>
  </x:sheetData>
  <x:mergeCells>
    <x:mergeCell ref="A1:G1"/>
    <x:mergeCell ref="A2:G2"/>
  </x:mergeCells>
  <x:conditionalFormatting sqref="C6:C69">
    <x:cfRule type="containsText" dxfId="3" priority="1" operator="containsText" text="MUST"/>
    <x:cfRule type="containsText" dxfId="2" priority="2" operator="containsText" text="SHOULD"/>
    <x:cfRule type="containsText" dxfId="1" priority="3" operator="containsText" text="OPTIONAL"/>
  </x:conditionalFormatting>
  <x:pageMargins left="0.7" right="0.7" top="0.75" bottom="0.75" header="0.3" footer="0.3"/>
  <x:tableParts count="1">
    <x:tablePart xmlns:r="http://schemas.openxmlformats.org/officeDocument/2006/relationships" r:id="R1e4cfbc472e64bde"/>
  </x:tableParts>
</x:worksheet>
</file>

<file path=xl/worksheets/sheet17.xml><?xml version="1.0" encoding="utf-8"?>
<x:worksheet xmlns:x="http://schemas.openxmlformats.org/spreadsheetml/2006/main">
  <x:sheetViews>
    <x:sheetView showGridLines="0" workbookViewId="0"/>
  </x:sheetViews>
  <x:sheetFormatPr defaultRowHeight="13.800000190734863"/>
  <x:cols>
    <x:col min="1" max="1" width="28" customWidth="1"/>
    <x:col min="2" max="2" width="18" customWidth="1"/>
    <x:col min="3" max="3" width="11" customWidth="1"/>
    <x:col min="4" max="4" width="40" customWidth="1"/>
    <x:col min="5" max="5" width="14" customWidth="1"/>
    <x:col min="6" max="6" width="42" customWidth="1"/>
    <x:col min="7" max="7" width="24" customWidth="1"/>
    <x:col min="8" max="8" width="32" customWidth="1"/>
  </x:cols>
  <x:sheetData>
    <x:row r="1" ht="31.950000762939453" customHeight="1">
      <x:c r="A1" s="56" t="s">
        <x:v>2078</x:v>
      </x:c>
      <x:c r="B1" s="56"/>
      <x:c r="C1" s="56"/>
      <x:c r="D1" s="56"/>
      <x:c r="E1" s="56"/>
      <x:c r="F1" s="56"/>
      <x:c r="G1" s="56"/>
      <x:c r="H1" s="56"/>
    </x:row>
    <x:row r="2" ht="31.950000762939453" customHeight="1">
      <x:c r="A2" s="57" t="s">
        <x:v>2079</x:v>
      </x:c>
      <x:c r="B2" s="57"/>
      <x:c r="C2" s="57"/>
      <x:c r="D2" s="57"/>
      <x:c r="E2" s="57"/>
      <x:c r="F2" s="57"/>
      <x:c r="G2" s="57"/>
      <x:c r="H2" s="57"/>
    </x:row>
    <x:row r="5" ht="28.049999237060547" customHeight="1">
      <x:c r="A5" s="1" t="s">
        <x:v>2080</x:v>
      </x:c>
      <x:c r="B5" s="2" t="s">
        <x:v>90</x:v>
      </x:c>
      <x:c r="C5" s="2" t="s">
        <x:v>2081</x:v>
      </x:c>
      <x:c r="D5" s="2" t="s">
        <x:v>2082</x:v>
      </x:c>
      <x:c r="E5" s="2" t="s">
        <x:v>2083</x:v>
      </x:c>
      <x:c r="F5" s="2" t="s">
        <x:v>2084</x:v>
      </x:c>
      <x:c r="G5" s="2" t="s">
        <x:v>2085</x:v>
      </x:c>
      <x:c r="H5" s="3" t="s">
        <x:v>2086</x:v>
      </x:c>
    </x:row>
    <x:row r="6">
      <x:c r="A6" s="10" t="s">
        <x:v>2087</x:v>
      </x:c>
      <x:c r="B6" s="10" t="s">
        <x:v>2088</x:v>
      </x:c>
      <x:c r="C6" s="10" t="s">
        <x:v>1654</x:v>
      </x:c>
      <x:c r="D6" s="10" t="s">
        <x:v>2089</x:v>
      </x:c>
      <x:c r="E6" s="10" t="s">
        <x:v>56</x:v>
      </x:c>
      <x:c r="F6" s="10" t="s">
        <x:v>2090</x:v>
      </x:c>
      <x:c r="G6" s="10" t="s">
        <x:v>2091</x:v>
      </x:c>
      <x:c r="H6" s="19"/>
    </x:row>
    <x:row r="7">
      <x:c r="A7" s="11" t="s">
        <x:v>2092</x:v>
      </x:c>
      <x:c r="B7" s="11" t="s">
        <x:v>2088</x:v>
      </x:c>
      <x:c r="C7" s="11" t="s">
        <x:v>1654</x:v>
      </x:c>
      <x:c r="D7" s="11" t="s">
        <x:v>2093</x:v>
      </x:c>
      <x:c r="E7" s="11" t="s">
        <x:v>56</x:v>
      </x:c>
      <x:c r="F7" s="11" t="s">
        <x:v>2094</x:v>
      </x:c>
      <x:c r="G7" s="11" t="s">
        <x:v>2091</x:v>
      </x:c>
      <x:c r="H7" s="20"/>
    </x:row>
    <x:row r="8">
      <x:c r="A8" s="11" t="s">
        <x:v>2095</x:v>
      </x:c>
      <x:c r="B8" s="11" t="s">
        <x:v>2096</x:v>
      </x:c>
      <x:c r="C8" s="11" t="s">
        <x:v>1654</x:v>
      </x:c>
      <x:c r="D8" s="11" t="s">
        <x:v>2097</x:v>
      </x:c>
      <x:c r="E8" s="11" t="s">
        <x:v>56</x:v>
      </x:c>
      <x:c r="F8" s="11" t="s">
        <x:v>2098</x:v>
      </x:c>
      <x:c r="G8" s="11" t="s">
        <x:v>2099</x:v>
      </x:c>
      <x:c r="H8" s="20"/>
    </x:row>
    <x:row r="9">
      <x:c r="A9" s="11" t="s">
        <x:v>2100</x:v>
      </x:c>
      <x:c r="B9" s="11" t="s">
        <x:v>2101</x:v>
      </x:c>
      <x:c r="C9" s="11" t="s">
        <x:v>1654</x:v>
      </x:c>
      <x:c r="D9" s="11" t="s">
        <x:v>2102</x:v>
      </x:c>
      <x:c r="E9" s="11" t="s">
        <x:v>56</x:v>
      </x:c>
      <x:c r="F9" s="11" t="s">
        <x:v>2103</x:v>
      </x:c>
      <x:c r="G9" s="11" t="s">
        <x:v>2104</x:v>
      </x:c>
      <x:c r="H9" s="20"/>
    </x:row>
    <x:row r="10">
      <x:c r="A10" s="11" t="s">
        <x:v>2105</x:v>
      </x:c>
      <x:c r="B10" s="11" t="s">
        <x:v>2088</x:v>
      </x:c>
      <x:c r="C10" s="11" t="s">
        <x:v>1654</x:v>
      </x:c>
      <x:c r="D10" s="11" t="s">
        <x:v>2106</x:v>
      </x:c>
      <x:c r="E10" s="11" t="s">
        <x:v>57</x:v>
      </x:c>
      <x:c r="F10" s="11" t="s">
        <x:v>2107</x:v>
      </x:c>
      <x:c r="G10" s="11" t="s">
        <x:v>2108</x:v>
      </x:c>
      <x:c r="H10" s="20"/>
    </x:row>
    <x:row r="11">
      <x:c r="A11" s="11" t="s">
        <x:v>2109</x:v>
      </x:c>
      <x:c r="B11" s="11" t="s">
        <x:v>2088</x:v>
      </x:c>
      <x:c r="C11" s="11" t="s">
        <x:v>1654</x:v>
      </x:c>
      <x:c r="D11" s="11" t="s">
        <x:v>2110</x:v>
      </x:c>
      <x:c r="E11" s="11" t="s">
        <x:v>57</x:v>
      </x:c>
      <x:c r="F11" s="11" t="s">
        <x:v>2111</x:v>
      </x:c>
      <x:c r="G11" s="11" t="s">
        <x:v>2112</x:v>
      </x:c>
      <x:c r="H11" s="20"/>
    </x:row>
    <x:row r="12">
      <x:c r="A12" s="11" t="s">
        <x:v>2113</x:v>
      </x:c>
      <x:c r="B12" s="11" t="s">
        <x:v>2088</x:v>
      </x:c>
      <x:c r="C12" s="11" t="s">
        <x:v>1654</x:v>
      </x:c>
      <x:c r="D12" s="11" t="s">
        <x:v>2114</x:v>
      </x:c>
      <x:c r="E12" s="11" t="s">
        <x:v>37</x:v>
      </x:c>
      <x:c r="F12" s="11" t="s">
        <x:v>2115</x:v>
      </x:c>
      <x:c r="G12" s="11" t="s">
        <x:v>316</x:v>
      </x:c>
      <x:c r="H12" s="20"/>
    </x:row>
    <x:row r="13">
      <x:c r="A13" s="11" t="s">
        <x:v>1077</x:v>
      </x:c>
      <x:c r="B13" s="11" t="s">
        <x:v>2088</x:v>
      </x:c>
      <x:c r="C13" s="11" t="s">
        <x:v>1654</x:v>
      </x:c>
      <x:c r="D13" s="11" t="s">
        <x:v>2116</x:v>
      </x:c>
      <x:c r="E13" s="11" t="s">
        <x:v>37</x:v>
      </x:c>
      <x:c r="F13" s="11" t="s">
        <x:v>2117</x:v>
      </x:c>
      <x:c r="G13" s="11" t="s">
        <x:v>2118</x:v>
      </x:c>
      <x:c r="H13" s="20"/>
    </x:row>
    <x:row r="14">
      <x:c r="A14" s="11" t="s">
        <x:v>2119</x:v>
      </x:c>
      <x:c r="B14" s="11" t="s">
        <x:v>2088</x:v>
      </x:c>
      <x:c r="C14" s="11" t="s">
        <x:v>1654</x:v>
      </x:c>
      <x:c r="D14" s="11" t="s">
        <x:v>2120</x:v>
      </x:c>
      <x:c r="E14" s="11" t="s">
        <x:v>37</x:v>
      </x:c>
      <x:c r="F14" s="11" t="s">
        <x:v>2121</x:v>
      </x:c>
      <x:c r="G14" s="11" t="s">
        <x:v>2122</x:v>
      </x:c>
      <x:c r="H14" s="20"/>
    </x:row>
    <x:row r="15">
      <x:c r="A15" s="11" t="s">
        <x:v>2123</x:v>
      </x:c>
      <x:c r="B15" s="11" t="s">
        <x:v>2124</x:v>
      </x:c>
      <x:c r="C15" s="11" t="s">
        <x:v>1654</x:v>
      </x:c>
      <x:c r="D15" s="11" t="s">
        <x:v>2125</x:v>
      </x:c>
      <x:c r="E15" s="11" t="s">
        <x:v>37</x:v>
      </x:c>
      <x:c r="F15" s="11" t="s">
        <x:v>2126</x:v>
      </x:c>
      <x:c r="G15" s="11" t="s">
        <x:v>2127</x:v>
      </x:c>
      <x:c r="H15" s="20"/>
    </x:row>
    <x:row r="16">
      <x:c r="A16" s="11" t="s">
        <x:v>2128</x:v>
      </x:c>
      <x:c r="B16" s="11" t="s">
        <x:v>2129</x:v>
      </x:c>
      <x:c r="C16" s="11" t="s">
        <x:v>1615</x:v>
      </x:c>
      <x:c r="D16" s="11"/>
      <x:c r="E16" s="11" t="s">
        <x:v>1596</x:v>
      </x:c>
      <x:c r="F16" s="11" t="s">
        <x:v>2130</x:v>
      </x:c>
      <x:c r="G16" s="11" t="s">
        <x:v>2127</x:v>
      </x:c>
      <x:c r="H16" s="20"/>
    </x:row>
    <x:row r="17">
      <x:c r="A17" s="11" t="s">
        <x:v>2131</x:v>
      </x:c>
      <x:c r="B17" s="11" t="s">
        <x:v>2088</x:v>
      </x:c>
      <x:c r="C17" s="11" t="s">
        <x:v>1654</x:v>
      </x:c>
      <x:c r="D17" s="11"/>
      <x:c r="E17" s="11" t="s">
        <x:v>59</x:v>
      </x:c>
      <x:c r="F17" s="11" t="s">
        <x:v>2132</x:v>
      </x:c>
      <x:c r="G17" s="11" t="s">
        <x:v>2133</x:v>
      </x:c>
      <x:c r="H17" s="20"/>
    </x:row>
    <x:row r="18">
      <x:c r="A18" s="11" t="s">
        <x:v>2134</x:v>
      </x:c>
      <x:c r="B18" s="11" t="s">
        <x:v>2088</x:v>
      </x:c>
      <x:c r="C18" s="11" t="s">
        <x:v>1654</x:v>
      </x:c>
      <x:c r="D18" s="11" t="s">
        <x:v>2135</x:v>
      </x:c>
      <x:c r="E18" s="11" t="s">
        <x:v>57</x:v>
      </x:c>
      <x:c r="F18" s="11" t="s">
        <x:v>2136</x:v>
      </x:c>
      <x:c r="G18" s="11" t="s">
        <x:v>2133</x:v>
      </x:c>
      <x:c r="H18" s="20"/>
    </x:row>
    <x:row r="19">
      <x:c r="A19" s="11" t="s">
        <x:v>2137</x:v>
      </x:c>
      <x:c r="B19" s="11" t="s">
        <x:v>2088</x:v>
      </x:c>
      <x:c r="C19" s="11" t="s">
        <x:v>1654</x:v>
      </x:c>
      <x:c r="D19" s="11" t="s">
        <x:v>2138</x:v>
      </x:c>
      <x:c r="E19" s="11" t="s">
        <x:v>59</x:v>
      </x:c>
      <x:c r="F19" s="11" t="s">
        <x:v>2139</x:v>
      </x:c>
      <x:c r="G19" s="11" t="s">
        <x:v>316</x:v>
      </x:c>
      <x:c r="H19" s="20"/>
    </x:row>
    <x:row r="20">
      <x:c r="A20" s="11" t="s">
        <x:v>2140</x:v>
      </x:c>
      <x:c r="B20" s="11" t="s">
        <x:v>2088</x:v>
      </x:c>
      <x:c r="C20" s="11" t="s">
        <x:v>1654</x:v>
      </x:c>
      <x:c r="D20" s="11" t="s">
        <x:v>2141</x:v>
      </x:c>
      <x:c r="E20" s="11" t="s">
        <x:v>59</x:v>
      </x:c>
      <x:c r="F20" s="11" t="s">
        <x:v>2142</x:v>
      </x:c>
      <x:c r="G20" s="11" t="s">
        <x:v>2088</x:v>
      </x:c>
      <x:c r="H20" s="20"/>
    </x:row>
    <x:row r="21">
      <x:c r="A21" s="11" t="s">
        <x:v>2143</x:v>
      </x:c>
      <x:c r="B21" s="11" t="s">
        <x:v>2088</x:v>
      </x:c>
      <x:c r="C21" s="11" t="s">
        <x:v>1654</x:v>
      </x:c>
      <x:c r="D21" s="11" t="s">
        <x:v>2144</x:v>
      </x:c>
      <x:c r="E21" s="11" t="s">
        <x:v>57</x:v>
      </x:c>
      <x:c r="F21" s="11" t="s">
        <x:v>2145</x:v>
      </x:c>
      <x:c r="G21" s="11" t="s">
        <x:v>2122</x:v>
      </x:c>
      <x:c r="H21" s="20"/>
    </x:row>
    <x:row r="22">
      <x:c r="A22" s="11" t="s">
        <x:v>2146</x:v>
      </x:c>
      <x:c r="B22" s="11" t="s">
        <x:v>2088</x:v>
      </x:c>
      <x:c r="C22" s="11" t="s">
        <x:v>1654</x:v>
      </x:c>
      <x:c r="D22" s="11" t="s">
        <x:v>2147</x:v>
      </x:c>
      <x:c r="E22" s="11" t="s">
        <x:v>57</x:v>
      </x:c>
      <x:c r="F22" s="11" t="s">
        <x:v>2148</x:v>
      </x:c>
      <x:c r="G22" s="11" t="s">
        <x:v>2108</x:v>
      </x:c>
      <x:c r="H22" s="20"/>
    </x:row>
    <x:row r="23">
      <x:c r="A23" s="11" t="s">
        <x:v>2149</x:v>
      </x:c>
      <x:c r="B23" s="11" t="s">
        <x:v>2088</x:v>
      </x:c>
      <x:c r="C23" s="11" t="s">
        <x:v>1654</x:v>
      </x:c>
      <x:c r="D23" s="11" t="s">
        <x:v>2150</x:v>
      </x:c>
      <x:c r="E23" s="11" t="s">
        <x:v>57</x:v>
      </x:c>
      <x:c r="F23" s="11" t="s">
        <x:v>2151</x:v>
      </x:c>
      <x:c r="G23" s="11" t="s">
        <x:v>2108</x:v>
      </x:c>
      <x:c r="H23" s="20"/>
    </x:row>
    <x:row r="24">
      <x:c r="A24" s="11" t="s">
        <x:v>2152</x:v>
      </x:c>
      <x:c r="B24" s="11" t="s">
        <x:v>2088</x:v>
      </x:c>
      <x:c r="C24" s="11" t="s">
        <x:v>1654</x:v>
      </x:c>
      <x:c r="D24" s="11" t="s">
        <x:v>2153</x:v>
      </x:c>
      <x:c r="E24" s="11" t="s">
        <x:v>58</x:v>
      </x:c>
      <x:c r="F24" s="11" t="s">
        <x:v>2154</x:v>
      </x:c>
      <x:c r="G24" s="11" t="s">
        <x:v>1806</x:v>
      </x:c>
      <x:c r="H24" s="20"/>
    </x:row>
    <x:row r="25">
      <x:c r="A25" s="11" t="s">
        <x:v>2155</x:v>
      </x:c>
      <x:c r="B25" s="11" t="s">
        <x:v>2088</x:v>
      </x:c>
      <x:c r="C25" s="11" t="s">
        <x:v>1654</x:v>
      </x:c>
      <x:c r="D25" s="11" t="s">
        <x:v>2156</x:v>
      </x:c>
      <x:c r="E25" s="11" t="s">
        <x:v>58</x:v>
      </x:c>
      <x:c r="F25" s="11" t="s">
        <x:v>2157</x:v>
      </x:c>
      <x:c r="G25" s="11" t="s">
        <x:v>2158</x:v>
      </x:c>
      <x:c r="H25" s="20"/>
    </x:row>
    <x:row r="26">
      <x:c r="A26" s="11" t="s">
        <x:v>2159</x:v>
      </x:c>
      <x:c r="B26" s="11" t="s">
        <x:v>2088</x:v>
      </x:c>
      <x:c r="C26" s="11" t="s">
        <x:v>1654</x:v>
      </x:c>
      <x:c r="D26" s="11" t="s">
        <x:v>2160</x:v>
      </x:c>
      <x:c r="E26" s="11" t="s">
        <x:v>58</x:v>
      </x:c>
      <x:c r="F26" s="11" t="s">
        <x:v>2161</x:v>
      </x:c>
      <x:c r="G26" s="11" t="s">
        <x:v>1806</x:v>
      </x:c>
      <x:c r="H26" s="20"/>
    </x:row>
    <x:row r="27">
      <x:c r="A27" s="11" t="s">
        <x:v>2162</x:v>
      </x:c>
      <x:c r="B27" s="11" t="s">
        <x:v>2088</x:v>
      </x:c>
      <x:c r="C27" s="11" t="s">
        <x:v>1654</x:v>
      </x:c>
      <x:c r="D27" s="11" t="s">
        <x:v>2163</x:v>
      </x:c>
      <x:c r="E27" s="11" t="s">
        <x:v>58</x:v>
      </x:c>
      <x:c r="F27" s="11" t="s">
        <x:v>2164</x:v>
      </x:c>
      <x:c r="G27" s="11" t="s">
        <x:v>1806</x:v>
      </x:c>
      <x:c r="H27" s="20"/>
    </x:row>
    <x:row r="28">
      <x:c r="A28" s="11" t="s">
        <x:v>2165</x:v>
      </x:c>
      <x:c r="B28" s="11" t="s">
        <x:v>2088</x:v>
      </x:c>
      <x:c r="C28" s="11" t="s">
        <x:v>1654</x:v>
      </x:c>
      <x:c r="D28" s="11" t="s">
        <x:v>2166</x:v>
      </x:c>
      <x:c r="E28" s="11" t="s">
        <x:v>57</x:v>
      </x:c>
      <x:c r="F28" s="11" t="s">
        <x:v>2167</x:v>
      </x:c>
      <x:c r="G28" s="11" t="s">
        <x:v>501</x:v>
      </x:c>
      <x:c r="H28" s="20"/>
    </x:row>
    <x:row r="29">
      <x:c r="A29" s="11" t="s">
        <x:v>2168</x:v>
      </x:c>
      <x:c r="B29" s="11" t="s">
        <x:v>2088</x:v>
      </x:c>
      <x:c r="C29" s="11" t="s">
        <x:v>1654</x:v>
      </x:c>
      <x:c r="D29" s="11" t="s">
        <x:v>2169</x:v>
      </x:c>
      <x:c r="E29" s="11" t="s">
        <x:v>58</x:v>
      </x:c>
      <x:c r="F29" s="11" t="s">
        <x:v>2170</x:v>
      </x:c>
      <x:c r="G29" s="11" t="s">
        <x:v>501</x:v>
      </x:c>
      <x:c r="H29" s="20"/>
    </x:row>
    <x:row r="30">
      <x:c r="A30" s="11" t="s">
        <x:v>2171</x:v>
      </x:c>
      <x:c r="B30" s="11" t="s">
        <x:v>2088</x:v>
      </x:c>
      <x:c r="C30" s="11" t="s">
        <x:v>1654</x:v>
      </x:c>
      <x:c r="D30" s="11" t="s">
        <x:v>2172</x:v>
      </x:c>
      <x:c r="E30" s="11" t="s">
        <x:v>1596</x:v>
      </x:c>
      <x:c r="F30" s="11" t="s">
        <x:v>2173</x:v>
      </x:c>
      <x:c r="G30" s="11" t="s">
        <x:v>2174</x:v>
      </x:c>
      <x:c r="H30" s="20"/>
    </x:row>
    <x:row r="31">
      <x:c r="A31" s="11" t="s">
        <x:v>2175</x:v>
      </x:c>
      <x:c r="B31" s="11" t="s">
        <x:v>2129</x:v>
      </x:c>
      <x:c r="C31" s="11" t="s">
        <x:v>1615</x:v>
      </x:c>
      <x:c r="D31" s="11"/>
      <x:c r="E31" s="11" t="s">
        <x:v>1596</x:v>
      </x:c>
      <x:c r="F31" s="11" t="s">
        <x:v>2176</x:v>
      </x:c>
      <x:c r="G31" s="11" t="s">
        <x:v>2174</x:v>
      </x:c>
      <x:c r="H31" s="20"/>
    </x:row>
    <x:row r="32">
      <x:c r="A32" s="11" t="s">
        <x:v>2177</x:v>
      </x:c>
      <x:c r="B32" s="11" t="s">
        <x:v>2129</x:v>
      </x:c>
      <x:c r="C32" s="11" t="s">
        <x:v>1615</x:v>
      </x:c>
      <x:c r="D32" s="11"/>
      <x:c r="E32" s="11" t="s">
        <x:v>1820</x:v>
      </x:c>
      <x:c r="F32" s="11" t="s">
        <x:v>2178</x:v>
      </x:c>
      <x:c r="G32" s="11" t="s">
        <x:v>2179</x:v>
      </x:c>
      <x:c r="H32" s="20"/>
    </x:row>
    <x:row r="33">
      <x:c r="A33" s="11" t="s">
        <x:v>2180</x:v>
      </x:c>
      <x:c r="B33" s="11" t="s">
        <x:v>2088</x:v>
      </x:c>
      <x:c r="C33" s="11" t="s">
        <x:v>1654</x:v>
      </x:c>
      <x:c r="D33" s="11" t="s">
        <x:v>2181</x:v>
      </x:c>
      <x:c r="E33" s="11" t="s">
        <x:v>1820</x:v>
      </x:c>
      <x:c r="F33" s="11" t="s">
        <x:v>2182</x:v>
      </x:c>
      <x:c r="G33" s="11" t="s">
        <x:v>2179</x:v>
      </x:c>
      <x:c r="H33" s="20"/>
    </x:row>
    <x:row r="34">
      <x:c r="A34" s="11" t="s">
        <x:v>2183</x:v>
      </x:c>
      <x:c r="B34" s="11" t="s">
        <x:v>2184</x:v>
      </x:c>
      <x:c r="C34" s="11" t="s">
        <x:v>1654</x:v>
      </x:c>
      <x:c r="D34" s="11" t="s">
        <x:v>2185</x:v>
      </x:c>
      <x:c r="E34" s="11" t="s">
        <x:v>59</x:v>
      </x:c>
      <x:c r="F34" s="11" t="s">
        <x:v>2186</x:v>
      </x:c>
      <x:c r="G34" s="11" t="s">
        <x:v>2187</x:v>
      </x:c>
      <x:c r="H34" s="20"/>
    </x:row>
    <x:row r="35">
      <x:c r="A35" s="11" t="s">
        <x:v>2188</x:v>
      </x:c>
      <x:c r="B35" s="11" t="s">
        <x:v>2184</x:v>
      </x:c>
      <x:c r="C35" s="11" t="s">
        <x:v>1654</x:v>
      </x:c>
      <x:c r="D35" s="11" t="s">
        <x:v>2189</x:v>
      </x:c>
      <x:c r="E35" s="11" t="s">
        <x:v>59</x:v>
      </x:c>
      <x:c r="F35" s="11" t="s">
        <x:v>2190</x:v>
      </x:c>
      <x:c r="G35" s="11" t="s">
        <x:v>2191</x:v>
      </x:c>
      <x:c r="H35" s="20"/>
    </x:row>
    <x:row r="36">
      <x:c r="A36" s="11" t="s">
        <x:v>2192</x:v>
      </x:c>
      <x:c r="B36" s="11" t="s">
        <x:v>2193</x:v>
      </x:c>
      <x:c r="C36" s="11" t="s">
        <x:v>1654</x:v>
      </x:c>
      <x:c r="D36" s="11" t="s">
        <x:v>2194</x:v>
      </x:c>
      <x:c r="E36" s="11" t="s">
        <x:v>56</x:v>
      </x:c>
      <x:c r="F36" s="11" t="s">
        <x:v>2195</x:v>
      </x:c>
      <x:c r="G36" s="11" t="s">
        <x:v>2196</x:v>
      </x:c>
      <x:c r="H36" s="20"/>
    </x:row>
    <x:row r="37">
      <x:c r="A37" s="11" t="s">
        <x:v>2197</x:v>
      </x:c>
      <x:c r="B37" s="11" t="s">
        <x:v>2193</x:v>
      </x:c>
      <x:c r="C37" s="11" t="s">
        <x:v>1654</x:v>
      </x:c>
      <x:c r="D37" s="11" t="s">
        <x:v>2198</x:v>
      </x:c>
      <x:c r="E37" s="11" t="s">
        <x:v>56</x:v>
      </x:c>
      <x:c r="F37" s="11" t="s">
        <x:v>2199</x:v>
      </x:c>
      <x:c r="G37" s="11" t="s">
        <x:v>2196</x:v>
      </x:c>
      <x:c r="H37" s="20"/>
    </x:row>
    <x:row r="38">
      <x:c r="A38" s="11" t="s">
        <x:v>2200</x:v>
      </x:c>
      <x:c r="B38" s="11" t="s">
        <x:v>2193</x:v>
      </x:c>
      <x:c r="C38" s="11" t="s">
        <x:v>1654</x:v>
      </x:c>
      <x:c r="D38" s="11" t="s">
        <x:v>2201</x:v>
      </x:c>
      <x:c r="E38" s="11" t="s">
        <x:v>56</x:v>
      </x:c>
      <x:c r="F38" s="11" t="s">
        <x:v>2202</x:v>
      </x:c>
      <x:c r="G38" s="11" t="s">
        <x:v>2196</x:v>
      </x:c>
      <x:c r="H38" s="20"/>
    </x:row>
  </x:sheetData>
  <x:mergeCells>
    <x:mergeCell ref="A1:H1"/>
    <x:mergeCell ref="A2:H2"/>
  </x:mergeCells>
  <x:conditionalFormatting sqref="C6:C38">
    <x:cfRule type="containsText" dxfId="0" priority="1" operator="containsText" text="Yes"/>
  </x:conditionalFormatting>
  <x:pageMargins left="0.7" right="0.7" top="0.75" bottom="0.75" header="0.3" footer="0.3"/>
  <x:tableParts count="1">
    <x:tablePart xmlns:r="http://schemas.openxmlformats.org/officeDocument/2006/relationships" r:id="R7fd30d83250149e9"/>
  </x:tableParts>
</x:worksheet>
</file>

<file path=xl/worksheets/sheet18.xml><?xml version="1.0" encoding="utf-8"?>
<x:worksheet xmlns:x="http://schemas.openxmlformats.org/spreadsheetml/2006/main">
  <x:sheetViews>
    <x:sheetView showGridLines="0" workbookViewId="0"/>
  </x:sheetViews>
  <x:sheetFormatPr defaultRowHeight="13.800000190734863"/>
  <x:cols>
    <x:col min="1" max="1" width="48" customWidth="1"/>
    <x:col min="2" max="2" width="20" customWidth="1"/>
    <x:col min="3" max="3" width="72" customWidth="1"/>
    <x:col min="4" max="4" width="15" customWidth="1"/>
    <x:col min="5" max="5" width="48" customWidth="1"/>
    <x:col min="6" max="6" width="16" customWidth="1"/>
  </x:cols>
  <x:sheetData>
    <x:row r="1" ht="31.950000762939453" customHeight="1">
      <x:c r="A1" s="56" t="s">
        <x:v>2203</x:v>
      </x:c>
      <x:c r="B1" s="56"/>
      <x:c r="C1" s="56"/>
      <x:c r="D1" s="56"/>
      <x:c r="E1" s="56"/>
      <x:c r="F1" s="56"/>
    </x:row>
    <x:row r="2" ht="31.950000762939453" customHeight="1">
      <x:c r="A2" s="57" t="s">
        <x:v>2204</x:v>
      </x:c>
      <x:c r="B2" s="57"/>
      <x:c r="C2" s="57"/>
      <x:c r="D2" s="57"/>
      <x:c r="E2" s="57"/>
      <x:c r="F2" s="57"/>
    </x:row>
    <x:row r="5" ht="28.049999237060547" customHeight="1">
      <x:c r="A5" s="1" t="s">
        <x:v>2205</x:v>
      </x:c>
      <x:c r="B5" s="2" t="s">
        <x:v>2206</x:v>
      </x:c>
      <x:c r="C5" s="2" t="s">
        <x:v>2207</x:v>
      </x:c>
      <x:c r="D5" s="2" t="s">
        <x:v>2208</x:v>
      </x:c>
      <x:c r="E5" s="2" t="s">
        <x:v>2209</x:v>
      </x:c>
      <x:c r="F5" s="3" t="s">
        <x:v>2210</x:v>
      </x:c>
    </x:row>
    <x:row r="6" ht="22.799999237060547">
      <x:c r="A6" s="10" t="s">
        <x:v>2211</x:v>
      </x:c>
      <x:c r="B6" s="10" t="s">
        <x:v>2212</x:v>
      </x:c>
      <x:c r="C6" s="10" t="s">
        <x:v>2213</x:v>
      </x:c>
      <x:c r="D6" s="10" t="s">
        <x:v>2214</x:v>
      </x:c>
      <x:c r="E6" s="10" t="s">
        <x:v>2215</x:v>
      </x:c>
      <x:c r="F6" s="10" t="s">
        <x:v>2216</x:v>
      </x:c>
    </x:row>
    <x:row r="7" ht="22.799999237060547">
      <x:c r="A7" s="11" t="s">
        <x:v>2217</x:v>
      </x:c>
      <x:c r="B7" s="11" t="s">
        <x:v>2218</x:v>
      </x:c>
      <x:c r="C7" s="11" t="s">
        <x:v>2219</x:v>
      </x:c>
      <x:c r="D7" s="11" t="s">
        <x:v>2220</x:v>
      </x:c>
      <x:c r="E7" s="11" t="s">
        <x:v>2221</x:v>
      </x:c>
      <x:c r="F7" s="11" t="s">
        <x:v>2216</x:v>
      </x:c>
    </x:row>
    <x:row r="8" ht="45.599998474121094">
      <x:c r="A8" s="11" t="s">
        <x:v>2222</x:v>
      </x:c>
      <x:c r="B8" s="11" t="s">
        <x:v>2223</x:v>
      </x:c>
      <x:c r="C8" s="11" t="s">
        <x:v>2224</x:v>
      </x:c>
      <x:c r="D8" s="11" t="s">
        <x:v>2225</x:v>
      </x:c>
      <x:c r="E8" s="11" t="s">
        <x:v>2226</x:v>
      </x:c>
      <x:c r="F8" s="11" t="s">
        <x:v>2227</x:v>
      </x:c>
    </x:row>
    <x:row r="11" ht="46.04999923706055" customHeight="1">
      <x:c r="A11" s="116" t="s">
        <x:v>2228</x:v>
      </x:c>
      <x:c r="B11" s="117"/>
      <x:c r="C11" s="117"/>
      <x:c r="D11" s="117"/>
      <x:c r="E11" s="117"/>
      <x:c r="F11" s="118"/>
    </x:row>
  </x:sheetData>
  <x:mergeCells>
    <x:mergeCell ref="A1:F1"/>
    <x:mergeCell ref="A2:F2"/>
    <x:mergeCell ref="A11:F11"/>
  </x:mergeCells>
  <x:pageMargins left="0.7" right="0.7" top="0.75" bottom="0.75" header="0.3" footer="0.3"/>
  <x:tableParts count="1">
    <x:tablePart xmlns:r="http://schemas.openxmlformats.org/officeDocument/2006/relationships" r:id="R9ce60cbc957e4e30"/>
  </x:tableParts>
</x:worksheet>
</file>

<file path=xl/worksheets/sheet19.xml><?xml version="1.0" encoding="utf-8"?>
<x:worksheet xmlns:x="http://schemas.openxmlformats.org/spreadsheetml/2006/main">
  <x:sheetViews>
    <x:sheetView showGridLines="0" workbookViewId="0"/>
  </x:sheetViews>
  <x:sheetFormatPr defaultRowHeight="13.800000190734863"/>
  <x:cols>
    <x:col min="1" max="1" width="14" customWidth="1"/>
    <x:col min="2" max="2" width="24" customWidth="1"/>
    <x:col min="3" max="6" width="34" customWidth="1"/>
    <x:col min="7" max="7" width="18" customWidth="1"/>
    <x:col min="8" max="8" width="16" customWidth="1"/>
  </x:cols>
  <x:sheetData>
    <x:row r="1" ht="30" customHeight="1">
      <x:c r="A1" s="119" t="s">
        <x:v>2229</x:v>
      </x:c>
      <x:c r="B1" s="119"/>
      <x:c r="C1" s="119"/>
      <x:c r="D1" s="119"/>
      <x:c r="E1" s="119"/>
      <x:c r="F1" s="119"/>
      <x:c r="G1" s="119"/>
      <x:c r="H1" s="119"/>
    </x:row>
    <x:row r="2" ht="36" customHeight="1">
      <x:c r="A2" s="120" t="s">
        <x:v>2230</x:v>
      </x:c>
      <x:c r="B2" s="120"/>
      <x:c r="C2" s="120"/>
      <x:c r="D2" s="120"/>
      <x:c r="E2" s="120"/>
      <x:c r="F2" s="120"/>
      <x:c r="G2" s="120"/>
      <x:c r="H2" s="120"/>
    </x:row>
    <x:row r="3" ht="15" customHeight="1">
      <x:c r="A3" s="29"/>
      <x:c r="B3" s="29"/>
      <x:c r="C3" s="29"/>
      <x:c r="D3" s="29"/>
      <x:c r="E3" s="29"/>
      <x:c r="F3" s="29"/>
      <x:c r="G3" s="29"/>
      <x:c r="H3" s="29"/>
    </x:row>
    <x:row r="4" ht="15" customHeight="1">
      <x:c r="A4" s="121" t="s">
        <x:v>2</x:v>
      </x:c>
      <x:c r="B4" s="121"/>
      <x:c r="C4" s="121"/>
      <x:c r="D4" s="121"/>
      <x:c r="E4" s="121"/>
      <x:c r="F4" s="121"/>
      <x:c r="G4" s="121"/>
      <x:c r="H4" s="121"/>
    </x:row>
    <x:row r="5" ht="118.80000305175781" customHeight="1">
      <x:c r="A5" s="36" t="s">
        <x:v>2231</x:v>
      </x:c>
      <x:c r="B5" s="37" t="s">
        <x:v>2232</x:v>
      </x:c>
      <x:c r="C5" s="37" t="s">
        <x:v>2233</x:v>
      </x:c>
      <x:c r="D5" s="37" t="s">
        <x:v>2234</x:v>
      </x:c>
      <x:c r="E5" s="37" t="s">
        <x:v>2235</x:v>
      </x:c>
      <x:c r="F5" s="37" t="s">
        <x:v>2236</x:v>
      </x:c>
      <x:c r="G5" s="37" t="s">
        <x:v>2237</x:v>
      </x:c>
      <x:c r="H5" s="38" t="s">
        <x:v>2238</x:v>
      </x:c>
    </x:row>
    <x:row r="6" ht="105.5999984741211" customHeight="1">
      <x:c r="A6" s="39" t="s">
        <x:v>2239</x:v>
      </x:c>
      <x:c r="B6" s="40" t="s">
        <x:v>2240</x:v>
      </x:c>
      <x:c r="C6" s="40" t="s">
        <x:v>2241</x:v>
      </x:c>
      <x:c r="D6" s="40" t="s">
        <x:v>2242</x:v>
      </x:c>
      <x:c r="E6" s="40" t="s">
        <x:v>2243</x:v>
      </x:c>
      <x:c r="F6" s="40" t="s">
        <x:v>2244</x:v>
      </x:c>
      <x:c r="G6" s="40" t="s">
        <x:v>2245</x:v>
      </x:c>
      <x:c r="H6" s="41" t="s">
        <x:v>2246</x:v>
      </x:c>
    </x:row>
    <x:row r="7" ht="132" customHeight="1">
      <x:c r="A7" s="39" t="s">
        <x:v>2160</x:v>
      </x:c>
      <x:c r="B7" s="40" t="s">
        <x:v>2247</x:v>
      </x:c>
      <x:c r="C7" s="40" t="s">
        <x:v>22</x:v>
      </x:c>
      <x:c r="D7" s="40" t="s">
        <x:v>2248</x:v>
      </x:c>
      <x:c r="E7" s="40" t="s">
        <x:v>2249</x:v>
      </x:c>
      <x:c r="F7" s="40" t="s">
        <x:v>2250</x:v>
      </x:c>
      <x:c r="G7" s="40" t="s">
        <x:v>2251</x:v>
      </x:c>
      <x:c r="H7" s="41" t="s">
        <x:v>2252</x:v>
      </x:c>
    </x:row>
    <x:row r="8" ht="118.80000305175781" customHeight="1">
      <x:c r="A8" s="39" t="s">
        <x:v>2253</x:v>
      </x:c>
      <x:c r="B8" s="40" t="s">
        <x:v>2254</x:v>
      </x:c>
      <x:c r="C8" s="40" t="s">
        <x:v>2255</x:v>
      </x:c>
      <x:c r="D8" s="40" t="s">
        <x:v>2256</x:v>
      </x:c>
      <x:c r="E8" s="40" t="s">
        <x:v>2257</x:v>
      </x:c>
      <x:c r="F8" s="40" t="s">
        <x:v>2258</x:v>
      </x:c>
      <x:c r="G8" s="40" t="s">
        <x:v>2259</x:v>
      </x:c>
      <x:c r="H8" s="41" t="s">
        <x:v>2260</x:v>
      </x:c>
    </x:row>
    <x:row r="9" ht="118.80000305175781" customHeight="1">
      <x:c r="A9" s="39" t="s">
        <x:v>2144</x:v>
      </x:c>
      <x:c r="B9" s="40" t="s">
        <x:v>2261</x:v>
      </x:c>
      <x:c r="C9" s="40" t="s">
        <x:v>2262</x:v>
      </x:c>
      <x:c r="D9" s="40" t="s">
        <x:v>2263</x:v>
      </x:c>
      <x:c r="E9" s="40" t="s">
        <x:v>2264</x:v>
      </x:c>
      <x:c r="F9" s="40" t="s">
        <x:v>2265</x:v>
      </x:c>
      <x:c r="G9" s="40" t="s">
        <x:v>2266</x:v>
      </x:c>
      <x:c r="H9" s="41" t="s">
        <x:v>2267</x:v>
      </x:c>
    </x:row>
    <x:row r="10" ht="132" customHeight="1">
      <x:c r="A10" s="42" t="s">
        <x:v>2153</x:v>
      </x:c>
      <x:c r="B10" s="43" t="s">
        <x:v>2268</x:v>
      </x:c>
      <x:c r="C10" s="43" t="s">
        <x:v>2269</x:v>
      </x:c>
      <x:c r="D10" s="43" t="s">
        <x:v>2270</x:v>
      </x:c>
      <x:c r="E10" s="43" t="s">
        <x:v>247</x:v>
      </x:c>
      <x:c r="F10" s="43" t="s">
        <x:v>2271</x:v>
      </x:c>
      <x:c r="G10" s="43" t="s">
        <x:v>2272</x:v>
      </x:c>
      <x:c r="H10" s="44" t="s">
        <x:v>2273</x:v>
      </x:c>
    </x:row>
    <x:row r="11" ht="15" customHeight="1">
      <x:c r="A11" s="29"/>
      <x:c r="B11" s="29"/>
      <x:c r="C11" s="29"/>
      <x:c r="D11" s="29"/>
      <x:c r="E11" s="29"/>
      <x:c r="F11" s="29"/>
      <x:c r="G11" s="29"/>
      <x:c r="H11" s="29"/>
    </x:row>
    <x:row r="12" ht="39.599998474121094" customHeight="1">
      <x:c r="A12" s="29" t="s">
        <x:v>53</x:v>
      </x:c>
      <x:c r="B12" s="29" t="s">
        <x:v>2274</x:v>
      </x:c>
      <x:c r="C12" s="29" t="s">
        <x:v>2275</x:v>
      </x:c>
      <x:c r="D12" s="29" t="s">
        <x:v>2276</x:v>
      </x:c>
      <x:c r="E12" s="29" t="s">
        <x:v>2277</x:v>
      </x:c>
      <x:c r="F12" s="29" t="s">
        <x:v>2278</x:v>
      </x:c>
      <x:c r="G12" s="29" t="s">
        <x:v>2279</x:v>
      </x:c>
      <x:c r="H12" s="29" t="s">
        <x:v>2280</x:v>
      </x:c>
    </x:row>
    <x:row r="13" ht="145.1999969482422" customHeight="1">
      <x:c r="A13" s="29" t="s">
        <x:v>56</x:v>
      </x:c>
      <x:c r="B13" s="29" t="s">
        <x:v>2281</x:v>
      </x:c>
      <x:c r="C13" s="29" t="s">
        <x:v>2282</x:v>
      </x:c>
      <x:c r="D13" s="29" t="s">
        <x:v>2283</x:v>
      </x:c>
      <x:c r="E13" s="29" t="s">
        <x:v>2284</x:v>
      </x:c>
      <x:c r="F13" s="29" t="s">
        <x:v>2285</x:v>
      </x:c>
      <x:c r="G13" s="29" t="s">
        <x:v>243</x:v>
      </x:c>
      <x:c r="H13" s="29" t="str">
        <x:f>IF(COUNTIFS('02 Master Plan'!$B$6:$B$120,A13,'02 Master Plan'!$D$6:$D$120,"MUST",'02 Master Plan'!$S$6:$S$120,"&lt;&gt;Done")=0,"Ready to teach","In progress")</x:f>
        <x:v>Ready to teach</x:v>
      </x:c>
    </x:row>
    <x:row r="14" ht="145.1999969482422" customHeight="1">
      <x:c r="A14" s="29" t="s">
        <x:v>37</x:v>
      </x:c>
      <x:c r="B14" s="29" t="s">
        <x:v>2286</x:v>
      </x:c>
      <x:c r="C14" s="29" t="s">
        <x:v>2287</x:v>
      </x:c>
      <x:c r="D14" s="29" t="s">
        <x:v>2288</x:v>
      </x:c>
      <x:c r="E14" s="29" t="s">
        <x:v>2289</x:v>
      </x:c>
      <x:c r="F14" s="29" t="s">
        <x:v>2290</x:v>
      </x:c>
      <x:c r="G14" s="29" t="s">
        <x:v>399</x:v>
      </x:c>
      <x:c r="H14" s="29" t="str">
        <x:f>IF(COUNTIFS('02 Master Plan'!$B$6:$B$120,A14,'02 Master Plan'!$D$6:$D$120,"MUST",'02 Master Plan'!$S$6:$S$120,"&lt;&gt;Done")=0,"Ready to teach","In progress")</x:f>
        <x:v>In progress</x:v>
      </x:c>
    </x:row>
    <x:row r="15" ht="118.80000305175781" customHeight="1">
      <x:c r="A15" s="29" t="s">
        <x:v>57</x:v>
      </x:c>
      <x:c r="B15" s="29" t="s">
        <x:v>2291</x:v>
      </x:c>
      <x:c r="C15" s="29" t="s">
        <x:v>2292</x:v>
      </x:c>
      <x:c r="D15" s="29" t="s">
        <x:v>2293</x:v>
      </x:c>
      <x:c r="E15" s="29" t="s">
        <x:v>2294</x:v>
      </x:c>
      <x:c r="F15" s="29" t="s">
        <x:v>2295</x:v>
      </x:c>
      <x:c r="G15" s="29" t="s">
        <x:v>547</x:v>
      </x:c>
      <x:c r="H15" s="29" t="str">
        <x:f>IF(COUNTIFS('02 Master Plan'!$B$6:$B$120,A15,'02 Master Plan'!$D$6:$D$120,"MUST",'02 Master Plan'!$S$6:$S$120,"&lt;&gt;Done")=0,"Ready to teach","In progress")</x:f>
        <x:v>In progress</x:v>
      </x:c>
    </x:row>
    <x:row r="16" ht="118.80000305175781" customHeight="1">
      <x:c r="A16" s="29" t="s">
        <x:v>58</x:v>
      </x:c>
      <x:c r="B16" s="29" t="s">
        <x:v>2296</x:v>
      </x:c>
      <x:c r="C16" s="29" t="s">
        <x:v>2297</x:v>
      </x:c>
      <x:c r="D16" s="29" t="s">
        <x:v>2298</x:v>
      </x:c>
      <x:c r="E16" s="29" t="s">
        <x:v>2299</x:v>
      </x:c>
      <x:c r="F16" s="29" t="s">
        <x:v>2300</x:v>
      </x:c>
      <x:c r="G16" s="29" t="s">
        <x:v>690</x:v>
      </x:c>
      <x:c r="H16" s="29" t="str">
        <x:f>IF(COUNTIFS('02 Master Plan'!$B$6:$B$120,A16,'02 Master Plan'!$D$6:$D$120,"MUST",'02 Master Plan'!$S$6:$S$120,"&lt;&gt;Done")=0,"Ready to teach","In progress")</x:f>
        <x:v>In progress</x:v>
      </x:c>
    </x:row>
    <x:row r="17" ht="118.80000305175781" customHeight="1">
      <x:c r="A17" s="29" t="s">
        <x:v>59</x:v>
      </x:c>
      <x:c r="B17" s="29" t="s">
        <x:v>2301</x:v>
      </x:c>
      <x:c r="C17" s="29" t="s">
        <x:v>2302</x:v>
      </x:c>
      <x:c r="D17" s="29" t="s">
        <x:v>2303</x:v>
      </x:c>
      <x:c r="E17" s="29" t="s">
        <x:v>2304</x:v>
      </x:c>
      <x:c r="F17" s="29" t="s">
        <x:v>2305</x:v>
      </x:c>
      <x:c r="G17" s="29" t="s">
        <x:v>850</x:v>
      </x:c>
      <x:c r="H17" s="29" t="str">
        <x:f>IF(COUNTIFS('02 Master Plan'!$B$6:$B$120,A17,'02 Master Plan'!$D$6:$D$120,"MUST",'02 Master Plan'!$S$6:$S$120,"&lt;&gt;Done")=0,"Ready to teach","In progress")</x:f>
        <x:v>In progress</x:v>
      </x:c>
    </x:row>
    <x:row r="18" ht="132" customHeight="1">
      <x:c r="A18" s="29" t="s">
        <x:v>60</x:v>
      </x:c>
      <x:c r="B18" s="29" t="s">
        <x:v>2306</x:v>
      </x:c>
      <x:c r="C18" s="29" t="s">
        <x:v>2307</x:v>
      </x:c>
      <x:c r="D18" s="29" t="s">
        <x:v>2308</x:v>
      </x:c>
      <x:c r="E18" s="29" t="s">
        <x:v>2309</x:v>
      </x:c>
      <x:c r="F18" s="29" t="s">
        <x:v>2310</x:v>
      </x:c>
      <x:c r="G18" s="29" t="s">
        <x:v>1006</x:v>
      </x:c>
      <x:c r="H18" s="29" t="str">
        <x:f>IF(COUNTIFS('02 Master Plan'!$B$6:$B$120,A18,'02 Master Plan'!$D$6:$D$120,"MUST",'02 Master Plan'!$S$6:$S$120,"&lt;&gt;Done")=0,"Ready to teach","In progress")</x:f>
        <x:v>In progress</x:v>
      </x:c>
    </x:row>
    <x:row r="19" ht="15" customHeight="1">
      <x:c r="A19" s="29"/>
      <x:c r="B19" s="29"/>
      <x:c r="C19" s="29"/>
      <x:c r="D19" s="29"/>
      <x:c r="E19" s="29"/>
      <x:c r="F19" s="29"/>
      <x:c r="G19" s="29"/>
      <x:c r="H19" s="29"/>
    </x:row>
    <x:row r="20" ht="15" customHeight="1">
      <x:c r="A20" s="121" t="s">
        <x:v>2311</x:v>
      </x:c>
      <x:c r="B20" s="121"/>
      <x:c r="C20" s="121"/>
      <x:c r="D20" s="121"/>
      <x:c r="E20" s="121"/>
      <x:c r="F20" s="121"/>
      <x:c r="G20" s="121"/>
      <x:c r="H20" s="121"/>
    </x:row>
    <x:row r="21" ht="118.80000305175781" customHeight="1">
      <x:c r="A21" s="45" t="s">
        <x:v>2312</x:v>
      </x:c>
      <x:c r="B21" s="46" t="s">
        <x:v>2313</x:v>
      </x:c>
      <x:c r="C21" s="29"/>
      <x:c r="D21" s="29"/>
      <x:c r="E21" s="29"/>
      <x:c r="F21" s="29"/>
      <x:c r="G21" s="29"/>
      <x:c r="H21" s="29"/>
    </x:row>
    <x:row r="22" ht="132" customHeight="1">
      <x:c r="A22" s="47" t="s">
        <x:v>2314</x:v>
      </x:c>
      <x:c r="B22" s="48" t="s">
        <x:v>2315</x:v>
      </x:c>
      <x:c r="C22" s="29"/>
      <x:c r="D22" s="29"/>
      <x:c r="E22" s="29"/>
      <x:c r="F22" s="29"/>
      <x:c r="G22" s="29"/>
      <x:c r="H22" s="29"/>
    </x:row>
    <x:row r="23" ht="132" customHeight="1">
      <x:c r="A23" s="47" t="s">
        <x:v>2316</x:v>
      </x:c>
      <x:c r="B23" s="48" t="s">
        <x:v>2317</x:v>
      </x:c>
      <x:c r="C23" s="29"/>
      <x:c r="D23" s="29"/>
      <x:c r="E23" s="29"/>
      <x:c r="F23" s="29"/>
      <x:c r="G23" s="29"/>
      <x:c r="H23" s="29"/>
    </x:row>
    <x:row r="24" ht="132" customHeight="1">
      <x:c r="A24" s="47" t="s">
        <x:v>1660</x:v>
      </x:c>
      <x:c r="B24" s="48" t="s">
        <x:v>2318</x:v>
      </x:c>
      <x:c r="C24" s="29"/>
      <x:c r="D24" s="29"/>
      <x:c r="E24" s="29"/>
      <x:c r="F24" s="29"/>
      <x:c r="G24" s="29"/>
      <x:c r="H24" s="29"/>
    </x:row>
    <x:row r="25" ht="132" customHeight="1">
      <x:c r="A25" s="47" t="s">
        <x:v>2319</x:v>
      </x:c>
      <x:c r="B25" s="48" t="s">
        <x:v>2320</x:v>
      </x:c>
      <x:c r="C25" s="29"/>
      <x:c r="D25" s="29"/>
      <x:c r="E25" s="29"/>
      <x:c r="F25" s="29"/>
      <x:c r="G25" s="29"/>
      <x:c r="H25" s="29"/>
    </x:row>
    <x:row r="26" ht="132" customHeight="1">
      <x:c r="A26" s="49" t="s">
        <x:v>2321</x:v>
      </x:c>
      <x:c r="B26" s="50" t="s">
        <x:v>2322</x:v>
      </x:c>
      <x:c r="C26" s="29"/>
      <x:c r="D26" s="29"/>
      <x:c r="E26" s="29"/>
      <x:c r="F26" s="29"/>
      <x:c r="G26" s="29"/>
      <x:c r="H26" s="29"/>
    </x:row>
  </x:sheetData>
  <x:mergeCells>
    <x:mergeCell ref="A1:H1"/>
    <x:mergeCell ref="A2:H2"/>
    <x:mergeCell ref="A4:H4"/>
    <x:mergeCell ref="A20:H20"/>
  </x:mergeCells>
  <x:pageMargins left="0.7" right="0.7" top="0.75" bottom="0.75" header="0.3" footer="0.3"/>
  <x:tableParts count="1">
    <x:tablePart xmlns:r="http://schemas.openxmlformats.org/officeDocument/2006/relationships" r:id="R33f10a701fe146a0"/>
  </x:tableParts>
</x:worksheet>
</file>